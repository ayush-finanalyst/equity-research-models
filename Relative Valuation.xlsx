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0" documentId="13_ncr:1_{E260783E-A5CB-455C-98E1-DDE5275AD47F}" xr6:coauthVersionLast="47" xr6:coauthVersionMax="47" xr10:uidLastSave="{00000000-0000-0000-0000-000000000000}"/>
  <bookViews>
    <workbookView xWindow="-110" yWindow="-110" windowWidth="19420" windowHeight="10300" activeTab="1" xr2:uid="{F81F5FC2-2EB8-453A-8E57-DD2EE934C872}"/>
  </bookViews>
  <sheets>
    <sheet name="Comps_Val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P34" i="1"/>
  <c r="Q34" i="1"/>
  <c r="O34" i="1"/>
  <c r="Q28" i="1"/>
  <c r="Q30" i="1"/>
  <c r="P32" i="1"/>
  <c r="Q32" i="1"/>
  <c r="O32" i="1"/>
  <c r="P31" i="1"/>
  <c r="Q31" i="1"/>
  <c r="O31" i="1"/>
  <c r="P30" i="1"/>
  <c r="O30" i="1"/>
  <c r="Q29" i="1"/>
  <c r="P29" i="1"/>
  <c r="O29" i="1"/>
  <c r="P28" i="1"/>
  <c r="Q24" i="1"/>
  <c r="P24" i="1"/>
  <c r="Q23" i="1"/>
  <c r="P23" i="1"/>
  <c r="Q22" i="1"/>
  <c r="P22" i="1"/>
  <c r="Q21" i="1"/>
  <c r="P21" i="1"/>
  <c r="Q20" i="1"/>
  <c r="P20" i="1"/>
  <c r="Q19" i="1"/>
  <c r="P19" i="1"/>
  <c r="O24" i="1"/>
  <c r="O23" i="1"/>
  <c r="O22" i="1"/>
  <c r="O21" i="1"/>
  <c r="O20" i="1"/>
  <c r="O19" i="1"/>
  <c r="Q9" i="1"/>
  <c r="Q10" i="1"/>
  <c r="Q11" i="1"/>
  <c r="Q12" i="1"/>
  <c r="Q13" i="1"/>
  <c r="Q14" i="1"/>
  <c r="Q15" i="1"/>
  <c r="Q16" i="1"/>
  <c r="Q17" i="1"/>
  <c r="Q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8" i="1"/>
  <c r="L8" i="1"/>
  <c r="K8" i="1"/>
  <c r="M10" i="1"/>
  <c r="L10" i="1"/>
  <c r="K10" i="1"/>
  <c r="L9" i="1"/>
  <c r="M9" i="1"/>
  <c r="K9" i="1"/>
  <c r="G10" i="1"/>
  <c r="G8" i="1"/>
  <c r="G11" i="1"/>
  <c r="G12" i="1"/>
  <c r="G13" i="1"/>
  <c r="G14" i="1"/>
  <c r="G15" i="1"/>
  <c r="G16" i="1"/>
  <c r="G17" i="1"/>
  <c r="G9" i="1"/>
  <c r="E17" i="1"/>
  <c r="D17" i="1"/>
  <c r="F17" i="1" s="1"/>
  <c r="E16" i="1"/>
  <c r="D16" i="1"/>
  <c r="F16" i="1" s="1"/>
  <c r="E15" i="1"/>
  <c r="D15" i="1"/>
  <c r="F15" i="1" s="1"/>
  <c r="H15" i="1" s="1"/>
  <c r="E14" i="1"/>
  <c r="D14" i="1"/>
  <c r="E13" i="1"/>
  <c r="D13" i="1"/>
  <c r="F13" i="1" s="1"/>
  <c r="H13" i="1" s="1"/>
  <c r="E12" i="1"/>
  <c r="D12" i="1"/>
  <c r="F12" i="1" s="1"/>
  <c r="H12" i="1" s="1"/>
  <c r="E11" i="1"/>
  <c r="D11" i="1"/>
  <c r="F11" i="1" s="1"/>
  <c r="H11" i="1" s="1"/>
  <c r="E8" i="1"/>
  <c r="D8" i="1"/>
  <c r="E10" i="1"/>
  <c r="D10" i="1"/>
  <c r="F10" i="1" s="1"/>
  <c r="E9" i="1"/>
  <c r="D9" i="1"/>
  <c r="F9" i="1" s="1"/>
  <c r="B10" i="1"/>
  <c r="B8" i="1"/>
  <c r="B11" i="1"/>
  <c r="B12" i="1"/>
  <c r="B13" i="1"/>
  <c r="B14" i="1"/>
  <c r="B15" i="1"/>
  <c r="B16" i="1"/>
  <c r="B17" i="1"/>
  <c r="B9" i="1"/>
  <c r="H16" i="1" l="1"/>
  <c r="H9" i="1"/>
  <c r="H17" i="1"/>
  <c r="H10" i="1"/>
  <c r="F8" i="1"/>
  <c r="H8" i="1" s="1"/>
  <c r="F14" i="1"/>
  <c r="H14" i="1" s="1"/>
</calcChain>
</file>

<file path=xl/sharedStrings.xml><?xml version="1.0" encoding="utf-8"?>
<sst xmlns="http://schemas.openxmlformats.org/spreadsheetml/2006/main" count="55" uniqueCount="48">
  <si>
    <t>Comparable Company Valuation</t>
  </si>
  <si>
    <t>Share Price</t>
  </si>
  <si>
    <t>Shares Outstanding</t>
  </si>
  <si>
    <t>Enterprise Value</t>
  </si>
  <si>
    <t>Market Data</t>
  </si>
  <si>
    <t xml:space="preserve">Equity Val </t>
  </si>
  <si>
    <t>Net Debt</t>
  </si>
  <si>
    <t>Revenue</t>
  </si>
  <si>
    <t>EBITDA</t>
  </si>
  <si>
    <t>Net Income</t>
  </si>
  <si>
    <t>Valuation</t>
  </si>
  <si>
    <t>Financials</t>
  </si>
  <si>
    <t>S.No.</t>
  </si>
  <si>
    <t>Name</t>
  </si>
  <si>
    <t>CMP Rs.</t>
  </si>
  <si>
    <t>No. Eq. Shares Cr.</t>
  </si>
  <si>
    <t>Market Cap</t>
  </si>
  <si>
    <t>Debt Rs.Cr.</t>
  </si>
  <si>
    <t>Cash End Rs.Cr.</t>
  </si>
  <si>
    <t>EV</t>
  </si>
  <si>
    <t>Sales Rs.Cr.</t>
  </si>
  <si>
    <t>NP 12M Rs.Cr.</t>
  </si>
  <si>
    <t>Sun Pharma.Inds.</t>
  </si>
  <si>
    <t>Dr Reddy's Labs</t>
  </si>
  <si>
    <t>Cipla</t>
  </si>
  <si>
    <t>Torrent Pharma.</t>
  </si>
  <si>
    <t>Zydus Lifesci.</t>
  </si>
  <si>
    <t>Alkem Lab</t>
  </si>
  <si>
    <t>Aurobindo Pharma</t>
  </si>
  <si>
    <t>Biocon</t>
  </si>
  <si>
    <t>Syngene Intl.</t>
  </si>
  <si>
    <t>Ipca Labs.</t>
  </si>
  <si>
    <t xml:space="preserve">Company </t>
  </si>
  <si>
    <t>Ticker</t>
  </si>
  <si>
    <t>EV/Revenue</t>
  </si>
  <si>
    <t>EV/EBITDA</t>
  </si>
  <si>
    <t>P/E</t>
  </si>
  <si>
    <t>High</t>
  </si>
  <si>
    <t>75th Percentile</t>
  </si>
  <si>
    <t>Average</t>
  </si>
  <si>
    <t>Median</t>
  </si>
  <si>
    <t>25th Percentile</t>
  </si>
  <si>
    <t>Low</t>
  </si>
  <si>
    <t>Cipla Company Valuation</t>
  </si>
  <si>
    <t>Implied Enterprise Value</t>
  </si>
  <si>
    <t>Implied Market Value</t>
  </si>
  <si>
    <t>Implied Value per Share</t>
  </si>
  <si>
    <t>Amount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</si>
</sst>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\x"/>
    <numFmt numFmtId="166" formatCode="#,##0.0\x"/>
    <numFmt numFmtId="167" formatCode="0.0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0" borderId="3" xfId="0" applyBorder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3" borderId="4" xfId="0" applyFill="1" applyBorder="1"/>
    <xf numFmtId="164" fontId="0" fillId="3" borderId="4" xfId="0" applyNumberFormat="1" applyFill="1" applyBorder="1"/>
    <xf numFmtId="165" fontId="0" fillId="3" borderId="4" xfId="0" applyNumberFormat="1" applyFill="1" applyBorder="1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0" fontId="3" fillId="2" borderId="1" xfId="0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1" fillId="3" borderId="5" xfId="0" applyFont="1" applyFill="1" applyBorder="1"/>
    <xf numFmtId="167" fontId="1" fillId="3" borderId="5" xfId="0" applyNumberFormat="1" applyFont="1" applyFill="1" applyBorder="1"/>
    <xf numFmtId="0" fontId="0" fillId="3" borderId="6" xfId="0" applyFill="1" applyBorder="1"/>
    <xf numFmtId="166" fontId="0" fillId="3" borderId="6" xfId="0" applyNumberFormat="1" applyFill="1" applyBorder="1"/>
    <xf numFmtId="166" fontId="1" fillId="3" borderId="6" xfId="0" applyNumberFormat="1" applyFont="1" applyFill="1" applyBorder="1"/>
    <xf numFmtId="0" fontId="4" fillId="0" borderId="0" xfId="0" applyFont="1"/>
    <xf numFmtId="0" fontId="3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D64A-DC9A-4131-B9DF-6AFAAC18F4BE}">
  <dimension ref="B2:Q34"/>
  <sheetViews>
    <sheetView showGridLines="0" topLeftCell="B12" workbookViewId="0">
      <selection activeCell="Q8" sqref="Q8"/>
    </sheetView>
  </sheetViews>
  <sheetFormatPr defaultRowHeight="14.5" x14ac:dyDescent="0.35"/>
  <cols>
    <col min="1" max="1" width="1.81640625" customWidth="1"/>
    <col min="2" max="2" width="16.81640625" customWidth="1"/>
    <col min="3" max="3" width="9.90625" customWidth="1"/>
    <col min="5" max="5" width="11.26953125" customWidth="1"/>
    <col min="6" max="6" width="9.7265625" customWidth="1"/>
    <col min="7" max="7" width="9.36328125" customWidth="1"/>
    <col min="8" max="8" width="12.36328125" customWidth="1"/>
    <col min="10" max="10" width="4" customWidth="1"/>
    <col min="12" max="12" width="9.6328125" customWidth="1"/>
    <col min="13" max="13" width="10.6328125" customWidth="1"/>
    <col min="14" max="14" width="2.26953125" customWidth="1"/>
    <col min="15" max="15" width="10.81640625" customWidth="1"/>
    <col min="16" max="16" width="11.1796875" customWidth="1"/>
    <col min="17" max="17" width="10.26953125" customWidth="1"/>
  </cols>
  <sheetData>
    <row r="2" spans="2:17" x14ac:dyDescent="0.35">
      <c r="B2" s="32" t="s">
        <v>47</v>
      </c>
    </row>
    <row r="3" spans="2:17" ht="15" thickBot="1" x14ac:dyDescent="0.4">
      <c r="B3" s="1" t="s">
        <v>0</v>
      </c>
      <c r="C3" s="2"/>
      <c r="D3" s="2"/>
      <c r="E3" s="2"/>
      <c r="F3" s="2"/>
      <c r="G3" s="2"/>
      <c r="H3" s="2"/>
      <c r="I3" s="2"/>
      <c r="J3" s="2"/>
    </row>
    <row r="4" spans="2:17" ht="6" customHeight="1" x14ac:dyDescent="0.35"/>
    <row r="5" spans="2:17" ht="19.5" customHeight="1" x14ac:dyDescent="0.35">
      <c r="B5" s="3"/>
      <c r="C5" s="3"/>
      <c r="D5" s="33" t="s">
        <v>4</v>
      </c>
      <c r="E5" s="34"/>
      <c r="F5" s="34"/>
      <c r="G5" s="34"/>
      <c r="H5" s="34"/>
      <c r="I5" s="16"/>
      <c r="J5" s="15"/>
      <c r="K5" s="33" t="s">
        <v>11</v>
      </c>
      <c r="L5" s="33"/>
      <c r="M5" s="33"/>
      <c r="N5" s="17"/>
      <c r="O5" s="33" t="s">
        <v>10</v>
      </c>
      <c r="P5" s="33"/>
      <c r="Q5" s="33"/>
    </row>
    <row r="6" spans="2:17" ht="36.5" customHeight="1" x14ac:dyDescent="0.35">
      <c r="B6" s="11" t="s">
        <v>32</v>
      </c>
      <c r="C6" s="11" t="s">
        <v>33</v>
      </c>
      <c r="D6" s="12" t="s">
        <v>1</v>
      </c>
      <c r="E6" s="12" t="s">
        <v>2</v>
      </c>
      <c r="F6" s="13" t="s">
        <v>5</v>
      </c>
      <c r="G6" s="13" t="s">
        <v>6</v>
      </c>
      <c r="H6" s="12" t="s">
        <v>3</v>
      </c>
      <c r="I6" s="13"/>
      <c r="J6" s="14"/>
      <c r="K6" s="13" t="s">
        <v>7</v>
      </c>
      <c r="L6" s="13" t="s">
        <v>8</v>
      </c>
      <c r="M6" s="13" t="s">
        <v>9</v>
      </c>
      <c r="N6" s="15"/>
      <c r="O6" s="13" t="s">
        <v>34</v>
      </c>
      <c r="P6" s="13" t="s">
        <v>35</v>
      </c>
      <c r="Q6" s="13" t="s">
        <v>36</v>
      </c>
    </row>
    <row r="7" spans="2:17" ht="14" customHeight="1" x14ac:dyDescent="0.35">
      <c r="B7" s="5"/>
      <c r="C7" s="5"/>
      <c r="D7" s="6"/>
      <c r="E7" s="6"/>
      <c r="F7" s="7"/>
      <c r="G7" s="7"/>
      <c r="H7" s="6"/>
      <c r="I7" s="7"/>
      <c r="J7" s="8"/>
      <c r="K7" s="7"/>
      <c r="L7" s="7"/>
      <c r="M7" s="7"/>
      <c r="N7" s="3"/>
      <c r="O7" s="3"/>
      <c r="P7" s="3"/>
      <c r="Q7" s="3"/>
    </row>
    <row r="8" spans="2:17" x14ac:dyDescent="0.35">
      <c r="B8" s="18" t="str">
        <f>Data!C5</f>
        <v>Cipla</v>
      </c>
      <c r="C8" s="18"/>
      <c r="D8" s="19">
        <f>Data!D5</f>
        <v>893.35</v>
      </c>
      <c r="E8" s="19">
        <f>Data!E5</f>
        <v>80.72</v>
      </c>
      <c r="F8" s="19">
        <f>D8*E8</f>
        <v>72111.212</v>
      </c>
      <c r="G8" s="19">
        <f>Data!I5</f>
        <v>-860.82</v>
      </c>
      <c r="H8" s="19">
        <f>F8+G8</f>
        <v>71250.391999999993</v>
      </c>
      <c r="I8" s="19"/>
      <c r="J8" s="19"/>
      <c r="K8" s="19">
        <f>Data!K5</f>
        <v>22274.15</v>
      </c>
      <c r="L8" s="19">
        <f>Data!L5</f>
        <v>3786.61</v>
      </c>
      <c r="M8" s="19">
        <f>Data!M5</f>
        <v>2682.08</v>
      </c>
      <c r="N8" s="18"/>
      <c r="O8" s="20">
        <f>$H8/K8</f>
        <v>3.1987928607825658</v>
      </c>
      <c r="P8" s="20">
        <f t="shared" ref="P8" si="0">$H8/L8</f>
        <v>18.816406231431277</v>
      </c>
      <c r="Q8" s="20">
        <f>F8/M8</f>
        <v>26.886301676310925</v>
      </c>
    </row>
    <row r="9" spans="2:17" x14ac:dyDescent="0.35">
      <c r="B9" s="21" t="str">
        <f>Data!C3</f>
        <v>Sun Pharma.Inds.</v>
      </c>
      <c r="C9" s="21"/>
      <c r="D9" s="22">
        <f>Data!D3</f>
        <v>1012.1</v>
      </c>
      <c r="E9" s="22">
        <f>Data!E3</f>
        <v>239.93</v>
      </c>
      <c r="F9" s="22">
        <f>D9*E9</f>
        <v>242833.15300000002</v>
      </c>
      <c r="G9" s="22">
        <f>Data!I3</f>
        <v>-667.82</v>
      </c>
      <c r="H9" s="22">
        <f>F9+G9</f>
        <v>242165.33300000001</v>
      </c>
      <c r="I9" s="22"/>
      <c r="J9" s="22"/>
      <c r="K9" s="22">
        <f>Data!K3</f>
        <v>42401.77</v>
      </c>
      <c r="L9" s="22">
        <f>Data!L3</f>
        <v>9328.39</v>
      </c>
      <c r="M9" s="22">
        <f>Data!M3</f>
        <v>4302.66</v>
      </c>
      <c r="N9" s="21"/>
      <c r="O9" s="23">
        <f t="shared" ref="O9:O17" si="1">$H9/K9</f>
        <v>5.7112081170196438</v>
      </c>
      <c r="P9" s="23">
        <f t="shared" ref="P9:P17" si="2">$H9/L9</f>
        <v>25.960035225799952</v>
      </c>
      <c r="Q9" s="23">
        <f t="shared" ref="Q9:Q17" si="3">F9/M9</f>
        <v>56.43791352326236</v>
      </c>
    </row>
    <row r="10" spans="2:17" x14ac:dyDescent="0.35">
      <c r="B10" s="21" t="str">
        <f>Data!C4</f>
        <v>Dr Reddy's Labs</v>
      </c>
      <c r="C10" s="21"/>
      <c r="D10" s="22">
        <f>Data!D4</f>
        <v>4699.3999999999996</v>
      </c>
      <c r="E10" s="22">
        <f>Data!E4</f>
        <v>16.649999999999999</v>
      </c>
      <c r="F10" s="22">
        <f t="shared" ref="F10:F17" si="4">D10*E10</f>
        <v>78245.00999999998</v>
      </c>
      <c r="G10" s="22">
        <f>Data!I4</f>
        <v>-690.3</v>
      </c>
      <c r="H10" s="22">
        <f t="shared" ref="H10:H17" si="5">F10+G10</f>
        <v>77554.709999999977</v>
      </c>
      <c r="I10" s="22"/>
      <c r="J10" s="22"/>
      <c r="K10" s="22">
        <f>Data!K4</f>
        <v>23829.5</v>
      </c>
      <c r="L10" s="22">
        <f>Data!L4</f>
        <v>5004.2</v>
      </c>
      <c r="M10" s="22">
        <f>Data!M4</f>
        <v>3644.1</v>
      </c>
      <c r="N10" s="21"/>
      <c r="O10" s="23">
        <f t="shared" si="1"/>
        <v>3.2545672380872439</v>
      </c>
      <c r="P10" s="23">
        <f t="shared" si="2"/>
        <v>15.49792374405499</v>
      </c>
      <c r="Q10" s="23">
        <f t="shared" si="3"/>
        <v>21.471696715238327</v>
      </c>
    </row>
    <row r="11" spans="2:17" x14ac:dyDescent="0.35">
      <c r="B11" s="21" t="str">
        <f>Data!C6</f>
        <v>Torrent Pharma.</v>
      </c>
      <c r="C11" s="21"/>
      <c r="D11" s="22">
        <f>Data!D6</f>
        <v>1574.75</v>
      </c>
      <c r="E11" s="22">
        <f>Data!E6</f>
        <v>33.840000000000003</v>
      </c>
      <c r="F11" s="22">
        <f t="shared" si="4"/>
        <v>53289.540000000008</v>
      </c>
      <c r="G11" s="22">
        <f>Data!I6</f>
        <v>3679.59</v>
      </c>
      <c r="H11" s="22">
        <f t="shared" si="5"/>
        <v>56969.130000000005</v>
      </c>
      <c r="I11" s="22"/>
      <c r="J11" s="22"/>
      <c r="K11" s="22">
        <f>Data!K6</f>
        <v>9260</v>
      </c>
      <c r="L11" s="22">
        <f>Data!L6</f>
        <v>2129.8000000000002</v>
      </c>
      <c r="M11" s="22">
        <f>Data!M6</f>
        <v>831</v>
      </c>
      <c r="N11" s="21"/>
      <c r="O11" s="23">
        <f t="shared" si="1"/>
        <v>6.1521738660907133</v>
      </c>
      <c r="P11" s="23">
        <f t="shared" si="2"/>
        <v>26.748582026481358</v>
      </c>
      <c r="Q11" s="23">
        <f t="shared" si="3"/>
        <v>64.127003610108318</v>
      </c>
    </row>
    <row r="12" spans="2:17" x14ac:dyDescent="0.35">
      <c r="B12" s="21" t="str">
        <f>Data!C7</f>
        <v>Zydus Lifesci.</v>
      </c>
      <c r="C12" s="21"/>
      <c r="D12" s="22">
        <f>Data!D7</f>
        <v>494.15</v>
      </c>
      <c r="E12" s="22">
        <f>Data!E7</f>
        <v>101.22</v>
      </c>
      <c r="F12" s="22">
        <f t="shared" si="4"/>
        <v>50017.862999999998</v>
      </c>
      <c r="G12" s="22">
        <f>Data!I7</f>
        <v>1339.1</v>
      </c>
      <c r="H12" s="22">
        <f t="shared" si="5"/>
        <v>51356.962999999996</v>
      </c>
      <c r="I12" s="22"/>
      <c r="J12" s="22"/>
      <c r="K12" s="22">
        <f>Data!K7</f>
        <v>16433.5</v>
      </c>
      <c r="L12" s="22">
        <f>Data!L7</f>
        <v>2793.7</v>
      </c>
      <c r="M12" s="22">
        <f>Data!M7</f>
        <v>2187</v>
      </c>
      <c r="N12" s="21"/>
      <c r="O12" s="23">
        <f t="shared" si="1"/>
        <v>3.1251384671555051</v>
      </c>
      <c r="P12" s="23">
        <f t="shared" si="2"/>
        <v>18.383134552743673</v>
      </c>
      <c r="Q12" s="23">
        <f t="shared" si="3"/>
        <v>22.870536351165981</v>
      </c>
    </row>
    <row r="13" spans="2:17" x14ac:dyDescent="0.35">
      <c r="B13" s="21" t="str">
        <f>Data!C8</f>
        <v>Alkem Lab</v>
      </c>
      <c r="C13" s="21"/>
      <c r="D13" s="22">
        <f>Data!D8</f>
        <v>3405.65</v>
      </c>
      <c r="E13" s="22">
        <f>Data!E8</f>
        <v>11.96</v>
      </c>
      <c r="F13" s="22">
        <f t="shared" si="4"/>
        <v>40731.574000000001</v>
      </c>
      <c r="G13" s="22">
        <f>Data!I8</f>
        <v>-723.99</v>
      </c>
      <c r="H13" s="22">
        <f t="shared" si="5"/>
        <v>40007.584000000003</v>
      </c>
      <c r="I13" s="22"/>
      <c r="J13" s="22"/>
      <c r="K13" s="22">
        <f>Data!K8</f>
        <v>11180.52</v>
      </c>
      <c r="L13" s="22">
        <f>Data!L8</f>
        <v>1453.47</v>
      </c>
      <c r="M13" s="22">
        <f>Data!M8</f>
        <v>1047.3399999999999</v>
      </c>
      <c r="N13" s="21"/>
      <c r="O13" s="23">
        <f t="shared" si="1"/>
        <v>3.5783294515818587</v>
      </c>
      <c r="P13" s="23">
        <f t="shared" si="2"/>
        <v>27.525565715150641</v>
      </c>
      <c r="Q13" s="23">
        <f t="shared" si="3"/>
        <v>38.89049783260451</v>
      </c>
    </row>
    <row r="14" spans="2:17" x14ac:dyDescent="0.35">
      <c r="B14" s="21" t="str">
        <f>Data!C9</f>
        <v>Aurobindo Pharma</v>
      </c>
      <c r="C14" s="21"/>
      <c r="D14" s="22">
        <f>Data!D9</f>
        <v>535.1</v>
      </c>
      <c r="E14" s="22">
        <f>Data!E9</f>
        <v>58.59</v>
      </c>
      <c r="F14" s="22">
        <f t="shared" si="4"/>
        <v>31351.509000000002</v>
      </c>
      <c r="G14" s="22">
        <f>Data!I9</f>
        <v>311.2</v>
      </c>
      <c r="H14" s="22">
        <f t="shared" si="5"/>
        <v>31662.709000000003</v>
      </c>
      <c r="I14" s="22"/>
      <c r="J14" s="22"/>
      <c r="K14" s="22">
        <f>Data!K9</f>
        <v>24191.79</v>
      </c>
      <c r="L14" s="22">
        <f>Data!L9</f>
        <v>2661.1</v>
      </c>
      <c r="M14" s="22">
        <f>Data!M9</f>
        <v>1997.9</v>
      </c>
      <c r="N14" s="21"/>
      <c r="O14" s="23">
        <f t="shared" si="1"/>
        <v>1.3088204304022151</v>
      </c>
      <c r="P14" s="23">
        <f t="shared" si="2"/>
        <v>11.898353688324379</v>
      </c>
      <c r="Q14" s="23">
        <f t="shared" si="3"/>
        <v>15.692231342910056</v>
      </c>
    </row>
    <row r="15" spans="2:17" x14ac:dyDescent="0.35">
      <c r="B15" s="21" t="str">
        <f>Data!C10</f>
        <v>Biocon</v>
      </c>
      <c r="C15" s="21"/>
      <c r="D15" s="22">
        <f>Data!D10</f>
        <v>215.8</v>
      </c>
      <c r="E15" s="22">
        <f>Data!E10</f>
        <v>120.06</v>
      </c>
      <c r="F15" s="22">
        <f t="shared" si="4"/>
        <v>25908.948</v>
      </c>
      <c r="G15" s="22">
        <f>Data!I10</f>
        <v>4111.8999999999996</v>
      </c>
      <c r="H15" s="22">
        <f t="shared" si="5"/>
        <v>30020.847999999998</v>
      </c>
      <c r="I15" s="22"/>
      <c r="J15" s="22"/>
      <c r="K15" s="22">
        <f>Data!K10</f>
        <v>9809.1</v>
      </c>
      <c r="L15" s="22">
        <f>Data!L10</f>
        <v>1275.18</v>
      </c>
      <c r="M15" s="22">
        <f>Data!M10</f>
        <v>512.4</v>
      </c>
      <c r="N15" s="21"/>
      <c r="O15" s="23">
        <f t="shared" si="1"/>
        <v>3.0605099346525164</v>
      </c>
      <c r="P15" s="23">
        <f t="shared" si="2"/>
        <v>23.54243949873743</v>
      </c>
      <c r="Q15" s="23">
        <f t="shared" si="3"/>
        <v>50.563911007025766</v>
      </c>
    </row>
    <row r="16" spans="2:17" x14ac:dyDescent="0.35">
      <c r="B16" s="21" t="str">
        <f>Data!C11</f>
        <v>Syngene Intl.</v>
      </c>
      <c r="C16" s="21"/>
      <c r="D16" s="22">
        <f>Data!D11</f>
        <v>604.65</v>
      </c>
      <c r="E16" s="22">
        <f>Data!E11</f>
        <v>40.14</v>
      </c>
      <c r="F16" s="22">
        <f t="shared" si="4"/>
        <v>24270.650999999998</v>
      </c>
      <c r="G16" s="22">
        <f>Data!I11</f>
        <v>493.9</v>
      </c>
      <c r="H16" s="22">
        <f t="shared" si="5"/>
        <v>24764.550999999999</v>
      </c>
      <c r="I16" s="22"/>
      <c r="J16" s="22"/>
      <c r="K16" s="22">
        <f>Data!K11</f>
        <v>2957.9</v>
      </c>
      <c r="L16" s="22">
        <f>Data!L11</f>
        <v>591.58000000000004</v>
      </c>
      <c r="M16" s="22">
        <f>Data!M11</f>
        <v>431.2</v>
      </c>
      <c r="N16" s="21"/>
      <c r="O16" s="23">
        <f t="shared" si="1"/>
        <v>8.3723422022380731</v>
      </c>
      <c r="P16" s="23">
        <f t="shared" si="2"/>
        <v>41.861711011190366</v>
      </c>
      <c r="Q16" s="23">
        <f t="shared" si="3"/>
        <v>56.286296382189235</v>
      </c>
    </row>
    <row r="17" spans="2:17" x14ac:dyDescent="0.35">
      <c r="B17" s="21" t="str">
        <f>Data!C12</f>
        <v>Ipca Labs.</v>
      </c>
      <c r="C17" s="21"/>
      <c r="D17" s="22">
        <f>Data!D12</f>
        <v>830.4</v>
      </c>
      <c r="E17" s="22">
        <f>Data!E12</f>
        <v>25.37</v>
      </c>
      <c r="F17" s="22">
        <f t="shared" si="4"/>
        <v>21067.248</v>
      </c>
      <c r="G17" s="22">
        <f>Data!I12</f>
        <v>93.04</v>
      </c>
      <c r="H17" s="22">
        <f t="shared" si="5"/>
        <v>21160.288</v>
      </c>
      <c r="I17" s="22"/>
      <c r="J17" s="22"/>
      <c r="K17" s="22">
        <f>Data!K12</f>
        <v>6021.79</v>
      </c>
      <c r="L17" s="22">
        <f>Data!L12</f>
        <v>782.83</v>
      </c>
      <c r="M17" s="22">
        <f>Data!M12</f>
        <v>532.83000000000004</v>
      </c>
      <c r="N17" s="21"/>
      <c r="O17" s="23">
        <f t="shared" si="1"/>
        <v>3.5139531601068787</v>
      </c>
      <c r="P17" s="23">
        <f t="shared" si="2"/>
        <v>27.030502152446889</v>
      </c>
      <c r="Q17" s="23">
        <f t="shared" si="3"/>
        <v>39.538404369123356</v>
      </c>
    </row>
    <row r="18" spans="2:17" ht="10" customHeight="1" x14ac:dyDescent="0.35"/>
    <row r="19" spans="2:17" x14ac:dyDescent="0.35">
      <c r="B19" s="29" t="s">
        <v>37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>
        <f>MAX(O8:O17)</f>
        <v>8.3723422022380731</v>
      </c>
      <c r="P19" s="30">
        <f t="shared" ref="P19:Q19" si="6">MAX(P8:P17)</f>
        <v>41.861711011190366</v>
      </c>
      <c r="Q19" s="30">
        <f t="shared" si="6"/>
        <v>64.127003610108318</v>
      </c>
    </row>
    <row r="20" spans="2:17" x14ac:dyDescent="0.35">
      <c r="B20" s="29" t="s">
        <v>38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>
        <f>QUARTILE(O8:O17,3)</f>
        <v>5.1779884506601981</v>
      </c>
      <c r="P20" s="30">
        <f t="shared" ref="P20:Q20" si="7">QUARTILE(P8:P17,3)</f>
        <v>26.960022120955507</v>
      </c>
      <c r="Q20" s="30">
        <f t="shared" si="7"/>
        <v>54.855700038398368</v>
      </c>
    </row>
    <row r="21" spans="2:17" x14ac:dyDescent="0.35">
      <c r="B21" s="29" t="s">
        <v>39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1">
        <f>AVERAGE(O8:O17)</f>
        <v>4.1275835728117212</v>
      </c>
      <c r="P21" s="31">
        <f t="shared" ref="P21:Q21" si="8">AVERAGE(P8:P17)</f>
        <v>23.726465384636093</v>
      </c>
      <c r="Q21" s="31">
        <f t="shared" si="8"/>
        <v>39.276479280993883</v>
      </c>
    </row>
    <row r="22" spans="2:17" x14ac:dyDescent="0.35">
      <c r="B22" s="29" t="s">
        <v>40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1">
        <f>MEDIAN(O8:O17)</f>
        <v>3.3842601990970613</v>
      </c>
      <c r="P22" s="31">
        <f t="shared" ref="P22:Q22" si="9">MEDIAN(P8:P17)</f>
        <v>24.751237362268689</v>
      </c>
      <c r="Q22" s="31">
        <f t="shared" si="9"/>
        <v>39.214451100863933</v>
      </c>
    </row>
    <row r="23" spans="2:17" x14ac:dyDescent="0.35">
      <c r="B23" s="29" t="s">
        <v>41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>
        <f>QUARTILE(O8:O17,1)</f>
        <v>3.1435520655622704</v>
      </c>
      <c r="P23" s="30">
        <f t="shared" ref="P23:Q23" si="10">QUARTILE(P8:P17,1)</f>
        <v>18.491452472415574</v>
      </c>
      <c r="Q23" s="30">
        <f t="shared" si="10"/>
        <v>23.874477682452216</v>
      </c>
    </row>
    <row r="24" spans="2:17" x14ac:dyDescent="0.35">
      <c r="B24" s="29" t="s">
        <v>42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0">
        <f>MIN(O8:O17)</f>
        <v>1.3088204304022151</v>
      </c>
      <c r="P24" s="30">
        <f t="shared" ref="P24:Q24" si="11">MIN(P8:P17)</f>
        <v>11.898353688324379</v>
      </c>
      <c r="Q24" s="30">
        <f t="shared" si="11"/>
        <v>15.692231342910056</v>
      </c>
    </row>
    <row r="26" spans="2:17" ht="15" thickBot="1" x14ac:dyDescent="0.4">
      <c r="B26" s="24" t="s">
        <v>43</v>
      </c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13" t="s">
        <v>34</v>
      </c>
      <c r="P26" s="13" t="s">
        <v>35</v>
      </c>
      <c r="Q26" s="13" t="s">
        <v>36</v>
      </c>
    </row>
    <row r="27" spans="2:17" ht="8.5" customHeight="1" x14ac:dyDescent="0.35"/>
    <row r="28" spans="2:17" x14ac:dyDescent="0.35">
      <c r="B28" t="s">
        <v>44</v>
      </c>
      <c r="O28" s="9">
        <f>O$22*K8</f>
        <v>75381.519313717814</v>
      </c>
      <c r="P28" s="9">
        <f>P$22*L8</f>
        <v>93723.282908340247</v>
      </c>
      <c r="Q28" s="10">
        <f>Q30+Q29</f>
        <v>104315.47500860512</v>
      </c>
    </row>
    <row r="29" spans="2:17" x14ac:dyDescent="0.35">
      <c r="B29" t="s">
        <v>6</v>
      </c>
      <c r="O29" s="10">
        <f>G8</f>
        <v>-860.82</v>
      </c>
      <c r="P29" s="10">
        <f>O29</f>
        <v>-860.82</v>
      </c>
      <c r="Q29" s="10">
        <f>P29</f>
        <v>-860.82</v>
      </c>
    </row>
    <row r="30" spans="2:17" x14ac:dyDescent="0.35">
      <c r="B30" t="s">
        <v>45</v>
      </c>
      <c r="O30" s="9">
        <f>O28-O29</f>
        <v>76242.339313717821</v>
      </c>
      <c r="P30" s="9">
        <f>P28-P29</f>
        <v>94584.102908340254</v>
      </c>
      <c r="Q30">
        <f>Q22*M8</f>
        <v>105176.29500860513</v>
      </c>
    </row>
    <row r="31" spans="2:17" ht="15" thickBot="1" x14ac:dyDescent="0.4">
      <c r="B31" t="s">
        <v>2</v>
      </c>
      <c r="O31" s="10">
        <f>$E$8</f>
        <v>80.72</v>
      </c>
      <c r="P31" s="10">
        <f t="shared" ref="P31:Q31" si="12">$E$8</f>
        <v>80.72</v>
      </c>
      <c r="Q31" s="10">
        <f t="shared" si="12"/>
        <v>80.72</v>
      </c>
    </row>
    <row r="32" spans="2:17" ht="15" thickBot="1" x14ac:dyDescent="0.4">
      <c r="B32" s="27" t="s">
        <v>46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>
        <f>O30/O31</f>
        <v>944.5284850559691</v>
      </c>
      <c r="P32" s="28">
        <f t="shared" ref="P32:Q32" si="13">P30/P31</f>
        <v>1171.7554869715095</v>
      </c>
      <c r="Q32" s="28">
        <f t="shared" si="13"/>
        <v>1302.9768955476354</v>
      </c>
    </row>
    <row r="34" spans="15:17" x14ac:dyDescent="0.35">
      <c r="O34" t="str">
        <f>IF(O32&gt;$D$8,"Undervalue","Overvalue")</f>
        <v>Undervalue</v>
      </c>
      <c r="P34" t="str">
        <f t="shared" ref="P34:Q34" si="14">IF(P32&gt;$D$8,"Undervalue","Overvalue")</f>
        <v>Undervalue</v>
      </c>
      <c r="Q34" t="str">
        <f t="shared" si="14"/>
        <v>Undervalue</v>
      </c>
    </row>
  </sheetData>
  <mergeCells count="3">
    <mergeCell ref="D5:H5"/>
    <mergeCell ref="K5:M5"/>
    <mergeCell ref="O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A01D-CA6E-40AB-874D-FB8B699173F3}">
  <dimension ref="B1:M12"/>
  <sheetViews>
    <sheetView tabSelected="1" workbookViewId="0">
      <selection activeCell="I2" sqref="I2"/>
    </sheetView>
  </sheetViews>
  <sheetFormatPr defaultRowHeight="14.5" x14ac:dyDescent="0.35"/>
  <cols>
    <col min="2" max="2" width="5.08984375" customWidth="1"/>
    <col min="3" max="3" width="16.54296875" customWidth="1"/>
    <col min="4" max="4" width="11.36328125" customWidth="1"/>
    <col min="5" max="5" width="12.54296875" customWidth="1"/>
    <col min="6" max="6" width="11.1796875" customWidth="1"/>
    <col min="7" max="7" width="11.36328125" customWidth="1"/>
    <col min="8" max="8" width="11.453125" customWidth="1"/>
    <col min="11" max="11" width="11.453125" customWidth="1"/>
    <col min="13" max="13" width="11.1796875" customWidth="1"/>
  </cols>
  <sheetData>
    <row r="1" spans="2:13" ht="15" thickBot="1" x14ac:dyDescent="0.4"/>
    <row r="2" spans="2:13" ht="29.5" thickBot="1" x14ac:dyDescent="0.4"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6</v>
      </c>
      <c r="J2" s="4" t="s">
        <v>19</v>
      </c>
      <c r="K2" s="4" t="s">
        <v>20</v>
      </c>
      <c r="L2" s="4" t="s">
        <v>8</v>
      </c>
      <c r="M2" s="4" t="s">
        <v>21</v>
      </c>
    </row>
    <row r="3" spans="2:13" ht="15" thickBot="1" x14ac:dyDescent="0.4">
      <c r="B3" s="4">
        <v>1</v>
      </c>
      <c r="C3" s="4" t="s">
        <v>22</v>
      </c>
      <c r="D3" s="4">
        <v>1012.1</v>
      </c>
      <c r="E3" s="4">
        <v>239.93</v>
      </c>
      <c r="F3" s="4">
        <v>242833.15</v>
      </c>
      <c r="G3" s="4">
        <v>4365.53</v>
      </c>
      <c r="H3" s="4">
        <v>5033.3500000000004</v>
      </c>
      <c r="I3" s="4">
        <v>-667.82</v>
      </c>
      <c r="J3" s="4">
        <v>242165.33</v>
      </c>
      <c r="K3" s="4">
        <v>42401.77</v>
      </c>
      <c r="L3" s="4">
        <v>9328.39</v>
      </c>
      <c r="M3" s="4">
        <v>4302.66</v>
      </c>
    </row>
    <row r="4" spans="2:13" ht="15" thickBot="1" x14ac:dyDescent="0.4">
      <c r="B4" s="4">
        <v>2</v>
      </c>
      <c r="C4" s="4" t="s">
        <v>23</v>
      </c>
      <c r="D4" s="4">
        <v>4699.3999999999996</v>
      </c>
      <c r="E4" s="4">
        <v>16.649999999999999</v>
      </c>
      <c r="F4" s="4">
        <v>78245.009999999995</v>
      </c>
      <c r="G4" s="4">
        <v>1728.9</v>
      </c>
      <c r="H4" s="4">
        <v>2419.1999999999998</v>
      </c>
      <c r="I4" s="4">
        <v>-690.3</v>
      </c>
      <c r="J4" s="4">
        <v>77554.710000000006</v>
      </c>
      <c r="K4" s="4">
        <v>23829.5</v>
      </c>
      <c r="L4" s="4">
        <v>5004.2</v>
      </c>
      <c r="M4" s="4">
        <v>3644.1</v>
      </c>
    </row>
    <row r="5" spans="2:13" ht="15" thickBot="1" x14ac:dyDescent="0.4">
      <c r="B5" s="4">
        <v>3</v>
      </c>
      <c r="C5" s="4" t="s">
        <v>24</v>
      </c>
      <c r="D5" s="4">
        <v>893.35</v>
      </c>
      <c r="E5" s="4">
        <v>80.72</v>
      </c>
      <c r="F5" s="4">
        <v>72111.210000000006</v>
      </c>
      <c r="G5" s="4">
        <v>1067.6600000000001</v>
      </c>
      <c r="H5" s="4">
        <v>1928.48</v>
      </c>
      <c r="I5" s="4">
        <v>-860.82</v>
      </c>
      <c r="J5" s="4">
        <v>71250.39</v>
      </c>
      <c r="K5" s="4">
        <v>22274.15</v>
      </c>
      <c r="L5" s="4">
        <v>3786.61</v>
      </c>
      <c r="M5" s="4">
        <v>2682.08</v>
      </c>
    </row>
    <row r="6" spans="2:13" ht="15" thickBot="1" x14ac:dyDescent="0.4">
      <c r="B6" s="4">
        <v>4</v>
      </c>
      <c r="C6" s="4" t="s">
        <v>25</v>
      </c>
      <c r="D6" s="4">
        <v>1574.75</v>
      </c>
      <c r="E6" s="4">
        <v>33.840000000000003</v>
      </c>
      <c r="F6" s="4">
        <v>53289.54</v>
      </c>
      <c r="G6" s="4">
        <v>4083</v>
      </c>
      <c r="H6" s="4">
        <v>403.41</v>
      </c>
      <c r="I6" s="4">
        <v>3679.59</v>
      </c>
      <c r="J6" s="4">
        <v>56969.13</v>
      </c>
      <c r="K6" s="4">
        <v>9260</v>
      </c>
      <c r="L6" s="4">
        <v>2129.8000000000002</v>
      </c>
      <c r="M6" s="4">
        <v>831</v>
      </c>
    </row>
    <row r="7" spans="2:13" ht="15" thickBot="1" x14ac:dyDescent="0.4">
      <c r="B7" s="4">
        <v>5</v>
      </c>
      <c r="C7" s="4" t="s">
        <v>26</v>
      </c>
      <c r="D7" s="4">
        <v>494.15</v>
      </c>
      <c r="E7" s="4">
        <v>101.22</v>
      </c>
      <c r="F7" s="4">
        <v>50017.86</v>
      </c>
      <c r="G7" s="4">
        <v>2446</v>
      </c>
      <c r="H7" s="4">
        <v>1106.9000000000001</v>
      </c>
      <c r="I7" s="4">
        <v>1339.1</v>
      </c>
      <c r="J7" s="4">
        <v>51356.959999999999</v>
      </c>
      <c r="K7" s="4">
        <v>16433.5</v>
      </c>
      <c r="L7" s="4">
        <v>2793.7</v>
      </c>
      <c r="M7" s="4">
        <v>2187</v>
      </c>
    </row>
    <row r="8" spans="2:13" ht="15" thickBot="1" x14ac:dyDescent="0.4">
      <c r="B8" s="4">
        <v>6</v>
      </c>
      <c r="C8" s="4" t="s">
        <v>27</v>
      </c>
      <c r="D8" s="4">
        <v>3405.65</v>
      </c>
      <c r="E8" s="4">
        <v>11.96</v>
      </c>
      <c r="F8" s="4">
        <v>40731.57</v>
      </c>
      <c r="G8" s="4">
        <v>1854.59</v>
      </c>
      <c r="H8" s="4">
        <v>2578.58</v>
      </c>
      <c r="I8" s="4">
        <v>-723.99</v>
      </c>
      <c r="J8" s="4">
        <v>40007.58</v>
      </c>
      <c r="K8" s="4">
        <v>11180.52</v>
      </c>
      <c r="L8" s="4">
        <v>1453.47</v>
      </c>
      <c r="M8" s="4">
        <v>1047.3399999999999</v>
      </c>
    </row>
    <row r="9" spans="2:13" ht="15.5" customHeight="1" thickBot="1" x14ac:dyDescent="0.4">
      <c r="B9" s="4">
        <v>7</v>
      </c>
      <c r="C9" s="4" t="s">
        <v>28</v>
      </c>
      <c r="D9" s="4">
        <v>535.1</v>
      </c>
      <c r="E9" s="4">
        <v>58.59</v>
      </c>
      <c r="F9" s="4">
        <v>31351.51</v>
      </c>
      <c r="G9" s="4">
        <v>4501.21</v>
      </c>
      <c r="H9" s="4">
        <v>4190.01</v>
      </c>
      <c r="I9" s="4">
        <v>311.2</v>
      </c>
      <c r="J9" s="4">
        <v>31662.71</v>
      </c>
      <c r="K9" s="4">
        <v>24191.79</v>
      </c>
      <c r="L9" s="4">
        <v>2661.1</v>
      </c>
      <c r="M9" s="4">
        <v>1997.9</v>
      </c>
    </row>
    <row r="10" spans="2:13" ht="15" thickBot="1" x14ac:dyDescent="0.4">
      <c r="B10" s="4">
        <v>8</v>
      </c>
      <c r="C10" s="4" t="s">
        <v>29</v>
      </c>
      <c r="D10" s="4">
        <v>215.8</v>
      </c>
      <c r="E10" s="4">
        <v>120.06</v>
      </c>
      <c r="F10" s="4">
        <v>25908.95</v>
      </c>
      <c r="G10" s="4">
        <v>5859.4</v>
      </c>
      <c r="H10" s="4">
        <v>1747.5</v>
      </c>
      <c r="I10" s="4">
        <v>4111.8999999999996</v>
      </c>
      <c r="J10" s="4">
        <v>30020.85</v>
      </c>
      <c r="K10" s="4">
        <v>9809.1</v>
      </c>
      <c r="L10" s="4">
        <v>1275.18</v>
      </c>
      <c r="M10" s="4">
        <v>512.4</v>
      </c>
    </row>
    <row r="11" spans="2:13" ht="15" thickBot="1" x14ac:dyDescent="0.4">
      <c r="B11" s="4">
        <v>9</v>
      </c>
      <c r="C11" s="4" t="s">
        <v>30</v>
      </c>
      <c r="D11" s="4">
        <v>604.65</v>
      </c>
      <c r="E11" s="4">
        <v>40.14</v>
      </c>
      <c r="F11" s="4">
        <v>24270.65</v>
      </c>
      <c r="G11" s="4">
        <v>1009</v>
      </c>
      <c r="H11" s="4">
        <v>515.1</v>
      </c>
      <c r="I11" s="4">
        <v>493.9</v>
      </c>
      <c r="J11" s="4">
        <v>24764.55</v>
      </c>
      <c r="K11" s="4">
        <v>2957.9</v>
      </c>
      <c r="L11" s="4">
        <v>591.58000000000004</v>
      </c>
      <c r="M11" s="4">
        <v>431.2</v>
      </c>
    </row>
    <row r="12" spans="2:13" ht="15" thickBot="1" x14ac:dyDescent="0.4">
      <c r="B12" s="4">
        <v>10</v>
      </c>
      <c r="C12" s="4" t="s">
        <v>31</v>
      </c>
      <c r="D12" s="4">
        <v>830.4</v>
      </c>
      <c r="E12" s="4">
        <v>25.37</v>
      </c>
      <c r="F12" s="4">
        <v>21067.25</v>
      </c>
      <c r="G12" s="4">
        <v>733.7</v>
      </c>
      <c r="H12" s="4">
        <v>640.66</v>
      </c>
      <c r="I12" s="4">
        <v>93.04</v>
      </c>
      <c r="J12" s="4">
        <v>21160.29</v>
      </c>
      <c r="K12" s="4">
        <v>6021.79</v>
      </c>
      <c r="L12" s="4">
        <v>782.83</v>
      </c>
      <c r="M12" s="4">
        <v>532.83000000000004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2026-04-08T10:24:08Z</dcterms:created>
  <dcterms:modified xsi:type="dcterms:W3CDTF">2026-05-02T15:26:44Z</dcterms:modified>
</cp:coreProperties>
</file>
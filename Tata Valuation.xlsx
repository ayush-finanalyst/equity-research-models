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78ea0d7aa55a3b/Desktop/"/>
    </mc:Choice>
  </mc:AlternateContent>
  <xr:revisionPtr revIDLastSave="6" documentId="8_{6E8BDA43-BF1F-4865-A189-990430B37CFA}" xr6:coauthVersionLast="47" xr6:coauthVersionMax="47" xr10:uidLastSave="{5D84F739-114C-40E5-842F-27794646163F}"/>
  <bookViews>
    <workbookView xWindow="-110" yWindow="-110" windowWidth="19420" windowHeight="10300" firstSheet="4" activeTab="6" xr2:uid="{6F0D9DD8-A738-456C-8AD8-C882BE60C156}"/>
  </bookViews>
  <sheets>
    <sheet name="Sheet1" sheetId="1" r:id="rId1"/>
    <sheet name="WACC" sheetId="2" r:id="rId2"/>
    <sheet name="WACC 2" sheetId="3" r:id="rId3"/>
    <sheet name="coupon rate" sheetId="4" r:id="rId4"/>
    <sheet name="Goal Seek" sheetId="5" r:id="rId5"/>
    <sheet name="Scenario Summary" sheetId="8" r:id="rId6"/>
    <sheet name="Scenerio Analysis 1" sheetId="7" r:id="rId7"/>
  </sheets>
  <definedNames>
    <definedName name="Beta">WACC!$C$5</definedName>
    <definedName name="Cost_of_Debt">'WACC 2'!$C$9</definedName>
    <definedName name="Cost_of_Equity">'WACC 2'!$C$7</definedName>
    <definedName name="CostofDebt">WACC!$C$6</definedName>
    <definedName name="Debt_Funding">'WACC 2'!$C$16</definedName>
    <definedName name="Debt_Value">'WACC 2'!$C$14</definedName>
    <definedName name="DebtValue">WACC!$C$9</definedName>
    <definedName name="Equity_Funding">'WACC 2'!$C$15</definedName>
    <definedName name="Equity_Value">'WACC 2'!$C$13</definedName>
    <definedName name="EquityValue">WACC!$C$8</definedName>
    <definedName name="Market_Returns">'WACC 2'!$C$4</definedName>
    <definedName name="MarketReturns">WACC!$C$4</definedName>
    <definedName name="Post_Tax_Cost_of_Debt">'WACC 2'!$C$11</definedName>
    <definedName name="Risk_Free_Rate">'WACC 2'!$C$3</definedName>
    <definedName name="RiskfreeRate">WACC!$C$3</definedName>
    <definedName name="Tax_Rate">'WACC 2'!$C$10</definedName>
    <definedName name="TaxRate">WACC!$C$7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7" l="1"/>
  <c r="C21" i="7" s="1"/>
  <c r="C22" i="7" s="1"/>
  <c r="C23" i="7" s="1"/>
  <c r="C24" i="7" s="1"/>
  <c r="C25" i="7" s="1"/>
  <c r="C8" i="7"/>
  <c r="B16" i="5"/>
  <c r="B17" i="5" s="1"/>
  <c r="B18" i="5" s="1"/>
  <c r="B19" i="5" s="1"/>
  <c r="B20" i="5" s="1"/>
  <c r="B21" i="5" s="1"/>
  <c r="C6" i="5"/>
  <c r="C7" i="5" s="1"/>
  <c r="C5" i="4"/>
  <c r="C18" i="3"/>
  <c r="C11" i="3" a="1"/>
  <c r="C11" i="3" s="1"/>
  <c r="C16" i="3"/>
  <c r="C15" i="3"/>
  <c r="C7" i="3"/>
  <c r="C5" i="3"/>
  <c r="C12" i="2"/>
  <c r="C9" i="7" l="1"/>
  <c r="C8" i="5"/>
  <c r="C12" i="5" s="1"/>
  <c r="K86" i="1"/>
  <c r="J86" i="1"/>
  <c r="I86" i="1"/>
  <c r="H86" i="1"/>
  <c r="G86" i="1"/>
  <c r="F86" i="1"/>
  <c r="E86" i="1"/>
  <c r="K84" i="1"/>
  <c r="J84" i="1"/>
  <c r="I84" i="1"/>
  <c r="H84" i="1"/>
  <c r="G84" i="1"/>
  <c r="F84" i="1"/>
  <c r="E84" i="1"/>
  <c r="K83" i="1"/>
  <c r="J83" i="1"/>
  <c r="I83" i="1"/>
  <c r="H83" i="1"/>
  <c r="G83" i="1"/>
  <c r="F83" i="1"/>
  <c r="E83" i="1"/>
  <c r="C83" i="1"/>
  <c r="B83" i="1"/>
  <c r="K82" i="1"/>
  <c r="J82" i="1"/>
  <c r="I82" i="1"/>
  <c r="H82" i="1"/>
  <c r="G82" i="1"/>
  <c r="F82" i="1"/>
  <c r="E82" i="1"/>
  <c r="B82" i="1"/>
  <c r="I60" i="1"/>
  <c r="H60" i="1"/>
  <c r="G60" i="1"/>
  <c r="F60" i="1"/>
  <c r="E60" i="1"/>
  <c r="D60" i="1"/>
  <c r="K77" i="1"/>
  <c r="J77" i="1"/>
  <c r="I77" i="1"/>
  <c r="H77" i="1"/>
  <c r="G77" i="1"/>
  <c r="F77" i="1"/>
  <c r="K76" i="1"/>
  <c r="J76" i="1"/>
  <c r="I76" i="1"/>
  <c r="H76" i="1"/>
  <c r="G76" i="1"/>
  <c r="F76" i="1"/>
  <c r="E77" i="1"/>
  <c r="E76" i="1"/>
  <c r="K75" i="1"/>
  <c r="J75" i="1"/>
  <c r="I75" i="1"/>
  <c r="H75" i="1"/>
  <c r="G75" i="1"/>
  <c r="F75" i="1"/>
  <c r="E75" i="1"/>
  <c r="K74" i="1"/>
  <c r="J74" i="1"/>
  <c r="I74" i="1"/>
  <c r="H74" i="1"/>
  <c r="G74" i="1"/>
  <c r="F74" i="1"/>
  <c r="E74" i="1"/>
  <c r="K72" i="1"/>
  <c r="J72" i="1"/>
  <c r="I72" i="1"/>
  <c r="H72" i="1"/>
  <c r="G72" i="1"/>
  <c r="F72" i="1"/>
  <c r="E72" i="1"/>
  <c r="K71" i="1"/>
  <c r="J71" i="1"/>
  <c r="I71" i="1"/>
  <c r="H71" i="1"/>
  <c r="G71" i="1"/>
  <c r="F71" i="1"/>
  <c r="E71" i="1"/>
  <c r="K70" i="1"/>
  <c r="J70" i="1"/>
  <c r="I70" i="1"/>
  <c r="H70" i="1"/>
  <c r="G70" i="1"/>
  <c r="F70" i="1"/>
  <c r="E70" i="1"/>
  <c r="D68" i="1"/>
  <c r="K68" i="1"/>
  <c r="J68" i="1"/>
  <c r="I68" i="1"/>
  <c r="H68" i="1"/>
  <c r="G68" i="1"/>
  <c r="F68" i="1"/>
  <c r="E68" i="1"/>
  <c r="K67" i="1"/>
  <c r="J67" i="1"/>
  <c r="I67" i="1"/>
  <c r="H67" i="1"/>
  <c r="G67" i="1"/>
  <c r="F67" i="1"/>
  <c r="E67" i="1"/>
  <c r="F66" i="1"/>
  <c r="G66" i="1"/>
  <c r="H66" i="1"/>
  <c r="I66" i="1"/>
  <c r="J66" i="1"/>
  <c r="K66" i="1"/>
  <c r="E66" i="1"/>
  <c r="K65" i="1"/>
  <c r="J65" i="1"/>
  <c r="I65" i="1"/>
  <c r="H65" i="1"/>
  <c r="G65" i="1"/>
  <c r="F65" i="1"/>
  <c r="E65" i="1"/>
  <c r="K64" i="1"/>
  <c r="J64" i="1"/>
  <c r="I64" i="1"/>
  <c r="H64" i="1"/>
  <c r="G64" i="1"/>
  <c r="F64" i="1"/>
  <c r="E64" i="1"/>
  <c r="K63" i="1"/>
  <c r="J63" i="1"/>
  <c r="I63" i="1"/>
  <c r="H63" i="1"/>
  <c r="G63" i="1"/>
  <c r="F63" i="1"/>
  <c r="E63" i="1"/>
  <c r="I59" i="1"/>
  <c r="H59" i="1"/>
  <c r="G59" i="1"/>
  <c r="F59" i="1"/>
  <c r="E59" i="1"/>
  <c r="D59" i="1"/>
  <c r="I58" i="1"/>
  <c r="H58" i="1"/>
  <c r="G58" i="1"/>
  <c r="F58" i="1"/>
  <c r="E58" i="1"/>
  <c r="D58" i="1"/>
  <c r="E55" i="1"/>
  <c r="E56" i="1"/>
  <c r="D56" i="1"/>
  <c r="D55" i="1"/>
  <c r="C54" i="1"/>
  <c r="B29" i="1"/>
  <c r="B41" i="1"/>
  <c r="B21" i="1"/>
  <c r="B7" i="1"/>
  <c r="F51" i="1"/>
  <c r="E51" i="1"/>
  <c r="F49" i="1"/>
  <c r="E49" i="1"/>
  <c r="F48" i="1"/>
  <c r="E48" i="1"/>
  <c r="F46" i="1"/>
  <c r="E46" i="1"/>
  <c r="F44" i="1"/>
  <c r="E44" i="1"/>
  <c r="F43" i="1"/>
  <c r="E43" i="1"/>
  <c r="F30" i="1"/>
  <c r="E30" i="1"/>
  <c r="F38" i="1"/>
  <c r="E38" i="1"/>
  <c r="F36" i="1"/>
  <c r="E36" i="1"/>
  <c r="F35" i="1"/>
  <c r="E35" i="1"/>
  <c r="F33" i="1"/>
  <c r="E33" i="1"/>
  <c r="F31" i="1"/>
  <c r="E31" i="1"/>
  <c r="G14" i="1"/>
  <c r="G49" i="1" s="1"/>
  <c r="G11" i="1"/>
  <c r="G46" i="1" s="1"/>
  <c r="G8" i="1"/>
  <c r="G13" i="1" s="1"/>
  <c r="G35" i="1" s="1"/>
  <c r="H24" i="1"/>
  <c r="H11" i="1" s="1"/>
  <c r="H46" i="1" s="1"/>
  <c r="H27" i="1"/>
  <c r="I27" i="1" s="1"/>
  <c r="J27" i="1" s="1"/>
  <c r="K27" i="1" s="1"/>
  <c r="H26" i="1"/>
  <c r="I26" i="1" s="1"/>
  <c r="J26" i="1" s="1"/>
  <c r="K26" i="1" s="1"/>
  <c r="K14" i="1" s="1"/>
  <c r="H25" i="1"/>
  <c r="I25" i="1" s="1"/>
  <c r="J25" i="1" s="1"/>
  <c r="K25" i="1" s="1"/>
  <c r="H23" i="1"/>
  <c r="I23" i="1" s="1"/>
  <c r="J23" i="1" s="1"/>
  <c r="K23" i="1" s="1"/>
  <c r="H22" i="1"/>
  <c r="I22" i="1" s="1"/>
  <c r="J22" i="1" s="1"/>
  <c r="K22" i="1" s="1"/>
  <c r="F26" i="1"/>
  <c r="E26" i="1"/>
  <c r="F25" i="1"/>
  <c r="E25" i="1"/>
  <c r="F24" i="1"/>
  <c r="E24" i="1"/>
  <c r="F23" i="1"/>
  <c r="E23" i="1"/>
  <c r="F22" i="1"/>
  <c r="F10" i="1"/>
  <c r="F32" i="1" s="1"/>
  <c r="E10" i="1"/>
  <c r="E12" i="1" s="1"/>
  <c r="E15" i="1" s="1"/>
  <c r="E17" i="1" s="1"/>
  <c r="E52" i="1" s="1"/>
  <c r="F5" i="1"/>
  <c r="G5" i="1" s="1"/>
  <c r="H5" i="1" s="1"/>
  <c r="I5" i="1" s="1"/>
  <c r="J5" i="1" s="1"/>
  <c r="K5" i="1" s="1"/>
  <c r="C10" i="7" l="1"/>
  <c r="C16" i="7" s="1"/>
  <c r="F56" i="1"/>
  <c r="F55" i="1"/>
  <c r="G56" i="1"/>
  <c r="H56" i="1"/>
  <c r="I55" i="1"/>
  <c r="H55" i="1"/>
  <c r="G55" i="1"/>
  <c r="I56" i="1"/>
  <c r="F12" i="1"/>
  <c r="F15" i="1" s="1"/>
  <c r="F17" i="1" s="1"/>
  <c r="F52" i="1" s="1"/>
  <c r="E34" i="1"/>
  <c r="G36" i="1"/>
  <c r="F34" i="1"/>
  <c r="F47" i="1"/>
  <c r="E39" i="1"/>
  <c r="F39" i="1"/>
  <c r="E45" i="1"/>
  <c r="E32" i="1"/>
  <c r="F45" i="1"/>
  <c r="E37" i="1"/>
  <c r="G30" i="1"/>
  <c r="E50" i="1"/>
  <c r="F37" i="1"/>
  <c r="E47" i="1"/>
  <c r="F50" i="1"/>
  <c r="G33" i="1"/>
  <c r="G43" i="1"/>
  <c r="G48" i="1"/>
  <c r="K49" i="1"/>
  <c r="I14" i="1"/>
  <c r="I24" i="1"/>
  <c r="H14" i="1"/>
  <c r="J14" i="1"/>
  <c r="H8" i="1"/>
  <c r="G9" i="1"/>
  <c r="H36" i="1" l="1"/>
  <c r="H49" i="1"/>
  <c r="G10" i="1"/>
  <c r="G44" i="1"/>
  <c r="G31" i="1"/>
  <c r="H30" i="1"/>
  <c r="H33" i="1"/>
  <c r="H43" i="1"/>
  <c r="I49" i="1"/>
  <c r="J49" i="1"/>
  <c r="J24" i="1"/>
  <c r="I11" i="1"/>
  <c r="I8" i="1"/>
  <c r="H13" i="1"/>
  <c r="H9" i="1"/>
  <c r="I46" i="1" l="1"/>
  <c r="I33" i="1"/>
  <c r="I43" i="1"/>
  <c r="I30" i="1"/>
  <c r="G12" i="1"/>
  <c r="G45" i="1"/>
  <c r="G32" i="1"/>
  <c r="H10" i="1"/>
  <c r="H31" i="1"/>
  <c r="H44" i="1"/>
  <c r="H35" i="1"/>
  <c r="H48" i="1"/>
  <c r="I36" i="1"/>
  <c r="K24" i="1"/>
  <c r="K11" i="1" s="1"/>
  <c r="J11" i="1"/>
  <c r="J8" i="1"/>
  <c r="I13" i="1"/>
  <c r="I9" i="1"/>
  <c r="H12" i="1" l="1"/>
  <c r="H45" i="1"/>
  <c r="H32" i="1"/>
  <c r="J33" i="1"/>
  <c r="J46" i="1"/>
  <c r="K46" i="1"/>
  <c r="K33" i="1"/>
  <c r="G15" i="1"/>
  <c r="G34" i="1"/>
  <c r="G47" i="1"/>
  <c r="I10" i="1"/>
  <c r="I44" i="1"/>
  <c r="I31" i="1"/>
  <c r="I48" i="1"/>
  <c r="I35" i="1"/>
  <c r="J30" i="1"/>
  <c r="J43" i="1"/>
  <c r="J36" i="1"/>
  <c r="K8" i="1"/>
  <c r="J13" i="1"/>
  <c r="J9" i="1"/>
  <c r="J10" i="1"/>
  <c r="G50" i="1" l="1"/>
  <c r="G37" i="1"/>
  <c r="G16" i="1"/>
  <c r="J12" i="1"/>
  <c r="J45" i="1"/>
  <c r="J32" i="1"/>
  <c r="J44" i="1"/>
  <c r="J31" i="1"/>
  <c r="J48" i="1"/>
  <c r="J35" i="1"/>
  <c r="K30" i="1"/>
  <c r="K43" i="1"/>
  <c r="K36" i="1"/>
  <c r="I12" i="1"/>
  <c r="I32" i="1"/>
  <c r="I45" i="1"/>
  <c r="H15" i="1"/>
  <c r="H47" i="1"/>
  <c r="H34" i="1"/>
  <c r="K13" i="1"/>
  <c r="K9" i="1"/>
  <c r="K10" i="1" l="1"/>
  <c r="K31" i="1"/>
  <c r="K44" i="1"/>
  <c r="J15" i="1"/>
  <c r="J47" i="1"/>
  <c r="J34" i="1"/>
  <c r="G17" i="1"/>
  <c r="G38" i="1"/>
  <c r="G51" i="1"/>
  <c r="I15" i="1"/>
  <c r="I47" i="1"/>
  <c r="I34" i="1"/>
  <c r="K48" i="1"/>
  <c r="K35" i="1"/>
  <c r="H37" i="1"/>
  <c r="H50" i="1"/>
  <c r="H16" i="1"/>
  <c r="I16" i="1" l="1"/>
  <c r="I37" i="1"/>
  <c r="I50" i="1"/>
  <c r="G52" i="1"/>
  <c r="G39" i="1"/>
  <c r="J37" i="1"/>
  <c r="J50" i="1"/>
  <c r="J16" i="1"/>
  <c r="H17" i="1"/>
  <c r="H51" i="1"/>
  <c r="H38" i="1"/>
  <c r="K12" i="1"/>
  <c r="K32" i="1"/>
  <c r="K45" i="1"/>
  <c r="J17" i="1" l="1"/>
  <c r="J38" i="1"/>
  <c r="J51" i="1"/>
  <c r="K15" i="1"/>
  <c r="K34" i="1"/>
  <c r="K47" i="1"/>
  <c r="H39" i="1"/>
  <c r="H52" i="1"/>
  <c r="I17" i="1"/>
  <c r="I51" i="1"/>
  <c r="I38" i="1"/>
  <c r="K50" i="1" l="1"/>
  <c r="K37" i="1"/>
  <c r="K16" i="1"/>
  <c r="I39" i="1"/>
  <c r="I52" i="1"/>
  <c r="J39" i="1"/>
  <c r="J52" i="1"/>
  <c r="K17" i="1" l="1"/>
  <c r="K38" i="1"/>
  <c r="K51" i="1"/>
  <c r="K39" i="1" l="1"/>
  <c r="K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<sst xmlns="http://schemas.openxmlformats.org/spreadsheetml/2006/main" count="132" uniqueCount="85">
  <si>
    <t>INR(Crores)</t>
  </si>
  <si>
    <t>Revenue</t>
  </si>
  <si>
    <t>COGS</t>
  </si>
  <si>
    <t>Gross Profit</t>
  </si>
  <si>
    <t>Selling and Adm Expenses</t>
  </si>
  <si>
    <t>EBITDA</t>
  </si>
  <si>
    <t>Depreciation</t>
  </si>
  <si>
    <t>Interest</t>
  </si>
  <si>
    <t>EBT</t>
  </si>
  <si>
    <t>Taxes</t>
  </si>
  <si>
    <t>Net Income</t>
  </si>
  <si>
    <t>Revenue Growth</t>
  </si>
  <si>
    <t>COGS % of Revenue</t>
  </si>
  <si>
    <t>S&amp;G Expenses</t>
  </si>
  <si>
    <t>Depreciation % Sales</t>
  </si>
  <si>
    <t>NA</t>
  </si>
  <si>
    <t xml:space="preserve"> </t>
  </si>
  <si>
    <t>Tata Steels</t>
  </si>
  <si>
    <t>Time Periods</t>
  </si>
  <si>
    <t>Monthly Data</t>
  </si>
  <si>
    <t>Annual Data</t>
  </si>
  <si>
    <t>Monthly Period</t>
  </si>
  <si>
    <t>Annual Period</t>
  </si>
  <si>
    <t>#</t>
  </si>
  <si>
    <t>Costing Analysis</t>
  </si>
  <si>
    <t>S&amp;G Exp</t>
  </si>
  <si>
    <t>Total</t>
  </si>
  <si>
    <t>Average</t>
  </si>
  <si>
    <t>Weighted Average</t>
  </si>
  <si>
    <t>Median</t>
  </si>
  <si>
    <t>Min</t>
  </si>
  <si>
    <t>Max</t>
  </si>
  <si>
    <t>Small</t>
  </si>
  <si>
    <t>Large</t>
  </si>
  <si>
    <t>Stub or Full year</t>
  </si>
  <si>
    <t>Total Expenses</t>
  </si>
  <si>
    <t>Use if for error checking</t>
  </si>
  <si>
    <t>Market Returns</t>
  </si>
  <si>
    <t>Beta</t>
  </si>
  <si>
    <t>Cost of Debt</t>
  </si>
  <si>
    <t>Tax Rate</t>
  </si>
  <si>
    <t>Equity Value</t>
  </si>
  <si>
    <t>Debt Value</t>
  </si>
  <si>
    <t>Cost of Capital</t>
  </si>
  <si>
    <t>RiskfreeRate</t>
  </si>
  <si>
    <t>MarketReturns</t>
  </si>
  <si>
    <t>CostofDebt</t>
  </si>
  <si>
    <t>TaxRate</t>
  </si>
  <si>
    <t>EquityValue</t>
  </si>
  <si>
    <t>DebtValue</t>
  </si>
  <si>
    <t>Risk Free Rate</t>
  </si>
  <si>
    <t>ERP</t>
  </si>
  <si>
    <t>Cost of Equity</t>
  </si>
  <si>
    <t>Post Tax Cost of Debt</t>
  </si>
  <si>
    <t>Equity Funding</t>
  </si>
  <si>
    <t>Debt Funding</t>
  </si>
  <si>
    <t>D/E Ratio</t>
  </si>
  <si>
    <t>Coupon Rate</t>
  </si>
  <si>
    <t>Risk Rating</t>
  </si>
  <si>
    <t>Baa2</t>
  </si>
  <si>
    <t>Baa3</t>
  </si>
  <si>
    <t>Ba1</t>
  </si>
  <si>
    <t>Ba2</t>
  </si>
  <si>
    <t>Current Sales</t>
  </si>
  <si>
    <t>Sales Growth</t>
  </si>
  <si>
    <t>Gross Margin</t>
  </si>
  <si>
    <t>Next Year Sales</t>
  </si>
  <si>
    <t>Cost of Sales</t>
  </si>
  <si>
    <t>$C$4</t>
  </si>
  <si>
    <t>$C$5</t>
  </si>
  <si>
    <t>$C$6</t>
  </si>
  <si>
    <t>$C$8</t>
  </si>
  <si>
    <t>$C$9</t>
  </si>
  <si>
    <t>$C$10</t>
  </si>
  <si>
    <t>Base Case</t>
  </si>
  <si>
    <t>Created by Valuation School (Ayush) on 3/26/2026</t>
  </si>
  <si>
    <t>Worst Case</t>
  </si>
  <si>
    <t>Best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</si>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</sst>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A&quot;"/>
    <numFmt numFmtId="165" formatCode="0&quot;E&quot;"/>
    <numFmt numFmtId="166" formatCode="#,##0.0;\(#,##0.0\)"/>
    <numFmt numFmtId="167" formatCode="#,##0.00;\(#,##0.00\)"/>
    <numFmt numFmtId="168" formatCode="dd/mm/yy;@"/>
    <numFmt numFmtId="169" formatCode="0.0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sz val="11"/>
      <color theme="0"/>
      <name val="Calibri"/>
      <family val="2"/>
    </font>
    <font>
      <sz val="11"/>
      <color theme="2"/>
      <name val="Calibri"/>
      <family val="2"/>
    </font>
    <font>
      <sz val="11"/>
      <color theme="0" tint="-0.14999847407452621"/>
      <name val="Calibri"/>
      <family val="2"/>
    </font>
    <font>
      <b/>
      <sz val="12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18"/>
      <name val="Calibri"/>
      <family val="2"/>
    </font>
    <font>
      <sz val="10"/>
      <color indexed="9"/>
      <name val="Calibri"/>
      <family val="2"/>
    </font>
    <font>
      <sz val="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4" fontId="0" fillId="0" borderId="0" xfId="0" applyNumberFormat="1" applyAlignment="1">
      <alignment horizontal="right" wrapText="1"/>
    </xf>
    <xf numFmtId="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166" fontId="4" fillId="0" borderId="0" xfId="0" applyNumberFormat="1" applyFont="1" applyAlignment="1">
      <alignment wrapText="1"/>
    </xf>
    <xf numFmtId="4" fontId="4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0" fontId="0" fillId="0" borderId="0" xfId="1" applyNumberFormat="1" applyFont="1" applyAlignment="1"/>
    <xf numFmtId="166" fontId="0" fillId="0" borderId="0" xfId="0" applyNumberFormat="1"/>
    <xf numFmtId="0" fontId="0" fillId="0" borderId="0" xfId="0" applyAlignment="1">
      <alignment horizontal="right"/>
    </xf>
    <xf numFmtId="10" fontId="4" fillId="0" borderId="0" xfId="0" applyNumberFormat="1" applyFont="1"/>
    <xf numFmtId="167" fontId="4" fillId="0" borderId="0" xfId="0" applyNumberFormat="1" applyFont="1"/>
    <xf numFmtId="10" fontId="4" fillId="0" borderId="0" xfId="1" applyNumberFormat="1" applyFont="1"/>
    <xf numFmtId="0" fontId="3" fillId="3" borderId="0" xfId="0" applyFont="1" applyFill="1"/>
    <xf numFmtId="0" fontId="0" fillId="3" borderId="0" xfId="0" applyFill="1"/>
    <xf numFmtId="4" fontId="4" fillId="3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wrapText="1"/>
    </xf>
    <xf numFmtId="166" fontId="5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0" fontId="0" fillId="0" borderId="1" xfId="0" applyBorder="1"/>
    <xf numFmtId="0" fontId="3" fillId="0" borderId="2" xfId="0" applyFont="1" applyBorder="1"/>
    <xf numFmtId="166" fontId="3" fillId="0" borderId="2" xfId="0" applyNumberFormat="1" applyFont="1" applyBorder="1" applyAlignment="1">
      <alignment wrapText="1"/>
    </xf>
    <xf numFmtId="166" fontId="4" fillId="0" borderId="0" xfId="0" applyNumberFormat="1" applyFont="1"/>
    <xf numFmtId="10" fontId="0" fillId="0" borderId="0" xfId="1" applyNumberFormat="1" applyFont="1"/>
    <xf numFmtId="9" fontId="3" fillId="3" borderId="0" xfId="1" applyFont="1" applyFill="1"/>
    <xf numFmtId="9" fontId="0" fillId="0" borderId="0" xfId="0" applyNumberFormat="1"/>
    <xf numFmtId="166" fontId="0" fillId="0" borderId="0" xfId="0" applyNumberFormat="1" applyAlignment="1">
      <alignment wrapText="1"/>
    </xf>
    <xf numFmtId="166" fontId="0" fillId="0" borderId="1" xfId="0" applyNumberFormat="1" applyBorder="1" applyAlignment="1">
      <alignment wrapText="1"/>
    </xf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168" fontId="0" fillId="0" borderId="0" xfId="0" applyNumberFormat="1"/>
    <xf numFmtId="166" fontId="3" fillId="0" borderId="1" xfId="0" applyNumberFormat="1" applyFont="1" applyBorder="1"/>
    <xf numFmtId="169" fontId="0" fillId="0" borderId="0" xfId="0" applyNumberFormat="1"/>
    <xf numFmtId="9" fontId="0" fillId="0" borderId="0" xfId="0" applyNumberFormat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Border="1" applyAlignment="1">
      <alignment wrapText="1"/>
    </xf>
    <xf numFmtId="0" fontId="4" fillId="0" borderId="0" xfId="0" applyFont="1" applyBorder="1" applyAlignment="1">
      <alignment horizontal="right" wrapText="1"/>
    </xf>
    <xf numFmtId="9" fontId="4" fillId="0" borderId="0" xfId="0" applyNumberFormat="1" applyFont="1" applyBorder="1" applyAlignment="1">
      <alignment horizontal="right" wrapText="1"/>
    </xf>
    <xf numFmtId="9" fontId="4" fillId="0" borderId="0" xfId="0" applyNumberFormat="1" applyFont="1"/>
    <xf numFmtId="1" fontId="4" fillId="0" borderId="0" xfId="0" applyNumberFormat="1" applyFont="1"/>
    <xf numFmtId="10" fontId="0" fillId="0" borderId="0" xfId="1" applyNumberFormat="1" applyFont="1" applyBorder="1" applyAlignment="1">
      <alignment horizontal="right" wrapText="1"/>
    </xf>
    <xf numFmtId="10" fontId="0" fillId="0" borderId="0" xfId="1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0" fontId="0" fillId="0" borderId="0" xfId="0" applyNumberFormat="1" applyAlignment="1">
      <alignment horizontal="right" wrapText="1"/>
    </xf>
    <xf numFmtId="0" fontId="0" fillId="0" borderId="3" xfId="0" applyBorder="1" applyAlignment="1">
      <alignment wrapText="1"/>
    </xf>
    <xf numFmtId="10" fontId="4" fillId="0" borderId="0" xfId="0" applyNumberFormat="1" applyFont="1" applyAlignment="1">
      <alignment horizontal="right" wrapText="1"/>
    </xf>
    <xf numFmtId="4" fontId="0" fillId="0" borderId="3" xfId="0" applyNumberFormat="1" applyBorder="1" applyAlignment="1">
      <alignment horizontal="right" wrapText="1"/>
    </xf>
    <xf numFmtId="4" fontId="0" fillId="0" borderId="4" xfId="0" applyNumberFormat="1" applyBorder="1" applyAlignment="1">
      <alignment horizontal="right" wrapText="1"/>
    </xf>
    <xf numFmtId="0" fontId="6" fillId="4" borderId="0" xfId="0" applyFont="1" applyFill="1" applyAlignment="1">
      <alignment wrapText="1"/>
    </xf>
    <xf numFmtId="0" fontId="6" fillId="4" borderId="0" xfId="0" applyFont="1" applyFill="1"/>
    <xf numFmtId="10" fontId="0" fillId="0" borderId="6" xfId="0" applyNumberFormat="1" applyBorder="1"/>
    <xf numFmtId="0" fontId="0" fillId="0" borderId="7" xfId="0" applyBorder="1"/>
    <xf numFmtId="0" fontId="0" fillId="0" borderId="5" xfId="0" applyBorder="1"/>
    <xf numFmtId="4" fontId="0" fillId="0" borderId="0" xfId="0" applyNumberFormat="1" applyBorder="1" applyAlignment="1">
      <alignment horizontal="right" wrapText="1"/>
    </xf>
    <xf numFmtId="4" fontId="7" fillId="5" borderId="0" xfId="0" applyNumberFormat="1" applyFont="1" applyFill="1" applyBorder="1" applyAlignment="1">
      <alignment horizontal="right" wrapText="1"/>
    </xf>
    <xf numFmtId="10" fontId="4" fillId="0" borderId="0" xfId="0" applyNumberFormat="1" applyFont="1" applyBorder="1"/>
    <xf numFmtId="0" fontId="2" fillId="6" borderId="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0" borderId="6" xfId="0" applyBorder="1"/>
    <xf numFmtId="0" fontId="2" fillId="6" borderId="5" xfId="0" applyFont="1" applyFill="1" applyBorder="1"/>
    <xf numFmtId="0" fontId="0" fillId="0" borderId="8" xfId="0" applyBorder="1"/>
    <xf numFmtId="0" fontId="0" fillId="0" borderId="11" xfId="0" applyBorder="1"/>
    <xf numFmtId="4" fontId="8" fillId="0" borderId="0" xfId="0" applyNumberFormat="1" applyFont="1" applyBorder="1"/>
    <xf numFmtId="10" fontId="4" fillId="0" borderId="9" xfId="0" applyNumberFormat="1" applyFont="1" applyBorder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0" fontId="0" fillId="0" borderId="0" xfId="0" applyNumberFormat="1" applyFill="1" applyBorder="1" applyAlignment="1"/>
    <xf numFmtId="4" fontId="0" fillId="0" borderId="13" xfId="0" applyNumberFormat="1" applyFill="1" applyBorder="1" applyAlignment="1"/>
    <xf numFmtId="0" fontId="9" fillId="7" borderId="9" xfId="0" applyFont="1" applyFill="1" applyBorder="1" applyAlignment="1">
      <alignment horizontal="left"/>
    </xf>
    <xf numFmtId="0" fontId="9" fillId="7" borderId="12" xfId="0" applyFont="1" applyFill="1" applyBorder="1" applyAlignment="1">
      <alignment horizontal="left"/>
    </xf>
    <xf numFmtId="0" fontId="0" fillId="0" borderId="2" xfId="0" applyFill="1" applyBorder="1" applyAlignment="1"/>
    <xf numFmtId="0" fontId="10" fillId="8" borderId="0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0" fillId="8" borderId="13" xfId="0" applyFont="1" applyFill="1" applyBorder="1" applyAlignment="1">
      <alignment horizontal="left"/>
    </xf>
    <xf numFmtId="0" fontId="12" fillId="7" borderId="12" xfId="0" applyFont="1" applyFill="1" applyBorder="1" applyAlignment="1">
      <alignment horizontal="right"/>
    </xf>
    <xf numFmtId="0" fontId="12" fillId="7" borderId="9" xfId="0" applyFont="1" applyFill="1" applyBorder="1" applyAlignment="1">
      <alignment horizontal="right"/>
    </xf>
    <xf numFmtId="4" fontId="0" fillId="9" borderId="0" xfId="0" applyNumberFormat="1" applyFill="1" applyBorder="1" applyAlignment="1"/>
    <xf numFmtId="10" fontId="0" fillId="9" borderId="0" xfId="0" applyNumberFormat="1" applyFill="1" applyBorder="1" applyAlignment="1"/>
    <xf numFmtId="0" fontId="13" fillId="0" borderId="0" xfId="0" applyFont="1" applyFill="1" applyBorder="1" applyAlignment="1">
      <alignment vertical="top" wrapText="1"/>
    </xf>
    <xf numFmtId="4" fontId="4" fillId="0" borderId="0" xfId="0" applyNumberFormat="1" applyFont="1" applyAlignment="1" applyProtection="1">
      <alignment horizontal="right" wrapText="1"/>
      <protection locked="0"/>
    </xf>
    <xf numFmtId="10" fontId="4" fillId="0" borderId="0" xfId="0" applyNumberFormat="1" applyFont="1" applyAlignment="1" applyProtection="1">
      <alignment horizontal="right" wrapText="1"/>
      <protection locked="0"/>
    </xf>
  </cellXfs>
  <cellStyles count="2">
    <cellStyle name="Normal" xfId="0" builtinId="0"/>
    <cellStyle name="Percent" xfId="1" builtinId="5"/>
  </cellStyles>
  <dxfs count="2">
    <dxf>
      <fill>
        <patternFill>
          <bgColor theme="9" tint="0.39994506668294322"/>
        </patternFill>
      </fill>
    </dxf>
    <dxf>
      <font>
        <b val="0"/>
        <i/>
        <color theme="0" tint="-0.499984740745262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B635-D592-479A-9E22-99CF73FBC9B3}">
  <dimension ref="A4:N86"/>
  <sheetViews>
    <sheetView showGridLines="0" workbookViewId="0">
      <selection activeCell="H84" sqref="H84"/>
    </sheetView>
  </sheetViews>
  <sheetFormatPr defaultRowHeight="14.5" outlineLevelRow="1" x14ac:dyDescent="0.35"/>
  <cols>
    <col min="1" max="1" width="1.81640625" customWidth="1"/>
    <col min="2" max="2" width="23.26953125" customWidth="1"/>
    <col min="3" max="3" width="12.6328125" customWidth="1"/>
    <col min="4" max="4" width="10.453125" bestFit="1" customWidth="1"/>
    <col min="5" max="11" width="10.6328125" customWidth="1"/>
  </cols>
  <sheetData>
    <row r="4" spans="1:12" x14ac:dyDescent="0.35">
      <c r="B4" t="s">
        <v>17</v>
      </c>
    </row>
    <row r="5" spans="1:12" x14ac:dyDescent="0.35">
      <c r="B5" s="2" t="s">
        <v>0</v>
      </c>
      <c r="C5" s="2"/>
      <c r="D5" s="2"/>
      <c r="E5" s="3">
        <v>2020</v>
      </c>
      <c r="F5" s="3">
        <f>E5+1</f>
        <v>2021</v>
      </c>
      <c r="G5" s="4">
        <f t="shared" ref="G5:K5" si="0">F5+1</f>
        <v>2022</v>
      </c>
      <c r="H5" s="4">
        <f t="shared" si="0"/>
        <v>2023</v>
      </c>
      <c r="I5" s="4">
        <f t="shared" si="0"/>
        <v>2024</v>
      </c>
      <c r="J5" s="4">
        <f t="shared" si="0"/>
        <v>2025</v>
      </c>
      <c r="K5" s="4">
        <f t="shared" si="0"/>
        <v>2026</v>
      </c>
    </row>
    <row r="6" spans="1:12" x14ac:dyDescent="0.35">
      <c r="B6" s="5"/>
      <c r="C6" s="5"/>
      <c r="D6" s="5"/>
      <c r="E6" s="6"/>
      <c r="F6" s="6"/>
      <c r="G6" s="7"/>
      <c r="H6" s="7"/>
      <c r="I6" s="7"/>
      <c r="J6" s="7"/>
      <c r="K6" s="7"/>
    </row>
    <row r="7" spans="1:12" x14ac:dyDescent="0.35">
      <c r="A7" t="s">
        <v>23</v>
      </c>
      <c r="B7" s="22" t="str">
        <f>"Income Statement"&amp;" - "&amp;B4</f>
        <v>Income Statement - Tata Steels</v>
      </c>
      <c r="C7" s="23"/>
      <c r="D7" s="23"/>
      <c r="E7" s="24"/>
      <c r="F7" s="24"/>
      <c r="G7" s="23"/>
      <c r="H7" s="23"/>
      <c r="I7" s="23"/>
      <c r="J7" s="23"/>
      <c r="K7" s="23"/>
    </row>
    <row r="8" spans="1:12" outlineLevel="1" x14ac:dyDescent="0.35">
      <c r="B8" s="1" t="s">
        <v>1</v>
      </c>
      <c r="C8" s="1"/>
      <c r="D8" s="1"/>
      <c r="E8" s="27">
        <v>20000</v>
      </c>
      <c r="F8" s="27">
        <v>22500</v>
      </c>
      <c r="G8" s="28">
        <f>F8*(1+G22)</f>
        <v>24750.000000000004</v>
      </c>
      <c r="H8" s="28">
        <f t="shared" ref="H8:K8" si="1">G8*(1+H22)</f>
        <v>27225.000000000007</v>
      </c>
      <c r="I8" s="28">
        <f t="shared" si="1"/>
        <v>29947.500000000011</v>
      </c>
      <c r="J8" s="28">
        <f t="shared" si="1"/>
        <v>32942.250000000015</v>
      </c>
      <c r="K8" s="28">
        <f t="shared" si="1"/>
        <v>36236.47500000002</v>
      </c>
    </row>
    <row r="9" spans="1:12" outlineLevel="1" x14ac:dyDescent="0.35">
      <c r="B9" t="s">
        <v>2</v>
      </c>
      <c r="E9" s="11">
        <v>8000</v>
      </c>
      <c r="F9" s="11">
        <v>9000</v>
      </c>
      <c r="G9" s="36">
        <f>G8*G23</f>
        <v>9900.0000000000018</v>
      </c>
      <c r="H9" s="36">
        <f t="shared" ref="H9:K9" si="2">H8*H23</f>
        <v>10890.000000000004</v>
      </c>
      <c r="I9" s="36">
        <f t="shared" si="2"/>
        <v>11979.000000000005</v>
      </c>
      <c r="J9" s="36">
        <f t="shared" si="2"/>
        <v>13176.900000000007</v>
      </c>
      <c r="K9" s="36">
        <f t="shared" si="2"/>
        <v>14494.590000000009</v>
      </c>
    </row>
    <row r="10" spans="1:12" outlineLevel="1" x14ac:dyDescent="0.35">
      <c r="B10" s="29" t="s">
        <v>3</v>
      </c>
      <c r="C10" s="29"/>
      <c r="D10" s="29"/>
      <c r="E10" s="37">
        <f>E8-E9</f>
        <v>12000</v>
      </c>
      <c r="F10" s="37">
        <f>F8-F9</f>
        <v>13500</v>
      </c>
      <c r="G10" s="37">
        <f t="shared" ref="G10:K10" si="3">G8-G9</f>
        <v>14850.000000000002</v>
      </c>
      <c r="H10" s="37">
        <f t="shared" si="3"/>
        <v>16335.000000000004</v>
      </c>
      <c r="I10" s="37">
        <f t="shared" si="3"/>
        <v>17968.500000000007</v>
      </c>
      <c r="J10" s="37">
        <f t="shared" si="3"/>
        <v>19765.350000000006</v>
      </c>
      <c r="K10" s="37">
        <f t="shared" si="3"/>
        <v>21741.885000000009</v>
      </c>
    </row>
    <row r="11" spans="1:12" outlineLevel="1" x14ac:dyDescent="0.35">
      <c r="B11" t="s">
        <v>4</v>
      </c>
      <c r="E11" s="11">
        <v>2000</v>
      </c>
      <c r="F11" s="11">
        <v>2250</v>
      </c>
      <c r="G11" s="36">
        <f>G24</f>
        <v>2500</v>
      </c>
      <c r="H11" s="36">
        <f t="shared" ref="H11:K11" si="4">H24</f>
        <v>2500</v>
      </c>
      <c r="I11" s="36">
        <f t="shared" si="4"/>
        <v>2500</v>
      </c>
      <c r="J11" s="36">
        <f t="shared" si="4"/>
        <v>2500</v>
      </c>
      <c r="K11" s="36">
        <f t="shared" si="4"/>
        <v>2500</v>
      </c>
      <c r="L11" s="9"/>
    </row>
    <row r="12" spans="1:12" outlineLevel="1" x14ac:dyDescent="0.35">
      <c r="B12" s="29" t="s">
        <v>5</v>
      </c>
      <c r="C12" s="29"/>
      <c r="D12" s="29"/>
      <c r="E12" s="37">
        <f>E10-E11</f>
        <v>10000</v>
      </c>
      <c r="F12" s="37">
        <f>F10-F11</f>
        <v>11250</v>
      </c>
      <c r="G12" s="37">
        <f>G10-G11</f>
        <v>12350.000000000002</v>
      </c>
      <c r="H12" s="37">
        <f t="shared" ref="H12:K12" si="5">H10-H11</f>
        <v>13835.000000000004</v>
      </c>
      <c r="I12" s="37">
        <f t="shared" si="5"/>
        <v>15468.500000000007</v>
      </c>
      <c r="J12" s="37">
        <f t="shared" si="5"/>
        <v>17265.350000000006</v>
      </c>
      <c r="K12" s="37">
        <f t="shared" si="5"/>
        <v>19241.885000000009</v>
      </c>
      <c r="L12" s="9"/>
    </row>
    <row r="13" spans="1:12" outlineLevel="1" x14ac:dyDescent="0.35">
      <c r="B13" t="s">
        <v>6</v>
      </c>
      <c r="E13" s="11">
        <v>800</v>
      </c>
      <c r="F13" s="11">
        <v>900</v>
      </c>
      <c r="G13" s="36">
        <f>G8*G25</f>
        <v>1237.5000000000002</v>
      </c>
      <c r="H13" s="36">
        <f t="shared" ref="H13:K13" si="6">H8*H25</f>
        <v>1361.2500000000005</v>
      </c>
      <c r="I13" s="36">
        <f t="shared" si="6"/>
        <v>1497.3750000000007</v>
      </c>
      <c r="J13" s="36">
        <f t="shared" si="6"/>
        <v>1647.1125000000009</v>
      </c>
      <c r="K13" s="36">
        <f t="shared" si="6"/>
        <v>1811.8237500000012</v>
      </c>
      <c r="L13" s="8"/>
    </row>
    <row r="14" spans="1:12" outlineLevel="1" x14ac:dyDescent="0.35">
      <c r="B14" t="s">
        <v>7</v>
      </c>
      <c r="E14" s="11">
        <v>200</v>
      </c>
      <c r="F14" s="11">
        <v>225</v>
      </c>
      <c r="G14" s="36">
        <f>G26</f>
        <v>250</v>
      </c>
      <c r="H14" s="36">
        <f t="shared" ref="H14:K14" si="7">H26</f>
        <v>250</v>
      </c>
      <c r="I14" s="36">
        <f t="shared" si="7"/>
        <v>250</v>
      </c>
      <c r="J14" s="36">
        <f t="shared" si="7"/>
        <v>250</v>
      </c>
      <c r="K14" s="36">
        <f t="shared" si="7"/>
        <v>250</v>
      </c>
      <c r="L14" s="9"/>
    </row>
    <row r="15" spans="1:12" outlineLevel="1" x14ac:dyDescent="0.35">
      <c r="B15" s="29" t="s">
        <v>8</v>
      </c>
      <c r="C15" s="29"/>
      <c r="D15" s="29"/>
      <c r="E15" s="37">
        <f>E12-SUM(E13:E14)</f>
        <v>9000</v>
      </c>
      <c r="F15" s="37">
        <f>F12-SUM(F13:F14)</f>
        <v>10125</v>
      </c>
      <c r="G15" s="37">
        <f t="shared" ref="G15:K15" si="8">G12-SUM(G13:G14)</f>
        <v>10862.500000000002</v>
      </c>
      <c r="H15" s="37">
        <f t="shared" si="8"/>
        <v>12223.750000000004</v>
      </c>
      <c r="I15" s="37">
        <f t="shared" si="8"/>
        <v>13721.125000000007</v>
      </c>
      <c r="J15" s="37">
        <f t="shared" si="8"/>
        <v>15368.237500000005</v>
      </c>
      <c r="K15" s="37">
        <f t="shared" si="8"/>
        <v>17180.061250000006</v>
      </c>
      <c r="L15" s="8"/>
    </row>
    <row r="16" spans="1:12" outlineLevel="1" x14ac:dyDescent="0.35">
      <c r="B16" t="s">
        <v>9</v>
      </c>
      <c r="E16" s="11">
        <v>2700</v>
      </c>
      <c r="F16" s="11">
        <v>3037.5</v>
      </c>
      <c r="G16" s="36">
        <f>G15*G27</f>
        <v>3258.7500000000005</v>
      </c>
      <c r="H16" s="36">
        <f t="shared" ref="H16:K16" si="9">H15*H27</f>
        <v>3667.1250000000009</v>
      </c>
      <c r="I16" s="36">
        <f t="shared" si="9"/>
        <v>4116.3375000000024</v>
      </c>
      <c r="J16" s="36">
        <f t="shared" si="9"/>
        <v>4610.4712500000014</v>
      </c>
      <c r="K16" s="36">
        <f t="shared" si="9"/>
        <v>5154.0183750000015</v>
      </c>
      <c r="L16" s="10"/>
    </row>
    <row r="17" spans="1:14" outlineLevel="1" x14ac:dyDescent="0.35">
      <c r="B17" s="30" t="s">
        <v>10</v>
      </c>
      <c r="C17" s="30"/>
      <c r="D17" s="30"/>
      <c r="E17" s="31">
        <f>E15-E16</f>
        <v>6300</v>
      </c>
      <c r="F17" s="31">
        <f>F15-F16</f>
        <v>7087.5</v>
      </c>
      <c r="G17" s="31">
        <f t="shared" ref="G17:K17" si="10">G15-G16</f>
        <v>7603.7500000000018</v>
      </c>
      <c r="H17" s="31">
        <f t="shared" si="10"/>
        <v>8556.6250000000036</v>
      </c>
      <c r="I17" s="31">
        <f t="shared" si="10"/>
        <v>9604.7875000000058</v>
      </c>
      <c r="J17" s="31">
        <f t="shared" si="10"/>
        <v>10757.766250000004</v>
      </c>
      <c r="K17" s="31">
        <f t="shared" si="10"/>
        <v>12026.042875000005</v>
      </c>
      <c r="L17" s="10"/>
    </row>
    <row r="18" spans="1:14" x14ac:dyDescent="0.35">
      <c r="K18" s="13"/>
      <c r="L18" s="8"/>
    </row>
    <row r="19" spans="1:14" x14ac:dyDescent="0.35">
      <c r="K19" s="12"/>
      <c r="L19" s="9"/>
    </row>
    <row r="20" spans="1:14" x14ac:dyDescent="0.35">
      <c r="K20" s="13"/>
      <c r="L20" s="8"/>
    </row>
    <row r="21" spans="1:14" x14ac:dyDescent="0.35">
      <c r="A21" t="s">
        <v>23</v>
      </c>
      <c r="B21" s="25" t="str">
        <f>"Assumption Drivers"&amp;" - "&amp;B4</f>
        <v>Assumption Drivers - Tata Steels</v>
      </c>
      <c r="C21" s="26"/>
      <c r="D21" s="23"/>
      <c r="E21" s="23"/>
      <c r="F21" s="23"/>
      <c r="G21" s="23"/>
      <c r="H21" s="23"/>
      <c r="I21" s="23"/>
      <c r="J21" s="23"/>
      <c r="K21" s="23"/>
    </row>
    <row r="22" spans="1:14" outlineLevel="1" x14ac:dyDescent="0.35">
      <c r="B22" s="14" t="s">
        <v>11</v>
      </c>
      <c r="C22" s="15"/>
      <c r="E22" s="18" t="s">
        <v>15</v>
      </c>
      <c r="F22" s="16">
        <f>F8/E8-1</f>
        <v>0.125</v>
      </c>
      <c r="G22" s="21">
        <v>0.1</v>
      </c>
      <c r="H22" s="38">
        <f>G22</f>
        <v>0.1</v>
      </c>
      <c r="I22" s="38">
        <f t="shared" ref="I22:K22" si="11">H22</f>
        <v>0.1</v>
      </c>
      <c r="J22" s="38">
        <f t="shared" si="11"/>
        <v>0.1</v>
      </c>
      <c r="K22" s="38">
        <f t="shared" si="11"/>
        <v>0.1</v>
      </c>
    </row>
    <row r="23" spans="1:14" outlineLevel="1" x14ac:dyDescent="0.35">
      <c r="B23" s="14" t="s">
        <v>12</v>
      </c>
      <c r="C23" s="15"/>
      <c r="E23" s="16">
        <f>E9/E8</f>
        <v>0.4</v>
      </c>
      <c r="F23" s="16">
        <f>F9/F8</f>
        <v>0.4</v>
      </c>
      <c r="G23" s="21">
        <v>0.4</v>
      </c>
      <c r="H23" s="38">
        <f t="shared" ref="H23:K23" si="12">G23</f>
        <v>0.4</v>
      </c>
      <c r="I23" s="38">
        <f t="shared" si="12"/>
        <v>0.4</v>
      </c>
      <c r="J23" s="38">
        <f t="shared" si="12"/>
        <v>0.4</v>
      </c>
      <c r="K23" s="38">
        <f t="shared" si="12"/>
        <v>0.4</v>
      </c>
    </row>
    <row r="24" spans="1:14" outlineLevel="1" x14ac:dyDescent="0.35">
      <c r="B24" s="14" t="s">
        <v>13</v>
      </c>
      <c r="C24" s="15"/>
      <c r="E24" s="17">
        <f>E11</f>
        <v>2000</v>
      </c>
      <c r="F24" s="17">
        <f>F11</f>
        <v>2250</v>
      </c>
      <c r="G24" s="20">
        <v>2500</v>
      </c>
      <c r="H24" s="39">
        <f>G24</f>
        <v>2500</v>
      </c>
      <c r="I24" s="39">
        <f t="shared" ref="I24:K24" si="13">H24</f>
        <v>2500</v>
      </c>
      <c r="J24" s="39">
        <f t="shared" si="13"/>
        <v>2500</v>
      </c>
      <c r="K24" s="39">
        <f t="shared" si="13"/>
        <v>2500</v>
      </c>
    </row>
    <row r="25" spans="1:14" outlineLevel="1" x14ac:dyDescent="0.35">
      <c r="B25" s="14" t="s">
        <v>14</v>
      </c>
      <c r="C25" s="15"/>
      <c r="E25" s="16">
        <f>E13/E8</f>
        <v>0.04</v>
      </c>
      <c r="F25" s="16">
        <f>F13/F8</f>
        <v>0.04</v>
      </c>
      <c r="G25" s="21">
        <v>0.05</v>
      </c>
      <c r="H25" s="38">
        <f t="shared" ref="H25:K25" si="14">G25</f>
        <v>0.05</v>
      </c>
      <c r="I25" s="38">
        <f t="shared" si="14"/>
        <v>0.05</v>
      </c>
      <c r="J25" s="38">
        <f t="shared" si="14"/>
        <v>0.05</v>
      </c>
      <c r="K25" s="38">
        <f t="shared" si="14"/>
        <v>0.05</v>
      </c>
    </row>
    <row r="26" spans="1:14" outlineLevel="1" x14ac:dyDescent="0.35">
      <c r="B26" s="15" t="s">
        <v>7</v>
      </c>
      <c r="C26" s="15"/>
      <c r="E26" s="17">
        <f>E14</f>
        <v>200</v>
      </c>
      <c r="F26" s="17">
        <f>F14</f>
        <v>225</v>
      </c>
      <c r="G26" s="32">
        <v>250</v>
      </c>
      <c r="H26" s="17">
        <f t="shared" ref="H26:K26" si="15">G26</f>
        <v>250</v>
      </c>
      <c r="I26" s="17">
        <f t="shared" si="15"/>
        <v>250</v>
      </c>
      <c r="J26" s="17">
        <f t="shared" si="15"/>
        <v>250</v>
      </c>
      <c r="K26" s="17">
        <f t="shared" si="15"/>
        <v>250</v>
      </c>
    </row>
    <row r="27" spans="1:14" outlineLevel="1" x14ac:dyDescent="0.35">
      <c r="B27" s="15" t="s">
        <v>9</v>
      </c>
      <c r="C27" s="15"/>
      <c r="E27" s="19">
        <v>0.3</v>
      </c>
      <c r="F27" s="19">
        <v>0.3</v>
      </c>
      <c r="G27" s="21">
        <v>0.3</v>
      </c>
      <c r="H27" s="38">
        <f t="shared" ref="H27:K27" si="16">G27</f>
        <v>0.3</v>
      </c>
      <c r="I27" s="38">
        <f t="shared" si="16"/>
        <v>0.3</v>
      </c>
      <c r="J27" s="38">
        <f t="shared" si="16"/>
        <v>0.3</v>
      </c>
      <c r="K27" s="38">
        <f t="shared" si="16"/>
        <v>0.3</v>
      </c>
    </row>
    <row r="28" spans="1:14" x14ac:dyDescent="0.35">
      <c r="N28" t="s">
        <v>16</v>
      </c>
    </row>
    <row r="29" spans="1:14" x14ac:dyDescent="0.35">
      <c r="A29" t="s">
        <v>23</v>
      </c>
      <c r="B29" s="22" t="str">
        <f>"Common Size Statement"&amp;" - "&amp;B4</f>
        <v>Common Size Statement - Tata Steels</v>
      </c>
      <c r="C29" s="22"/>
      <c r="D29" s="22"/>
      <c r="E29" s="34"/>
      <c r="F29" s="22"/>
      <c r="G29" s="22"/>
      <c r="H29" s="22"/>
      <c r="I29" s="22"/>
      <c r="J29" s="22"/>
      <c r="K29" s="22"/>
    </row>
    <row r="30" spans="1:14" outlineLevel="1" x14ac:dyDescent="0.35">
      <c r="B30" t="s">
        <v>1</v>
      </c>
      <c r="E30" s="33">
        <f>E8/E$8</f>
        <v>1</v>
      </c>
      <c r="F30" s="33">
        <f t="shared" ref="F30:K30" si="17">F8/F$8</f>
        <v>1</v>
      </c>
      <c r="G30" s="33">
        <f t="shared" si="17"/>
        <v>1</v>
      </c>
      <c r="H30" s="33">
        <f t="shared" si="17"/>
        <v>1</v>
      </c>
      <c r="I30" s="33">
        <f t="shared" si="17"/>
        <v>1</v>
      </c>
      <c r="J30" s="33">
        <f t="shared" si="17"/>
        <v>1</v>
      </c>
      <c r="K30" s="33">
        <f t="shared" si="17"/>
        <v>1</v>
      </c>
    </row>
    <row r="31" spans="1:14" outlineLevel="1" x14ac:dyDescent="0.35">
      <c r="B31" t="s">
        <v>2</v>
      </c>
      <c r="E31" s="33">
        <f>E9/E$8</f>
        <v>0.4</v>
      </c>
      <c r="F31" s="33">
        <f t="shared" ref="F31:K31" si="18">F9/F$8</f>
        <v>0.4</v>
      </c>
      <c r="G31" s="33">
        <f t="shared" si="18"/>
        <v>0.4</v>
      </c>
      <c r="H31" s="33">
        <f t="shared" si="18"/>
        <v>0.4</v>
      </c>
      <c r="I31" s="33">
        <f t="shared" si="18"/>
        <v>0.4</v>
      </c>
      <c r="J31" s="33">
        <f t="shared" si="18"/>
        <v>0.4</v>
      </c>
      <c r="K31" s="33">
        <f t="shared" si="18"/>
        <v>0.4</v>
      </c>
    </row>
    <row r="32" spans="1:14" outlineLevel="1" x14ac:dyDescent="0.35">
      <c r="B32" t="s">
        <v>3</v>
      </c>
      <c r="E32" s="33">
        <f t="shared" ref="E32:K32" si="19">E10/E$8</f>
        <v>0.6</v>
      </c>
      <c r="F32" s="33">
        <f t="shared" si="19"/>
        <v>0.6</v>
      </c>
      <c r="G32" s="33">
        <f t="shared" si="19"/>
        <v>0.6</v>
      </c>
      <c r="H32" s="33">
        <f t="shared" si="19"/>
        <v>0.6</v>
      </c>
      <c r="I32" s="33">
        <f t="shared" si="19"/>
        <v>0.6</v>
      </c>
      <c r="J32" s="33">
        <f t="shared" si="19"/>
        <v>0.59999999999999987</v>
      </c>
      <c r="K32" s="33">
        <f t="shared" si="19"/>
        <v>0.59999999999999987</v>
      </c>
    </row>
    <row r="33" spans="1:11" outlineLevel="1" x14ac:dyDescent="0.35">
      <c r="B33" t="s">
        <v>4</v>
      </c>
      <c r="E33" s="33">
        <f t="shared" ref="E33:K33" si="20">E11/E$8</f>
        <v>0.1</v>
      </c>
      <c r="F33" s="33">
        <f t="shared" si="20"/>
        <v>0.1</v>
      </c>
      <c r="G33" s="33">
        <f t="shared" si="20"/>
        <v>0.10101010101010099</v>
      </c>
      <c r="H33" s="33">
        <f t="shared" si="20"/>
        <v>9.1827364554637261E-2</v>
      </c>
      <c r="I33" s="33">
        <f t="shared" si="20"/>
        <v>8.3479422322397495E-2</v>
      </c>
      <c r="J33" s="33">
        <f t="shared" si="20"/>
        <v>7.5890383929452271E-2</v>
      </c>
      <c r="K33" s="33">
        <f t="shared" si="20"/>
        <v>6.8991258117683876E-2</v>
      </c>
    </row>
    <row r="34" spans="1:11" outlineLevel="1" x14ac:dyDescent="0.35">
      <c r="B34" t="s">
        <v>5</v>
      </c>
      <c r="E34" s="33">
        <f t="shared" ref="E34:K34" si="21">E12/E$8</f>
        <v>0.5</v>
      </c>
      <c r="F34" s="33">
        <f t="shared" si="21"/>
        <v>0.5</v>
      </c>
      <c r="G34" s="33">
        <f t="shared" si="21"/>
        <v>0.49898989898989898</v>
      </c>
      <c r="H34" s="33">
        <f t="shared" si="21"/>
        <v>0.50817263544536273</v>
      </c>
      <c r="I34" s="33">
        <f t="shared" si="21"/>
        <v>0.51652057767760251</v>
      </c>
      <c r="J34" s="33">
        <f t="shared" si="21"/>
        <v>0.52410961607054762</v>
      </c>
      <c r="K34" s="33">
        <f t="shared" si="21"/>
        <v>0.53100874188231606</v>
      </c>
    </row>
    <row r="35" spans="1:11" outlineLevel="1" x14ac:dyDescent="0.35">
      <c r="B35" t="s">
        <v>6</v>
      </c>
      <c r="E35" s="33">
        <f t="shared" ref="E35:K35" si="22">E13/E$8</f>
        <v>0.04</v>
      </c>
      <c r="F35" s="33">
        <f t="shared" si="22"/>
        <v>0.04</v>
      </c>
      <c r="G35" s="33">
        <f t="shared" si="22"/>
        <v>0.05</v>
      </c>
      <c r="H35" s="33">
        <f t="shared" si="22"/>
        <v>0.05</v>
      </c>
      <c r="I35" s="33">
        <f t="shared" si="22"/>
        <v>0.05</v>
      </c>
      <c r="J35" s="33">
        <f t="shared" si="22"/>
        <v>0.05</v>
      </c>
      <c r="K35" s="33">
        <f t="shared" si="22"/>
        <v>0.05</v>
      </c>
    </row>
    <row r="36" spans="1:11" outlineLevel="1" x14ac:dyDescent="0.35">
      <c r="B36" t="s">
        <v>7</v>
      </c>
      <c r="E36" s="33">
        <f t="shared" ref="E36:K36" si="23">E14/E$8</f>
        <v>0.01</v>
      </c>
      <c r="F36" s="33">
        <f t="shared" si="23"/>
        <v>0.01</v>
      </c>
      <c r="G36" s="33">
        <f t="shared" si="23"/>
        <v>1.01010101010101E-2</v>
      </c>
      <c r="H36" s="33">
        <f t="shared" si="23"/>
        <v>9.1827364554637261E-3</v>
      </c>
      <c r="I36" s="33">
        <f t="shared" si="23"/>
        <v>8.3479422322397506E-3</v>
      </c>
      <c r="J36" s="33">
        <f t="shared" si="23"/>
        <v>7.5890383929452269E-3</v>
      </c>
      <c r="K36" s="33">
        <f t="shared" si="23"/>
        <v>6.8991258117683868E-3</v>
      </c>
    </row>
    <row r="37" spans="1:11" outlineLevel="1" x14ac:dyDescent="0.35">
      <c r="B37" t="s">
        <v>8</v>
      </c>
      <c r="E37" s="33">
        <f t="shared" ref="E37:K37" si="24">E15/E$8</f>
        <v>0.45</v>
      </c>
      <c r="F37" s="33">
        <f t="shared" si="24"/>
        <v>0.45</v>
      </c>
      <c r="G37" s="33">
        <f t="shared" si="24"/>
        <v>0.43888888888888888</v>
      </c>
      <c r="H37" s="33">
        <f t="shared" si="24"/>
        <v>0.44898989898989899</v>
      </c>
      <c r="I37" s="33">
        <f t="shared" si="24"/>
        <v>0.4581726354453628</v>
      </c>
      <c r="J37" s="33">
        <f t="shared" si="24"/>
        <v>0.46652057767760241</v>
      </c>
      <c r="K37" s="33">
        <f t="shared" si="24"/>
        <v>0.47410961607054758</v>
      </c>
    </row>
    <row r="38" spans="1:11" outlineLevel="1" x14ac:dyDescent="0.35">
      <c r="B38" t="s">
        <v>9</v>
      </c>
      <c r="E38" s="33">
        <f t="shared" ref="E38:K38" si="25">E16/E$8</f>
        <v>0.13500000000000001</v>
      </c>
      <c r="F38" s="33">
        <f t="shared" si="25"/>
        <v>0.13500000000000001</v>
      </c>
      <c r="G38" s="33">
        <f t="shared" si="25"/>
        <v>0.13166666666666665</v>
      </c>
      <c r="H38" s="33">
        <f t="shared" si="25"/>
        <v>0.1346969696969697</v>
      </c>
      <c r="I38" s="33">
        <f t="shared" si="25"/>
        <v>0.13745179063360885</v>
      </c>
      <c r="J38" s="33">
        <f t="shared" si="25"/>
        <v>0.13995617330328072</v>
      </c>
      <c r="K38" s="33">
        <f t="shared" si="25"/>
        <v>0.14223288482116428</v>
      </c>
    </row>
    <row r="39" spans="1:11" outlineLevel="1" x14ac:dyDescent="0.35">
      <c r="B39" t="s">
        <v>10</v>
      </c>
      <c r="E39" s="33">
        <f t="shared" ref="E39:K39" si="26">E17/E$8</f>
        <v>0.315</v>
      </c>
      <c r="F39" s="33">
        <f t="shared" si="26"/>
        <v>0.315</v>
      </c>
      <c r="G39" s="33">
        <f t="shared" si="26"/>
        <v>0.30722222222222223</v>
      </c>
      <c r="H39" s="33">
        <f t="shared" si="26"/>
        <v>0.31429292929292935</v>
      </c>
      <c r="I39" s="33">
        <f t="shared" si="26"/>
        <v>0.320720844811754</v>
      </c>
      <c r="J39" s="33">
        <f t="shared" si="26"/>
        <v>0.32656440437432172</v>
      </c>
      <c r="K39" s="33">
        <f t="shared" si="26"/>
        <v>0.33187673124938333</v>
      </c>
    </row>
    <row r="41" spans="1:11" x14ac:dyDescent="0.35">
      <c r="A41" t="s">
        <v>23</v>
      </c>
      <c r="B41" s="22" t="str">
        <f>"Change Analysis Statement"&amp;" - "&amp;B4</f>
        <v>Change Analysis Statement - Tata Steels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1:11" outlineLevel="1" x14ac:dyDescent="0.35">
      <c r="C42" s="35">
        <v>0.1</v>
      </c>
    </row>
    <row r="43" spans="1:11" outlineLevel="1" x14ac:dyDescent="0.35">
      <c r="B43" s="1" t="s">
        <v>1</v>
      </c>
      <c r="C43" s="1"/>
      <c r="D43" s="1"/>
      <c r="E43" s="28">
        <f>E8*(1+$C$42)</f>
        <v>22000</v>
      </c>
      <c r="F43" s="28">
        <f t="shared" ref="F43:K43" si="27">F8*(1+$C$42)</f>
        <v>24750.000000000004</v>
      </c>
      <c r="G43" s="28">
        <f t="shared" si="27"/>
        <v>27225.000000000007</v>
      </c>
      <c r="H43" s="28">
        <f t="shared" si="27"/>
        <v>29947.500000000011</v>
      </c>
      <c r="I43" s="28">
        <f t="shared" si="27"/>
        <v>32942.250000000015</v>
      </c>
      <c r="J43" s="28">
        <f t="shared" si="27"/>
        <v>36236.47500000002</v>
      </c>
      <c r="K43" s="28">
        <f t="shared" si="27"/>
        <v>39860.122500000027</v>
      </c>
    </row>
    <row r="44" spans="1:11" outlineLevel="1" x14ac:dyDescent="0.35">
      <c r="B44" t="s">
        <v>2</v>
      </c>
      <c r="E44" s="36">
        <f t="shared" ref="E44:K44" si="28">E9*(1+$C$42)</f>
        <v>8800</v>
      </c>
      <c r="F44" s="36">
        <f t="shared" si="28"/>
        <v>9900</v>
      </c>
      <c r="G44" s="36">
        <f t="shared" si="28"/>
        <v>10890.000000000004</v>
      </c>
      <c r="H44" s="36">
        <f t="shared" si="28"/>
        <v>11979.000000000005</v>
      </c>
      <c r="I44" s="36">
        <f t="shared" si="28"/>
        <v>13176.900000000007</v>
      </c>
      <c r="J44" s="36">
        <f t="shared" si="28"/>
        <v>14494.590000000009</v>
      </c>
      <c r="K44" s="36">
        <f t="shared" si="28"/>
        <v>15944.049000000012</v>
      </c>
    </row>
    <row r="45" spans="1:11" outlineLevel="1" x14ac:dyDescent="0.35">
      <c r="B45" s="29" t="s">
        <v>3</v>
      </c>
      <c r="C45" s="29"/>
      <c r="D45" s="29"/>
      <c r="E45" s="37">
        <f t="shared" ref="E45:K45" si="29">E10*(1+$C$42)</f>
        <v>13200.000000000002</v>
      </c>
      <c r="F45" s="37">
        <f t="shared" si="29"/>
        <v>14850.000000000002</v>
      </c>
      <c r="G45" s="37">
        <f t="shared" si="29"/>
        <v>16335.000000000004</v>
      </c>
      <c r="H45" s="37">
        <f t="shared" si="29"/>
        <v>17968.500000000004</v>
      </c>
      <c r="I45" s="37">
        <f t="shared" si="29"/>
        <v>19765.350000000009</v>
      </c>
      <c r="J45" s="37">
        <f t="shared" si="29"/>
        <v>21741.885000000009</v>
      </c>
      <c r="K45" s="37">
        <f t="shared" si="29"/>
        <v>23916.073500000013</v>
      </c>
    </row>
    <row r="46" spans="1:11" outlineLevel="1" x14ac:dyDescent="0.35">
      <c r="B46" t="s">
        <v>4</v>
      </c>
      <c r="E46" s="36">
        <f t="shared" ref="E46:K46" si="30">E11*(1+$C$42)</f>
        <v>2200</v>
      </c>
      <c r="F46" s="36">
        <f t="shared" si="30"/>
        <v>2475</v>
      </c>
      <c r="G46" s="36">
        <f t="shared" si="30"/>
        <v>2750</v>
      </c>
      <c r="H46" s="36">
        <f t="shared" si="30"/>
        <v>2750</v>
      </c>
      <c r="I46" s="36">
        <f t="shared" si="30"/>
        <v>2750</v>
      </c>
      <c r="J46" s="36">
        <f t="shared" si="30"/>
        <v>2750</v>
      </c>
      <c r="K46" s="36">
        <f t="shared" si="30"/>
        <v>2750</v>
      </c>
    </row>
    <row r="47" spans="1:11" outlineLevel="1" x14ac:dyDescent="0.35">
      <c r="B47" s="29" t="s">
        <v>5</v>
      </c>
      <c r="C47" s="29"/>
      <c r="D47" s="29"/>
      <c r="E47" s="37">
        <f t="shared" ref="E47:K47" si="31">E12*(1+$C$42)</f>
        <v>11000</v>
      </c>
      <c r="F47" s="37">
        <f t="shared" si="31"/>
        <v>12375.000000000002</v>
      </c>
      <c r="G47" s="37">
        <f t="shared" si="31"/>
        <v>13585.000000000004</v>
      </c>
      <c r="H47" s="37">
        <f t="shared" si="31"/>
        <v>15218.500000000005</v>
      </c>
      <c r="I47" s="37">
        <f t="shared" si="31"/>
        <v>17015.350000000009</v>
      </c>
      <c r="J47" s="37">
        <f t="shared" si="31"/>
        <v>18991.885000000009</v>
      </c>
      <c r="K47" s="37">
        <f t="shared" si="31"/>
        <v>21166.073500000013</v>
      </c>
    </row>
    <row r="48" spans="1:11" outlineLevel="1" x14ac:dyDescent="0.35">
      <c r="B48" t="s">
        <v>6</v>
      </c>
      <c r="E48" s="36">
        <f t="shared" ref="E48:K48" si="32">E13*(1+$C$42)</f>
        <v>880.00000000000011</v>
      </c>
      <c r="F48" s="36">
        <f t="shared" si="32"/>
        <v>990.00000000000011</v>
      </c>
      <c r="G48" s="36">
        <f t="shared" si="32"/>
        <v>1361.2500000000005</v>
      </c>
      <c r="H48" s="36">
        <f t="shared" si="32"/>
        <v>1497.3750000000007</v>
      </c>
      <c r="I48" s="36">
        <f t="shared" si="32"/>
        <v>1647.1125000000009</v>
      </c>
      <c r="J48" s="36">
        <f t="shared" si="32"/>
        <v>1811.8237500000012</v>
      </c>
      <c r="K48" s="36">
        <f t="shared" si="32"/>
        <v>1993.0061250000015</v>
      </c>
    </row>
    <row r="49" spans="2:11" outlineLevel="1" x14ac:dyDescent="0.35">
      <c r="B49" t="s">
        <v>7</v>
      </c>
      <c r="E49" s="36">
        <f t="shared" ref="E49:K49" si="33">E14*(1+$C$42)</f>
        <v>220.00000000000003</v>
      </c>
      <c r="F49" s="36">
        <f t="shared" si="33"/>
        <v>247.50000000000003</v>
      </c>
      <c r="G49" s="36">
        <f t="shared" si="33"/>
        <v>275</v>
      </c>
      <c r="H49" s="36">
        <f t="shared" si="33"/>
        <v>275</v>
      </c>
      <c r="I49" s="36">
        <f t="shared" si="33"/>
        <v>275</v>
      </c>
      <c r="J49" s="36">
        <f t="shared" si="33"/>
        <v>275</v>
      </c>
      <c r="K49" s="36">
        <f t="shared" si="33"/>
        <v>275</v>
      </c>
    </row>
    <row r="50" spans="2:11" outlineLevel="1" x14ac:dyDescent="0.35">
      <c r="B50" s="29" t="s">
        <v>8</v>
      </c>
      <c r="C50" s="29"/>
      <c r="D50" s="29"/>
      <c r="E50" s="37">
        <f t="shared" ref="E50:K50" si="34">E15*(1+$C$42)</f>
        <v>9900</v>
      </c>
      <c r="F50" s="37">
        <f t="shared" si="34"/>
        <v>11137.5</v>
      </c>
      <c r="G50" s="37">
        <f t="shared" si="34"/>
        <v>11948.750000000004</v>
      </c>
      <c r="H50" s="37">
        <f t="shared" si="34"/>
        <v>13446.125000000005</v>
      </c>
      <c r="I50" s="37">
        <f t="shared" si="34"/>
        <v>15093.237500000008</v>
      </c>
      <c r="J50" s="37">
        <f t="shared" si="34"/>
        <v>16905.061250000006</v>
      </c>
      <c r="K50" s="37">
        <f t="shared" si="34"/>
        <v>18898.06737500001</v>
      </c>
    </row>
    <row r="51" spans="2:11" outlineLevel="1" x14ac:dyDescent="0.35">
      <c r="B51" t="s">
        <v>9</v>
      </c>
      <c r="E51" s="36">
        <f t="shared" ref="E51:K51" si="35">E16*(1+$C$42)</f>
        <v>2970.0000000000005</v>
      </c>
      <c r="F51" s="36">
        <f t="shared" si="35"/>
        <v>3341.2500000000005</v>
      </c>
      <c r="G51" s="36">
        <f t="shared" si="35"/>
        <v>3584.6250000000009</v>
      </c>
      <c r="H51" s="36">
        <f t="shared" si="35"/>
        <v>4033.8375000000015</v>
      </c>
      <c r="I51" s="36">
        <f t="shared" si="35"/>
        <v>4527.9712500000032</v>
      </c>
      <c r="J51" s="36">
        <f t="shared" si="35"/>
        <v>5071.5183750000024</v>
      </c>
      <c r="K51" s="36">
        <f t="shared" si="35"/>
        <v>5669.420212500002</v>
      </c>
    </row>
    <row r="52" spans="2:11" outlineLevel="1" x14ac:dyDescent="0.35">
      <c r="B52" s="30" t="s">
        <v>10</v>
      </c>
      <c r="C52" s="30"/>
      <c r="D52" s="30"/>
      <c r="E52" s="31">
        <f t="shared" ref="E52:K52" si="36">E17*(1+$C$42)</f>
        <v>6930.0000000000009</v>
      </c>
      <c r="F52" s="31">
        <f t="shared" si="36"/>
        <v>7796.2500000000009</v>
      </c>
      <c r="G52" s="31">
        <f t="shared" si="36"/>
        <v>8364.1250000000018</v>
      </c>
      <c r="H52" s="31">
        <f t="shared" si="36"/>
        <v>9412.287500000004</v>
      </c>
      <c r="I52" s="31">
        <f t="shared" si="36"/>
        <v>10565.266250000008</v>
      </c>
      <c r="J52" s="31">
        <f t="shared" si="36"/>
        <v>11833.542875000006</v>
      </c>
      <c r="K52" s="31">
        <f t="shared" si="36"/>
        <v>13228.647162500007</v>
      </c>
    </row>
    <row r="54" spans="2:11" x14ac:dyDescent="0.35">
      <c r="B54" s="1" t="s">
        <v>18</v>
      </c>
      <c r="C54" s="41">
        <f>DATE(2022,8,15)</f>
        <v>44788</v>
      </c>
      <c r="D54" s="40">
        <v>0</v>
      </c>
      <c r="E54" s="11">
        <v>1</v>
      </c>
      <c r="F54" s="11">
        <v>2</v>
      </c>
      <c r="G54" s="11">
        <v>3</v>
      </c>
      <c r="H54" s="11">
        <v>4</v>
      </c>
      <c r="I54" s="11">
        <v>5</v>
      </c>
      <c r="J54" s="11"/>
      <c r="K54" s="11"/>
    </row>
    <row r="55" spans="2:11" x14ac:dyDescent="0.35">
      <c r="B55" t="s">
        <v>19</v>
      </c>
      <c r="D55" s="41">
        <f>EOMONTH($C$54,D54)</f>
        <v>44804</v>
      </c>
      <c r="E55" s="41">
        <f>EOMONTH($C$54,E54)</f>
        <v>44834</v>
      </c>
      <c r="F55" s="41">
        <f t="shared" ref="F55:I55" si="37">EOMONTH($C$54,F54)</f>
        <v>44865</v>
      </c>
      <c r="G55" s="41">
        <f t="shared" si="37"/>
        <v>44895</v>
      </c>
      <c r="H55" s="41">
        <f t="shared" si="37"/>
        <v>44926</v>
      </c>
      <c r="I55" s="41">
        <f t="shared" si="37"/>
        <v>44957</v>
      </c>
      <c r="J55" s="41"/>
      <c r="K55" s="41"/>
    </row>
    <row r="56" spans="2:11" x14ac:dyDescent="0.35">
      <c r="B56" t="s">
        <v>20</v>
      </c>
      <c r="D56" s="41">
        <f>DATE(YEAR($C$54)+D54,12,31)</f>
        <v>44926</v>
      </c>
      <c r="E56" s="41">
        <f t="shared" ref="E56:I56" si="38">DATE(YEAR($C$54)+E54,12,31)</f>
        <v>45291</v>
      </c>
      <c r="F56" s="41">
        <f t="shared" si="38"/>
        <v>45657</v>
      </c>
      <c r="G56" s="41">
        <f t="shared" si="38"/>
        <v>46022</v>
      </c>
      <c r="H56" s="41">
        <f t="shared" si="38"/>
        <v>46387</v>
      </c>
      <c r="I56" s="41">
        <f t="shared" si="38"/>
        <v>46752</v>
      </c>
      <c r="J56" s="41"/>
      <c r="K56" s="41"/>
    </row>
    <row r="58" spans="2:11" x14ac:dyDescent="0.35">
      <c r="B58" t="s">
        <v>21</v>
      </c>
      <c r="D58">
        <f>YEARFRAC($C$54,D55)</f>
        <v>4.4444444444444446E-2</v>
      </c>
      <c r="E58">
        <f t="shared" ref="E58:I58" si="39">YEARFRAC($C$54,E55)</f>
        <v>0.125</v>
      </c>
      <c r="F58">
        <f t="shared" si="39"/>
        <v>0.21111111111111111</v>
      </c>
      <c r="G58">
        <f t="shared" si="39"/>
        <v>0.29166666666666669</v>
      </c>
      <c r="H58">
        <f t="shared" si="39"/>
        <v>0.37777777777777777</v>
      </c>
      <c r="I58">
        <f t="shared" si="39"/>
        <v>0.46111111111111114</v>
      </c>
    </row>
    <row r="59" spans="2:11" x14ac:dyDescent="0.35">
      <c r="B59" t="s">
        <v>22</v>
      </c>
      <c r="D59">
        <f>YEARFRAC($C$54,D56)</f>
        <v>0.37777777777777777</v>
      </c>
      <c r="E59">
        <f t="shared" ref="E59:I59" si="40">YEARFRAC($C$54,E56)</f>
        <v>1.3777777777777778</v>
      </c>
      <c r="F59">
        <f t="shared" si="40"/>
        <v>2.3777777777777778</v>
      </c>
      <c r="G59">
        <f t="shared" si="40"/>
        <v>3.3777777777777778</v>
      </c>
      <c r="H59">
        <f t="shared" si="40"/>
        <v>4.3777777777777782</v>
      </c>
      <c r="I59">
        <f t="shared" si="40"/>
        <v>5.3777777777777782</v>
      </c>
    </row>
    <row r="60" spans="2:11" x14ac:dyDescent="0.35">
      <c r="B60" t="s">
        <v>34</v>
      </c>
      <c r="D60" t="str">
        <f>IF(D59&lt;1,"stub","Full year")</f>
        <v>stub</v>
      </c>
      <c r="E60" t="str">
        <f t="shared" ref="E60:I60" si="41">IF(E59&lt;1,"stub","Full year")</f>
        <v>Full year</v>
      </c>
      <c r="F60" t="str">
        <f t="shared" si="41"/>
        <v>Full year</v>
      </c>
      <c r="G60" t="str">
        <f t="shared" si="41"/>
        <v>Full year</v>
      </c>
      <c r="H60" t="str">
        <f t="shared" si="41"/>
        <v>Full year</v>
      </c>
      <c r="I60" t="str">
        <f t="shared" si="41"/>
        <v>Full year</v>
      </c>
    </row>
    <row r="62" spans="2:11" x14ac:dyDescent="0.35">
      <c r="B62" s="1" t="s">
        <v>24</v>
      </c>
    </row>
    <row r="63" spans="2:11" x14ac:dyDescent="0.35">
      <c r="B63" t="s">
        <v>2</v>
      </c>
      <c r="D63" s="20">
        <v>0.1</v>
      </c>
      <c r="E63" s="17">
        <f>E9</f>
        <v>8000</v>
      </c>
      <c r="F63" s="17">
        <f t="shared" ref="F63:K63" si="42">F9</f>
        <v>9000</v>
      </c>
      <c r="G63" s="17">
        <f t="shared" si="42"/>
        <v>9900.0000000000018</v>
      </c>
      <c r="H63" s="17">
        <f t="shared" si="42"/>
        <v>10890.000000000004</v>
      </c>
      <c r="I63" s="17">
        <f t="shared" si="42"/>
        <v>11979.000000000005</v>
      </c>
      <c r="J63" s="17">
        <f t="shared" si="42"/>
        <v>13176.900000000007</v>
      </c>
      <c r="K63" s="17">
        <f t="shared" si="42"/>
        <v>14494.590000000009</v>
      </c>
    </row>
    <row r="64" spans="2:11" x14ac:dyDescent="0.35">
      <c r="B64" t="s">
        <v>25</v>
      </c>
      <c r="D64" s="20">
        <v>0.2</v>
      </c>
      <c r="E64" s="17">
        <f>E11</f>
        <v>2000</v>
      </c>
      <c r="F64" s="17">
        <f t="shared" ref="F64:K64" si="43">F11</f>
        <v>2250</v>
      </c>
      <c r="G64" s="17">
        <f t="shared" si="43"/>
        <v>2500</v>
      </c>
      <c r="H64" s="17">
        <f t="shared" si="43"/>
        <v>2500</v>
      </c>
      <c r="I64" s="17">
        <f t="shared" si="43"/>
        <v>2500</v>
      </c>
      <c r="J64" s="17">
        <f t="shared" si="43"/>
        <v>2500</v>
      </c>
      <c r="K64" s="17">
        <f t="shared" si="43"/>
        <v>2500</v>
      </c>
    </row>
    <row r="65" spans="2:11" x14ac:dyDescent="0.35">
      <c r="B65" t="s">
        <v>6</v>
      </c>
      <c r="D65" s="20">
        <v>0.2</v>
      </c>
      <c r="E65" s="17">
        <f>E13</f>
        <v>800</v>
      </c>
      <c r="F65" s="17">
        <f t="shared" ref="F65:K65" si="44">F13</f>
        <v>900</v>
      </c>
      <c r="G65" s="17">
        <f t="shared" si="44"/>
        <v>1237.5000000000002</v>
      </c>
      <c r="H65" s="17">
        <f t="shared" si="44"/>
        <v>1361.2500000000005</v>
      </c>
      <c r="I65" s="17">
        <f t="shared" si="44"/>
        <v>1497.3750000000007</v>
      </c>
      <c r="J65" s="17">
        <f t="shared" si="44"/>
        <v>1647.1125000000009</v>
      </c>
      <c r="K65" s="17">
        <f t="shared" si="44"/>
        <v>1811.8237500000012</v>
      </c>
    </row>
    <row r="66" spans="2:11" x14ac:dyDescent="0.35">
      <c r="B66" t="s">
        <v>7</v>
      </c>
      <c r="D66" s="20">
        <v>0.3</v>
      </c>
      <c r="E66" s="17">
        <f>E14</f>
        <v>200</v>
      </c>
      <c r="F66" s="17">
        <f t="shared" ref="F66:K66" si="45">F14</f>
        <v>225</v>
      </c>
      <c r="G66" s="17">
        <f t="shared" si="45"/>
        <v>250</v>
      </c>
      <c r="H66" s="17">
        <f t="shared" si="45"/>
        <v>250</v>
      </c>
      <c r="I66" s="17">
        <f t="shared" si="45"/>
        <v>250</v>
      </c>
      <c r="J66" s="17">
        <f t="shared" si="45"/>
        <v>250</v>
      </c>
      <c r="K66" s="17">
        <f t="shared" si="45"/>
        <v>250</v>
      </c>
    </row>
    <row r="67" spans="2:11" x14ac:dyDescent="0.35">
      <c r="B67" t="s">
        <v>9</v>
      </c>
      <c r="D67" s="20">
        <v>0.2</v>
      </c>
      <c r="E67" s="17">
        <f>E16</f>
        <v>2700</v>
      </c>
      <c r="F67" s="17">
        <f t="shared" ref="F67:K67" si="46">F16</f>
        <v>3037.5</v>
      </c>
      <c r="G67" s="17">
        <f t="shared" si="46"/>
        <v>3258.7500000000005</v>
      </c>
      <c r="H67" s="17">
        <f t="shared" si="46"/>
        <v>3667.1250000000009</v>
      </c>
      <c r="I67" s="17">
        <f t="shared" si="46"/>
        <v>4116.3375000000024</v>
      </c>
      <c r="J67" s="17">
        <f t="shared" si="46"/>
        <v>4610.4712500000014</v>
      </c>
      <c r="K67" s="17">
        <f t="shared" si="46"/>
        <v>5154.0183750000015</v>
      </c>
    </row>
    <row r="68" spans="2:11" x14ac:dyDescent="0.35">
      <c r="B68" s="1" t="s">
        <v>26</v>
      </c>
      <c r="D68" s="32">
        <f>SUM(D63:D67)</f>
        <v>1</v>
      </c>
      <c r="E68" s="42">
        <f>SUM(E63:E67)</f>
        <v>13700</v>
      </c>
      <c r="F68" s="42">
        <f t="shared" ref="F68:K68" si="47">SUM(F63:F67)</f>
        <v>15412.5</v>
      </c>
      <c r="G68" s="42">
        <f t="shared" si="47"/>
        <v>17146.250000000004</v>
      </c>
      <c r="H68" s="42">
        <f t="shared" si="47"/>
        <v>18668.375000000004</v>
      </c>
      <c r="I68" s="42">
        <f t="shared" si="47"/>
        <v>20342.712500000009</v>
      </c>
      <c r="J68" s="42">
        <f t="shared" si="47"/>
        <v>22184.48375000001</v>
      </c>
      <c r="K68" s="42">
        <f t="shared" si="47"/>
        <v>24210.432125000014</v>
      </c>
    </row>
    <row r="70" spans="2:11" x14ac:dyDescent="0.35">
      <c r="B70" s="1" t="s">
        <v>27</v>
      </c>
      <c r="E70" s="17">
        <f>AVERAGE(E63:E67)</f>
        <v>2740</v>
      </c>
      <c r="F70" s="17">
        <f t="shared" ref="F70:K70" si="48">AVERAGE(F63:F67)</f>
        <v>3082.5</v>
      </c>
      <c r="G70" s="17">
        <f t="shared" si="48"/>
        <v>3429.2500000000009</v>
      </c>
      <c r="H70" s="17">
        <f t="shared" si="48"/>
        <v>3733.6750000000006</v>
      </c>
      <c r="I70" s="17">
        <f t="shared" si="48"/>
        <v>4068.5425000000018</v>
      </c>
      <c r="J70" s="17">
        <f t="shared" si="48"/>
        <v>4436.8967500000017</v>
      </c>
      <c r="K70" s="17">
        <f t="shared" si="48"/>
        <v>4842.0864250000031</v>
      </c>
    </row>
    <row r="71" spans="2:11" x14ac:dyDescent="0.35">
      <c r="B71" s="1" t="s">
        <v>28</v>
      </c>
      <c r="E71" s="43">
        <f>SUMPRODUCT($D$63:$D$67,E63:E67)</f>
        <v>1960</v>
      </c>
      <c r="F71" s="43">
        <f t="shared" ref="F71:K71" si="49">SUMPRODUCT($D$63:$D$67,F63:F67)</f>
        <v>2205</v>
      </c>
      <c r="G71" s="43">
        <f t="shared" si="49"/>
        <v>2464.2500000000005</v>
      </c>
      <c r="H71" s="43">
        <f t="shared" si="49"/>
        <v>2669.6750000000006</v>
      </c>
      <c r="I71" s="43">
        <f t="shared" si="49"/>
        <v>2895.6425000000013</v>
      </c>
      <c r="J71" s="43">
        <f t="shared" si="49"/>
        <v>3144.2067500000012</v>
      </c>
      <c r="K71" s="43">
        <f t="shared" si="49"/>
        <v>3417.6274250000015</v>
      </c>
    </row>
    <row r="72" spans="2:11" x14ac:dyDescent="0.35">
      <c r="B72" s="1" t="s">
        <v>29</v>
      </c>
      <c r="E72" s="17">
        <f>MEDIAN(E63:E67)</f>
        <v>2000</v>
      </c>
      <c r="F72" s="17">
        <f t="shared" ref="F72:K72" si="50">MEDIAN(F63:F67)</f>
        <v>2250</v>
      </c>
      <c r="G72" s="17">
        <f t="shared" si="50"/>
        <v>2500</v>
      </c>
      <c r="H72" s="17">
        <f t="shared" si="50"/>
        <v>2500</v>
      </c>
      <c r="I72" s="17">
        <f t="shared" si="50"/>
        <v>2500</v>
      </c>
      <c r="J72" s="17">
        <f t="shared" si="50"/>
        <v>2500</v>
      </c>
      <c r="K72" s="17">
        <f t="shared" si="50"/>
        <v>2500</v>
      </c>
    </row>
    <row r="74" spans="2:11" x14ac:dyDescent="0.35">
      <c r="B74" s="1" t="s">
        <v>30</v>
      </c>
      <c r="E74" s="17">
        <f>MIN(E63:E67)</f>
        <v>200</v>
      </c>
      <c r="F74" s="17">
        <f t="shared" ref="F74:K74" si="51">MIN(F63:F67)</f>
        <v>225</v>
      </c>
      <c r="G74" s="17">
        <f t="shared" si="51"/>
        <v>250</v>
      </c>
      <c r="H74" s="17">
        <f t="shared" si="51"/>
        <v>250</v>
      </c>
      <c r="I74" s="17">
        <f t="shared" si="51"/>
        <v>250</v>
      </c>
      <c r="J74" s="17">
        <f t="shared" si="51"/>
        <v>250</v>
      </c>
      <c r="K74" s="17">
        <f t="shared" si="51"/>
        <v>250</v>
      </c>
    </row>
    <row r="75" spans="2:11" x14ac:dyDescent="0.35">
      <c r="B75" s="1" t="s">
        <v>31</v>
      </c>
      <c r="E75" s="17">
        <f>MAX(E63:E67)</f>
        <v>8000</v>
      </c>
      <c r="F75" s="17">
        <f t="shared" ref="F75:K75" si="52">MAX(F63:F67)</f>
        <v>9000</v>
      </c>
      <c r="G75" s="17">
        <f t="shared" si="52"/>
        <v>9900.0000000000018</v>
      </c>
      <c r="H75" s="17">
        <f t="shared" si="52"/>
        <v>10890.000000000004</v>
      </c>
      <c r="I75" s="17">
        <f t="shared" si="52"/>
        <v>11979.000000000005</v>
      </c>
      <c r="J75" s="17">
        <f t="shared" si="52"/>
        <v>13176.900000000007</v>
      </c>
      <c r="K75" s="17">
        <f t="shared" si="52"/>
        <v>14494.590000000009</v>
      </c>
    </row>
    <row r="76" spans="2:11" x14ac:dyDescent="0.35">
      <c r="B76" s="1" t="s">
        <v>32</v>
      </c>
      <c r="D76" s="40">
        <v>3</v>
      </c>
      <c r="E76" s="17">
        <f>SMALL(E63:E67,$D$76)</f>
        <v>2000</v>
      </c>
      <c r="F76" s="17">
        <f t="shared" ref="F76:K76" si="53">SMALL(F63:F67,$D$76)</f>
        <v>2250</v>
      </c>
      <c r="G76" s="17">
        <f t="shared" si="53"/>
        <v>2500</v>
      </c>
      <c r="H76" s="17">
        <f t="shared" si="53"/>
        <v>2500</v>
      </c>
      <c r="I76" s="17">
        <f t="shared" si="53"/>
        <v>2500</v>
      </c>
      <c r="J76" s="17">
        <f t="shared" si="53"/>
        <v>2500</v>
      </c>
      <c r="K76" s="17">
        <f t="shared" si="53"/>
        <v>2500</v>
      </c>
    </row>
    <row r="77" spans="2:11" x14ac:dyDescent="0.35">
      <c r="B77" s="1" t="s">
        <v>33</v>
      </c>
      <c r="D77" s="40">
        <v>3</v>
      </c>
      <c r="E77" s="17">
        <f>LARGE(E63:E67,$D$77)</f>
        <v>2000</v>
      </c>
      <c r="F77" s="17">
        <f t="shared" ref="F77:K77" si="54">LARGE(F63:F67,$D$77)</f>
        <v>2250</v>
      </c>
      <c r="G77" s="17">
        <f t="shared" si="54"/>
        <v>2500</v>
      </c>
      <c r="H77" s="17">
        <f t="shared" si="54"/>
        <v>2500</v>
      </c>
      <c r="I77" s="17">
        <f t="shared" si="54"/>
        <v>2500</v>
      </c>
      <c r="J77" s="17">
        <f t="shared" si="54"/>
        <v>2500</v>
      </c>
      <c r="K77" s="17">
        <f t="shared" si="54"/>
        <v>2500</v>
      </c>
    </row>
    <row r="80" spans="2:11" x14ac:dyDescent="0.35">
      <c r="B80" s="1" t="s">
        <v>35</v>
      </c>
    </row>
    <row r="82" spans="2:11" x14ac:dyDescent="0.35">
      <c r="B82" s="1" t="str">
        <f>"if &lt; "&amp;C82</f>
        <v>if &lt; 18000</v>
      </c>
      <c r="C82" s="40">
        <v>18000</v>
      </c>
      <c r="E82">
        <f>IF(E68&lt;$C$82,E68,0)</f>
        <v>13700</v>
      </c>
      <c r="F82">
        <f t="shared" ref="F82:K82" si="55">IF(F68&lt;$C$82,F68,0)</f>
        <v>15412.5</v>
      </c>
      <c r="G82">
        <f t="shared" si="55"/>
        <v>17146.250000000004</v>
      </c>
      <c r="H82">
        <f t="shared" si="55"/>
        <v>0</v>
      </c>
      <c r="I82">
        <f t="shared" si="55"/>
        <v>0</v>
      </c>
      <c r="J82">
        <f t="shared" si="55"/>
        <v>0</v>
      </c>
      <c r="K82">
        <f t="shared" si="55"/>
        <v>0</v>
      </c>
    </row>
    <row r="83" spans="2:11" x14ac:dyDescent="0.35">
      <c r="B83" s="1" t="str">
        <f>"if &gt;= "&amp;C83</f>
        <v>if &gt;= 18000</v>
      </c>
      <c r="C83">
        <f>C82</f>
        <v>18000</v>
      </c>
      <c r="E83" s="17">
        <f>IF(E68&gt;=$C$83,E68,0)</f>
        <v>0</v>
      </c>
      <c r="F83" s="17">
        <f t="shared" ref="F83:K83" si="56">IF(F68&gt;=$C$83,F68,0)</f>
        <v>0</v>
      </c>
      <c r="G83" s="17">
        <f t="shared" si="56"/>
        <v>0</v>
      </c>
      <c r="H83" s="17">
        <f t="shared" si="56"/>
        <v>18668.375000000004</v>
      </c>
      <c r="I83" s="17">
        <f t="shared" si="56"/>
        <v>20342.712500000009</v>
      </c>
      <c r="J83" s="17">
        <f t="shared" si="56"/>
        <v>22184.48375000001</v>
      </c>
      <c r="K83" s="17">
        <f t="shared" si="56"/>
        <v>24210.432125000014</v>
      </c>
    </row>
    <row r="84" spans="2:11" x14ac:dyDescent="0.35">
      <c r="B84" s="1" t="s">
        <v>26</v>
      </c>
      <c r="E84" s="17">
        <f>SUM(E82:E83)</f>
        <v>13700</v>
      </c>
      <c r="F84" s="17">
        <f t="shared" ref="F84:K84" si="57">SUM(F82:F83)</f>
        <v>15412.5</v>
      </c>
      <c r="G84" s="17">
        <f t="shared" si="57"/>
        <v>17146.250000000004</v>
      </c>
      <c r="H84" s="17">
        <f t="shared" si="57"/>
        <v>18668.375000000004</v>
      </c>
      <c r="I84" s="17">
        <f t="shared" si="57"/>
        <v>20342.712500000009</v>
      </c>
      <c r="J84" s="17">
        <f t="shared" si="57"/>
        <v>22184.48375000001</v>
      </c>
      <c r="K84" s="17">
        <f t="shared" si="57"/>
        <v>24210.432125000014</v>
      </c>
    </row>
    <row r="86" spans="2:11" x14ac:dyDescent="0.35">
      <c r="B86" s="1" t="s">
        <v>36</v>
      </c>
      <c r="E86" t="str">
        <f>IF(E84=E68,"Ok","Error")</f>
        <v>Ok</v>
      </c>
      <c r="F86" t="str">
        <f t="shared" ref="F86:K86" si="58">IF(F84=F68,"Ok","Error")</f>
        <v>Ok</v>
      </c>
      <c r="G86" t="str">
        <f t="shared" si="58"/>
        <v>Ok</v>
      </c>
      <c r="H86" t="str">
        <f t="shared" si="58"/>
        <v>Ok</v>
      </c>
      <c r="I86" t="str">
        <f t="shared" si="58"/>
        <v>Ok</v>
      </c>
      <c r="J86" t="str">
        <f t="shared" si="58"/>
        <v>Ok</v>
      </c>
      <c r="K86" t="str">
        <f t="shared" si="58"/>
        <v>Ok</v>
      </c>
    </row>
  </sheetData>
  <conditionalFormatting sqref="B30:K39">
    <cfRule type="cellIs" dxfId="1" priority="2" operator="lessThan">
      <formula>0.1</formula>
    </cfRule>
  </conditionalFormatting>
  <conditionalFormatting sqref="E47:K47">
    <cfRule type="cellIs" dxfId="0" priority="1" operator="greaterThan">
      <formula>15000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1EFA-5D0B-4F28-A3C9-22D34D51722F}">
  <dimension ref="B3:C12"/>
  <sheetViews>
    <sheetView showGridLines="0" workbookViewId="0">
      <selection activeCell="C12" sqref="C12"/>
    </sheetView>
  </sheetViews>
  <sheetFormatPr defaultRowHeight="14.5" x14ac:dyDescent="0.35"/>
  <cols>
    <col min="1" max="1" width="4.08984375" customWidth="1"/>
    <col min="2" max="2" width="15.81640625" customWidth="1"/>
  </cols>
  <sheetData>
    <row r="3" spans="2:3" x14ac:dyDescent="0.35">
      <c r="B3" s="1" t="s">
        <v>44</v>
      </c>
      <c r="C3" s="50">
        <v>0.04</v>
      </c>
    </row>
    <row r="4" spans="2:3" x14ac:dyDescent="0.35">
      <c r="B4" s="1" t="s">
        <v>45</v>
      </c>
      <c r="C4" s="50">
        <v>0.1</v>
      </c>
    </row>
    <row r="5" spans="2:3" x14ac:dyDescent="0.35">
      <c r="B5" s="1" t="s">
        <v>38</v>
      </c>
      <c r="C5" s="40">
        <v>1.25</v>
      </c>
    </row>
    <row r="6" spans="2:3" x14ac:dyDescent="0.35">
      <c r="B6" s="1" t="s">
        <v>46</v>
      </c>
      <c r="C6" s="50">
        <v>0.14000000000000001</v>
      </c>
    </row>
    <row r="7" spans="2:3" x14ac:dyDescent="0.35">
      <c r="B7" s="1" t="s">
        <v>47</v>
      </c>
      <c r="C7" s="50">
        <v>0.3</v>
      </c>
    </row>
    <row r="8" spans="2:3" x14ac:dyDescent="0.35">
      <c r="B8" s="1" t="s">
        <v>48</v>
      </c>
      <c r="C8" s="51">
        <v>125000</v>
      </c>
    </row>
    <row r="9" spans="2:3" x14ac:dyDescent="0.35">
      <c r="B9" s="1" t="s">
        <v>49</v>
      </c>
      <c r="C9" s="51">
        <v>125000</v>
      </c>
    </row>
    <row r="10" spans="2:3" x14ac:dyDescent="0.35">
      <c r="B10" s="1"/>
    </row>
    <row r="11" spans="2:3" x14ac:dyDescent="0.35">
      <c r="B11" s="1"/>
    </row>
    <row r="12" spans="2:3" x14ac:dyDescent="0.35">
      <c r="B12" s="1" t="s">
        <v>43</v>
      </c>
      <c r="C12" s="33">
        <f>(RiskfreeRate+Beta*(MarketReturns-RiskfreeRate))*EquityValue/(EquityValue+DebtValue)+(CostofDebt*(1-TaxRate)*DebtValue/(EquityValue+DebtValue))</f>
        <v>0.10650000000000001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FED0-5C56-444B-814B-705FAA71F987}">
  <dimension ref="B3:C18"/>
  <sheetViews>
    <sheetView showGridLines="0" workbookViewId="0">
      <selection activeCell="C4" sqref="C4"/>
    </sheetView>
  </sheetViews>
  <sheetFormatPr defaultRowHeight="14.5" x14ac:dyDescent="0.35"/>
  <cols>
    <col min="1" max="1" width="4.90625" customWidth="1"/>
    <col min="2" max="2" width="19.81640625" customWidth="1"/>
  </cols>
  <sheetData>
    <row r="3" spans="2:3" x14ac:dyDescent="0.35">
      <c r="B3" s="15" t="s">
        <v>50</v>
      </c>
      <c r="C3" s="45">
        <v>0.04</v>
      </c>
    </row>
    <row r="4" spans="2:3" x14ac:dyDescent="0.35">
      <c r="B4" s="15" t="s">
        <v>37</v>
      </c>
      <c r="C4" s="45">
        <v>0.1</v>
      </c>
    </row>
    <row r="5" spans="2:3" x14ac:dyDescent="0.35">
      <c r="B5" s="15" t="s">
        <v>51</v>
      </c>
      <c r="C5" s="44">
        <f>Market_Returns-Risk_Free_Rate</f>
        <v>6.0000000000000005E-2</v>
      </c>
    </row>
    <row r="6" spans="2:3" x14ac:dyDescent="0.35">
      <c r="B6" s="15" t="s">
        <v>38</v>
      </c>
      <c r="C6" s="48">
        <v>1.25</v>
      </c>
    </row>
    <row r="7" spans="2:3" x14ac:dyDescent="0.35">
      <c r="B7" s="47" t="s">
        <v>52</v>
      </c>
      <c r="C7" s="52">
        <f>Risk_Free_Rate+C6*(Market_Returns-Risk_Free_Rate)</f>
        <v>0.11500000000000002</v>
      </c>
    </row>
    <row r="8" spans="2:3" x14ac:dyDescent="0.35">
      <c r="B8" s="15"/>
      <c r="C8" s="15"/>
    </row>
    <row r="9" spans="2:3" x14ac:dyDescent="0.35">
      <c r="B9" s="15" t="s">
        <v>39</v>
      </c>
      <c r="C9" s="45">
        <v>0.14000000000000001</v>
      </c>
    </row>
    <row r="10" spans="2:3" x14ac:dyDescent="0.35">
      <c r="B10" s="15" t="s">
        <v>40</v>
      </c>
      <c r="C10" s="49">
        <v>0.3</v>
      </c>
    </row>
    <row r="11" spans="2:3" x14ac:dyDescent="0.35">
      <c r="B11" s="47" t="s">
        <v>53</v>
      </c>
      <c r="C11" s="52" cm="1">
        <f t="array" ref="C11">Cost_of_Debt*(1-Tax_Rate)</f>
        <v>9.8000000000000004E-2</v>
      </c>
    </row>
    <row r="12" spans="2:3" x14ac:dyDescent="0.35">
      <c r="B12" s="15"/>
      <c r="C12" s="15"/>
    </row>
    <row r="13" spans="2:3" x14ac:dyDescent="0.35">
      <c r="B13" s="15" t="s">
        <v>41</v>
      </c>
      <c r="C13" s="10">
        <v>125000</v>
      </c>
    </row>
    <row r="14" spans="2:3" x14ac:dyDescent="0.35">
      <c r="B14" s="15" t="s">
        <v>42</v>
      </c>
      <c r="C14" s="10">
        <v>125000</v>
      </c>
    </row>
    <row r="15" spans="2:3" x14ac:dyDescent="0.35">
      <c r="B15" s="15" t="s">
        <v>54</v>
      </c>
      <c r="C15" s="53">
        <f>Equity_Value/(Equity_Value+Debt_Value)</f>
        <v>0.5</v>
      </c>
    </row>
    <row r="16" spans="2:3" x14ac:dyDescent="0.35">
      <c r="B16" s="15" t="s">
        <v>55</v>
      </c>
      <c r="C16" s="53">
        <f>Debt_Value/(Equity_Value+Debt_Value)</f>
        <v>0.5</v>
      </c>
    </row>
    <row r="18" spans="2:3" x14ac:dyDescent="0.35">
      <c r="B18" s="54" t="s">
        <v>43</v>
      </c>
      <c r="C18" s="33">
        <f>(Cost_of_Equity*Equity_Funding)+(Post_Tax_Cost_of_Debt*Debt_Funding)</f>
        <v>0.10650000000000001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7513-DA07-43E7-B8B6-516802638940}">
  <dimension ref="B4:I15"/>
  <sheetViews>
    <sheetView showGridLines="0" workbookViewId="0">
      <selection activeCell="C4" sqref="C4"/>
    </sheetView>
  </sheetViews>
  <sheetFormatPr defaultRowHeight="14.5" x14ac:dyDescent="0.35"/>
  <cols>
    <col min="1" max="1" width="4.453125" customWidth="1"/>
    <col min="2" max="2" width="15.26953125" customWidth="1"/>
  </cols>
  <sheetData>
    <row r="4" spans="2:9" x14ac:dyDescent="0.35">
      <c r="B4" s="15" t="s">
        <v>56</v>
      </c>
      <c r="C4" s="45">
        <v>0.25</v>
      </c>
      <c r="D4" s="15"/>
      <c r="E4" s="15"/>
      <c r="F4" s="15"/>
      <c r="G4" s="15"/>
      <c r="H4" s="15"/>
      <c r="I4" s="15"/>
    </row>
    <row r="5" spans="2:9" x14ac:dyDescent="0.35">
      <c r="B5" s="15" t="s">
        <v>57</v>
      </c>
      <c r="C5" s="55">
        <f>VLOOKUP(C4,B8:D11,3,1)</f>
        <v>9.5000000000000001E-2</v>
      </c>
      <c r="D5" s="15"/>
      <c r="E5" s="15"/>
      <c r="F5" s="15"/>
      <c r="G5" s="15"/>
      <c r="H5" s="15"/>
      <c r="I5" s="15"/>
    </row>
    <row r="6" spans="2:9" x14ac:dyDescent="0.35">
      <c r="B6" s="15"/>
      <c r="C6" s="15"/>
      <c r="D6" s="15"/>
      <c r="E6" s="15"/>
      <c r="F6" s="15"/>
      <c r="G6" s="15"/>
      <c r="H6" s="15"/>
      <c r="I6" s="15"/>
    </row>
    <row r="7" spans="2:9" ht="29.5" thickBot="1" x14ac:dyDescent="0.4">
      <c r="B7" s="56" t="s">
        <v>56</v>
      </c>
      <c r="C7" s="56" t="s">
        <v>58</v>
      </c>
      <c r="D7" s="56" t="s">
        <v>57</v>
      </c>
      <c r="E7" s="15"/>
      <c r="F7" s="15"/>
      <c r="G7" s="15"/>
      <c r="H7" s="15"/>
      <c r="I7" s="15"/>
    </row>
    <row r="8" spans="2:9" x14ac:dyDescent="0.35">
      <c r="B8" s="45">
        <v>0</v>
      </c>
      <c r="C8" s="10" t="s">
        <v>59</v>
      </c>
      <c r="D8" s="57">
        <v>9.5000000000000001E-2</v>
      </c>
      <c r="E8" s="15"/>
      <c r="F8" s="15"/>
      <c r="G8" s="15"/>
      <c r="H8" s="15"/>
      <c r="I8" s="15"/>
    </row>
    <row r="9" spans="2:9" x14ac:dyDescent="0.35">
      <c r="B9" s="45">
        <v>0.3</v>
      </c>
      <c r="C9" s="10" t="s">
        <v>60</v>
      </c>
      <c r="D9" s="57">
        <v>9.7500000000000003E-2</v>
      </c>
      <c r="E9" s="15"/>
      <c r="F9" s="15"/>
      <c r="G9" s="15"/>
      <c r="H9" s="15"/>
      <c r="I9" s="15"/>
    </row>
    <row r="10" spans="2:9" x14ac:dyDescent="0.35">
      <c r="B10" s="45">
        <v>0.5</v>
      </c>
      <c r="C10" s="10" t="s">
        <v>61</v>
      </c>
      <c r="D10" s="57">
        <v>0.1225</v>
      </c>
      <c r="E10" s="15"/>
      <c r="F10" s="15"/>
      <c r="G10" s="15"/>
      <c r="H10" s="15"/>
      <c r="I10" s="15"/>
    </row>
    <row r="11" spans="2:9" x14ac:dyDescent="0.35">
      <c r="B11" s="45">
        <v>0.6</v>
      </c>
      <c r="C11" s="10" t="s">
        <v>62</v>
      </c>
      <c r="D11" s="57">
        <v>0.13750000000000001</v>
      </c>
      <c r="E11" s="15"/>
      <c r="F11" s="15"/>
      <c r="G11" s="15"/>
      <c r="H11" s="15"/>
      <c r="I11" s="15"/>
    </row>
    <row r="12" spans="2:9" x14ac:dyDescent="0.35">
      <c r="B12" s="15"/>
      <c r="C12" s="15"/>
      <c r="D12" s="15"/>
      <c r="E12" s="15"/>
      <c r="F12" s="15"/>
      <c r="G12" s="15"/>
      <c r="H12" s="15"/>
      <c r="I12" s="15"/>
    </row>
    <row r="13" spans="2:9" x14ac:dyDescent="0.35">
      <c r="B13" s="15"/>
      <c r="C13" s="15"/>
      <c r="D13" s="15"/>
      <c r="E13" s="15"/>
      <c r="F13" s="15"/>
      <c r="G13" s="15"/>
      <c r="H13" s="15"/>
      <c r="I13" s="15"/>
    </row>
    <row r="14" spans="2:9" x14ac:dyDescent="0.35">
      <c r="B14" s="15"/>
      <c r="C14" s="45"/>
      <c r="D14" s="15"/>
      <c r="E14" s="15"/>
      <c r="F14" s="15"/>
      <c r="G14" s="15"/>
      <c r="H14" s="15"/>
      <c r="I14" s="15"/>
    </row>
    <row r="15" spans="2:9" x14ac:dyDescent="0.35">
      <c r="B15" s="15"/>
      <c r="C15" s="46"/>
      <c r="D15" s="14"/>
      <c r="E15" s="15"/>
      <c r="F15" s="15"/>
      <c r="G15" s="15"/>
      <c r="H15" s="15"/>
      <c r="I1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F807-7734-45C6-8EFC-635D2E8DC902}">
  <dimension ref="B2:C21"/>
  <sheetViews>
    <sheetView showGridLines="0" workbookViewId="0">
      <selection activeCell="B2" sqref="B2:C8"/>
    </sheetView>
  </sheetViews>
  <sheetFormatPr defaultRowHeight="14.5" x14ac:dyDescent="0.35"/>
  <cols>
    <col min="1" max="1" width="4.36328125" customWidth="1"/>
    <col min="2" max="2" width="16.6328125" customWidth="1"/>
    <col min="3" max="3" width="10.81640625" customWidth="1"/>
    <col min="4" max="4" width="9.54296875" customWidth="1"/>
  </cols>
  <sheetData>
    <row r="2" spans="2:3" x14ac:dyDescent="0.35">
      <c r="B2" s="15" t="s">
        <v>63</v>
      </c>
      <c r="C2" s="9">
        <v>14500</v>
      </c>
    </row>
    <row r="3" spans="2:3" x14ac:dyDescent="0.35">
      <c r="B3" s="15" t="s">
        <v>64</v>
      </c>
      <c r="C3" s="57">
        <v>0.1</v>
      </c>
    </row>
    <row r="4" spans="2:3" x14ac:dyDescent="0.35">
      <c r="B4" s="15" t="s">
        <v>65</v>
      </c>
      <c r="C4" s="57">
        <v>0.6</v>
      </c>
    </row>
    <row r="5" spans="2:3" x14ac:dyDescent="0.35">
      <c r="B5" s="15"/>
      <c r="C5" s="15"/>
    </row>
    <row r="6" spans="2:3" x14ac:dyDescent="0.35">
      <c r="B6" s="15" t="s">
        <v>66</v>
      </c>
      <c r="C6" s="8">
        <f>C2*(1+C3)</f>
        <v>15950.000000000002</v>
      </c>
    </row>
    <row r="7" spans="2:3" ht="15" thickBot="1" x14ac:dyDescent="0.4">
      <c r="B7" s="15" t="s">
        <v>67</v>
      </c>
      <c r="C7" s="58">
        <f>C6*(1-C4)</f>
        <v>6380.0000000000009</v>
      </c>
    </row>
    <row r="8" spans="2:3" ht="15" thickBot="1" x14ac:dyDescent="0.4">
      <c r="B8" s="15" t="s">
        <v>3</v>
      </c>
      <c r="C8" s="59">
        <f>C6-C7</f>
        <v>9570</v>
      </c>
    </row>
    <row r="9" spans="2:3" ht="15" thickTop="1" x14ac:dyDescent="0.35"/>
    <row r="11" spans="2:3" x14ac:dyDescent="0.35">
      <c r="B11" s="60" t="s">
        <v>64</v>
      </c>
      <c r="C11" s="61" t="s">
        <v>3</v>
      </c>
    </row>
    <row r="12" spans="2:3" x14ac:dyDescent="0.35">
      <c r="C12" s="66">
        <f>C8</f>
        <v>9570</v>
      </c>
    </row>
    <row r="13" spans="2:3" x14ac:dyDescent="0.35">
      <c r="B13" s="62">
        <v>0.08</v>
      </c>
      <c r="C13" s="8">
        <f t="dataTable" ref="C13:C21" dt2D="0" dtr="0" r1="C3"/>
        <v>9396</v>
      </c>
    </row>
    <row r="14" spans="2:3" x14ac:dyDescent="0.35">
      <c r="B14" s="62">
        <v>0.1</v>
      </c>
      <c r="C14" s="8">
        <v>9570</v>
      </c>
    </row>
    <row r="15" spans="2:3" x14ac:dyDescent="0.35">
      <c r="B15" s="62">
        <v>0.12</v>
      </c>
      <c r="C15" s="8">
        <v>9744</v>
      </c>
    </row>
    <row r="16" spans="2:3" x14ac:dyDescent="0.35">
      <c r="B16" s="62">
        <f>B15+2%</f>
        <v>0.13999999999999999</v>
      </c>
      <c r="C16" s="8">
        <v>9918</v>
      </c>
    </row>
    <row r="17" spans="2:3" x14ac:dyDescent="0.35">
      <c r="B17" s="62">
        <f t="shared" ref="B17:B20" si="0">B16+2%</f>
        <v>0.15999999999999998</v>
      </c>
      <c r="C17" s="8">
        <v>10092</v>
      </c>
    </row>
    <row r="18" spans="2:3" x14ac:dyDescent="0.35">
      <c r="B18" s="62">
        <f t="shared" si="0"/>
        <v>0.17999999999999997</v>
      </c>
      <c r="C18" s="8">
        <v>10266</v>
      </c>
    </row>
    <row r="19" spans="2:3" x14ac:dyDescent="0.35">
      <c r="B19" s="62">
        <f t="shared" si="0"/>
        <v>0.19999999999999996</v>
      </c>
      <c r="C19" s="8">
        <v>10440</v>
      </c>
    </row>
    <row r="20" spans="2:3" x14ac:dyDescent="0.35">
      <c r="B20" s="62">
        <f t="shared" si="0"/>
        <v>0.21999999999999995</v>
      </c>
      <c r="C20" s="8">
        <v>10614</v>
      </c>
    </row>
    <row r="21" spans="2:3" x14ac:dyDescent="0.35">
      <c r="B21" s="62">
        <f>B20+2%</f>
        <v>0.23999999999999994</v>
      </c>
      <c r="C21" s="8">
        <v>10788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6E05-E76E-41F5-8A31-22C2E72BEE7C}">
  <sheetPr>
    <outlinePr summaryBelow="0"/>
  </sheetPr>
  <dimension ref="B1:G15"/>
  <sheetViews>
    <sheetView showGridLines="0" workbookViewId="0"/>
  </sheetViews>
  <sheetFormatPr defaultRowHeight="14.5" outlineLevelRow="1" outlineLevelCol="1" x14ac:dyDescent="0.35"/>
  <cols>
    <col min="3" max="3" width="5.90625" bestFit="1" customWidth="1"/>
    <col min="4" max="7" width="12.54296875" bestFit="1" customWidth="1" outlineLevel="1"/>
  </cols>
  <sheetData>
    <row r="1" spans="2:7" ht="15" thickBot="1" x14ac:dyDescent="0.4"/>
    <row r="2" spans="2:7" ht="15.5" x14ac:dyDescent="0.35">
      <c r="B2" s="81" t="s">
        <v>78</v>
      </c>
      <c r="C2" s="81"/>
      <c r="D2" s="86"/>
      <c r="E2" s="86"/>
      <c r="F2" s="86"/>
      <c r="G2" s="86"/>
    </row>
    <row r="3" spans="2:7" ht="15.5" collapsed="1" x14ac:dyDescent="0.35">
      <c r="B3" s="80"/>
      <c r="C3" s="80"/>
      <c r="D3" s="87" t="s">
        <v>80</v>
      </c>
      <c r="E3" s="87" t="s">
        <v>74</v>
      </c>
      <c r="F3" s="87" t="s">
        <v>76</v>
      </c>
      <c r="G3" s="87" t="s">
        <v>77</v>
      </c>
    </row>
    <row r="4" spans="2:7" ht="42" hidden="1" outlineLevel="1" x14ac:dyDescent="0.35">
      <c r="B4" s="83"/>
      <c r="C4" s="83"/>
      <c r="D4" s="76"/>
      <c r="E4" s="90" t="s">
        <v>75</v>
      </c>
      <c r="F4" s="90" t="s">
        <v>75</v>
      </c>
      <c r="G4" s="90" t="s">
        <v>75</v>
      </c>
    </row>
    <row r="5" spans="2:7" x14ac:dyDescent="0.35">
      <c r="B5" s="84" t="s">
        <v>79</v>
      </c>
      <c r="C5" s="84"/>
      <c r="D5" s="82"/>
      <c r="E5" s="82"/>
      <c r="F5" s="82"/>
      <c r="G5" s="82"/>
    </row>
    <row r="6" spans="2:7" outlineLevel="1" x14ac:dyDescent="0.35">
      <c r="B6" s="83"/>
      <c r="C6" s="83" t="s">
        <v>68</v>
      </c>
      <c r="D6" s="77">
        <v>14500</v>
      </c>
      <c r="E6" s="88">
        <v>14500</v>
      </c>
      <c r="F6" s="88">
        <v>13500</v>
      </c>
      <c r="G6" s="88">
        <v>15500</v>
      </c>
    </row>
    <row r="7" spans="2:7" outlineLevel="1" x14ac:dyDescent="0.35">
      <c r="B7" s="83"/>
      <c r="C7" s="83" t="s">
        <v>69</v>
      </c>
      <c r="D7" s="78">
        <v>0.1</v>
      </c>
      <c r="E7" s="89">
        <v>0.1</v>
      </c>
      <c r="F7" s="89">
        <v>7.0000000000000007E-2</v>
      </c>
      <c r="G7" s="89">
        <v>0.15</v>
      </c>
    </row>
    <row r="8" spans="2:7" outlineLevel="1" x14ac:dyDescent="0.35">
      <c r="B8" s="83"/>
      <c r="C8" s="83" t="s">
        <v>70</v>
      </c>
      <c r="D8" s="78">
        <v>0.6</v>
      </c>
      <c r="E8" s="89">
        <v>0.6</v>
      </c>
      <c r="F8" s="89">
        <v>0.5</v>
      </c>
      <c r="G8" s="89">
        <v>0.7</v>
      </c>
    </row>
    <row r="9" spans="2:7" x14ac:dyDescent="0.35">
      <c r="B9" s="84" t="s">
        <v>81</v>
      </c>
      <c r="C9" s="84"/>
      <c r="D9" s="82"/>
      <c r="E9" s="82"/>
      <c r="F9" s="82"/>
      <c r="G9" s="82"/>
    </row>
    <row r="10" spans="2:7" outlineLevel="1" x14ac:dyDescent="0.35">
      <c r="B10" s="83"/>
      <c r="C10" s="83" t="s">
        <v>71</v>
      </c>
      <c r="D10" s="77">
        <v>15950</v>
      </c>
      <c r="E10" s="77">
        <v>15950</v>
      </c>
      <c r="F10" s="77">
        <v>14445</v>
      </c>
      <c r="G10" s="77">
        <v>17825</v>
      </c>
    </row>
    <row r="11" spans="2:7" outlineLevel="1" x14ac:dyDescent="0.35">
      <c r="B11" s="83"/>
      <c r="C11" s="83" t="s">
        <v>72</v>
      </c>
      <c r="D11" s="77">
        <v>6380</v>
      </c>
      <c r="E11" s="77">
        <v>6380</v>
      </c>
      <c r="F11" s="77">
        <v>7222.5</v>
      </c>
      <c r="G11" s="77">
        <v>5347.5</v>
      </c>
    </row>
    <row r="12" spans="2:7" ht="15" outlineLevel="1" thickBot="1" x14ac:dyDescent="0.4">
      <c r="B12" s="85"/>
      <c r="C12" s="85" t="s">
        <v>73</v>
      </c>
      <c r="D12" s="79">
        <v>9570</v>
      </c>
      <c r="E12" s="79">
        <v>9570</v>
      </c>
      <c r="F12" s="79">
        <v>7222.5</v>
      </c>
      <c r="G12" s="79">
        <v>12477.5</v>
      </c>
    </row>
    <row r="13" spans="2:7" x14ac:dyDescent="0.35">
      <c r="B13" t="s">
        <v>82</v>
      </c>
    </row>
    <row r="14" spans="2:7" x14ac:dyDescent="0.35">
      <c r="B14" t="s">
        <v>83</v>
      </c>
    </row>
    <row r="15" spans="2:7" x14ac:dyDescent="0.35">
      <c r="B15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D586-2E93-42D6-9F66-E9B9379CC6A4}">
  <dimension ref="B4:J25"/>
  <sheetViews>
    <sheetView showGridLines="0" tabSelected="1" workbookViewId="0">
      <selection activeCell="G9" sqref="G9"/>
    </sheetView>
  </sheetViews>
  <sheetFormatPr defaultRowHeight="14.5" x14ac:dyDescent="0.35"/>
  <cols>
    <col min="1" max="1" width="4.36328125" customWidth="1"/>
    <col min="2" max="2" width="18.08984375" customWidth="1"/>
    <col min="3" max="3" width="9.81640625" bestFit="1" customWidth="1"/>
    <col min="4" max="10" width="10.6328125" customWidth="1"/>
  </cols>
  <sheetData>
    <row r="4" spans="2:10" x14ac:dyDescent="0.35">
      <c r="B4" s="15" t="s">
        <v>63</v>
      </c>
      <c r="C4" s="91">
        <v>14500</v>
      </c>
    </row>
    <row r="5" spans="2:10" x14ac:dyDescent="0.35">
      <c r="B5" s="15" t="s">
        <v>64</v>
      </c>
      <c r="C5" s="92">
        <v>0.2</v>
      </c>
    </row>
    <row r="6" spans="2:10" x14ac:dyDescent="0.35">
      <c r="B6" s="15" t="s">
        <v>65</v>
      </c>
      <c r="C6" s="92">
        <v>0.8</v>
      </c>
    </row>
    <row r="7" spans="2:10" x14ac:dyDescent="0.35">
      <c r="B7" s="15"/>
      <c r="C7" s="15"/>
    </row>
    <row r="8" spans="2:10" x14ac:dyDescent="0.35">
      <c r="B8" s="15" t="s">
        <v>66</v>
      </c>
      <c r="C8" s="8">
        <f>C4*(1+C5)</f>
        <v>17400</v>
      </c>
    </row>
    <row r="9" spans="2:10" ht="15" thickBot="1" x14ac:dyDescent="0.4">
      <c r="B9" s="15" t="s">
        <v>67</v>
      </c>
      <c r="C9" s="58">
        <f>C8*(1-C6)</f>
        <v>3479.9999999999991</v>
      </c>
    </row>
    <row r="10" spans="2:10" ht="15" thickBot="1" x14ac:dyDescent="0.4">
      <c r="B10" s="15" t="s">
        <v>3</v>
      </c>
      <c r="C10" s="59">
        <f>C8-C9</f>
        <v>13920</v>
      </c>
    </row>
    <row r="11" spans="2:10" ht="15" thickTop="1" x14ac:dyDescent="0.35"/>
    <row r="15" spans="2:10" x14ac:dyDescent="0.35">
      <c r="B15" s="63"/>
      <c r="C15" s="29"/>
      <c r="D15" s="68" t="s">
        <v>65</v>
      </c>
      <c r="E15" s="68"/>
      <c r="F15" s="68"/>
      <c r="G15" s="68"/>
      <c r="H15" s="68"/>
      <c r="I15" s="68"/>
      <c r="J15" s="69"/>
    </row>
    <row r="16" spans="2:10" x14ac:dyDescent="0.35">
      <c r="B16" s="64"/>
      <c r="C16" s="74">
        <f>C10</f>
        <v>13920</v>
      </c>
      <c r="D16" s="67">
        <v>0.4</v>
      </c>
      <c r="E16" s="67">
        <v>0.5</v>
      </c>
      <c r="F16" s="67">
        <v>0.6</v>
      </c>
      <c r="G16" s="67">
        <v>0.7</v>
      </c>
      <c r="H16" s="67">
        <v>0.8</v>
      </c>
      <c r="I16" s="67">
        <v>0.9</v>
      </c>
      <c r="J16" s="70"/>
    </row>
    <row r="17" spans="2:10" x14ac:dyDescent="0.35">
      <c r="B17" s="64"/>
      <c r="C17" s="67">
        <v>0.08</v>
      </c>
      <c r="D17" s="65">
        <f t="dataTable" ref="D17:I25" dt2D="1" dtr="1" r1="C6" r2="C5"/>
        <v>6264.0000000000018</v>
      </c>
      <c r="E17" s="65">
        <v>7830.0000000000009</v>
      </c>
      <c r="F17" s="65">
        <v>9396</v>
      </c>
      <c r="G17" s="65">
        <v>10962</v>
      </c>
      <c r="H17" s="65">
        <v>12528.000000000002</v>
      </c>
      <c r="I17" s="65">
        <v>14094.000000000002</v>
      </c>
      <c r="J17" s="70"/>
    </row>
    <row r="18" spans="2:10" x14ac:dyDescent="0.35">
      <c r="B18" s="64"/>
      <c r="C18" s="67">
        <v>0.1</v>
      </c>
      <c r="D18" s="65">
        <v>6380.0000000000018</v>
      </c>
      <c r="E18" s="65">
        <v>7975.0000000000009</v>
      </c>
      <c r="F18" s="65">
        <v>9570</v>
      </c>
      <c r="G18" s="65">
        <v>11165</v>
      </c>
      <c r="H18" s="65">
        <v>12760.000000000002</v>
      </c>
      <c r="I18" s="65">
        <v>14355.000000000002</v>
      </c>
      <c r="J18" s="70"/>
    </row>
    <row r="19" spans="2:10" x14ac:dyDescent="0.35">
      <c r="B19" s="64"/>
      <c r="C19" s="67">
        <v>0.12</v>
      </c>
      <c r="D19" s="65">
        <v>6496.0000000000018</v>
      </c>
      <c r="E19" s="65">
        <v>8120.0000000000009</v>
      </c>
      <c r="F19" s="65">
        <v>9744</v>
      </c>
      <c r="G19" s="65">
        <v>11368</v>
      </c>
      <c r="H19" s="65">
        <v>12992.000000000002</v>
      </c>
      <c r="I19" s="65">
        <v>14616.000000000002</v>
      </c>
      <c r="J19" s="70"/>
    </row>
    <row r="20" spans="2:10" x14ac:dyDescent="0.35">
      <c r="B20" s="64"/>
      <c r="C20" s="67">
        <f>C19+2%</f>
        <v>0.13999999999999999</v>
      </c>
      <c r="D20" s="65">
        <v>6612</v>
      </c>
      <c r="E20" s="65">
        <v>8265</v>
      </c>
      <c r="F20" s="65">
        <v>9918</v>
      </c>
      <c r="G20" s="65">
        <v>11571</v>
      </c>
      <c r="H20" s="65">
        <v>13224</v>
      </c>
      <c r="I20" s="65">
        <v>14877</v>
      </c>
      <c r="J20" s="70"/>
    </row>
    <row r="21" spans="2:10" x14ac:dyDescent="0.35">
      <c r="B21" s="71" t="s">
        <v>64</v>
      </c>
      <c r="C21" s="67">
        <f t="shared" ref="C21:C24" si="0">C20+2%</f>
        <v>0.15999999999999998</v>
      </c>
      <c r="D21" s="65">
        <v>6728</v>
      </c>
      <c r="E21" s="65">
        <v>8410</v>
      </c>
      <c r="F21" s="65">
        <v>10092</v>
      </c>
      <c r="G21" s="65">
        <v>11774</v>
      </c>
      <c r="H21" s="65">
        <v>13456</v>
      </c>
      <c r="I21" s="65">
        <v>15138</v>
      </c>
      <c r="J21" s="70"/>
    </row>
    <row r="22" spans="2:10" x14ac:dyDescent="0.35">
      <c r="B22" s="64"/>
      <c r="C22" s="67">
        <f t="shared" si="0"/>
        <v>0.17999999999999997</v>
      </c>
      <c r="D22" s="65">
        <v>6844</v>
      </c>
      <c r="E22" s="65">
        <v>8555</v>
      </c>
      <c r="F22" s="65">
        <v>10266</v>
      </c>
      <c r="G22" s="65">
        <v>11977</v>
      </c>
      <c r="H22" s="65">
        <v>13688</v>
      </c>
      <c r="I22" s="65">
        <v>15399</v>
      </c>
      <c r="J22" s="70"/>
    </row>
    <row r="23" spans="2:10" x14ac:dyDescent="0.35">
      <c r="B23" s="64"/>
      <c r="C23" s="67">
        <f t="shared" si="0"/>
        <v>0.19999999999999996</v>
      </c>
      <c r="D23" s="65">
        <v>6960</v>
      </c>
      <c r="E23" s="65">
        <v>8700</v>
      </c>
      <c r="F23" s="65">
        <v>10440</v>
      </c>
      <c r="G23" s="65">
        <v>12180</v>
      </c>
      <c r="H23" s="65">
        <v>13920</v>
      </c>
      <c r="I23" s="65">
        <v>15660</v>
      </c>
      <c r="J23" s="70"/>
    </row>
    <row r="24" spans="2:10" x14ac:dyDescent="0.35">
      <c r="B24" s="64"/>
      <c r="C24" s="67">
        <f t="shared" si="0"/>
        <v>0.21999999999999995</v>
      </c>
      <c r="D24" s="65">
        <v>7076</v>
      </c>
      <c r="E24" s="65">
        <v>8845</v>
      </c>
      <c r="F24" s="65">
        <v>10614</v>
      </c>
      <c r="G24" s="65">
        <v>12383</v>
      </c>
      <c r="H24" s="65">
        <v>14152</v>
      </c>
      <c r="I24" s="65">
        <v>15921</v>
      </c>
      <c r="J24" s="70"/>
    </row>
    <row r="25" spans="2:10" x14ac:dyDescent="0.35">
      <c r="B25" s="72"/>
      <c r="C25" s="75">
        <f>C24+2%</f>
        <v>0.23999999999999994</v>
      </c>
      <c r="D25" s="65">
        <v>7192</v>
      </c>
      <c r="E25" s="65">
        <v>8990</v>
      </c>
      <c r="F25" s="65">
        <v>10788</v>
      </c>
      <c r="G25" s="65">
        <v>12586</v>
      </c>
      <c r="H25" s="65">
        <v>14384</v>
      </c>
      <c r="I25" s="65">
        <v>16182</v>
      </c>
      <c r="J25" s="73"/>
    </row>
  </sheetData>
  <scenarios current="0" sqref="C8:C10">
    <scenario name="Base Case" locked="1" count="3" user="Valuation School (Ayush)" comment="Created by Valuation School (Ayush) on 3/26/2026">
      <inputCells r="C4" val="14500" numFmtId="4"/>
      <inputCells r="C5" val="0.1" numFmtId="10"/>
      <inputCells r="C6" val="0.6" numFmtId="10"/>
    </scenario>
    <scenario name="Worst Case" locked="1" count="3" user="Valuation School (Ayush)" comment="Created by Valuation School (Ayush) on 3/26/2026">
      <inputCells r="C4" val="13500" numFmtId="4"/>
      <inputCells r="C5" val="0.07" numFmtId="10"/>
      <inputCells r="C6" val="0.5" numFmtId="10"/>
    </scenario>
    <scenario name="Best Case" locked="1" count="3" user="Valuation School (Ayush)" comment="Created by Valuation School (Ayush) on 3/26/2026">
      <inputCells r="C4" val="15500" numFmtId="4"/>
      <inputCells r="C5" val="0.15" numFmtId="10"/>
      <inputCells r="C6" val="0.7" numFmtId="10"/>
    </scenario>
  </scenarios>
  <mergeCells count="1">
    <mergeCell ref="D15:J15"/>
  </mergeCells>
  <dataValidations count="1">
    <dataValidation type="decimal" errorStyle="warning" allowBlank="1" showInputMessage="1" showErrorMessage="1" errorTitle="Warning" error="You have entered incorrect gross margin.Please Check" promptTitle="Please Note" prompt="Gross margin is profit left after sales, should be less than 100%" sqref="C6" xr:uid="{3A3B696C-1C9B-423E-8C43-E9B4CFC150B9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Sheet1</vt:lpstr>
      <vt:lpstr>WACC</vt:lpstr>
      <vt:lpstr>WACC 2</vt:lpstr>
      <vt:lpstr>coupon rate</vt:lpstr>
      <vt:lpstr>Goal Seek</vt:lpstr>
      <vt:lpstr>Scenario Summary</vt:lpstr>
      <vt:lpstr>Scenerio Analysis 1</vt:lpstr>
      <vt:lpstr>Beta</vt:lpstr>
      <vt:lpstr>Cost_of_Debt</vt:lpstr>
      <vt:lpstr>Cost_of_Equity</vt:lpstr>
      <vt:lpstr>CostofDebt</vt:lpstr>
      <vt:lpstr>Debt_Funding</vt:lpstr>
      <vt:lpstr>Debt_Value</vt:lpstr>
      <vt:lpstr>DebtValue</vt:lpstr>
      <vt:lpstr>Equity_Funding</vt:lpstr>
      <vt:lpstr>Equity_Value</vt:lpstr>
      <vt:lpstr>EquityValue</vt:lpstr>
      <vt:lpstr>Market_Returns</vt:lpstr>
      <vt:lpstr>MarketReturns</vt:lpstr>
      <vt:lpstr>Post_Tax_Cost_of_Debt</vt:lpstr>
      <vt:lpstr>Risk_Free_Rate</vt:lpstr>
      <vt:lpstr>RiskfreeRate</vt:lpstr>
      <vt:lpstr>Tax_Rate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2026-03-22T10:56:17Z</dcterms:created>
  <dcterms:modified xsi:type="dcterms:W3CDTF">2026-03-26T18:09:05Z</dcterms:modified>
</cp:coreProperties>
</file>
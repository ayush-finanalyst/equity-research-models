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f78ea0d7aa55a3b/Desktop/"/>
    </mc:Choice>
  </mc:AlternateContent>
  <xr:revisionPtr revIDLastSave="0" documentId="8_{A021EBAD-15C2-49FC-A3EE-533EADD66BE5}" xr6:coauthVersionLast="47" xr6:coauthVersionMax="47" xr10:uidLastSave="{00000000-0000-0000-0000-000000000000}"/>
  <bookViews>
    <workbookView xWindow="-110" yWindow="-110" windowWidth="19420" windowHeight="10300" firstSheet="3" activeTab="6" xr2:uid="{00000000-000D-0000-FFFF-FFFF00000000}"/>
  </bookViews>
  <sheets>
    <sheet name="Quarters" sheetId="3" r:id="rId1"/>
    <sheet name="Balance Sheet" sheetId="2" r:id="rId2"/>
    <sheet name="Cash Flow" sheetId="4" r:id="rId3"/>
    <sheet name="Customization" sheetId="5" r:id="rId4"/>
    <sheet name="Profit &amp; Loss" sheetId="1" r:id="rId5"/>
    <sheet name="Data Sheet" sheetId="6" r:id="rId6"/>
    <sheet name="Teaser" sheetId="7" r:id="rId7"/>
    <sheet name="Input Sheet" sheetId="8" r:id="rId8"/>
    <sheet name="Share Price" sheetId="9" r:id="rId9"/>
  </sheets>
  <definedNames>
    <definedName name="_xlnm.Print_Area" localSheetId="6">Teaser!$A$1:$L$60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7" i="7" l="1"/>
  <c r="K44" i="7"/>
  <c r="K45" i="7"/>
  <c r="D37" i="7"/>
  <c r="D36" i="7"/>
  <c r="D35" i="7"/>
  <c r="D34" i="7"/>
  <c r="D33" i="7"/>
  <c r="D32" i="7"/>
  <c r="D31" i="7"/>
  <c r="D30" i="7"/>
  <c r="D29" i="7"/>
  <c r="D28" i="7"/>
  <c r="E37" i="7"/>
  <c r="E36" i="7"/>
  <c r="E35" i="7"/>
  <c r="E34" i="7"/>
  <c r="E33" i="7"/>
  <c r="E32" i="7"/>
  <c r="E31" i="7"/>
  <c r="E30" i="7"/>
  <c r="E29" i="7"/>
  <c r="E28" i="7"/>
  <c r="C29" i="7"/>
  <c r="C30" i="7"/>
  <c r="C31" i="7"/>
  <c r="C32" i="7"/>
  <c r="C33" i="7"/>
  <c r="C34" i="7"/>
  <c r="C35" i="7"/>
  <c r="C36" i="7"/>
  <c r="C37" i="7"/>
  <c r="C28" i="7"/>
  <c r="B29" i="7"/>
  <c r="B30" i="7"/>
  <c r="B31" i="7"/>
  <c r="B32" i="7"/>
  <c r="B33" i="7"/>
  <c r="B34" i="7"/>
  <c r="B35" i="7"/>
  <c r="B36" i="7"/>
  <c r="B37" i="7"/>
  <c r="B28" i="7"/>
  <c r="J32" i="9"/>
  <c r="J33" i="9"/>
  <c r="J34" i="9"/>
  <c r="J35" i="9"/>
  <c r="J36" i="9"/>
  <c r="J37" i="9"/>
  <c r="J38" i="9"/>
  <c r="J39" i="9"/>
  <c r="J40" i="9"/>
  <c r="J41" i="9"/>
  <c r="E27" i="7"/>
  <c r="D27" i="7"/>
  <c r="C27" i="7"/>
  <c r="D1242" i="9"/>
  <c r="D1241" i="9"/>
  <c r="D1240" i="9"/>
  <c r="D1239" i="9"/>
  <c r="D1238" i="9"/>
  <c r="D1237" i="9"/>
  <c r="D1236" i="9"/>
  <c r="D1235" i="9"/>
  <c r="D1234" i="9"/>
  <c r="D1233" i="9"/>
  <c r="D1232" i="9"/>
  <c r="D1231" i="9"/>
  <c r="D1230" i="9"/>
  <c r="D1229" i="9"/>
  <c r="D1228" i="9"/>
  <c r="D1227" i="9"/>
  <c r="D1226" i="9"/>
  <c r="D1225" i="9"/>
  <c r="D1224" i="9"/>
  <c r="D1223" i="9"/>
  <c r="D1222" i="9"/>
  <c r="D1221" i="9"/>
  <c r="D1220" i="9"/>
  <c r="D1219" i="9"/>
  <c r="D1218" i="9"/>
  <c r="D1217" i="9"/>
  <c r="D1216" i="9"/>
  <c r="D1215" i="9"/>
  <c r="D1214" i="9"/>
  <c r="D1213" i="9"/>
  <c r="D1212" i="9"/>
  <c r="D1211" i="9"/>
  <c r="D1210" i="9"/>
  <c r="D1209" i="9"/>
  <c r="D1208" i="9"/>
  <c r="D1207" i="9"/>
  <c r="D1206" i="9"/>
  <c r="D1205" i="9"/>
  <c r="D1204" i="9"/>
  <c r="D1203" i="9"/>
  <c r="D1202" i="9"/>
  <c r="D1201" i="9"/>
  <c r="D1200" i="9"/>
  <c r="D1199" i="9"/>
  <c r="D1198" i="9"/>
  <c r="D1197" i="9"/>
  <c r="D1196" i="9"/>
  <c r="D1195" i="9"/>
  <c r="D1194" i="9"/>
  <c r="D1193" i="9"/>
  <c r="D1192" i="9"/>
  <c r="D1191" i="9"/>
  <c r="D1190" i="9"/>
  <c r="D1189" i="9"/>
  <c r="D1188" i="9"/>
  <c r="D1187" i="9"/>
  <c r="D1186" i="9"/>
  <c r="D1185" i="9"/>
  <c r="D1184" i="9"/>
  <c r="D1183" i="9"/>
  <c r="D1182" i="9"/>
  <c r="D1181" i="9"/>
  <c r="D1180" i="9"/>
  <c r="D1179" i="9"/>
  <c r="D1178" i="9"/>
  <c r="D1177" i="9"/>
  <c r="D1176" i="9"/>
  <c r="D1175" i="9"/>
  <c r="D1174" i="9"/>
  <c r="D1173" i="9"/>
  <c r="D1172" i="9"/>
  <c r="D1171" i="9"/>
  <c r="D1170" i="9"/>
  <c r="D1169" i="9"/>
  <c r="D1168" i="9"/>
  <c r="D1167" i="9"/>
  <c r="D1166" i="9"/>
  <c r="D1165" i="9"/>
  <c r="D1164" i="9"/>
  <c r="D1163" i="9"/>
  <c r="D1162" i="9"/>
  <c r="D1161" i="9"/>
  <c r="D1160" i="9"/>
  <c r="D1159" i="9"/>
  <c r="D1158" i="9"/>
  <c r="D1157" i="9"/>
  <c r="D1156" i="9"/>
  <c r="D1155" i="9"/>
  <c r="D1154" i="9"/>
  <c r="D1153" i="9"/>
  <c r="D1152" i="9"/>
  <c r="D1151" i="9"/>
  <c r="D1150" i="9"/>
  <c r="D1149" i="9"/>
  <c r="D1148" i="9"/>
  <c r="D1147" i="9"/>
  <c r="D1146" i="9"/>
  <c r="D1145" i="9"/>
  <c r="D1144" i="9"/>
  <c r="D1143" i="9"/>
  <c r="D1142" i="9"/>
  <c r="D1141" i="9"/>
  <c r="D1140" i="9"/>
  <c r="D1139" i="9"/>
  <c r="D1138" i="9"/>
  <c r="D1137" i="9"/>
  <c r="D1136" i="9"/>
  <c r="D1135" i="9"/>
  <c r="D1134" i="9"/>
  <c r="D1133" i="9"/>
  <c r="D1132" i="9"/>
  <c r="D1131" i="9"/>
  <c r="D1130" i="9"/>
  <c r="D1129" i="9"/>
  <c r="D1128" i="9"/>
  <c r="D1127" i="9"/>
  <c r="D1126" i="9"/>
  <c r="D1125" i="9"/>
  <c r="D1124" i="9"/>
  <c r="D1123" i="9"/>
  <c r="D1122" i="9"/>
  <c r="D1121" i="9"/>
  <c r="D1120" i="9"/>
  <c r="D1119" i="9"/>
  <c r="D1118" i="9"/>
  <c r="D1117" i="9"/>
  <c r="D1116" i="9"/>
  <c r="D1115" i="9"/>
  <c r="D1114" i="9"/>
  <c r="D1113" i="9"/>
  <c r="D1112" i="9"/>
  <c r="D1111" i="9"/>
  <c r="D1110" i="9"/>
  <c r="D1109" i="9"/>
  <c r="D1108" i="9"/>
  <c r="D1107" i="9"/>
  <c r="D1106" i="9"/>
  <c r="D1105" i="9"/>
  <c r="D1104" i="9"/>
  <c r="D1103" i="9"/>
  <c r="D1102" i="9"/>
  <c r="D1101" i="9"/>
  <c r="D1100" i="9"/>
  <c r="D1099" i="9"/>
  <c r="D1098" i="9"/>
  <c r="D1097" i="9"/>
  <c r="D1096" i="9"/>
  <c r="D1095" i="9"/>
  <c r="D1094" i="9"/>
  <c r="D1093" i="9"/>
  <c r="D1092" i="9"/>
  <c r="D1091" i="9"/>
  <c r="D1090" i="9"/>
  <c r="D1089" i="9"/>
  <c r="D1088" i="9"/>
  <c r="D1087" i="9"/>
  <c r="D1086" i="9"/>
  <c r="D1085" i="9"/>
  <c r="D1084" i="9"/>
  <c r="D1083" i="9"/>
  <c r="D1082" i="9"/>
  <c r="D1081" i="9"/>
  <c r="D1080" i="9"/>
  <c r="D1079" i="9"/>
  <c r="D1078" i="9"/>
  <c r="D1077" i="9"/>
  <c r="D1076" i="9"/>
  <c r="D1075" i="9"/>
  <c r="D1074" i="9"/>
  <c r="D1073" i="9"/>
  <c r="D1072" i="9"/>
  <c r="D1071" i="9"/>
  <c r="D1070" i="9"/>
  <c r="D1069" i="9"/>
  <c r="D1068" i="9"/>
  <c r="D1067" i="9"/>
  <c r="D1066" i="9"/>
  <c r="D1065" i="9"/>
  <c r="D1064" i="9"/>
  <c r="D1063" i="9"/>
  <c r="D1062" i="9"/>
  <c r="D1061" i="9"/>
  <c r="D1060" i="9"/>
  <c r="D1059" i="9"/>
  <c r="D1058" i="9"/>
  <c r="D1057" i="9"/>
  <c r="D1056" i="9"/>
  <c r="D1055" i="9"/>
  <c r="D1054" i="9"/>
  <c r="D1053" i="9"/>
  <c r="D1052" i="9"/>
  <c r="D1051" i="9"/>
  <c r="D1050" i="9"/>
  <c r="D1049" i="9"/>
  <c r="D1048" i="9"/>
  <c r="D1047" i="9"/>
  <c r="D1046" i="9"/>
  <c r="D1045" i="9"/>
  <c r="D1044" i="9"/>
  <c r="D1043" i="9"/>
  <c r="D1042" i="9"/>
  <c r="D1041" i="9"/>
  <c r="D1040" i="9"/>
  <c r="D1039" i="9"/>
  <c r="D1038" i="9"/>
  <c r="D1037" i="9"/>
  <c r="D1036" i="9"/>
  <c r="D1035" i="9"/>
  <c r="D1034" i="9"/>
  <c r="D1033" i="9"/>
  <c r="D1032" i="9"/>
  <c r="D1031" i="9"/>
  <c r="D1030" i="9"/>
  <c r="D1029" i="9"/>
  <c r="D1028" i="9"/>
  <c r="D1027" i="9"/>
  <c r="D1026" i="9"/>
  <c r="D1025" i="9"/>
  <c r="D1024" i="9"/>
  <c r="D1023" i="9"/>
  <c r="D1022" i="9"/>
  <c r="D1021" i="9"/>
  <c r="D1020" i="9"/>
  <c r="D1019" i="9"/>
  <c r="D1018" i="9"/>
  <c r="D1017" i="9"/>
  <c r="D1016" i="9"/>
  <c r="D1015" i="9"/>
  <c r="D1014" i="9"/>
  <c r="D1013" i="9"/>
  <c r="D1012" i="9"/>
  <c r="D1011" i="9"/>
  <c r="D1010" i="9"/>
  <c r="D1009" i="9"/>
  <c r="D1008" i="9"/>
  <c r="D1007" i="9"/>
  <c r="D1006" i="9"/>
  <c r="D1005" i="9"/>
  <c r="D1004" i="9"/>
  <c r="D1003" i="9"/>
  <c r="D1002" i="9"/>
  <c r="D1001" i="9"/>
  <c r="D1000" i="9"/>
  <c r="D999" i="9"/>
  <c r="D998" i="9"/>
  <c r="D997" i="9"/>
  <c r="D996" i="9"/>
  <c r="D995" i="9"/>
  <c r="D994" i="9"/>
  <c r="D993" i="9"/>
  <c r="D992" i="9"/>
  <c r="D991" i="9"/>
  <c r="D990" i="9"/>
  <c r="D989" i="9"/>
  <c r="D988" i="9"/>
  <c r="D987" i="9"/>
  <c r="D986" i="9"/>
  <c r="D985" i="9"/>
  <c r="D984" i="9"/>
  <c r="D983" i="9"/>
  <c r="D982" i="9"/>
  <c r="D981" i="9"/>
  <c r="D980" i="9"/>
  <c r="D979" i="9"/>
  <c r="D978" i="9"/>
  <c r="D977" i="9"/>
  <c r="D976" i="9"/>
  <c r="D975" i="9"/>
  <c r="D974" i="9"/>
  <c r="D973" i="9"/>
  <c r="D972" i="9"/>
  <c r="D971" i="9"/>
  <c r="D970" i="9"/>
  <c r="D969" i="9"/>
  <c r="D968" i="9"/>
  <c r="D967" i="9"/>
  <c r="D966" i="9"/>
  <c r="D965" i="9"/>
  <c r="D964" i="9"/>
  <c r="D963" i="9"/>
  <c r="D962" i="9"/>
  <c r="D961" i="9"/>
  <c r="D960" i="9"/>
  <c r="D959" i="9"/>
  <c r="D958" i="9"/>
  <c r="D957" i="9"/>
  <c r="D956" i="9"/>
  <c r="D955" i="9"/>
  <c r="D954" i="9"/>
  <c r="D953" i="9"/>
  <c r="D952" i="9"/>
  <c r="D951" i="9"/>
  <c r="D950" i="9"/>
  <c r="D949" i="9"/>
  <c r="D948" i="9"/>
  <c r="D947" i="9"/>
  <c r="D946" i="9"/>
  <c r="D945" i="9"/>
  <c r="D944" i="9"/>
  <c r="D943" i="9"/>
  <c r="D942" i="9"/>
  <c r="D941" i="9"/>
  <c r="D940" i="9"/>
  <c r="D939" i="9"/>
  <c r="D938" i="9"/>
  <c r="D937" i="9"/>
  <c r="D936" i="9"/>
  <c r="D935" i="9"/>
  <c r="D934" i="9"/>
  <c r="D933" i="9"/>
  <c r="D932" i="9"/>
  <c r="D931" i="9"/>
  <c r="D930" i="9"/>
  <c r="D929" i="9"/>
  <c r="D928" i="9"/>
  <c r="D927" i="9"/>
  <c r="D926" i="9"/>
  <c r="D925" i="9"/>
  <c r="D924" i="9"/>
  <c r="D923" i="9"/>
  <c r="D922" i="9"/>
  <c r="D921" i="9"/>
  <c r="D920" i="9"/>
  <c r="D919" i="9"/>
  <c r="D918" i="9"/>
  <c r="D917" i="9"/>
  <c r="D916" i="9"/>
  <c r="D915" i="9"/>
  <c r="D914" i="9"/>
  <c r="D913" i="9"/>
  <c r="D912" i="9"/>
  <c r="D911" i="9"/>
  <c r="D910" i="9"/>
  <c r="D909" i="9"/>
  <c r="D908" i="9"/>
  <c r="D907" i="9"/>
  <c r="D906" i="9"/>
  <c r="D905" i="9"/>
  <c r="D904" i="9"/>
  <c r="D903" i="9"/>
  <c r="D902" i="9"/>
  <c r="D901" i="9"/>
  <c r="D900" i="9"/>
  <c r="D899" i="9"/>
  <c r="D898" i="9"/>
  <c r="D897" i="9"/>
  <c r="D896" i="9"/>
  <c r="D895" i="9"/>
  <c r="D894" i="9"/>
  <c r="D893" i="9"/>
  <c r="D892" i="9"/>
  <c r="D891" i="9"/>
  <c r="D890" i="9"/>
  <c r="D889" i="9"/>
  <c r="D888" i="9"/>
  <c r="D887" i="9"/>
  <c r="D886" i="9"/>
  <c r="D885" i="9"/>
  <c r="D884" i="9"/>
  <c r="D883" i="9"/>
  <c r="D882" i="9"/>
  <c r="D881" i="9"/>
  <c r="D880" i="9"/>
  <c r="D879" i="9"/>
  <c r="D878" i="9"/>
  <c r="D877" i="9"/>
  <c r="D876" i="9"/>
  <c r="D875" i="9"/>
  <c r="D874" i="9"/>
  <c r="D873" i="9"/>
  <c r="D872" i="9"/>
  <c r="D871" i="9"/>
  <c r="D870" i="9"/>
  <c r="D869" i="9"/>
  <c r="D868" i="9"/>
  <c r="D867" i="9"/>
  <c r="D866" i="9"/>
  <c r="D865" i="9"/>
  <c r="D864" i="9"/>
  <c r="D863" i="9"/>
  <c r="D862" i="9"/>
  <c r="D861" i="9"/>
  <c r="D860" i="9"/>
  <c r="D859" i="9"/>
  <c r="D858" i="9"/>
  <c r="D857" i="9"/>
  <c r="D856" i="9"/>
  <c r="D855" i="9"/>
  <c r="D854" i="9"/>
  <c r="D853" i="9"/>
  <c r="D852" i="9"/>
  <c r="D851" i="9"/>
  <c r="D850" i="9"/>
  <c r="D849" i="9"/>
  <c r="D848" i="9"/>
  <c r="D847" i="9"/>
  <c r="D846" i="9"/>
  <c r="D845" i="9"/>
  <c r="D844" i="9"/>
  <c r="D843" i="9"/>
  <c r="D842" i="9"/>
  <c r="D841" i="9"/>
  <c r="D840" i="9"/>
  <c r="D839" i="9"/>
  <c r="D838" i="9"/>
  <c r="D837" i="9"/>
  <c r="D836" i="9"/>
  <c r="D835" i="9"/>
  <c r="D834" i="9"/>
  <c r="D833" i="9"/>
  <c r="D832" i="9"/>
  <c r="D831" i="9"/>
  <c r="D830" i="9"/>
  <c r="D829" i="9"/>
  <c r="D828" i="9"/>
  <c r="D827" i="9"/>
  <c r="D826" i="9"/>
  <c r="D825" i="9"/>
  <c r="D824" i="9"/>
  <c r="D823" i="9"/>
  <c r="D822" i="9"/>
  <c r="D821" i="9"/>
  <c r="D820" i="9"/>
  <c r="D819" i="9"/>
  <c r="D818" i="9"/>
  <c r="D817" i="9"/>
  <c r="D816" i="9"/>
  <c r="D815" i="9"/>
  <c r="D814" i="9"/>
  <c r="D813" i="9"/>
  <c r="D812" i="9"/>
  <c r="D811" i="9"/>
  <c r="D810" i="9"/>
  <c r="D809" i="9"/>
  <c r="D808" i="9"/>
  <c r="D807" i="9"/>
  <c r="D806" i="9"/>
  <c r="D805" i="9"/>
  <c r="D804" i="9"/>
  <c r="D803" i="9"/>
  <c r="D802" i="9"/>
  <c r="D801" i="9"/>
  <c r="D800" i="9"/>
  <c r="D799" i="9"/>
  <c r="D798" i="9"/>
  <c r="D797" i="9"/>
  <c r="D796" i="9"/>
  <c r="D795" i="9"/>
  <c r="D794" i="9"/>
  <c r="D793" i="9"/>
  <c r="D792" i="9"/>
  <c r="D791" i="9"/>
  <c r="D790" i="9"/>
  <c r="D789" i="9"/>
  <c r="D788" i="9"/>
  <c r="D787" i="9"/>
  <c r="D786" i="9"/>
  <c r="D785" i="9"/>
  <c r="D784" i="9"/>
  <c r="D783" i="9"/>
  <c r="D782" i="9"/>
  <c r="D781" i="9"/>
  <c r="D780" i="9"/>
  <c r="D779" i="9"/>
  <c r="D778" i="9"/>
  <c r="D777" i="9"/>
  <c r="D776" i="9"/>
  <c r="D775" i="9"/>
  <c r="D774" i="9"/>
  <c r="D773" i="9"/>
  <c r="D772" i="9"/>
  <c r="D771" i="9"/>
  <c r="D770" i="9"/>
  <c r="D769" i="9"/>
  <c r="D768" i="9"/>
  <c r="D767" i="9"/>
  <c r="D766" i="9"/>
  <c r="D765" i="9"/>
  <c r="D764" i="9"/>
  <c r="D763" i="9"/>
  <c r="D762" i="9"/>
  <c r="D761" i="9"/>
  <c r="D760" i="9"/>
  <c r="D759" i="9"/>
  <c r="D758" i="9"/>
  <c r="D757" i="9"/>
  <c r="D756" i="9"/>
  <c r="D755" i="9"/>
  <c r="D754" i="9"/>
  <c r="D753" i="9"/>
  <c r="D752" i="9"/>
  <c r="D751" i="9"/>
  <c r="D750" i="9"/>
  <c r="D749" i="9"/>
  <c r="D748" i="9"/>
  <c r="D747" i="9"/>
  <c r="D746" i="9"/>
  <c r="D745" i="9"/>
  <c r="D744" i="9"/>
  <c r="D743" i="9"/>
  <c r="D742" i="9"/>
  <c r="D741" i="9"/>
  <c r="D740" i="9"/>
  <c r="D739" i="9"/>
  <c r="D738" i="9"/>
  <c r="D737" i="9"/>
  <c r="D736" i="9"/>
  <c r="D735" i="9"/>
  <c r="D734" i="9"/>
  <c r="D733" i="9"/>
  <c r="D732" i="9"/>
  <c r="D731" i="9"/>
  <c r="D730" i="9"/>
  <c r="D729" i="9"/>
  <c r="D728" i="9"/>
  <c r="D727" i="9"/>
  <c r="D726" i="9"/>
  <c r="D725" i="9"/>
  <c r="D724" i="9"/>
  <c r="D723" i="9"/>
  <c r="D722" i="9"/>
  <c r="D721" i="9"/>
  <c r="D720" i="9"/>
  <c r="D719" i="9"/>
  <c r="D718" i="9"/>
  <c r="D717" i="9"/>
  <c r="D716" i="9"/>
  <c r="D715" i="9"/>
  <c r="D714" i="9"/>
  <c r="D713" i="9"/>
  <c r="D712" i="9"/>
  <c r="D711" i="9"/>
  <c r="D710" i="9"/>
  <c r="D709" i="9"/>
  <c r="D708" i="9"/>
  <c r="D707" i="9"/>
  <c r="D706" i="9"/>
  <c r="D705" i="9"/>
  <c r="D704" i="9"/>
  <c r="D703" i="9"/>
  <c r="D702" i="9"/>
  <c r="D701" i="9"/>
  <c r="D700" i="9"/>
  <c r="D699" i="9"/>
  <c r="D698" i="9"/>
  <c r="D697" i="9"/>
  <c r="D696" i="9"/>
  <c r="D695" i="9"/>
  <c r="D694" i="9"/>
  <c r="D693" i="9"/>
  <c r="D692" i="9"/>
  <c r="D691" i="9"/>
  <c r="D690" i="9"/>
  <c r="D689" i="9"/>
  <c r="D688" i="9"/>
  <c r="D687" i="9"/>
  <c r="D686" i="9"/>
  <c r="D685" i="9"/>
  <c r="D684" i="9"/>
  <c r="D683" i="9"/>
  <c r="D682" i="9"/>
  <c r="D681" i="9"/>
  <c r="D680" i="9"/>
  <c r="D679" i="9"/>
  <c r="D678" i="9"/>
  <c r="D677" i="9"/>
  <c r="D676" i="9"/>
  <c r="D675" i="9"/>
  <c r="D674" i="9"/>
  <c r="D673" i="9"/>
  <c r="D672" i="9"/>
  <c r="D671" i="9"/>
  <c r="D670" i="9"/>
  <c r="D669" i="9"/>
  <c r="D668" i="9"/>
  <c r="D667" i="9"/>
  <c r="D666" i="9"/>
  <c r="D665" i="9"/>
  <c r="D664" i="9"/>
  <c r="D663" i="9"/>
  <c r="D662" i="9"/>
  <c r="D661" i="9"/>
  <c r="D660" i="9"/>
  <c r="D659" i="9"/>
  <c r="D658" i="9"/>
  <c r="D657" i="9"/>
  <c r="D656" i="9"/>
  <c r="D655" i="9"/>
  <c r="D654" i="9"/>
  <c r="D653" i="9"/>
  <c r="D652" i="9"/>
  <c r="D651" i="9"/>
  <c r="D650" i="9"/>
  <c r="D649" i="9"/>
  <c r="D648" i="9"/>
  <c r="D647" i="9"/>
  <c r="D646" i="9"/>
  <c r="D645" i="9"/>
  <c r="D644" i="9"/>
  <c r="D643" i="9"/>
  <c r="D642" i="9"/>
  <c r="D641" i="9"/>
  <c r="D640" i="9"/>
  <c r="D639" i="9"/>
  <c r="D638" i="9"/>
  <c r="D637" i="9"/>
  <c r="D636" i="9"/>
  <c r="D635" i="9"/>
  <c r="D634" i="9"/>
  <c r="D633" i="9"/>
  <c r="D632" i="9"/>
  <c r="D631" i="9"/>
  <c r="D630" i="9"/>
  <c r="D629" i="9"/>
  <c r="D628" i="9"/>
  <c r="D627" i="9"/>
  <c r="D626" i="9"/>
  <c r="D625" i="9"/>
  <c r="D624" i="9"/>
  <c r="D623" i="9"/>
  <c r="D622" i="9"/>
  <c r="D621" i="9"/>
  <c r="D620" i="9"/>
  <c r="D619" i="9"/>
  <c r="D618" i="9"/>
  <c r="D617" i="9"/>
  <c r="D616" i="9"/>
  <c r="D615" i="9"/>
  <c r="D614" i="9"/>
  <c r="D613" i="9"/>
  <c r="D612" i="9"/>
  <c r="D611" i="9"/>
  <c r="D610" i="9"/>
  <c r="D609" i="9"/>
  <c r="D608" i="9"/>
  <c r="D607" i="9"/>
  <c r="D606" i="9"/>
  <c r="D605" i="9"/>
  <c r="D604" i="9"/>
  <c r="D603" i="9"/>
  <c r="D602" i="9"/>
  <c r="D601" i="9"/>
  <c r="D600" i="9"/>
  <c r="D599" i="9"/>
  <c r="D598" i="9"/>
  <c r="D597" i="9"/>
  <c r="D596" i="9"/>
  <c r="D595" i="9"/>
  <c r="D594" i="9"/>
  <c r="D593" i="9"/>
  <c r="D592" i="9"/>
  <c r="D591" i="9"/>
  <c r="D590" i="9"/>
  <c r="D589" i="9"/>
  <c r="D588" i="9"/>
  <c r="D587" i="9"/>
  <c r="D586" i="9"/>
  <c r="D585" i="9"/>
  <c r="D584" i="9"/>
  <c r="D583" i="9"/>
  <c r="D582" i="9"/>
  <c r="D581" i="9"/>
  <c r="D580" i="9"/>
  <c r="D579" i="9"/>
  <c r="D578" i="9"/>
  <c r="D577" i="9"/>
  <c r="D576" i="9"/>
  <c r="D575" i="9"/>
  <c r="D574" i="9"/>
  <c r="D573" i="9"/>
  <c r="D572" i="9"/>
  <c r="D571" i="9"/>
  <c r="D570" i="9"/>
  <c r="D569" i="9"/>
  <c r="D568" i="9"/>
  <c r="D567" i="9"/>
  <c r="D566" i="9"/>
  <c r="D565" i="9"/>
  <c r="D564" i="9"/>
  <c r="D563" i="9"/>
  <c r="D562" i="9"/>
  <c r="D561" i="9"/>
  <c r="D560" i="9"/>
  <c r="D559" i="9"/>
  <c r="D558" i="9"/>
  <c r="D557" i="9"/>
  <c r="D556" i="9"/>
  <c r="D555" i="9"/>
  <c r="D554" i="9"/>
  <c r="D553" i="9"/>
  <c r="D552" i="9"/>
  <c r="D551" i="9"/>
  <c r="D550" i="9"/>
  <c r="D549" i="9"/>
  <c r="D548" i="9"/>
  <c r="D547" i="9"/>
  <c r="D546" i="9"/>
  <c r="D545" i="9"/>
  <c r="D544" i="9"/>
  <c r="D543" i="9"/>
  <c r="D542" i="9"/>
  <c r="D541" i="9"/>
  <c r="D540" i="9"/>
  <c r="D539" i="9"/>
  <c r="D538" i="9"/>
  <c r="D537" i="9"/>
  <c r="D536" i="9"/>
  <c r="D535" i="9"/>
  <c r="D534" i="9"/>
  <c r="D533" i="9"/>
  <c r="D532" i="9"/>
  <c r="D531" i="9"/>
  <c r="D530" i="9"/>
  <c r="D529" i="9"/>
  <c r="D528" i="9"/>
  <c r="D527" i="9"/>
  <c r="D526" i="9"/>
  <c r="D525" i="9"/>
  <c r="D524" i="9"/>
  <c r="D523" i="9"/>
  <c r="D522" i="9"/>
  <c r="D521" i="9"/>
  <c r="D520" i="9"/>
  <c r="D519" i="9"/>
  <c r="D518" i="9"/>
  <c r="D517" i="9"/>
  <c r="D516" i="9"/>
  <c r="D515" i="9"/>
  <c r="D514" i="9"/>
  <c r="D513" i="9"/>
  <c r="D512" i="9"/>
  <c r="D511" i="9"/>
  <c r="D510" i="9"/>
  <c r="D509" i="9"/>
  <c r="D508" i="9"/>
  <c r="D507" i="9"/>
  <c r="D506" i="9"/>
  <c r="D505" i="9"/>
  <c r="D504" i="9"/>
  <c r="D503" i="9"/>
  <c r="D502" i="9"/>
  <c r="D501" i="9"/>
  <c r="D500" i="9"/>
  <c r="D499" i="9"/>
  <c r="D498" i="9"/>
  <c r="D497" i="9"/>
  <c r="D496" i="9"/>
  <c r="D495" i="9"/>
  <c r="D494" i="9"/>
  <c r="D493" i="9"/>
  <c r="D492" i="9"/>
  <c r="D491" i="9"/>
  <c r="D490" i="9"/>
  <c r="D489" i="9"/>
  <c r="D488" i="9"/>
  <c r="D487" i="9"/>
  <c r="D486" i="9"/>
  <c r="D485" i="9"/>
  <c r="D484" i="9"/>
  <c r="D483" i="9"/>
  <c r="D482" i="9"/>
  <c r="D481" i="9"/>
  <c r="D480" i="9"/>
  <c r="D479" i="9"/>
  <c r="D478" i="9"/>
  <c r="D477" i="9"/>
  <c r="D476" i="9"/>
  <c r="D475" i="9"/>
  <c r="D474" i="9"/>
  <c r="D473" i="9"/>
  <c r="D472" i="9"/>
  <c r="D471" i="9"/>
  <c r="D470" i="9"/>
  <c r="D469" i="9"/>
  <c r="D468" i="9"/>
  <c r="D467" i="9"/>
  <c r="D466" i="9"/>
  <c r="D465" i="9"/>
  <c r="D464" i="9"/>
  <c r="D463" i="9"/>
  <c r="D462" i="9"/>
  <c r="D461" i="9"/>
  <c r="D460" i="9"/>
  <c r="D459" i="9"/>
  <c r="D458" i="9"/>
  <c r="D457" i="9"/>
  <c r="D456" i="9"/>
  <c r="D455" i="9"/>
  <c r="D454" i="9"/>
  <c r="D453" i="9"/>
  <c r="D452" i="9"/>
  <c r="D451" i="9"/>
  <c r="D450" i="9"/>
  <c r="D449" i="9"/>
  <c r="D448" i="9"/>
  <c r="D447" i="9"/>
  <c r="D446" i="9"/>
  <c r="D445" i="9"/>
  <c r="D444" i="9"/>
  <c r="D443" i="9"/>
  <c r="D442" i="9"/>
  <c r="D441" i="9"/>
  <c r="D440" i="9"/>
  <c r="D439" i="9"/>
  <c r="D438" i="9"/>
  <c r="D437" i="9"/>
  <c r="D436" i="9"/>
  <c r="D435" i="9"/>
  <c r="D434" i="9"/>
  <c r="D433" i="9"/>
  <c r="D432" i="9"/>
  <c r="D431" i="9"/>
  <c r="D430" i="9"/>
  <c r="D429" i="9"/>
  <c r="D428" i="9"/>
  <c r="D427" i="9"/>
  <c r="D426" i="9"/>
  <c r="D425" i="9"/>
  <c r="D424" i="9"/>
  <c r="D423" i="9"/>
  <c r="D422" i="9"/>
  <c r="D421" i="9"/>
  <c r="D420" i="9"/>
  <c r="D419" i="9"/>
  <c r="D418" i="9"/>
  <c r="D417" i="9"/>
  <c r="D416" i="9"/>
  <c r="D415" i="9"/>
  <c r="D414" i="9"/>
  <c r="D413" i="9"/>
  <c r="D412" i="9"/>
  <c r="D411" i="9"/>
  <c r="D410" i="9"/>
  <c r="D409" i="9"/>
  <c r="D408" i="9"/>
  <c r="D407" i="9"/>
  <c r="D406" i="9"/>
  <c r="D405" i="9"/>
  <c r="D404" i="9"/>
  <c r="D403" i="9"/>
  <c r="D402" i="9"/>
  <c r="D401" i="9"/>
  <c r="D400" i="9"/>
  <c r="D399" i="9"/>
  <c r="D398" i="9"/>
  <c r="D397" i="9"/>
  <c r="D396" i="9"/>
  <c r="D395" i="9"/>
  <c r="D394" i="9"/>
  <c r="D393" i="9"/>
  <c r="D392" i="9"/>
  <c r="D391" i="9"/>
  <c r="D390" i="9"/>
  <c r="D389" i="9"/>
  <c r="D388" i="9"/>
  <c r="D387" i="9"/>
  <c r="D386" i="9"/>
  <c r="D385" i="9"/>
  <c r="D384" i="9"/>
  <c r="D383" i="9"/>
  <c r="D382" i="9"/>
  <c r="D381" i="9"/>
  <c r="D380" i="9"/>
  <c r="D379" i="9"/>
  <c r="D378" i="9"/>
  <c r="D377" i="9"/>
  <c r="D376" i="9"/>
  <c r="D375" i="9"/>
  <c r="D374" i="9"/>
  <c r="D373" i="9"/>
  <c r="D372" i="9"/>
  <c r="D371" i="9"/>
  <c r="D370" i="9"/>
  <c r="D369" i="9"/>
  <c r="D368" i="9"/>
  <c r="D367" i="9"/>
  <c r="D366" i="9"/>
  <c r="D365" i="9"/>
  <c r="D364" i="9"/>
  <c r="D363" i="9"/>
  <c r="D362" i="9"/>
  <c r="D361" i="9"/>
  <c r="D360" i="9"/>
  <c r="D359" i="9"/>
  <c r="D358" i="9"/>
  <c r="D357" i="9"/>
  <c r="D356" i="9"/>
  <c r="D355" i="9"/>
  <c r="D354" i="9"/>
  <c r="D353" i="9"/>
  <c r="D352" i="9"/>
  <c r="D351" i="9"/>
  <c r="D350" i="9"/>
  <c r="D349" i="9"/>
  <c r="D348" i="9"/>
  <c r="D347" i="9"/>
  <c r="D346" i="9"/>
  <c r="D345" i="9"/>
  <c r="D344" i="9"/>
  <c r="D343" i="9"/>
  <c r="D342" i="9"/>
  <c r="D341" i="9"/>
  <c r="D340" i="9"/>
  <c r="D339" i="9"/>
  <c r="D338" i="9"/>
  <c r="D337" i="9"/>
  <c r="D336" i="9"/>
  <c r="D335" i="9"/>
  <c r="D334" i="9"/>
  <c r="D333" i="9"/>
  <c r="D332" i="9"/>
  <c r="D331" i="9"/>
  <c r="D330" i="9"/>
  <c r="D329" i="9"/>
  <c r="D328" i="9"/>
  <c r="D327" i="9"/>
  <c r="D326" i="9"/>
  <c r="D325" i="9"/>
  <c r="D324" i="9"/>
  <c r="D323" i="9"/>
  <c r="D322" i="9"/>
  <c r="D321" i="9"/>
  <c r="D320" i="9"/>
  <c r="D319" i="9"/>
  <c r="D318" i="9"/>
  <c r="D317" i="9"/>
  <c r="D316" i="9"/>
  <c r="D315" i="9"/>
  <c r="D314" i="9"/>
  <c r="D313" i="9"/>
  <c r="D312" i="9"/>
  <c r="D311" i="9"/>
  <c r="D310" i="9"/>
  <c r="D309" i="9"/>
  <c r="D308" i="9"/>
  <c r="D307" i="9"/>
  <c r="D306" i="9"/>
  <c r="D305" i="9"/>
  <c r="D304" i="9"/>
  <c r="D303" i="9"/>
  <c r="D302" i="9"/>
  <c r="D301" i="9"/>
  <c r="D300" i="9"/>
  <c r="D299" i="9"/>
  <c r="D298" i="9"/>
  <c r="D297" i="9"/>
  <c r="D296" i="9"/>
  <c r="D295" i="9"/>
  <c r="D294" i="9"/>
  <c r="D293" i="9"/>
  <c r="D292" i="9"/>
  <c r="D291" i="9"/>
  <c r="D290" i="9"/>
  <c r="D289" i="9"/>
  <c r="D288" i="9"/>
  <c r="D287" i="9"/>
  <c r="D286" i="9"/>
  <c r="D285" i="9"/>
  <c r="D284" i="9"/>
  <c r="D283" i="9"/>
  <c r="D282" i="9"/>
  <c r="D281" i="9"/>
  <c r="D280" i="9"/>
  <c r="D279" i="9"/>
  <c r="D278" i="9"/>
  <c r="D277" i="9"/>
  <c r="D276" i="9"/>
  <c r="D275" i="9"/>
  <c r="D274" i="9"/>
  <c r="D273" i="9"/>
  <c r="D272" i="9"/>
  <c r="D271" i="9"/>
  <c r="D270" i="9"/>
  <c r="D269" i="9"/>
  <c r="D268" i="9"/>
  <c r="D267" i="9"/>
  <c r="D266" i="9"/>
  <c r="D265" i="9"/>
  <c r="D264" i="9"/>
  <c r="D263" i="9"/>
  <c r="D262" i="9"/>
  <c r="D261" i="9"/>
  <c r="D260" i="9"/>
  <c r="D259" i="9"/>
  <c r="D258" i="9"/>
  <c r="D257" i="9"/>
  <c r="D256" i="9"/>
  <c r="D255" i="9"/>
  <c r="D254" i="9"/>
  <c r="D253" i="9"/>
  <c r="D252" i="9"/>
  <c r="D251" i="9"/>
  <c r="D250" i="9"/>
  <c r="D249" i="9"/>
  <c r="D248" i="9"/>
  <c r="D247" i="9"/>
  <c r="D246" i="9"/>
  <c r="D245" i="9"/>
  <c r="D244" i="9"/>
  <c r="D243" i="9"/>
  <c r="D242" i="9"/>
  <c r="D241" i="9"/>
  <c r="D240" i="9"/>
  <c r="D239" i="9"/>
  <c r="D238" i="9"/>
  <c r="D237" i="9"/>
  <c r="D236" i="9"/>
  <c r="D235" i="9"/>
  <c r="D234" i="9"/>
  <c r="D233" i="9"/>
  <c r="D232" i="9"/>
  <c r="D231" i="9"/>
  <c r="D230" i="9"/>
  <c r="D229" i="9"/>
  <c r="D228" i="9"/>
  <c r="D227" i="9"/>
  <c r="D226" i="9"/>
  <c r="D225" i="9"/>
  <c r="D224" i="9"/>
  <c r="D223" i="9"/>
  <c r="D222" i="9"/>
  <c r="D221" i="9"/>
  <c r="D220" i="9"/>
  <c r="D219" i="9"/>
  <c r="D218" i="9"/>
  <c r="D217" i="9"/>
  <c r="D216" i="9"/>
  <c r="D215" i="9"/>
  <c r="D214" i="9"/>
  <c r="D213" i="9"/>
  <c r="D212" i="9"/>
  <c r="D211" i="9"/>
  <c r="D210" i="9"/>
  <c r="D209" i="9"/>
  <c r="D208" i="9"/>
  <c r="D207" i="9"/>
  <c r="D206" i="9"/>
  <c r="D205" i="9"/>
  <c r="D204" i="9"/>
  <c r="D203" i="9"/>
  <c r="D202" i="9"/>
  <c r="D201" i="9"/>
  <c r="D200" i="9"/>
  <c r="D199" i="9"/>
  <c r="D198" i="9"/>
  <c r="D197" i="9"/>
  <c r="D196" i="9"/>
  <c r="D195" i="9"/>
  <c r="D194" i="9"/>
  <c r="D193" i="9"/>
  <c r="D192" i="9"/>
  <c r="D191" i="9"/>
  <c r="D190" i="9"/>
  <c r="D189" i="9"/>
  <c r="D188" i="9"/>
  <c r="D187" i="9"/>
  <c r="D186" i="9"/>
  <c r="D185" i="9"/>
  <c r="D184" i="9"/>
  <c r="D183" i="9"/>
  <c r="D182" i="9"/>
  <c r="D181" i="9"/>
  <c r="D180" i="9"/>
  <c r="D179" i="9"/>
  <c r="D178" i="9"/>
  <c r="D177" i="9"/>
  <c r="D176" i="9"/>
  <c r="D175" i="9"/>
  <c r="D174" i="9"/>
  <c r="D173" i="9"/>
  <c r="D172" i="9"/>
  <c r="D171" i="9"/>
  <c r="D170" i="9"/>
  <c r="D169" i="9"/>
  <c r="D168" i="9"/>
  <c r="D167" i="9"/>
  <c r="D166" i="9"/>
  <c r="D165" i="9"/>
  <c r="D164" i="9"/>
  <c r="D163" i="9"/>
  <c r="D162" i="9"/>
  <c r="D161" i="9"/>
  <c r="D160" i="9"/>
  <c r="D159" i="9"/>
  <c r="D158" i="9"/>
  <c r="D157" i="9"/>
  <c r="D156" i="9"/>
  <c r="D155" i="9"/>
  <c r="D154" i="9"/>
  <c r="D153" i="9"/>
  <c r="D152" i="9"/>
  <c r="D151" i="9"/>
  <c r="D150" i="9"/>
  <c r="D149" i="9"/>
  <c r="D148" i="9"/>
  <c r="D147" i="9"/>
  <c r="D146" i="9"/>
  <c r="D145" i="9"/>
  <c r="D144" i="9"/>
  <c r="D143" i="9"/>
  <c r="D142" i="9"/>
  <c r="D141" i="9"/>
  <c r="D140" i="9"/>
  <c r="D139" i="9"/>
  <c r="D138" i="9"/>
  <c r="D137" i="9"/>
  <c r="D136" i="9"/>
  <c r="D135" i="9"/>
  <c r="D134" i="9"/>
  <c r="D133" i="9"/>
  <c r="D132" i="9"/>
  <c r="D131" i="9"/>
  <c r="D130" i="9"/>
  <c r="D129" i="9"/>
  <c r="D128" i="9"/>
  <c r="D127" i="9"/>
  <c r="D126" i="9"/>
  <c r="D125" i="9"/>
  <c r="D124" i="9"/>
  <c r="D123" i="9"/>
  <c r="D122" i="9"/>
  <c r="D121" i="9"/>
  <c r="D120" i="9"/>
  <c r="D119" i="9"/>
  <c r="D118" i="9"/>
  <c r="D117" i="9"/>
  <c r="D116" i="9"/>
  <c r="D115" i="9"/>
  <c r="D114" i="9"/>
  <c r="D113" i="9"/>
  <c r="D112" i="9"/>
  <c r="D111" i="9"/>
  <c r="D110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D25" i="7"/>
  <c r="E25" i="7"/>
  <c r="F25" i="7"/>
  <c r="G25" i="7"/>
  <c r="D24" i="7"/>
  <c r="E24" i="7"/>
  <c r="F24" i="7"/>
  <c r="G24" i="7"/>
  <c r="C25" i="7"/>
  <c r="C24" i="7"/>
  <c r="D22" i="7"/>
  <c r="E22" i="7"/>
  <c r="F22" i="7"/>
  <c r="G22" i="7"/>
  <c r="D23" i="7"/>
  <c r="E23" i="7"/>
  <c r="F23" i="7"/>
  <c r="G23" i="7"/>
  <c r="C23" i="7"/>
  <c r="C22" i="7"/>
  <c r="D21" i="7"/>
  <c r="E21" i="7"/>
  <c r="F21" i="7"/>
  <c r="G21" i="7"/>
  <c r="C21" i="7"/>
  <c r="D20" i="7"/>
  <c r="E20" i="7"/>
  <c r="F20" i="7"/>
  <c r="G20" i="7"/>
  <c r="C20" i="7"/>
  <c r="K52" i="1"/>
  <c r="J52" i="1"/>
  <c r="I52" i="1"/>
  <c r="H52" i="1"/>
  <c r="G52" i="1"/>
  <c r="F52" i="1"/>
  <c r="E52" i="1"/>
  <c r="K26" i="2"/>
  <c r="J26" i="2"/>
  <c r="I26" i="2"/>
  <c r="H26" i="2"/>
  <c r="G26" i="2"/>
  <c r="F26" i="2"/>
  <c r="E26" i="2"/>
  <c r="K50" i="1"/>
  <c r="J50" i="1"/>
  <c r="I50" i="1"/>
  <c r="H50" i="1"/>
  <c r="G50" i="1"/>
  <c r="F50" i="1"/>
  <c r="E50" i="1"/>
  <c r="K49" i="1"/>
  <c r="J49" i="1"/>
  <c r="I49" i="1"/>
  <c r="H49" i="1"/>
  <c r="G49" i="1"/>
  <c r="F49" i="1"/>
  <c r="E49" i="1"/>
  <c r="F47" i="1"/>
  <c r="G47" i="1"/>
  <c r="H47" i="1"/>
  <c r="I47" i="1"/>
  <c r="J47" i="1"/>
  <c r="K47" i="1"/>
  <c r="E47" i="1"/>
  <c r="F46" i="1"/>
  <c r="G46" i="1"/>
  <c r="H46" i="1"/>
  <c r="I46" i="1"/>
  <c r="J46" i="1"/>
  <c r="K46" i="1"/>
  <c r="E46" i="1"/>
  <c r="F45" i="1"/>
  <c r="G45" i="1"/>
  <c r="H45" i="1"/>
  <c r="I45" i="1"/>
  <c r="J45" i="1"/>
  <c r="K45" i="1"/>
  <c r="E45" i="1"/>
  <c r="K44" i="1"/>
  <c r="J44" i="1"/>
  <c r="I44" i="1"/>
  <c r="H44" i="1"/>
  <c r="G44" i="1"/>
  <c r="F44" i="1"/>
  <c r="E44" i="1"/>
  <c r="D16" i="7"/>
  <c r="E16" i="7"/>
  <c r="F16" i="7"/>
  <c r="G16" i="7"/>
  <c r="C16" i="7"/>
  <c r="D15" i="7"/>
  <c r="E15" i="7"/>
  <c r="F15" i="7"/>
  <c r="G15" i="7"/>
  <c r="C15" i="7"/>
  <c r="D14" i="7"/>
  <c r="E14" i="7"/>
  <c r="F14" i="7"/>
  <c r="G14" i="7"/>
  <c r="C14" i="7"/>
  <c r="D41" i="1"/>
  <c r="E41" i="1"/>
  <c r="F41" i="1"/>
  <c r="G41" i="1"/>
  <c r="H41" i="1"/>
  <c r="I41" i="1"/>
  <c r="J41" i="1"/>
  <c r="K41" i="1"/>
  <c r="C41" i="1"/>
  <c r="C40" i="1"/>
  <c r="D40" i="1"/>
  <c r="E40" i="1"/>
  <c r="F40" i="1"/>
  <c r="G40" i="1"/>
  <c r="H40" i="1"/>
  <c r="I40" i="1"/>
  <c r="J40" i="1"/>
  <c r="K40" i="1"/>
  <c r="B40" i="1"/>
  <c r="D38" i="1"/>
  <c r="E38" i="1"/>
  <c r="F38" i="1"/>
  <c r="G38" i="1"/>
  <c r="H38" i="1"/>
  <c r="I38" i="1"/>
  <c r="J38" i="1"/>
  <c r="K38" i="1"/>
  <c r="C38" i="1"/>
  <c r="D13" i="7"/>
  <c r="E13" i="7"/>
  <c r="F13" i="7"/>
  <c r="G13" i="7"/>
  <c r="C13" i="7"/>
  <c r="D12" i="7"/>
  <c r="E12" i="7"/>
  <c r="F12" i="7"/>
  <c r="G12" i="7"/>
  <c r="C12" i="7"/>
  <c r="C36" i="1"/>
  <c r="D36" i="1"/>
  <c r="E36" i="1"/>
  <c r="F36" i="1"/>
  <c r="G36" i="1"/>
  <c r="H36" i="1"/>
  <c r="I36" i="1"/>
  <c r="J36" i="1"/>
  <c r="K36" i="1"/>
  <c r="B36" i="1"/>
  <c r="D11" i="7"/>
  <c r="E11" i="7"/>
  <c r="F11" i="7"/>
  <c r="G11" i="7"/>
  <c r="C11" i="7"/>
  <c r="C34" i="1"/>
  <c r="D34" i="1"/>
  <c r="E34" i="1"/>
  <c r="F34" i="1"/>
  <c r="G34" i="1"/>
  <c r="H34" i="1"/>
  <c r="I34" i="1"/>
  <c r="J34" i="1"/>
  <c r="K34" i="1"/>
  <c r="B34" i="1"/>
  <c r="D10" i="7"/>
  <c r="E10" i="7"/>
  <c r="F10" i="7"/>
  <c r="G10" i="7"/>
  <c r="C10" i="7"/>
  <c r="C32" i="1"/>
  <c r="D32" i="1"/>
  <c r="E32" i="1"/>
  <c r="F32" i="1"/>
  <c r="G32" i="1"/>
  <c r="H32" i="1"/>
  <c r="I32" i="1"/>
  <c r="J32" i="1"/>
  <c r="K32" i="1"/>
  <c r="B32" i="1"/>
  <c r="D9" i="7"/>
  <c r="E9" i="7"/>
  <c r="F9" i="7"/>
  <c r="G9" i="7"/>
  <c r="C9" i="7"/>
  <c r="K30" i="1"/>
  <c r="J30" i="1"/>
  <c r="I30" i="1"/>
  <c r="H30" i="1"/>
  <c r="G30" i="1"/>
  <c r="F30" i="1"/>
  <c r="E30" i="1"/>
  <c r="F29" i="1"/>
  <c r="G29" i="1"/>
  <c r="H29" i="1"/>
  <c r="I29" i="1"/>
  <c r="J29" i="1"/>
  <c r="K29" i="1"/>
  <c r="E29" i="1"/>
  <c r="D8" i="7"/>
  <c r="E8" i="7"/>
  <c r="F8" i="7"/>
  <c r="G8" i="7"/>
  <c r="C8" i="7"/>
  <c r="K27" i="1"/>
  <c r="J27" i="1"/>
  <c r="I27" i="1"/>
  <c r="H27" i="1"/>
  <c r="G27" i="1"/>
  <c r="F27" i="1"/>
  <c r="E27" i="1"/>
  <c r="D27" i="1"/>
  <c r="C27" i="1"/>
  <c r="G7" i="7"/>
  <c r="F7" i="7"/>
  <c r="E7" i="7"/>
  <c r="D7" i="7"/>
  <c r="C7" i="7"/>
  <c r="C3" i="7"/>
  <c r="B1" i="7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E23" i="2"/>
  <c r="F4" i="2"/>
  <c r="G4" i="2"/>
  <c r="H4" i="2"/>
  <c r="I4" i="2"/>
  <c r="I5" i="2"/>
  <c r="I23" i="2"/>
  <c r="J4" i="2"/>
  <c r="J5" i="2"/>
  <c r="K4" i="2"/>
  <c r="C5" i="2"/>
  <c r="D5" i="2"/>
  <c r="F5" i="2"/>
  <c r="G5" i="2"/>
  <c r="H5" i="2"/>
  <c r="H23" i="2" s="1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K13" i="2"/>
  <c r="K16" i="2" s="1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J14" i="3" s="1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G6" i="1" s="1"/>
  <c r="G19" i="1" s="1"/>
  <c r="H4" i="1"/>
  <c r="I4" i="1"/>
  <c r="I21" i="2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F12" i="1"/>
  <c r="F13" i="1" s="1"/>
  <c r="F14" i="1" s="1"/>
  <c r="G12" i="1"/>
  <c r="G13" i="1" s="1"/>
  <c r="G14" i="1" s="1"/>
  <c r="H12" i="1"/>
  <c r="I12" i="1"/>
  <c r="I13" i="1" s="1"/>
  <c r="J12" i="1"/>
  <c r="J13" i="1" s="1"/>
  <c r="J14" i="1" s="1"/>
  <c r="K12" i="1"/>
  <c r="K13" i="1" s="1"/>
  <c r="K14" i="1" s="1"/>
  <c r="C15" i="1"/>
  <c r="D15" i="1"/>
  <c r="E15" i="1"/>
  <c r="F15" i="1"/>
  <c r="G15" i="1"/>
  <c r="H15" i="1"/>
  <c r="I15" i="1"/>
  <c r="J15" i="1"/>
  <c r="K15" i="1"/>
  <c r="B15" i="1"/>
  <c r="H13" i="1"/>
  <c r="B7" i="1"/>
  <c r="B4" i="1"/>
  <c r="B20" i="2" s="1"/>
  <c r="A1" i="1"/>
  <c r="H1" i="1"/>
  <c r="E1" i="2"/>
  <c r="E1" i="3"/>
  <c r="H16" i="2"/>
  <c r="D16" i="2"/>
  <c r="K23" i="2"/>
  <c r="F23" i="2"/>
  <c r="C16" i="2"/>
  <c r="G23" i="2"/>
  <c r="F16" i="2"/>
  <c r="E6" i="1"/>
  <c r="E19" i="1" s="1"/>
  <c r="D23" i="2"/>
  <c r="I6" i="1"/>
  <c r="I19" i="1" s="1"/>
  <c r="J6" i="1"/>
  <c r="J19" i="1"/>
  <c r="K6" i="1"/>
  <c r="K19" i="1"/>
  <c r="C6" i="1"/>
  <c r="C19" i="1" s="1"/>
  <c r="D6" i="1"/>
  <c r="D19" i="1" s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H21" i="2"/>
  <c r="G21" i="2"/>
  <c r="F21" i="2"/>
  <c r="E21" i="2"/>
  <c r="D21" i="2"/>
  <c r="C21" i="2"/>
  <c r="B18" i="2"/>
  <c r="B21" i="2" s="1"/>
  <c r="B13" i="2"/>
  <c r="B12" i="2"/>
  <c r="B11" i="2"/>
  <c r="B10" i="2"/>
  <c r="B8" i="2"/>
  <c r="B7" i="2"/>
  <c r="B6" i="2"/>
  <c r="B3" i="2"/>
  <c r="H14" i="3"/>
  <c r="F14" i="3"/>
  <c r="B12" i="3"/>
  <c r="B11" i="3"/>
  <c r="B10" i="3"/>
  <c r="B9" i="3"/>
  <c r="B8" i="3"/>
  <c r="B7" i="3"/>
  <c r="B4" i="3"/>
  <c r="B14" i="3" s="1"/>
  <c r="B3" i="3"/>
  <c r="L13" i="1"/>
  <c r="L14" i="1" s="1"/>
  <c r="L25" i="1" s="1"/>
  <c r="L15" i="1"/>
  <c r="B12" i="1"/>
  <c r="B13" i="1" s="1"/>
  <c r="B11" i="1"/>
  <c r="B10" i="1"/>
  <c r="B9" i="1"/>
  <c r="B8" i="1"/>
  <c r="B3" i="1"/>
  <c r="E14" i="3"/>
  <c r="I14" i="3"/>
  <c r="G14" i="3"/>
  <c r="K20" i="2"/>
  <c r="D20" i="2"/>
  <c r="L23" i="1"/>
  <c r="J20" i="2"/>
  <c r="C20" i="2"/>
  <c r="E20" i="2"/>
  <c r="L12" i="1"/>
  <c r="L11" i="1"/>
  <c r="L10" i="1"/>
  <c r="N11" i="1" s="1"/>
  <c r="L6" i="1"/>
  <c r="L4" i="1"/>
  <c r="A1" i="3"/>
  <c r="A1" i="2"/>
  <c r="A1" i="4" s="1"/>
  <c r="H23" i="1"/>
  <c r="I23" i="1"/>
  <c r="J23" i="1"/>
  <c r="L5" i="1"/>
  <c r="C14" i="1" l="1"/>
  <c r="G20" i="2"/>
  <c r="B16" i="2"/>
  <c r="J16" i="2"/>
  <c r="G16" i="2"/>
  <c r="E24" i="2"/>
  <c r="C23" i="2"/>
  <c r="J24" i="2"/>
  <c r="D24" i="2"/>
  <c r="M11" i="1"/>
  <c r="I24" i="2"/>
  <c r="I14" i="1"/>
  <c r="K25" i="1" s="1"/>
  <c r="M25" i="1" s="1"/>
  <c r="M14" i="1" s="1"/>
  <c r="C24" i="2"/>
  <c r="H24" i="2"/>
  <c r="L19" i="1"/>
  <c r="L24" i="1" s="1"/>
  <c r="B23" i="2"/>
  <c r="H14" i="1"/>
  <c r="G24" i="2"/>
  <c r="D13" i="1"/>
  <c r="E13" i="1" s="1"/>
  <c r="E14" i="1" s="1"/>
  <c r="I25" i="1" s="1"/>
  <c r="K24" i="1"/>
  <c r="L7" i="1"/>
  <c r="J23" i="2"/>
  <c r="B14" i="1"/>
  <c r="I16" i="2"/>
  <c r="K24" i="2"/>
  <c r="F24" i="2"/>
  <c r="J25" i="1"/>
  <c r="M24" i="1"/>
  <c r="M9" i="1"/>
  <c r="N9" i="1"/>
  <c r="N8" i="1"/>
  <c r="M8" i="1"/>
  <c r="N23" i="1"/>
  <c r="N4" i="1" s="1"/>
  <c r="I20" i="2"/>
  <c r="J24" i="1"/>
  <c r="H20" i="2"/>
  <c r="K23" i="1"/>
  <c r="M23" i="1" s="1"/>
  <c r="M4" i="1" s="1"/>
  <c r="H6" i="1"/>
  <c r="H19" i="1" s="1"/>
  <c r="F6" i="1"/>
  <c r="F19" i="1" s="1"/>
  <c r="H24" i="1" s="1"/>
  <c r="E1" i="4"/>
  <c r="D14" i="1" l="1"/>
  <c r="H25" i="1" s="1"/>
  <c r="N25" i="1" s="1"/>
  <c r="N14" i="1" s="1"/>
  <c r="I24" i="1"/>
  <c r="N24" i="1" s="1"/>
  <c r="N6" i="1" s="1"/>
  <c r="M6" i="1"/>
  <c r="M10" i="1" s="1"/>
  <c r="M12" i="1" s="1"/>
  <c r="M13" i="1" s="1"/>
  <c r="M15" i="1" s="1"/>
  <c r="N10" i="1" l="1"/>
  <c r="N12" i="1" s="1"/>
  <c r="N13" i="1" s="1"/>
  <c r="N5" i="1"/>
  <c r="N15" i="1"/>
  <c r="M5" i="1"/>
</calcChain>
</file>

<file path=xl/sharedStrings.xml><?xml version="1.0" encoding="utf-8"?>
<sst xmlns="http://schemas.openxmlformats.org/spreadsheetml/2006/main" count="2231" uniqueCount="1895">
  <si>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</si>
  <si>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</si>
  <si>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</si>
  <si>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</si>
  <si>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</si>
  <si>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</si>
  <si>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</si>
  <si>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</si>
  <si>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</si>
  <si>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</si>
  <si>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</si>
  <si>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</si>
  <si>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</si>
  <si>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</si>
  <si>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</si>
  <si>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</si>
  <si>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</si>
  <si>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</si>
  <si>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</si>
  <si>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</si>
  <si>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</si>
  <si>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</si>
  <si>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</si>
  <si>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</si>
  <si>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</si>
  <si>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</si>
  <si>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</si>
  <si>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</si>
  <si>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</si>
  <si>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</si>
  <si>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</si>
  <si>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</si>
  <si>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</si>
  <si>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</si>
  <si>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</si>
  <si>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</si>
  <si>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</si>
  <si>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</si>
  <si>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</si>
  <si>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</si>
  <si>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</si>
  <si>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</si>
  <si>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</si>
  <si>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</si>
  <si>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</si>
  <si>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</si>
  <si>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</si>
  <si>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</si>
  <si>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</si>
  <si>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</si>
  <si>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</si>
  <si>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</si>
  <si>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</si>
  <si>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</si>
  <si>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</si>
  <si>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</si>
  <si>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</si>
  <si>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</si>
  <si>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</si>
  <si>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</si>
  <si>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</si>
  <si>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</si>
  <si>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</si>
  <si>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ITC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</si>
  <si>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</si>
  <si>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</si>
  <si>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</si>
  <si>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</si>
  <si>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</si>
  <si>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</si>
  <si>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</si>
  <si>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</si>
  <si>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</si>
  <si>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</si>
  <si>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</si>
  <si>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</si>
  <si>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</si>
  <si>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</si>
  <si>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</si>
  <si>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</si>
  <si>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</si>
  <si>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</si>
  <si>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</si>
  <si>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</si>
  <si>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</si>
  <si>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</si>
  <si>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</si>
  <si>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</si>
  <si>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</si>
  <si>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</si>
  <si>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</si>
  <si>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</si>
  <si>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</si>
  <si>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r>
      <t>ITC Limited</t>
    </r>
    <r>
      <rPr>
        <sz val="8"/>
        <color rgb="FF202122"/>
        <rFont val="Arial"/>
        <family val="2"/>
      </rPr>
      <t> is an Indian </t>
    </r>
    <r>
      <rPr>
        <sz val="8"/>
        <color rgb="FF3366CC"/>
        <rFont val="Arial"/>
        <family val="2"/>
      </rPr>
      <t>conglomerate</t>
    </r>
    <r>
      <rPr>
        <sz val="8"/>
        <color rgb="FF202122"/>
        <rFont val="Arial"/>
        <family val="2"/>
      </rPr>
      <t>, headquartered in </t>
    </r>
    <r>
      <rPr>
        <sz val="8"/>
        <color rgb="FF3366CC"/>
        <rFont val="Arial"/>
        <family val="2"/>
      </rPr>
      <t>Kolkata</t>
    </r>
    <r>
      <rPr>
        <sz val="8"/>
        <color rgb="FF202122"/>
        <rFont val="Arial"/>
        <family val="2"/>
      </rPr>
      <t>.</t>
    </r>
    <r>
      <rPr>
        <vertAlign val="superscript"/>
        <sz val="6"/>
        <color rgb="FF3366CC"/>
        <rFont val="Arial"/>
        <family val="2"/>
      </rPr>
      <t>[10]</t>
    </r>
    <r>
      <rPr>
        <sz val="8"/>
        <color rgb="FF202122"/>
        <rFont val="Arial"/>
        <family val="2"/>
      </rPr>
      <t> It has a presence across six business segments, namely </t>
    </r>
    <r>
      <rPr>
        <sz val="8"/>
        <color rgb="FF3366CC"/>
        <rFont val="Arial"/>
        <family val="2"/>
      </rPr>
      <t>FMCG</t>
    </r>
    <r>
      <rPr>
        <sz val="8"/>
        <color rgb="FF202122"/>
        <rFont val="Arial"/>
        <family val="2"/>
      </rPr>
      <t>, </t>
    </r>
    <r>
      <rPr>
        <sz val="8"/>
        <color rgb="FF3366CC"/>
        <rFont val="Arial"/>
        <family val="2"/>
      </rPr>
      <t>agribusiness</t>
    </r>
    <r>
      <rPr>
        <sz val="8"/>
        <color rgb="FF202122"/>
        <rFont val="Arial"/>
        <family val="2"/>
      </rPr>
      <t>, </t>
    </r>
    <r>
      <rPr>
        <sz val="8"/>
        <color rgb="FF3366CC"/>
        <rFont val="Arial"/>
        <family val="2"/>
      </rPr>
      <t>information technology</t>
    </r>
    <r>
      <rPr>
        <sz val="8"/>
        <color rgb="FF202122"/>
        <rFont val="Arial"/>
        <family val="2"/>
      </rPr>
      <t>, </t>
    </r>
    <r>
      <rPr>
        <sz val="8"/>
        <color rgb="FF3366CC"/>
        <rFont val="Arial"/>
        <family val="2"/>
      </rPr>
      <t>paper products</t>
    </r>
    <r>
      <rPr>
        <sz val="8"/>
        <color rgb="FF202122"/>
        <rFont val="Arial"/>
        <family val="2"/>
      </rPr>
      <t>, and </t>
    </r>
    <r>
      <rPr>
        <sz val="8"/>
        <color rgb="FF3366CC"/>
        <rFont val="Arial"/>
        <family val="2"/>
      </rPr>
      <t>packaging</t>
    </r>
    <r>
      <rPr>
        <sz val="8"/>
        <color rgb="FF202122"/>
        <rFont val="Arial"/>
        <family val="2"/>
      </rPr>
      <t>.</t>
    </r>
    <r>
      <rPr>
        <vertAlign val="superscript"/>
        <sz val="6"/>
        <color rgb="FF3366CC"/>
        <rFont val="Arial"/>
        <family val="2"/>
      </rPr>
      <t>[11]</t>
    </r>
    <r>
      <rPr>
        <sz val="8"/>
        <color rgb="FF202122"/>
        <rFont val="Arial"/>
        <family val="2"/>
      </rPr>
      <t> It generates a plurality of its revenue from tobacco products.</t>
    </r>
  </si>
  <si>
    <t>Company Description</t>
  </si>
  <si>
    <t>Key Financial Metrics</t>
  </si>
  <si>
    <t>Total Sales</t>
  </si>
  <si>
    <t>INR (Crs)</t>
  </si>
  <si>
    <t>Sales Growth (y-o-y)</t>
  </si>
  <si>
    <t>Sales Growth y-o-y</t>
  </si>
  <si>
    <t>Gross Profit</t>
  </si>
  <si>
    <t>GPM</t>
  </si>
  <si>
    <t>Gross Profit Margins (%)</t>
  </si>
  <si>
    <t>EBITDA Margins (%)</t>
  </si>
  <si>
    <t>EBITDA Margins</t>
  </si>
  <si>
    <t>EBIT Margins</t>
  </si>
  <si>
    <t>EBIT Margins (%)</t>
  </si>
  <si>
    <t>Net Profit Margins</t>
  </si>
  <si>
    <t>Net Profit Margins (%)</t>
  </si>
  <si>
    <t>Earnings Per Share (in Rs)</t>
  </si>
  <si>
    <t>EPS Growth</t>
  </si>
  <si>
    <t>Dividend per share</t>
  </si>
  <si>
    <t>Dividend Growth</t>
  </si>
  <si>
    <t>EPS Growth (y-o-y)</t>
  </si>
  <si>
    <t>Dividend Per Share (in Rs)</t>
  </si>
  <si>
    <t>DPS Growth (y-o-y)</t>
  </si>
  <si>
    <t>Date</t>
  </si>
  <si>
    <t>Adj Price</t>
  </si>
  <si>
    <t>Share Price - 5Y</t>
  </si>
  <si>
    <t>Debt</t>
  </si>
  <si>
    <t>Cash</t>
  </si>
  <si>
    <t>EV</t>
  </si>
  <si>
    <t>EV/EBITDA</t>
  </si>
  <si>
    <t>EV/Sales</t>
  </si>
  <si>
    <t>Book Value</t>
  </si>
  <si>
    <t>P/B</t>
  </si>
  <si>
    <t>Key Financial Ratios</t>
  </si>
  <si>
    <t>Price to Earnings</t>
  </si>
  <si>
    <t>Price to Book Value</t>
  </si>
  <si>
    <t>Return on Equity (%)</t>
  </si>
  <si>
    <t>Return on Capital Employed (%)</t>
  </si>
  <si>
    <t>Volume - 5Y</t>
  </si>
  <si>
    <t>11.54M</t>
  </si>
  <si>
    <t>12.91M</t>
  </si>
  <si>
    <t>14.38M</t>
  </si>
  <si>
    <t>17.01M</t>
  </si>
  <si>
    <t>10.70M</t>
  </si>
  <si>
    <t>24.50M</t>
  </si>
  <si>
    <t>24.41M</t>
  </si>
  <si>
    <t>13.54M</t>
  </si>
  <si>
    <t>35.11M</t>
  </si>
  <si>
    <t>16.51M</t>
  </si>
  <si>
    <t>18.70M</t>
  </si>
  <si>
    <t>16.52M</t>
  </si>
  <si>
    <t>17.74M</t>
  </si>
  <si>
    <t>17.69M</t>
  </si>
  <si>
    <t>22.31M</t>
  </si>
  <si>
    <t>26.96M</t>
  </si>
  <si>
    <t>18.05M</t>
  </si>
  <si>
    <t>18.08M</t>
  </si>
  <si>
    <t>18.60M</t>
  </si>
  <si>
    <t>24.59M</t>
  </si>
  <si>
    <t>22.18M</t>
  </si>
  <si>
    <t>26.18M</t>
  </si>
  <si>
    <t>33.34M</t>
  </si>
  <si>
    <t>31.79M</t>
  </si>
  <si>
    <t>58.68M</t>
  </si>
  <si>
    <t>17.85M</t>
  </si>
  <si>
    <t>16.70M</t>
  </si>
  <si>
    <t>25.65M</t>
  </si>
  <si>
    <t>37.47M</t>
  </si>
  <si>
    <t>25.66M</t>
  </si>
  <si>
    <t>23.32M</t>
  </si>
  <si>
    <t>14.84M</t>
  </si>
  <si>
    <t>18.35M</t>
  </si>
  <si>
    <t>14.08M</t>
  </si>
  <si>
    <t>21.29M</t>
  </si>
  <si>
    <t>19.94M</t>
  </si>
  <si>
    <t>24.17M</t>
  </si>
  <si>
    <t>22.19M</t>
  </si>
  <si>
    <t>13.89M</t>
  </si>
  <si>
    <t>11.27M</t>
  </si>
  <si>
    <t>13.49M</t>
  </si>
  <si>
    <t>13.14M</t>
  </si>
  <si>
    <t>11.28M</t>
  </si>
  <si>
    <t>19.91M</t>
  </si>
  <si>
    <t>35.47M</t>
  </si>
  <si>
    <t>39.36M</t>
  </si>
  <si>
    <t>11.69M</t>
  </si>
  <si>
    <t>8.73M</t>
  </si>
  <si>
    <t>13.29M</t>
  </si>
  <si>
    <t>24.84M</t>
  </si>
  <si>
    <t>11.49M</t>
  </si>
  <si>
    <t>20.06M</t>
  </si>
  <si>
    <t>68.06M</t>
  </si>
  <si>
    <t>15.82M</t>
  </si>
  <si>
    <t>11.20M</t>
  </si>
  <si>
    <t>33.17M</t>
  </si>
  <si>
    <t>35.23M</t>
  </si>
  <si>
    <t>33.28M</t>
  </si>
  <si>
    <t>41.98M</t>
  </si>
  <si>
    <t>17.72M</t>
  </si>
  <si>
    <t>28.40M</t>
  </si>
  <si>
    <t>47.85M</t>
  </si>
  <si>
    <t>11.95M</t>
  </si>
  <si>
    <t>18.62M</t>
  </si>
  <si>
    <t>14.18M</t>
  </si>
  <si>
    <t>18.77M</t>
  </si>
  <si>
    <t>15.51M</t>
  </si>
  <si>
    <t>30.53M</t>
  </si>
  <si>
    <t>14.91M</t>
  </si>
  <si>
    <t>24.92M</t>
  </si>
  <si>
    <t>16.16M</t>
  </si>
  <si>
    <t>35.19M</t>
  </si>
  <si>
    <t>36.71M</t>
  </si>
  <si>
    <t>29.44M</t>
  </si>
  <si>
    <t>72.58M</t>
  </si>
  <si>
    <t>48.36M</t>
  </si>
  <si>
    <t>118.79M</t>
  </si>
  <si>
    <t>282.63M</t>
  </si>
  <si>
    <t>9.95M</t>
  </si>
  <si>
    <t>12.34M</t>
  </si>
  <si>
    <t>6.65M</t>
  </si>
  <si>
    <t>3.15M</t>
  </si>
  <si>
    <t>5.78M</t>
  </si>
  <si>
    <t>10.08M</t>
  </si>
  <si>
    <t>6.85M</t>
  </si>
  <si>
    <t>10.65M</t>
  </si>
  <si>
    <t>7.23M</t>
  </si>
  <si>
    <t>8.09M</t>
  </si>
  <si>
    <t>12.35M</t>
  </si>
  <si>
    <t>7.76M</t>
  </si>
  <si>
    <t>12.41M</t>
  </si>
  <si>
    <t>6.98M</t>
  </si>
  <si>
    <t>6.97M</t>
  </si>
  <si>
    <t>9.43M</t>
  </si>
  <si>
    <t>6.06M</t>
  </si>
  <si>
    <t>4.42M</t>
  </si>
  <si>
    <t>8.06M</t>
  </si>
  <si>
    <t>10.77M</t>
  </si>
  <si>
    <t>13.44M</t>
  </si>
  <si>
    <t>6.88M</t>
  </si>
  <si>
    <t>8.68M</t>
  </si>
  <si>
    <t>11.44M</t>
  </si>
  <si>
    <t>8.20M</t>
  </si>
  <si>
    <t>11.04M</t>
  </si>
  <si>
    <t>5.81M</t>
  </si>
  <si>
    <t>6.69M</t>
  </si>
  <si>
    <t>7.88M</t>
  </si>
  <si>
    <t>7.66M</t>
  </si>
  <si>
    <t>7.86M</t>
  </si>
  <si>
    <t>64.02M</t>
  </si>
  <si>
    <t>6.62M</t>
  </si>
  <si>
    <t>7.99M</t>
  </si>
  <si>
    <t>12.01M</t>
  </si>
  <si>
    <t>8.41M</t>
  </si>
  <si>
    <t>10.10M</t>
  </si>
  <si>
    <t>10.09M</t>
  </si>
  <si>
    <t>7.64M</t>
  </si>
  <si>
    <t>12.94M</t>
  </si>
  <si>
    <t>11.47M</t>
  </si>
  <si>
    <t>17.16M</t>
  </si>
  <si>
    <t>11.60M</t>
  </si>
  <si>
    <t>14.94M</t>
  </si>
  <si>
    <t>24.31M</t>
  </si>
  <si>
    <t>1.14M</t>
  </si>
  <si>
    <t>13.08M</t>
  </si>
  <si>
    <t>21.07M</t>
  </si>
  <si>
    <t>22.96M</t>
  </si>
  <si>
    <t>16.04M</t>
  </si>
  <si>
    <t>10.29M</t>
  </si>
  <si>
    <t>9.51M</t>
  </si>
  <si>
    <t>15.09M</t>
  </si>
  <si>
    <t>15.66M</t>
  </si>
  <si>
    <t>8.40M</t>
  </si>
  <si>
    <t>12.30M</t>
  </si>
  <si>
    <t>13.99M</t>
  </si>
  <si>
    <t>16.99M</t>
  </si>
  <si>
    <t>17.64M</t>
  </si>
  <si>
    <t>9.47M</t>
  </si>
  <si>
    <t>19.72M</t>
  </si>
  <si>
    <t>14.41M</t>
  </si>
  <si>
    <t>22.01M</t>
  </si>
  <si>
    <t>12.38M</t>
  </si>
  <si>
    <t>8.93M</t>
  </si>
  <si>
    <t>19.51M</t>
  </si>
  <si>
    <t>15.65M</t>
  </si>
  <si>
    <t>14.11M</t>
  </si>
  <si>
    <t>8.24M</t>
  </si>
  <si>
    <t>5.71M</t>
  </si>
  <si>
    <t>7.80M</t>
  </si>
  <si>
    <t>8.27M</t>
  </si>
  <si>
    <t>9.25M</t>
  </si>
  <si>
    <t>8.83M</t>
  </si>
  <si>
    <t>7.42M</t>
  </si>
  <si>
    <t>16.00M</t>
  </si>
  <si>
    <t>27.27M</t>
  </si>
  <si>
    <t>19.81M</t>
  </si>
  <si>
    <t>12.27M</t>
  </si>
  <si>
    <t>25.26M</t>
  </si>
  <si>
    <t>12.47M</t>
  </si>
  <si>
    <t>13.72M</t>
  </si>
  <si>
    <t>10.44M</t>
  </si>
  <si>
    <t>13.09M</t>
  </si>
  <si>
    <t>15.03M</t>
  </si>
  <si>
    <t>18.19M</t>
  </si>
  <si>
    <t>16.68M</t>
  </si>
  <si>
    <t>30.95M</t>
  </si>
  <si>
    <t>9.58M</t>
  </si>
  <si>
    <t>10.87M</t>
  </si>
  <si>
    <t>13.64M</t>
  </si>
  <si>
    <t>8.51M</t>
  </si>
  <si>
    <t>9.81M</t>
  </si>
  <si>
    <t>11.51M</t>
  </si>
  <si>
    <t>9.08M</t>
  </si>
  <si>
    <t>8.50M</t>
  </si>
  <si>
    <t>14.32M</t>
  </si>
  <si>
    <t>19.36M</t>
  </si>
  <si>
    <t>10.92M</t>
  </si>
  <si>
    <t>6.81M</t>
  </si>
  <si>
    <t>8.12M</t>
  </si>
  <si>
    <t>5.82M</t>
  </si>
  <si>
    <t>9.01M</t>
  </si>
  <si>
    <t>12.20M</t>
  </si>
  <si>
    <t>9.87M</t>
  </si>
  <si>
    <t>4.82M</t>
  </si>
  <si>
    <t>6.73M</t>
  </si>
  <si>
    <t>7.24M</t>
  </si>
  <si>
    <t>9.78M</t>
  </si>
  <si>
    <t>8.53M</t>
  </si>
  <si>
    <t>6.90M</t>
  </si>
  <si>
    <t>8.58M</t>
  </si>
  <si>
    <t>6.22M</t>
  </si>
  <si>
    <t>9.93M</t>
  </si>
  <si>
    <t>8.26M</t>
  </si>
  <si>
    <t>14.19M</t>
  </si>
  <si>
    <t>15.99M</t>
  </si>
  <si>
    <t>13.67M</t>
  </si>
  <si>
    <t>12.32M</t>
  </si>
  <si>
    <t>21.41M</t>
  </si>
  <si>
    <t>13.70M</t>
  </si>
  <si>
    <t>16.69M</t>
  </si>
  <si>
    <t>13.20M</t>
  </si>
  <si>
    <t>12.60M</t>
  </si>
  <si>
    <t>8.04M</t>
  </si>
  <si>
    <t>9.03M</t>
  </si>
  <si>
    <t>7.01M</t>
  </si>
  <si>
    <t>17.87M</t>
  </si>
  <si>
    <t>18.51M</t>
  </si>
  <si>
    <t>20.79M</t>
  </si>
  <si>
    <t>13.04M</t>
  </si>
  <si>
    <t>10.47M</t>
  </si>
  <si>
    <t>8.77M</t>
  </si>
  <si>
    <t>13.21M</t>
  </si>
  <si>
    <t>13.22M</t>
  </si>
  <si>
    <t>14.97M</t>
  </si>
  <si>
    <t>30.66M</t>
  </si>
  <si>
    <t>21.48M</t>
  </si>
  <si>
    <t>431.85M</t>
  </si>
  <si>
    <t>26.99M</t>
  </si>
  <si>
    <t>13.11M</t>
  </si>
  <si>
    <t>18.54M</t>
  </si>
  <si>
    <t>19.45M</t>
  </si>
  <si>
    <t>7.54M</t>
  </si>
  <si>
    <t>16.40M</t>
  </si>
  <si>
    <t>24.26M</t>
  </si>
  <si>
    <t>9.56M</t>
  </si>
  <si>
    <t>14.98M</t>
  </si>
  <si>
    <t>8.03M</t>
  </si>
  <si>
    <t>8.23M</t>
  </si>
  <si>
    <t>9.71M</t>
  </si>
  <si>
    <t>11.53M</t>
  </si>
  <si>
    <t>12.77M</t>
  </si>
  <si>
    <t>10.03M</t>
  </si>
  <si>
    <t>11.19M</t>
  </si>
  <si>
    <t>6.29M</t>
  </si>
  <si>
    <t>22.94M</t>
  </si>
  <si>
    <t>26.06M</t>
  </si>
  <si>
    <t>19.57M</t>
  </si>
  <si>
    <t>32.03M</t>
  </si>
  <si>
    <t>27.39M</t>
  </si>
  <si>
    <t>22.41M</t>
  </si>
  <si>
    <t>13.03M</t>
  </si>
  <si>
    <t>8.94M</t>
  </si>
  <si>
    <t>21.79M</t>
  </si>
  <si>
    <t>26.76M</t>
  </si>
  <si>
    <t>18.63M</t>
  </si>
  <si>
    <t>7.06M</t>
  </si>
  <si>
    <t>8.00M</t>
  </si>
  <si>
    <t>15.21M</t>
  </si>
  <si>
    <t>12.98M</t>
  </si>
  <si>
    <t>18.64M</t>
  </si>
  <si>
    <t>20.34M</t>
  </si>
  <si>
    <t>14.36M</t>
  </si>
  <si>
    <t>25.30M</t>
  </si>
  <si>
    <t>12.83M</t>
  </si>
  <si>
    <t>13.86M</t>
  </si>
  <si>
    <t>5.26M</t>
  </si>
  <si>
    <t>13.84M</t>
  </si>
  <si>
    <t>11.10M</t>
  </si>
  <si>
    <t>9.79M</t>
  </si>
  <si>
    <t>11.18M</t>
  </si>
  <si>
    <t>15.67M</t>
  </si>
  <si>
    <t>13.40M</t>
  </si>
  <si>
    <t>31.95M</t>
  </si>
  <si>
    <t>19.05M</t>
  </si>
  <si>
    <t>15.76M</t>
  </si>
  <si>
    <t>7.04M</t>
  </si>
  <si>
    <t>15.36M</t>
  </si>
  <si>
    <t>7.08M</t>
  </si>
  <si>
    <t>13.00M</t>
  </si>
  <si>
    <t>11.98M</t>
  </si>
  <si>
    <t>14.12M</t>
  </si>
  <si>
    <t>12.99M</t>
  </si>
  <si>
    <t>13.88M</t>
  </si>
  <si>
    <t>14.29M</t>
  </si>
  <si>
    <t>12.23M</t>
  </si>
  <si>
    <t>18.88M</t>
  </si>
  <si>
    <t>17.47M</t>
  </si>
  <si>
    <t>12.84M</t>
  </si>
  <si>
    <t>18.92M</t>
  </si>
  <si>
    <t>30.39M</t>
  </si>
  <si>
    <t>13.55M</t>
  </si>
  <si>
    <t>22.50M</t>
  </si>
  <si>
    <t>15.16M</t>
  </si>
  <si>
    <t>20.81M</t>
  </si>
  <si>
    <t>10.48M</t>
  </si>
  <si>
    <t>9.67M</t>
  </si>
  <si>
    <t>8.89M</t>
  </si>
  <si>
    <t>9.62M</t>
  </si>
  <si>
    <t>15.69M</t>
  </si>
  <si>
    <t>8.74M</t>
  </si>
  <si>
    <t>15.77M</t>
  </si>
  <si>
    <t>17.80M</t>
  </si>
  <si>
    <t>9.15M</t>
  </si>
  <si>
    <t>19.73M</t>
  </si>
  <si>
    <t>13.48M</t>
  </si>
  <si>
    <t>37.07M</t>
  </si>
  <si>
    <t>26.12M</t>
  </si>
  <si>
    <t>18.23M</t>
  </si>
  <si>
    <t>13.28M</t>
  </si>
  <si>
    <t>13.07M</t>
  </si>
  <si>
    <t>16.28M</t>
  </si>
  <si>
    <t>8.85M</t>
  </si>
  <si>
    <t>11.56M</t>
  </si>
  <si>
    <t>18.84M</t>
  </si>
  <si>
    <t>19.48M</t>
  </si>
  <si>
    <t>14.60M</t>
  </si>
  <si>
    <t>12.37M</t>
  </si>
  <si>
    <t>19.84M</t>
  </si>
  <si>
    <t>31.75M</t>
  </si>
  <si>
    <t>12.88M</t>
  </si>
  <si>
    <t>6.75M</t>
  </si>
  <si>
    <t>8.82M</t>
  </si>
  <si>
    <t>11.70M</t>
  </si>
  <si>
    <t>7.55M</t>
  </si>
  <si>
    <t>26.42M</t>
  </si>
  <si>
    <t>22.22M</t>
  </si>
  <si>
    <t>5.48M</t>
  </si>
  <si>
    <t>8.35M</t>
  </si>
  <si>
    <t>7.07M</t>
  </si>
  <si>
    <t>6.54M</t>
  </si>
  <si>
    <t>19.46M</t>
  </si>
  <si>
    <t>19.56M</t>
  </si>
  <si>
    <t>6.86M</t>
  </si>
  <si>
    <t>8.14M</t>
  </si>
  <si>
    <t>11.64M</t>
  </si>
  <si>
    <t>11.12M</t>
  </si>
  <si>
    <t>5.04M</t>
  </si>
  <si>
    <t>5.49M</t>
  </si>
  <si>
    <t>6.09M</t>
  </si>
  <si>
    <t>8.92M</t>
  </si>
  <si>
    <t>11.31M</t>
  </si>
  <si>
    <t>7.33M</t>
  </si>
  <si>
    <t>8.43M</t>
  </si>
  <si>
    <t>1.46M</t>
  </si>
  <si>
    <t>7.81M</t>
  </si>
  <si>
    <t>6.39M</t>
  </si>
  <si>
    <t>6.87M</t>
  </si>
  <si>
    <t>8.61M</t>
  </si>
  <si>
    <t>30.96M</t>
  </si>
  <si>
    <t>10.16M</t>
  </si>
  <si>
    <t>7.40M</t>
  </si>
  <si>
    <t>21.78M</t>
  </si>
  <si>
    <t>7.39M</t>
  </si>
  <si>
    <t>6.68M</t>
  </si>
  <si>
    <t>6.71M</t>
  </si>
  <si>
    <t>14.39M</t>
  </si>
  <si>
    <t>12.80M</t>
  </si>
  <si>
    <t>23.95M</t>
  </si>
  <si>
    <t>9.50M</t>
  </si>
  <si>
    <t>16.48M</t>
  </si>
  <si>
    <t>15.87M</t>
  </si>
  <si>
    <t>5.09M</t>
  </si>
  <si>
    <t>10.53M</t>
  </si>
  <si>
    <t>17.25M</t>
  </si>
  <si>
    <t>15.49M</t>
  </si>
  <si>
    <t>8.48M</t>
  </si>
  <si>
    <t>6.76M</t>
  </si>
  <si>
    <t>23.81M</t>
  </si>
  <si>
    <t>13.93M</t>
  </si>
  <si>
    <t>5.43M</t>
  </si>
  <si>
    <t>10.49M</t>
  </si>
  <si>
    <t>7.53M</t>
  </si>
  <si>
    <t>18.38M</t>
  </si>
  <si>
    <t>14.92M</t>
  </si>
  <si>
    <t>10.91M</t>
  </si>
  <si>
    <t>13.74M</t>
  </si>
  <si>
    <t>10.90M</t>
  </si>
  <si>
    <t>12.02M</t>
  </si>
  <si>
    <t>15.89M</t>
  </si>
  <si>
    <t>14.95M</t>
  </si>
  <si>
    <t>18.67M</t>
  </si>
  <si>
    <t>7.78M</t>
  </si>
  <si>
    <t>7.95M</t>
  </si>
  <si>
    <t>7.83M</t>
  </si>
  <si>
    <t>7.89M</t>
  </si>
  <si>
    <t>8.36M</t>
  </si>
  <si>
    <t>8.47M</t>
  </si>
  <si>
    <t>6.63M</t>
  </si>
  <si>
    <t>10.20M</t>
  </si>
  <si>
    <t>9.20M</t>
  </si>
  <si>
    <t>20.56M</t>
  </si>
  <si>
    <t>24.09M</t>
  </si>
  <si>
    <t>21.32M</t>
  </si>
  <si>
    <t>11.67M</t>
  </si>
  <si>
    <t>13.38M</t>
  </si>
  <si>
    <t>12.50M</t>
  </si>
  <si>
    <t>20.74M</t>
  </si>
  <si>
    <t>17.88M</t>
  </si>
  <si>
    <t>42.07M</t>
  </si>
  <si>
    <t>54.04M</t>
  </si>
  <si>
    <t>18.07M</t>
  </si>
  <si>
    <t>24.98M</t>
  </si>
  <si>
    <t>21.09M</t>
  </si>
  <si>
    <t>16.25M</t>
  </si>
  <si>
    <t>18.96M</t>
  </si>
  <si>
    <t>18.83M</t>
  </si>
  <si>
    <t>11.62M</t>
  </si>
  <si>
    <t>26.47M</t>
  </si>
  <si>
    <t>20.52M</t>
  </si>
  <si>
    <t>12.93M</t>
  </si>
  <si>
    <t>9.13M</t>
  </si>
  <si>
    <t>7.16M</t>
  </si>
  <si>
    <t>10.76M</t>
  </si>
  <si>
    <t>12.89M</t>
  </si>
  <si>
    <t>37.01M</t>
  </si>
  <si>
    <t>11.08M</t>
  </si>
  <si>
    <t>10.26M</t>
  </si>
  <si>
    <t>9.36M</t>
  </si>
  <si>
    <t>25.21M</t>
  </si>
  <si>
    <t>14.59M</t>
  </si>
  <si>
    <t>14.10M</t>
  </si>
  <si>
    <t>9.22M</t>
  </si>
  <si>
    <t>9.28M</t>
  </si>
  <si>
    <t>10.35M</t>
  </si>
  <si>
    <t>12.67M</t>
  </si>
  <si>
    <t>11.43M</t>
  </si>
  <si>
    <t>28.45M</t>
  </si>
  <si>
    <t>31.12M</t>
  </si>
  <si>
    <t>27.15M</t>
  </si>
  <si>
    <t>46.02M</t>
  </si>
  <si>
    <t>15.52M</t>
  </si>
  <si>
    <t>28.21M</t>
  </si>
  <si>
    <t>10.43M</t>
  </si>
  <si>
    <t>9.31M</t>
  </si>
  <si>
    <t>11.83M</t>
  </si>
  <si>
    <t>12.76M</t>
  </si>
  <si>
    <t>26.23M</t>
  </si>
  <si>
    <t>10.63M</t>
  </si>
  <si>
    <t>713.86K</t>
  </si>
  <si>
    <t>11.45M</t>
  </si>
  <si>
    <t>23.03M</t>
  </si>
  <si>
    <t>7.57M</t>
  </si>
  <si>
    <t>11.00M</t>
  </si>
  <si>
    <t>7.30M</t>
  </si>
  <si>
    <t>23.41M</t>
  </si>
  <si>
    <t>10.51M</t>
  </si>
  <si>
    <t>25.97M</t>
  </si>
  <si>
    <t>10.36M</t>
  </si>
  <si>
    <t>22.90M</t>
  </si>
  <si>
    <t>23.23M</t>
  </si>
  <si>
    <t>12.06M</t>
  </si>
  <si>
    <t>11.63M</t>
  </si>
  <si>
    <t>14.77M</t>
  </si>
  <si>
    <t>29.21M</t>
  </si>
  <si>
    <t>5.85M</t>
  </si>
  <si>
    <t>7.11M</t>
  </si>
  <si>
    <t>16.58M</t>
  </si>
  <si>
    <t>21.31M</t>
  </si>
  <si>
    <t>9.97M</t>
  </si>
  <si>
    <t>8.75M</t>
  </si>
  <si>
    <t>18.09M</t>
  </si>
  <si>
    <t>14.01M</t>
  </si>
  <si>
    <t>8.52M</t>
  </si>
  <si>
    <t>16.15M</t>
  </si>
  <si>
    <t>18.36M</t>
  </si>
  <si>
    <t>12.66M</t>
  </si>
  <si>
    <t>9.38M</t>
  </si>
  <si>
    <t>27.93M</t>
  </si>
  <si>
    <t>10.27M</t>
  </si>
  <si>
    <t>38.86M</t>
  </si>
  <si>
    <t>19.23M</t>
  </si>
  <si>
    <t>19.61M</t>
  </si>
  <si>
    <t>20.99M</t>
  </si>
  <si>
    <t>15.93M</t>
  </si>
  <si>
    <t>73.25M</t>
  </si>
  <si>
    <t>30.76M</t>
  </si>
  <si>
    <t>101.61M</t>
  </si>
  <si>
    <t>34.88M</t>
  </si>
  <si>
    <t>17.62M</t>
  </si>
  <si>
    <t>23.02M</t>
  </si>
  <si>
    <t>11.11M</t>
  </si>
  <si>
    <t>9.73M</t>
  </si>
  <si>
    <t>6.84M</t>
  </si>
  <si>
    <t>974.82K</t>
  </si>
  <si>
    <t>12.40M</t>
  </si>
  <si>
    <t>14.90M</t>
  </si>
  <si>
    <t>8.62M</t>
  </si>
  <si>
    <t>7.98M</t>
  </si>
  <si>
    <t>11.15M</t>
  </si>
  <si>
    <t>19.41M</t>
  </si>
  <si>
    <t>16.95M</t>
  </si>
  <si>
    <t>37.52M</t>
  </si>
  <si>
    <t>20.38M</t>
  </si>
  <si>
    <t>12.15M</t>
  </si>
  <si>
    <t>15.61M</t>
  </si>
  <si>
    <t>32.28M</t>
  </si>
  <si>
    <t>48.18M</t>
  </si>
  <si>
    <t>18.76M</t>
  </si>
  <si>
    <t>12.04M</t>
  </si>
  <si>
    <t>19.17M</t>
  </si>
  <si>
    <t>19.88M</t>
  </si>
  <si>
    <t>43.51M</t>
  </si>
  <si>
    <t>19.68M</t>
  </si>
  <si>
    <t>21.63M</t>
  </si>
  <si>
    <t>3.30M</t>
  </si>
  <si>
    <t>9.14M</t>
  </si>
  <si>
    <t>12.07M</t>
  </si>
  <si>
    <t>9.35M</t>
  </si>
  <si>
    <t>6.53M</t>
  </si>
  <si>
    <t>5.90M</t>
  </si>
  <si>
    <t>5.70M</t>
  </si>
  <si>
    <t>9.21M</t>
  </si>
  <si>
    <t>11.79M</t>
  </si>
  <si>
    <t>24.04M</t>
  </si>
  <si>
    <t>10.52M</t>
  </si>
  <si>
    <t>20.70M</t>
  </si>
  <si>
    <t>5.87M</t>
  </si>
  <si>
    <t>11.03M</t>
  </si>
  <si>
    <t>10.37M</t>
  </si>
  <si>
    <t>12.03M</t>
  </si>
  <si>
    <t>15.79M</t>
  </si>
  <si>
    <t>14.37M</t>
  </si>
  <si>
    <t>6.60M</t>
  </si>
  <si>
    <t>20.42M</t>
  </si>
  <si>
    <t>12.14M</t>
  </si>
  <si>
    <t>19.34M</t>
  </si>
  <si>
    <t>15.13M</t>
  </si>
  <si>
    <t>13.79M</t>
  </si>
  <si>
    <t>6.82M</t>
  </si>
  <si>
    <t>6.37M</t>
  </si>
  <si>
    <t>4.89M</t>
  </si>
  <si>
    <t>6.00M</t>
  </si>
  <si>
    <t>4.34M</t>
  </si>
  <si>
    <t>6.66M</t>
  </si>
  <si>
    <t>10.86M</t>
  </si>
  <si>
    <t>7.44M</t>
  </si>
  <si>
    <t>3.74M</t>
  </si>
  <si>
    <t>1.18M</t>
  </si>
  <si>
    <t>4.08M</t>
  </si>
  <si>
    <t>7.79M</t>
  </si>
  <si>
    <t>5.12M</t>
  </si>
  <si>
    <t>7.31M</t>
  </si>
  <si>
    <t>13.80M</t>
  </si>
  <si>
    <t>8.15M</t>
  </si>
  <si>
    <t>7.62M</t>
  </si>
  <si>
    <t>13.13M</t>
  </si>
  <si>
    <t>18.80M</t>
  </si>
  <si>
    <t>10.89M</t>
  </si>
  <si>
    <t>7.28M</t>
  </si>
  <si>
    <t>13.02M</t>
  </si>
  <si>
    <t>6.89M</t>
  </si>
  <si>
    <t>6.94M</t>
  </si>
  <si>
    <t>4.21M</t>
  </si>
  <si>
    <t>7.63M</t>
  </si>
  <si>
    <t>11.77M</t>
  </si>
  <si>
    <t>7.65M</t>
  </si>
  <si>
    <t>5.01M</t>
  </si>
  <si>
    <t>5.61M</t>
  </si>
  <si>
    <t>8.42M</t>
  </si>
  <si>
    <t>7.48M</t>
  </si>
  <si>
    <t>8.16M</t>
  </si>
  <si>
    <t>10.22M</t>
  </si>
  <si>
    <t>5.33M</t>
  </si>
  <si>
    <t>7.51M</t>
  </si>
  <si>
    <t>10.72M</t>
  </si>
  <si>
    <t>9.96M</t>
  </si>
  <si>
    <t>15.08M</t>
  </si>
  <si>
    <t>14.43M</t>
  </si>
  <si>
    <t>11.81M</t>
  </si>
  <si>
    <t>9.32M</t>
  </si>
  <si>
    <t>9.94M</t>
  </si>
  <si>
    <t>12.86M</t>
  </si>
  <si>
    <t>8.38M</t>
  </si>
  <si>
    <t>13.60M</t>
  </si>
  <si>
    <t>19.90M</t>
  </si>
  <si>
    <t>7.36M</t>
  </si>
  <si>
    <t>9.48M</t>
  </si>
  <si>
    <t>6.91M</t>
  </si>
  <si>
    <t>9.27M</t>
  </si>
  <si>
    <t>8.45M</t>
  </si>
  <si>
    <t>9.85M</t>
  </si>
  <si>
    <t>9.57M</t>
  </si>
  <si>
    <t>19.32M</t>
  </si>
  <si>
    <t>16.27M</t>
  </si>
  <si>
    <t>7.56M</t>
  </si>
  <si>
    <t>11.58M</t>
  </si>
  <si>
    <t>13.19M</t>
  </si>
  <si>
    <t>9.76M</t>
  </si>
  <si>
    <t>9.16M</t>
  </si>
  <si>
    <t>6.83M</t>
  </si>
  <si>
    <t>10.62M</t>
  </si>
  <si>
    <t>10.32M</t>
  </si>
  <si>
    <t>6.44M</t>
  </si>
  <si>
    <t>8.19M</t>
  </si>
  <si>
    <t>9.98M</t>
  </si>
  <si>
    <t>18.14M</t>
  </si>
  <si>
    <t>43.53M</t>
  </si>
  <si>
    <t>38.98M</t>
  </si>
  <si>
    <t>13.97M</t>
  </si>
  <si>
    <t>20.25M</t>
  </si>
  <si>
    <t>13.87M</t>
  </si>
  <si>
    <t>5.35M</t>
  </si>
  <si>
    <t>5.08M</t>
  </si>
  <si>
    <t>7.91M</t>
  </si>
  <si>
    <t>8.46M</t>
  </si>
  <si>
    <t>6.52M</t>
  </si>
  <si>
    <t>7.32M</t>
  </si>
  <si>
    <t>7.73M</t>
  </si>
  <si>
    <t>9.11M</t>
  </si>
  <si>
    <t>12.08M</t>
  </si>
  <si>
    <t>4.87M</t>
  </si>
  <si>
    <t>6.64M</t>
  </si>
  <si>
    <t>4.47M</t>
  </si>
  <si>
    <t>4.19M</t>
  </si>
  <si>
    <t>11.73M</t>
  </si>
  <si>
    <t>7.50M</t>
  </si>
  <si>
    <t>8.70M</t>
  </si>
  <si>
    <t>16.11M</t>
  </si>
  <si>
    <t>8.72M</t>
  </si>
  <si>
    <t>7.02M</t>
  </si>
  <si>
    <t>6.45M</t>
  </si>
  <si>
    <t>7.15M</t>
  </si>
  <si>
    <t>8.80M</t>
  </si>
  <si>
    <t>14.27M</t>
  </si>
  <si>
    <t>18.90M</t>
  </si>
  <si>
    <t>19.83M</t>
  </si>
  <si>
    <t>18.20M</t>
  </si>
  <si>
    <t>11.48M</t>
  </si>
  <si>
    <t>15.42M</t>
  </si>
  <si>
    <t>25.77M</t>
  </si>
  <si>
    <t>24.00M</t>
  </si>
  <si>
    <t>11.14M</t>
  </si>
  <si>
    <t>15.98M</t>
  </si>
  <si>
    <t>9.75M</t>
  </si>
  <si>
    <t>9.99M</t>
  </si>
  <si>
    <t>10.25M</t>
  </si>
  <si>
    <t>12.72M</t>
  </si>
  <si>
    <t>12.61M</t>
  </si>
  <si>
    <t>8.84M</t>
  </si>
  <si>
    <t>5.98M</t>
  </si>
  <si>
    <t>14.25M</t>
  </si>
  <si>
    <t>6.67M</t>
  </si>
  <si>
    <t>9.74M</t>
  </si>
  <si>
    <t>9.49M</t>
  </si>
  <si>
    <t>18.24M</t>
  </si>
  <si>
    <t>6.78M</t>
  </si>
  <si>
    <t>12.90M</t>
  </si>
  <si>
    <t>11.61M</t>
  </si>
  <si>
    <t>9.17M</t>
  </si>
  <si>
    <t>10.82M</t>
  </si>
  <si>
    <t>4.77M</t>
  </si>
  <si>
    <t>10.12M</t>
  </si>
  <si>
    <t>48.90M</t>
  </si>
  <si>
    <t>15.71M</t>
  </si>
  <si>
    <t>10.23M</t>
  </si>
  <si>
    <t>8.79M</t>
  </si>
  <si>
    <t>9.63M</t>
  </si>
  <si>
    <t>10.71M</t>
  </si>
  <si>
    <t>8.18M</t>
  </si>
  <si>
    <t>5.02M</t>
  </si>
  <si>
    <t>7.77M</t>
  </si>
  <si>
    <t>16.37M</t>
  </si>
  <si>
    <t>8.96M</t>
  </si>
  <si>
    <t>7.67M</t>
  </si>
  <si>
    <t>12.21M</t>
  </si>
  <si>
    <t>29.13M</t>
  </si>
  <si>
    <t>9.90M</t>
  </si>
  <si>
    <t>10.28M</t>
  </si>
  <si>
    <t>11.86M</t>
  </si>
  <si>
    <t>10.42M</t>
  </si>
  <si>
    <t>20.64M</t>
  </si>
  <si>
    <t>25.79M</t>
  </si>
  <si>
    <t>22.30M</t>
  </si>
  <si>
    <t>55.75M</t>
  </si>
  <si>
    <t>64.52M</t>
  </si>
  <si>
    <t>17.13M</t>
  </si>
  <si>
    <t>14.09M</t>
  </si>
  <si>
    <t>21.04M</t>
  </si>
  <si>
    <t>7.12M</t>
  </si>
  <si>
    <t>13.10M</t>
  </si>
  <si>
    <t>12.56M</t>
  </si>
  <si>
    <t>13.71M</t>
  </si>
  <si>
    <t>8.25M</t>
  </si>
  <si>
    <t>4.58M</t>
  </si>
  <si>
    <t>6.95M</t>
  </si>
  <si>
    <t>8.28M</t>
  </si>
  <si>
    <t>8.17M</t>
  </si>
  <si>
    <t>5.95M</t>
  </si>
  <si>
    <t>6.96M</t>
  </si>
  <si>
    <t>8.11M</t>
  </si>
  <si>
    <t>7.74M</t>
  </si>
  <si>
    <t>10.07M</t>
  </si>
  <si>
    <t>6.58M</t>
  </si>
  <si>
    <t>7.05M</t>
  </si>
  <si>
    <t>12.43M</t>
  </si>
  <si>
    <t>7.38M</t>
  </si>
  <si>
    <t>10.69M</t>
  </si>
  <si>
    <t>11.21M</t>
  </si>
  <si>
    <t>8.13M</t>
  </si>
  <si>
    <t>6.20M</t>
  </si>
  <si>
    <t>6.33M</t>
  </si>
  <si>
    <t>9.72M</t>
  </si>
  <si>
    <t>8.39M</t>
  </si>
  <si>
    <t>16.63M</t>
  </si>
  <si>
    <t>22.56M</t>
  </si>
  <si>
    <t>10.19M</t>
  </si>
  <si>
    <t>6.93M</t>
  </si>
  <si>
    <t>6.50M</t>
  </si>
  <si>
    <t>7.84M</t>
  </si>
  <si>
    <t>7.60M</t>
  </si>
  <si>
    <t>15.45M</t>
  </si>
  <si>
    <t>10.95M</t>
  </si>
  <si>
    <t>19.33M</t>
  </si>
  <si>
    <t>20.61M</t>
  </si>
  <si>
    <t>10.05M</t>
  </si>
  <si>
    <t>10.74M</t>
  </si>
  <si>
    <t>16.78M</t>
  </si>
  <si>
    <t>19.67M</t>
  </si>
  <si>
    <t>13.83M</t>
  </si>
  <si>
    <t>18.56M</t>
  </si>
  <si>
    <t>17.24M</t>
  </si>
  <si>
    <t>3.17M</t>
  </si>
  <si>
    <t>27.37M</t>
  </si>
  <si>
    <t>18.47M</t>
  </si>
  <si>
    <t>16.30M</t>
  </si>
  <si>
    <t>20.89M</t>
  </si>
  <si>
    <t>6.42M</t>
  </si>
  <si>
    <t>7.27M</t>
  </si>
  <si>
    <t>10.34M</t>
  </si>
  <si>
    <t>10.61M</t>
  </si>
  <si>
    <t>9.39M</t>
  </si>
  <si>
    <t>22.24M</t>
  </si>
  <si>
    <t>18.28M</t>
  </si>
  <si>
    <t>15.55M</t>
  </si>
  <si>
    <t>16.21M</t>
  </si>
  <si>
    <t>22.84M</t>
  </si>
  <si>
    <t>24.18M</t>
  </si>
  <si>
    <t>9.53M</t>
  </si>
  <si>
    <t>12.49M</t>
  </si>
  <si>
    <t>8.71M</t>
  </si>
  <si>
    <t>9.41M</t>
  </si>
  <si>
    <t>11.97M</t>
  </si>
  <si>
    <t>25.76M</t>
  </si>
  <si>
    <t>13.25M</t>
  </si>
  <si>
    <t>17.83M</t>
  </si>
  <si>
    <t>11.36M</t>
  </si>
  <si>
    <t>11.35M</t>
  </si>
  <si>
    <t>9.34M</t>
  </si>
  <si>
    <t>9.88M</t>
  </si>
  <si>
    <t>8.31M</t>
  </si>
  <si>
    <t>15.90M</t>
  </si>
  <si>
    <t>17.70M</t>
  </si>
  <si>
    <t>16.93M</t>
  </si>
  <si>
    <t>10.84M</t>
  </si>
  <si>
    <t>10.64M</t>
  </si>
  <si>
    <t>9.19M</t>
  </si>
  <si>
    <t>11.32M</t>
  </si>
  <si>
    <t>13.41M</t>
  </si>
  <si>
    <t>14.07M</t>
  </si>
  <si>
    <t>18.29M</t>
  </si>
  <si>
    <t>18.57M</t>
  </si>
  <si>
    <t>39.88M</t>
  </si>
  <si>
    <t>35.17M</t>
  </si>
  <si>
    <t>19.26M</t>
  </si>
  <si>
    <t>16.02M</t>
  </si>
  <si>
    <t>11.24M</t>
  </si>
  <si>
    <t>9.07M</t>
  </si>
  <si>
    <t>17.08M</t>
  </si>
  <si>
    <t>16.65M</t>
  </si>
  <si>
    <t>5.06M</t>
  </si>
  <si>
    <t>11.09M</t>
  </si>
  <si>
    <t>8.37M</t>
  </si>
  <si>
    <t>9.86M</t>
  </si>
  <si>
    <t>10.83M</t>
  </si>
  <si>
    <t>10.93M</t>
  </si>
  <si>
    <t>14.24M</t>
  </si>
  <si>
    <t>14.70M</t>
  </si>
  <si>
    <t>23.21M</t>
  </si>
  <si>
    <t>11.82M</t>
  </si>
  <si>
    <t>13.47M</t>
  </si>
  <si>
    <t>18.42M</t>
  </si>
  <si>
    <t>15.29M</t>
  </si>
  <si>
    <t>21.70M</t>
  </si>
  <si>
    <t>32.37M</t>
  </si>
  <si>
    <t>78.29M</t>
  </si>
  <si>
    <t>20.20M</t>
  </si>
  <si>
    <t>11.92M</t>
  </si>
  <si>
    <t>20.04M</t>
  </si>
  <si>
    <t>17.34M</t>
  </si>
  <si>
    <t>18.03M</t>
  </si>
  <si>
    <t>21.40M</t>
  </si>
  <si>
    <t>34.49M</t>
  </si>
  <si>
    <t>17.93M</t>
  </si>
  <si>
    <t>25.95M</t>
  </si>
  <si>
    <t>18.97M</t>
  </si>
  <si>
    <t>27.92M</t>
  </si>
  <si>
    <t>20.54M</t>
  </si>
  <si>
    <t>24.21M</t>
  </si>
  <si>
    <t>24.51M</t>
  </si>
  <si>
    <t>23.38M</t>
  </si>
  <si>
    <t>24.40M</t>
  </si>
  <si>
    <t>23.55M</t>
  </si>
  <si>
    <t>46.15M</t>
  </si>
  <si>
    <t>37.83M</t>
  </si>
  <si>
    <t>16.06M</t>
  </si>
  <si>
    <t>19.60M</t>
  </si>
  <si>
    <t>27.18M</t>
  </si>
  <si>
    <t>15.91M</t>
  </si>
  <si>
    <t>14.31M</t>
  </si>
  <si>
    <t>17.60M</t>
  </si>
  <si>
    <t>18.12M</t>
  </si>
  <si>
    <t>29.28M</t>
  </si>
  <si>
    <t>38.24M</t>
  </si>
  <si>
    <t>40.49M</t>
  </si>
  <si>
    <t>36.95M</t>
  </si>
  <si>
    <t>27.98M</t>
  </si>
  <si>
    <t>34.22M</t>
  </si>
  <si>
    <t>33.00M</t>
  </si>
  <si>
    <t>41.70M</t>
  </si>
  <si>
    <t>36.13M</t>
  </si>
  <si>
    <t>42.29M</t>
  </si>
  <si>
    <t>36.04M</t>
  </si>
  <si>
    <t>45.26M</t>
  </si>
  <si>
    <t>66.84M</t>
  </si>
  <si>
    <t>28.53M</t>
  </si>
  <si>
    <t>19.30M</t>
  </si>
  <si>
    <t>20.03M</t>
  </si>
  <si>
    <t>23.63M</t>
  </si>
  <si>
    <t>41.34M</t>
  </si>
  <si>
    <t>11.01M</t>
  </si>
  <si>
    <t>25.75M</t>
  </si>
  <si>
    <t>16.13M</t>
  </si>
  <si>
    <t>8.67M</t>
  </si>
  <si>
    <t>14.02M</t>
  </si>
  <si>
    <t>11.23M</t>
  </si>
  <si>
    <t>22.75M</t>
  </si>
  <si>
    <t>18.10M</t>
  </si>
  <si>
    <t>11.89M</t>
  </si>
  <si>
    <t>16.20M</t>
  </si>
  <si>
    <t>56.71M</t>
  </si>
  <si>
    <t>27.85M</t>
  </si>
  <si>
    <t>41.13M</t>
  </si>
  <si>
    <t>43.21M</t>
  </si>
  <si>
    <t>15.04M</t>
  </si>
  <si>
    <t>15.28M</t>
  </si>
  <si>
    <t>23.15M</t>
  </si>
  <si>
    <t>18.32M</t>
  </si>
  <si>
    <t>17.35M</t>
  </si>
  <si>
    <t>16.59M</t>
  </si>
  <si>
    <t>17.33M</t>
  </si>
  <si>
    <t>10.57M</t>
  </si>
  <si>
    <t>11.50M</t>
  </si>
  <si>
    <t>13.16M</t>
  </si>
  <si>
    <t>8.02M</t>
  </si>
  <si>
    <t>15.84M</t>
  </si>
  <si>
    <t>8.86M</t>
  </si>
  <si>
    <t>8.95M</t>
  </si>
  <si>
    <t>9.05M</t>
  </si>
  <si>
    <t>7.58M</t>
  </si>
  <si>
    <t>11.57M</t>
  </si>
  <si>
    <t>22.21M</t>
  </si>
  <si>
    <t>19.40M</t>
  </si>
  <si>
    <t>37.34M</t>
  </si>
  <si>
    <t>29.68M</t>
  </si>
  <si>
    <t>24.20M</t>
  </si>
  <si>
    <t>34.65M</t>
  </si>
  <si>
    <t>37.51M</t>
  </si>
  <si>
    <t>22.05M</t>
  </si>
  <si>
    <t>35.16M</t>
  </si>
  <si>
    <t>8.90M</t>
  </si>
  <si>
    <t>23.50M</t>
  </si>
  <si>
    <t>22.13M</t>
  </si>
  <si>
    <t>27.03M</t>
  </si>
  <si>
    <t>23.90M</t>
  </si>
  <si>
    <t>14.14M</t>
  </si>
  <si>
    <t>13.43M</t>
  </si>
  <si>
    <t>22.57M</t>
  </si>
  <si>
    <t>20.23M</t>
  </si>
  <si>
    <t>46.70M</t>
  </si>
  <si>
    <t>14.68M</t>
  </si>
  <si>
    <t>38.76M</t>
  </si>
  <si>
    <t>11.52M</t>
  </si>
  <si>
    <t>20.27M</t>
  </si>
  <si>
    <t>17.84M</t>
  </si>
  <si>
    <t>14.34M</t>
  </si>
  <si>
    <t>23.20M</t>
  </si>
  <si>
    <t>26.64M</t>
  </si>
  <si>
    <t>46.28M</t>
  </si>
  <si>
    <t>25.91M</t>
  </si>
  <si>
    <t>18.93M</t>
  </si>
  <si>
    <t>22.33M</t>
  </si>
  <si>
    <t>35.54M</t>
  </si>
  <si>
    <t>22.52M</t>
  </si>
  <si>
    <t>47.82M</t>
  </si>
  <si>
    <t>59.06M</t>
  </si>
  <si>
    <t>60.29M</t>
  </si>
  <si>
    <t>85.41M</t>
  </si>
  <si>
    <t>50.16M</t>
  </si>
  <si>
    <t>29.22M</t>
  </si>
  <si>
    <t>21.18M</t>
  </si>
  <si>
    <t>17.51M</t>
  </si>
  <si>
    <t>15.96M</t>
  </si>
  <si>
    <t>16.36M</t>
  </si>
  <si>
    <t>22.89M</t>
  </si>
  <si>
    <t>24.82M</t>
  </si>
  <si>
    <t>52.62M</t>
  </si>
  <si>
    <t>56.67M</t>
  </si>
  <si>
    <t>70.39M</t>
  </si>
  <si>
    <t>79.50M</t>
  </si>
  <si>
    <t>149.24M</t>
  </si>
  <si>
    <t>19.62M</t>
  </si>
  <si>
    <t>17.23M</t>
  </si>
  <si>
    <t>37.49M</t>
  </si>
  <si>
    <t>16.24M</t>
  </si>
  <si>
    <t>25.81M</t>
  </si>
  <si>
    <t>10.59M</t>
  </si>
  <si>
    <t>19.42M</t>
  </si>
  <si>
    <t>18.85M</t>
  </si>
  <si>
    <t>27.69M</t>
  </si>
  <si>
    <t>18.16M</t>
  </si>
  <si>
    <t>20.36M</t>
  </si>
  <si>
    <t>23.58M</t>
  </si>
  <si>
    <t>47.18M</t>
  </si>
  <si>
    <t>15.60M</t>
  </si>
  <si>
    <t>14.74M</t>
  </si>
  <si>
    <t>24.44M</t>
  </si>
  <si>
    <t>47.26M</t>
  </si>
  <si>
    <t>44.53M</t>
  </si>
  <si>
    <t>18.31M</t>
  </si>
  <si>
    <t>23.66M</t>
  </si>
  <si>
    <t>16.46M</t>
  </si>
  <si>
    <t>29.02M</t>
  </si>
  <si>
    <t>28.85M</t>
  </si>
  <si>
    <t>20.48M</t>
  </si>
  <si>
    <t>20.93M</t>
  </si>
  <si>
    <t>12.70M</t>
  </si>
  <si>
    <t>15.94M</t>
  </si>
  <si>
    <t>13.33M</t>
  </si>
  <si>
    <t>14.63M</t>
  </si>
  <si>
    <t>22.44M</t>
  </si>
  <si>
    <t>12.58M</t>
  </si>
  <si>
    <t>18.04M</t>
  </si>
  <si>
    <t>19.07M</t>
  </si>
  <si>
    <t>23.57M</t>
  </si>
  <si>
    <t>20.10M</t>
  </si>
  <si>
    <t>14.85M</t>
  </si>
  <si>
    <t>17.68M</t>
  </si>
  <si>
    <t>21.42M</t>
  </si>
  <si>
    <t>30.72M</t>
  </si>
  <si>
    <t>24.89M</t>
  </si>
  <si>
    <t>21.26M</t>
  </si>
  <si>
    <t>31.43M</t>
  </si>
  <si>
    <t>30.13M</t>
  </si>
  <si>
    <t>46.66M</t>
  </si>
  <si>
    <t>96.65M</t>
  </si>
  <si>
    <t>73.04M</t>
  </si>
  <si>
    <t>25.60M</t>
  </si>
  <si>
    <t>47.55M</t>
  </si>
  <si>
    <t>17.58M</t>
  </si>
  <si>
    <t>25.33M</t>
  </si>
  <si>
    <t>28.87M</t>
  </si>
  <si>
    <t>22.64M</t>
  </si>
  <si>
    <t>20.88M</t>
  </si>
  <si>
    <t>30.48M</t>
  </si>
  <si>
    <t>38.00M</t>
  </si>
  <si>
    <t>61.65M</t>
  </si>
  <si>
    <t>16.54M</t>
  </si>
  <si>
    <t>13.75M</t>
  </si>
  <si>
    <t>18.26M</t>
  </si>
  <si>
    <t>16.50M</t>
  </si>
  <si>
    <t>Volume</t>
  </si>
  <si>
    <t>30-04-2026</t>
  </si>
  <si>
    <t>29-04-2026</t>
  </si>
  <si>
    <t>28-04-2026</t>
  </si>
  <si>
    <t>27-04-2026</t>
  </si>
  <si>
    <t>24-04-2026</t>
  </si>
  <si>
    <t>23-04-2026</t>
  </si>
  <si>
    <t>22-04-2026</t>
  </si>
  <si>
    <t>21-04-2026</t>
  </si>
  <si>
    <t>20-04-2026</t>
  </si>
  <si>
    <t>17-04-2026</t>
  </si>
  <si>
    <t>16-04-2026</t>
  </si>
  <si>
    <t>15-04-2026</t>
  </si>
  <si>
    <t>13-04-2026</t>
  </si>
  <si>
    <t>30-03-2026</t>
  </si>
  <si>
    <t>27-03-2026</t>
  </si>
  <si>
    <t>25-03-2026</t>
  </si>
  <si>
    <t>24-03-2026</t>
  </si>
  <si>
    <t>23-03-2026</t>
  </si>
  <si>
    <t>20-03-2026</t>
  </si>
  <si>
    <t>19-03-2026</t>
  </si>
  <si>
    <t>18-03-2026</t>
  </si>
  <si>
    <t>17-03-2026</t>
  </si>
  <si>
    <t>16-03-2026</t>
  </si>
  <si>
    <t>13-03-2026</t>
  </si>
  <si>
    <t>27-02-2026</t>
  </si>
  <si>
    <t>26-02-2026</t>
  </si>
  <si>
    <t>25-02-2026</t>
  </si>
  <si>
    <t>24-02-2026</t>
  </si>
  <si>
    <t>23-02-2026</t>
  </si>
  <si>
    <t>20-02-2026</t>
  </si>
  <si>
    <t>19-02-2026</t>
  </si>
  <si>
    <t>18-02-2026</t>
  </si>
  <si>
    <t>17-02-2026</t>
  </si>
  <si>
    <t>16-02-2026</t>
  </si>
  <si>
    <t>13-02-2026</t>
  </si>
  <si>
    <t>30-01-2026</t>
  </si>
  <si>
    <t>29-01-2026</t>
  </si>
  <si>
    <t>28-01-2026</t>
  </si>
  <si>
    <t>27-01-2026</t>
  </si>
  <si>
    <t>23-01-2026</t>
  </si>
  <si>
    <t>22-01-2026</t>
  </si>
  <si>
    <t>21-01-2026</t>
  </si>
  <si>
    <t>20-01-2026</t>
  </si>
  <si>
    <t>19-01-2026</t>
  </si>
  <si>
    <t>16-01-2026</t>
  </si>
  <si>
    <t>14-01-2026</t>
  </si>
  <si>
    <t>13-01-2026</t>
  </si>
  <si>
    <t>31-12-2025</t>
  </si>
  <si>
    <t>30-12-2025</t>
  </si>
  <si>
    <t>29-12-2025</t>
  </si>
  <si>
    <t>26-12-2025</t>
  </si>
  <si>
    <t>24-12-2025</t>
  </si>
  <si>
    <t>23-12-2025</t>
  </si>
  <si>
    <t>22-12-2025</t>
  </si>
  <si>
    <t>19-12-2025</t>
  </si>
  <si>
    <t>18-12-2025</t>
  </si>
  <si>
    <t>17-12-2025</t>
  </si>
  <si>
    <t>16-12-2025</t>
  </si>
  <si>
    <t>15-12-2025</t>
  </si>
  <si>
    <t>28-11-2025</t>
  </si>
  <si>
    <t>27-11-2025</t>
  </si>
  <si>
    <t>26-11-2025</t>
  </si>
  <si>
    <t>25-11-2025</t>
  </si>
  <si>
    <t>24-11-2025</t>
  </si>
  <si>
    <t>21-11-2025</t>
  </si>
  <si>
    <t>20-11-2025</t>
  </si>
  <si>
    <t>19-11-2025</t>
  </si>
  <si>
    <t>18-11-2025</t>
  </si>
  <si>
    <t>17-11-2025</t>
  </si>
  <si>
    <t>14-11-2025</t>
  </si>
  <si>
    <t>13-11-2025</t>
  </si>
  <si>
    <t>31-10-2025</t>
  </si>
  <si>
    <t>30-10-2025</t>
  </si>
  <si>
    <t>29-10-2025</t>
  </si>
  <si>
    <t>28-10-2025</t>
  </si>
  <si>
    <t>27-10-2025</t>
  </si>
  <si>
    <t>24-10-2025</t>
  </si>
  <si>
    <t>23-10-2025</t>
  </si>
  <si>
    <t>21-10-2025</t>
  </si>
  <si>
    <t>20-10-2025</t>
  </si>
  <si>
    <t>17-10-2025</t>
  </si>
  <si>
    <t>16-10-2025</t>
  </si>
  <si>
    <t>15-10-2025</t>
  </si>
  <si>
    <t>14-10-2025</t>
  </si>
  <si>
    <t>13-10-2025</t>
  </si>
  <si>
    <t>30-09-2025</t>
  </si>
  <si>
    <t>29-09-2025</t>
  </si>
  <si>
    <t>26-09-2025</t>
  </si>
  <si>
    <t>25-09-2025</t>
  </si>
  <si>
    <t>24-09-2025</t>
  </si>
  <si>
    <t>23-09-2025</t>
  </si>
  <si>
    <t>22-09-2025</t>
  </si>
  <si>
    <t>19-09-2025</t>
  </si>
  <si>
    <t>18-09-2025</t>
  </si>
  <si>
    <t>17-09-2025</t>
  </si>
  <si>
    <t>16-09-2025</t>
  </si>
  <si>
    <t>15-09-2025</t>
  </si>
  <si>
    <t>29-08-2025</t>
  </si>
  <si>
    <t>28-08-2025</t>
  </si>
  <si>
    <t>26-08-2025</t>
  </si>
  <si>
    <t>25-08-2025</t>
  </si>
  <si>
    <t>22-08-2025</t>
  </si>
  <si>
    <t>21-08-2025</t>
  </si>
  <si>
    <t>20-08-2025</t>
  </si>
  <si>
    <t>19-08-2025</t>
  </si>
  <si>
    <t>18-08-2025</t>
  </si>
  <si>
    <t>14-08-2025</t>
  </si>
  <si>
    <t>13-08-2025</t>
  </si>
  <si>
    <t>31-07-2025</t>
  </si>
  <si>
    <t>30-07-2025</t>
  </si>
  <si>
    <t>29-07-2025</t>
  </si>
  <si>
    <t>28-07-2025</t>
  </si>
  <si>
    <t>25-07-2025</t>
  </si>
  <si>
    <t>24-07-2025</t>
  </si>
  <si>
    <t>23-07-2025</t>
  </si>
  <si>
    <t>22-07-2025</t>
  </si>
  <si>
    <t>21-07-2025</t>
  </si>
  <si>
    <t>18-07-2025</t>
  </si>
  <si>
    <t>17-07-2025</t>
  </si>
  <si>
    <t>16-07-2025</t>
  </si>
  <si>
    <t>15-07-2025</t>
  </si>
  <si>
    <t>14-07-2025</t>
  </si>
  <si>
    <t>30-06-2025</t>
  </si>
  <si>
    <t>27-06-2025</t>
  </si>
  <si>
    <t>26-06-2025</t>
  </si>
  <si>
    <t>25-06-2025</t>
  </si>
  <si>
    <t>24-06-2025</t>
  </si>
  <si>
    <t>23-06-2025</t>
  </si>
  <si>
    <t>20-06-2025</t>
  </si>
  <si>
    <t>19-06-2025</t>
  </si>
  <si>
    <t>18-06-2025</t>
  </si>
  <si>
    <t>17-06-2025</t>
  </si>
  <si>
    <t>16-06-2025</t>
  </si>
  <si>
    <t>13-06-2025</t>
  </si>
  <si>
    <t>30-05-2025</t>
  </si>
  <si>
    <t>29-05-2025</t>
  </si>
  <si>
    <t>28-05-2025</t>
  </si>
  <si>
    <t>27-05-2025</t>
  </si>
  <si>
    <t>26-05-2025</t>
  </si>
  <si>
    <t>23-05-2025</t>
  </si>
  <si>
    <t>22-05-2025</t>
  </si>
  <si>
    <t>21-05-2025</t>
  </si>
  <si>
    <t>20-05-2025</t>
  </si>
  <si>
    <t>19-05-2025</t>
  </si>
  <si>
    <t>16-05-2025</t>
  </si>
  <si>
    <t>15-05-2025</t>
  </si>
  <si>
    <t>14-05-2025</t>
  </si>
  <si>
    <t>13-05-2025</t>
  </si>
  <si>
    <t>30-04-2025</t>
  </si>
  <si>
    <t>29-04-2025</t>
  </si>
  <si>
    <t>28-04-2025</t>
  </si>
  <si>
    <t>25-04-2025</t>
  </si>
  <si>
    <t>24-04-2025</t>
  </si>
  <si>
    <t>23-04-2025</t>
  </si>
  <si>
    <t>22-04-2025</t>
  </si>
  <si>
    <t>21-04-2025</t>
  </si>
  <si>
    <t>17-04-2025</t>
  </si>
  <si>
    <t>16-04-2025</t>
  </si>
  <si>
    <t>15-04-2025</t>
  </si>
  <si>
    <t>28-03-2025</t>
  </si>
  <si>
    <t>27-03-2025</t>
  </si>
  <si>
    <t>26-03-2025</t>
  </si>
  <si>
    <t>25-03-2025</t>
  </si>
  <si>
    <t>24-03-2025</t>
  </si>
  <si>
    <t>21-03-2025</t>
  </si>
  <si>
    <t>20-03-2025</t>
  </si>
  <si>
    <t>19-03-2025</t>
  </si>
  <si>
    <t>18-03-2025</t>
  </si>
  <si>
    <t>17-03-2025</t>
  </si>
  <si>
    <t>13-03-2025</t>
  </si>
  <si>
    <t>28-02-2025</t>
  </si>
  <si>
    <t>27-02-2025</t>
  </si>
  <si>
    <t>25-02-2025</t>
  </si>
  <si>
    <t>24-02-2025</t>
  </si>
  <si>
    <t>21-02-2025</t>
  </si>
  <si>
    <t>20-02-2025</t>
  </si>
  <si>
    <t>19-02-2025</t>
  </si>
  <si>
    <t>18-02-2025</t>
  </si>
  <si>
    <t>17-02-2025</t>
  </si>
  <si>
    <t>14-02-2025</t>
  </si>
  <si>
    <t>13-02-2025</t>
  </si>
  <si>
    <t>31-01-2025</t>
  </si>
  <si>
    <t>30-01-2025</t>
  </si>
  <si>
    <t>29-01-2025</t>
  </si>
  <si>
    <t>28-01-2025</t>
  </si>
  <si>
    <t>27-01-2025</t>
  </si>
  <si>
    <t>24-01-2025</t>
  </si>
  <si>
    <t>23-01-2025</t>
  </si>
  <si>
    <t>22-01-2025</t>
  </si>
  <si>
    <t>21-01-2025</t>
  </si>
  <si>
    <t>20-01-2025</t>
  </si>
  <si>
    <t>17-01-2025</t>
  </si>
  <si>
    <t>16-01-2025</t>
  </si>
  <si>
    <t>15-01-2025</t>
  </si>
  <si>
    <t>14-01-2025</t>
  </si>
  <si>
    <t>13-01-2025</t>
  </si>
  <si>
    <t>31-12-2024</t>
  </si>
  <si>
    <t>30-12-2024</t>
  </si>
  <si>
    <t>27-12-2024</t>
  </si>
  <si>
    <t>26-12-2024</t>
  </si>
  <si>
    <t>24-12-2024</t>
  </si>
  <si>
    <t>23-12-2024</t>
  </si>
  <si>
    <t>20-12-2024</t>
  </si>
  <si>
    <t>19-12-2024</t>
  </si>
  <si>
    <t>18-12-2024</t>
  </si>
  <si>
    <t>17-12-2024</t>
  </si>
  <si>
    <t>16-12-2024</t>
  </si>
  <si>
    <t>13-12-2024</t>
  </si>
  <si>
    <t>29-11-2024</t>
  </si>
  <si>
    <t>28-11-2024</t>
  </si>
  <si>
    <t>27-11-2024</t>
  </si>
  <si>
    <t>26-11-2024</t>
  </si>
  <si>
    <t>25-11-2024</t>
  </si>
  <si>
    <t>22-11-2024</t>
  </si>
  <si>
    <t>21-11-2024</t>
  </si>
  <si>
    <t>19-11-2024</t>
  </si>
  <si>
    <t>18-11-2024</t>
  </si>
  <si>
    <t>14-11-2024</t>
  </si>
  <si>
    <t>13-11-2024</t>
  </si>
  <si>
    <t>31-10-2024</t>
  </si>
  <si>
    <t>30-10-2024</t>
  </si>
  <si>
    <t>29-10-2024</t>
  </si>
  <si>
    <t>28-10-2024</t>
  </si>
  <si>
    <t>25-10-2024</t>
  </si>
  <si>
    <t>24-10-2024</t>
  </si>
  <si>
    <t>23-10-2024</t>
  </si>
  <si>
    <t>22-10-2024</t>
  </si>
  <si>
    <t>21-10-2024</t>
  </si>
  <si>
    <t>18-10-2024</t>
  </si>
  <si>
    <t>17-10-2024</t>
  </si>
  <si>
    <t>16-10-2024</t>
  </si>
  <si>
    <t>15-10-2024</t>
  </si>
  <si>
    <t>14-10-2024</t>
  </si>
  <si>
    <t>30-09-2024</t>
  </si>
  <si>
    <t>27-09-2024</t>
  </si>
  <si>
    <t>26-09-2024</t>
  </si>
  <si>
    <t>25-09-2024</t>
  </si>
  <si>
    <t>24-09-2024</t>
  </si>
  <si>
    <t>23-09-2024</t>
  </si>
  <si>
    <t>20-09-2024</t>
  </si>
  <si>
    <t>19-09-2024</t>
  </si>
  <si>
    <t>18-09-2024</t>
  </si>
  <si>
    <t>17-09-2024</t>
  </si>
  <si>
    <t>16-09-2024</t>
  </si>
  <si>
    <t>13-09-2024</t>
  </si>
  <si>
    <t>30-08-2024</t>
  </si>
  <si>
    <t>29-08-2024</t>
  </si>
  <si>
    <t>28-08-2024</t>
  </si>
  <si>
    <t>27-08-2024</t>
  </si>
  <si>
    <t>26-08-2024</t>
  </si>
  <si>
    <t>23-08-2024</t>
  </si>
  <si>
    <t>22-08-2024</t>
  </si>
  <si>
    <t>21-08-2024</t>
  </si>
  <si>
    <t>20-08-2024</t>
  </si>
  <si>
    <t>19-08-2024</t>
  </si>
  <si>
    <t>16-08-2024</t>
  </si>
  <si>
    <t>14-08-2024</t>
  </si>
  <si>
    <t>13-08-2024</t>
  </si>
  <si>
    <t>31-07-2024</t>
  </si>
  <si>
    <t>30-07-2024</t>
  </si>
  <si>
    <t>29-07-2024</t>
  </si>
  <si>
    <t>26-07-2024</t>
  </si>
  <si>
    <t>25-07-2024</t>
  </si>
  <si>
    <t>24-07-2024</t>
  </si>
  <si>
    <t>23-07-2024</t>
  </si>
  <si>
    <t>22-07-2024</t>
  </si>
  <si>
    <t>19-07-2024</t>
  </si>
  <si>
    <t>18-07-2024</t>
  </si>
  <si>
    <t>16-07-2024</t>
  </si>
  <si>
    <t>15-07-2024</t>
  </si>
  <si>
    <t>28-06-2024</t>
  </si>
  <si>
    <t>27-06-2024</t>
  </si>
  <si>
    <t>26-06-2024</t>
  </si>
  <si>
    <t>25-06-2024</t>
  </si>
  <si>
    <t>24-06-2024</t>
  </si>
  <si>
    <t>21-06-2024</t>
  </si>
  <si>
    <t>20-06-2024</t>
  </si>
  <si>
    <t>19-06-2024</t>
  </si>
  <si>
    <t>18-06-2024</t>
  </si>
  <si>
    <t>14-06-2024</t>
  </si>
  <si>
    <t>13-06-2024</t>
  </si>
  <si>
    <t>31-05-2024</t>
  </si>
  <si>
    <t>30-05-2024</t>
  </si>
  <si>
    <t>29-05-2024</t>
  </si>
  <si>
    <t>28-05-2024</t>
  </si>
  <si>
    <t>27-05-2024</t>
  </si>
  <si>
    <t>24-05-2024</t>
  </si>
  <si>
    <t>23-05-2024</t>
  </si>
  <si>
    <t>22-05-2024</t>
  </si>
  <si>
    <t>21-05-2024</t>
  </si>
  <si>
    <t>18-05-2024</t>
  </si>
  <si>
    <t>17-05-2024</t>
  </si>
  <si>
    <t>16-05-2024</t>
  </si>
  <si>
    <t>15-05-2024</t>
  </si>
  <si>
    <t>14-05-2024</t>
  </si>
  <si>
    <t>13-05-2024</t>
  </si>
  <si>
    <t>30-04-2024</t>
  </si>
  <si>
    <t>29-04-2024</t>
  </si>
  <si>
    <t>26-04-2024</t>
  </si>
  <si>
    <t>25-04-2024</t>
  </si>
  <si>
    <t>24-04-2024</t>
  </si>
  <si>
    <t>23-04-2024</t>
  </si>
  <si>
    <t>22-04-2024</t>
  </si>
  <si>
    <t>19-04-2024</t>
  </si>
  <si>
    <t>18-04-2024</t>
  </si>
  <si>
    <t>16-04-2024</t>
  </si>
  <si>
    <t>15-04-2024</t>
  </si>
  <si>
    <t>28-03-2024</t>
  </si>
  <si>
    <t>27-03-2024</t>
  </si>
  <si>
    <t>26-03-2024</t>
  </si>
  <si>
    <t>22-03-2024</t>
  </si>
  <si>
    <t>21-03-2024</t>
  </si>
  <si>
    <t>20-03-2024</t>
  </si>
  <si>
    <t>19-03-2024</t>
  </si>
  <si>
    <t>18-03-2024</t>
  </si>
  <si>
    <t>15-03-2024</t>
  </si>
  <si>
    <t>14-03-2024</t>
  </si>
  <si>
    <t>13-03-2024</t>
  </si>
  <si>
    <t>29-02-2024</t>
  </si>
  <si>
    <t>28-02-2024</t>
  </si>
  <si>
    <t>27-02-2024</t>
  </si>
  <si>
    <t>26-02-2024</t>
  </si>
  <si>
    <t>23-02-2024</t>
  </si>
  <si>
    <t>22-02-2024</t>
  </si>
  <si>
    <t>21-02-2024</t>
  </si>
  <si>
    <t>20-02-2024</t>
  </si>
  <si>
    <t>19-02-2024</t>
  </si>
  <si>
    <t>16-02-2024</t>
  </si>
  <si>
    <t>15-02-2024</t>
  </si>
  <si>
    <t>14-02-2024</t>
  </si>
  <si>
    <t>13-02-2024</t>
  </si>
  <si>
    <t>31-01-2024</t>
  </si>
  <si>
    <t>30-01-2024</t>
  </si>
  <si>
    <t>29-01-2024</t>
  </si>
  <si>
    <t>25-01-2024</t>
  </si>
  <si>
    <t>24-01-2024</t>
  </si>
  <si>
    <t>23-01-2024</t>
  </si>
  <si>
    <t>20-01-2024</t>
  </si>
  <si>
    <t>19-01-2024</t>
  </si>
  <si>
    <t>18-01-2024</t>
  </si>
  <si>
    <t>17-01-2024</t>
  </si>
  <si>
    <t>16-01-2024</t>
  </si>
  <si>
    <t>15-01-2024</t>
  </si>
  <si>
    <t>29-12-2023</t>
  </si>
  <si>
    <t>28-12-2023</t>
  </si>
  <si>
    <t>27-12-2023</t>
  </si>
  <si>
    <t>26-12-2023</t>
  </si>
  <si>
    <t>22-12-2023</t>
  </si>
  <si>
    <t>21-12-2023</t>
  </si>
  <si>
    <t>20-12-2023</t>
  </si>
  <si>
    <t>19-12-2023</t>
  </si>
  <si>
    <t>18-12-2023</t>
  </si>
  <si>
    <t>15-12-2023</t>
  </si>
  <si>
    <t>14-12-2023</t>
  </si>
  <si>
    <t>13-12-2023</t>
  </si>
  <si>
    <t>30-11-2023</t>
  </si>
  <si>
    <t>29-11-2023</t>
  </si>
  <si>
    <t>28-11-2023</t>
  </si>
  <si>
    <t>24-11-2023</t>
  </si>
  <si>
    <t>23-11-2023</t>
  </si>
  <si>
    <t>22-11-2023</t>
  </si>
  <si>
    <t>21-11-2023</t>
  </si>
  <si>
    <t>20-11-2023</t>
  </si>
  <si>
    <t>17-11-2023</t>
  </si>
  <si>
    <t>16-11-2023</t>
  </si>
  <si>
    <t>15-11-2023</t>
  </si>
  <si>
    <t>13-11-2023</t>
  </si>
  <si>
    <t>31-10-2023</t>
  </si>
  <si>
    <t>30-10-2023</t>
  </si>
  <si>
    <t>27-10-2023</t>
  </si>
  <si>
    <t>26-10-2023</t>
  </si>
  <si>
    <t>25-10-2023</t>
  </si>
  <si>
    <t>23-10-2023</t>
  </si>
  <si>
    <t>20-10-2023</t>
  </si>
  <si>
    <t>19-10-2023</t>
  </si>
  <si>
    <t>18-10-2023</t>
  </si>
  <si>
    <t>17-10-2023</t>
  </si>
  <si>
    <t>16-10-2023</t>
  </si>
  <si>
    <t>13-10-2023</t>
  </si>
  <si>
    <t>29-09-2023</t>
  </si>
  <si>
    <t>28-09-2023</t>
  </si>
  <si>
    <t>27-09-2023</t>
  </si>
  <si>
    <t>26-09-2023</t>
  </si>
  <si>
    <t>25-09-2023</t>
  </si>
  <si>
    <t>22-09-2023</t>
  </si>
  <si>
    <t>21-09-2023</t>
  </si>
  <si>
    <t>20-09-2023</t>
  </si>
  <si>
    <t>18-09-2023</t>
  </si>
  <si>
    <t>15-09-2023</t>
  </si>
  <si>
    <t>14-09-2023</t>
  </si>
  <si>
    <t>13-09-2023</t>
  </si>
  <si>
    <t>31-08-2023</t>
  </si>
  <si>
    <t>30-08-2023</t>
  </si>
  <si>
    <t>29-08-2023</t>
  </si>
  <si>
    <t>28-08-2023</t>
  </si>
  <si>
    <t>25-08-2023</t>
  </si>
  <si>
    <t>24-08-2023</t>
  </si>
  <si>
    <t>23-08-2023</t>
  </si>
  <si>
    <t>22-08-2023</t>
  </si>
  <si>
    <t>21-08-2023</t>
  </si>
  <si>
    <t>18-08-2023</t>
  </si>
  <si>
    <t>17-08-2023</t>
  </si>
  <si>
    <t>16-08-2023</t>
  </si>
  <si>
    <t>14-08-2023</t>
  </si>
  <si>
    <t>31-07-2023</t>
  </si>
  <si>
    <t>28-07-2023</t>
  </si>
  <si>
    <t>27-07-2023</t>
  </si>
  <si>
    <t>26-07-2023</t>
  </si>
  <si>
    <t>25-07-2023</t>
  </si>
  <si>
    <t>24-07-2023</t>
  </si>
  <si>
    <t>21-07-2023</t>
  </si>
  <si>
    <t>20-07-2023</t>
  </si>
  <si>
    <t>19-07-2023</t>
  </si>
  <si>
    <t>18-07-2023</t>
  </si>
  <si>
    <t>17-07-2023</t>
  </si>
  <si>
    <t>14-07-2023</t>
  </si>
  <si>
    <t>13-07-2023</t>
  </si>
  <si>
    <t>30-06-2023</t>
  </si>
  <si>
    <t>28-06-2023</t>
  </si>
  <si>
    <t>27-06-2023</t>
  </si>
  <si>
    <t>26-06-2023</t>
  </si>
  <si>
    <t>23-06-2023</t>
  </si>
  <si>
    <t>22-06-2023</t>
  </si>
  <si>
    <t>21-06-2023</t>
  </si>
  <si>
    <t>20-06-2023</t>
  </si>
  <si>
    <t>19-06-2023</t>
  </si>
  <si>
    <t>16-06-2023</t>
  </si>
  <si>
    <t>15-06-2023</t>
  </si>
  <si>
    <t>14-06-2023</t>
  </si>
  <si>
    <t>13-06-2023</t>
  </si>
  <si>
    <t>31-05-2023</t>
  </si>
  <si>
    <t>30-05-2023</t>
  </si>
  <si>
    <t>29-05-2023</t>
  </si>
  <si>
    <t>26-05-2023</t>
  </si>
  <si>
    <t>25-05-2023</t>
  </si>
  <si>
    <t>24-05-2023</t>
  </si>
  <si>
    <t>23-05-2023</t>
  </si>
  <si>
    <t>22-05-2023</t>
  </si>
  <si>
    <t>19-05-2023</t>
  </si>
  <si>
    <t>18-05-2023</t>
  </si>
  <si>
    <t>17-05-2023</t>
  </si>
  <si>
    <t>16-05-2023</t>
  </si>
  <si>
    <t>15-05-2023</t>
  </si>
  <si>
    <t>28-04-2023</t>
  </si>
  <si>
    <t>27-04-2023</t>
  </si>
  <si>
    <t>26-04-2023</t>
  </si>
  <si>
    <t>25-04-2023</t>
  </si>
  <si>
    <t>24-04-2023</t>
  </si>
  <si>
    <t>21-04-2023</t>
  </si>
  <si>
    <t>20-04-2023</t>
  </si>
  <si>
    <t>19-04-2023</t>
  </si>
  <si>
    <t>18-04-2023</t>
  </si>
  <si>
    <t>17-04-2023</t>
  </si>
  <si>
    <t>13-04-2023</t>
  </si>
  <si>
    <t>31-03-2023</t>
  </si>
  <si>
    <t>29-03-2023</t>
  </si>
  <si>
    <t>28-03-2023</t>
  </si>
  <si>
    <t>27-03-2023</t>
  </si>
  <si>
    <t>24-03-2023</t>
  </si>
  <si>
    <t>23-03-2023</t>
  </si>
  <si>
    <t>22-03-2023</t>
  </si>
  <si>
    <t>21-03-2023</t>
  </si>
  <si>
    <t>20-03-2023</t>
  </si>
  <si>
    <t>17-03-2023</t>
  </si>
  <si>
    <t>16-03-2023</t>
  </si>
  <si>
    <t>15-03-2023</t>
  </si>
  <si>
    <t>14-03-2023</t>
  </si>
  <si>
    <t>13-03-2023</t>
  </si>
  <si>
    <t>28-02-2023</t>
  </si>
  <si>
    <t>27-02-2023</t>
  </si>
  <si>
    <t>24-02-2023</t>
  </si>
  <si>
    <t>23-02-2023</t>
  </si>
  <si>
    <t>22-02-2023</t>
  </si>
  <si>
    <t>21-02-2023</t>
  </si>
  <si>
    <t>20-02-2023</t>
  </si>
  <si>
    <t>17-02-2023</t>
  </si>
  <si>
    <t>16-02-2023</t>
  </si>
  <si>
    <t>15-02-2023</t>
  </si>
  <si>
    <t>14-02-2023</t>
  </si>
  <si>
    <t>13-02-2023</t>
  </si>
  <si>
    <t>31-01-2023</t>
  </si>
  <si>
    <t>30-01-2023</t>
  </si>
  <si>
    <t>27-01-2023</t>
  </si>
  <si>
    <t>25-01-2023</t>
  </si>
  <si>
    <t>24-01-2023</t>
  </si>
  <si>
    <t>23-01-2023</t>
  </si>
  <si>
    <t>20-01-2023</t>
  </si>
  <si>
    <t>19-01-2023</t>
  </si>
  <si>
    <t>18-01-2023</t>
  </si>
  <si>
    <t>17-01-2023</t>
  </si>
  <si>
    <t>16-01-2023</t>
  </si>
  <si>
    <t>13-01-2023</t>
  </si>
  <si>
    <t>30-12-2022</t>
  </si>
  <si>
    <t>29-12-2022</t>
  </si>
  <si>
    <t>28-12-2022</t>
  </si>
  <si>
    <t>27-12-2022</t>
  </si>
  <si>
    <t>26-12-2022</t>
  </si>
  <si>
    <t>23-12-2022</t>
  </si>
  <si>
    <t>22-12-2022</t>
  </si>
  <si>
    <t>21-12-2022</t>
  </si>
  <si>
    <t>20-12-2022</t>
  </si>
  <si>
    <t>19-12-2022</t>
  </si>
  <si>
    <t>16-12-2022</t>
  </si>
  <si>
    <t>15-12-2022</t>
  </si>
  <si>
    <t>14-12-2022</t>
  </si>
  <si>
    <t>13-12-2022</t>
  </si>
  <si>
    <t>30-11-2022</t>
  </si>
  <si>
    <t>29-11-2022</t>
  </si>
  <si>
    <t>28-11-2022</t>
  </si>
  <si>
    <t>25-11-2022</t>
  </si>
  <si>
    <t>24-11-2022</t>
  </si>
  <si>
    <t>23-11-2022</t>
  </si>
  <si>
    <t>22-11-2022</t>
  </si>
  <si>
    <t>21-11-2022</t>
  </si>
  <si>
    <t>18-11-2022</t>
  </si>
  <si>
    <t>17-11-2022</t>
  </si>
  <si>
    <t>16-11-2022</t>
  </si>
  <si>
    <t>15-11-2022</t>
  </si>
  <si>
    <t>14-11-2022</t>
  </si>
  <si>
    <t>31-10-2022</t>
  </si>
  <si>
    <t>28-10-2022</t>
  </si>
  <si>
    <t>27-10-2022</t>
  </si>
  <si>
    <t>25-10-2022</t>
  </si>
  <si>
    <t>24-10-2022</t>
  </si>
  <si>
    <t>21-10-2022</t>
  </si>
  <si>
    <t>20-10-2022</t>
  </si>
  <si>
    <t>19-10-2022</t>
  </si>
  <si>
    <t>18-10-2022</t>
  </si>
  <si>
    <t>17-10-2022</t>
  </si>
  <si>
    <t>14-10-2022</t>
  </si>
  <si>
    <t>13-10-2022</t>
  </si>
  <si>
    <t>30-09-2022</t>
  </si>
  <si>
    <t>29-09-2022</t>
  </si>
  <si>
    <t>28-09-2022</t>
  </si>
  <si>
    <t>27-09-2022</t>
  </si>
  <si>
    <t>26-09-2022</t>
  </si>
  <si>
    <t>23-09-2022</t>
  </si>
  <si>
    <t>22-09-2022</t>
  </si>
  <si>
    <t>21-09-2022</t>
  </si>
  <si>
    <t>20-09-2022</t>
  </si>
  <si>
    <t>19-09-2022</t>
  </si>
  <si>
    <t>16-09-2022</t>
  </si>
  <si>
    <t>15-09-2022</t>
  </si>
  <si>
    <t>14-09-2022</t>
  </si>
  <si>
    <t>13-09-2022</t>
  </si>
  <si>
    <t>30-08-2022</t>
  </si>
  <si>
    <t>29-08-2022</t>
  </si>
  <si>
    <t>26-08-2022</t>
  </si>
  <si>
    <t>25-08-2022</t>
  </si>
  <si>
    <t>24-08-2022</t>
  </si>
  <si>
    <t>23-08-2022</t>
  </si>
  <si>
    <t>22-08-2022</t>
  </si>
  <si>
    <t>19-08-2022</t>
  </si>
  <si>
    <t>18-08-2022</t>
  </si>
  <si>
    <t>17-08-2022</t>
  </si>
  <si>
    <t>16-08-2022</t>
  </si>
  <si>
    <t>29-07-2022</t>
  </si>
  <si>
    <t>28-07-2022</t>
  </si>
  <si>
    <t>27-07-2022</t>
  </si>
  <si>
    <t>26-07-2022</t>
  </si>
  <si>
    <t>25-07-2022</t>
  </si>
  <si>
    <t>22-07-2022</t>
  </si>
  <si>
    <t>21-07-2022</t>
  </si>
  <si>
    <t>20-07-2022</t>
  </si>
  <si>
    <t>19-07-2022</t>
  </si>
  <si>
    <t>18-07-2022</t>
  </si>
  <si>
    <t>15-07-2022</t>
  </si>
  <si>
    <t>14-07-2022</t>
  </si>
  <si>
    <t>13-07-2022</t>
  </si>
  <si>
    <t>30-06-2022</t>
  </si>
  <si>
    <t>29-06-2022</t>
  </si>
  <si>
    <t>28-06-2022</t>
  </si>
  <si>
    <t>27-06-2022</t>
  </si>
  <si>
    <t>24-06-2022</t>
  </si>
  <si>
    <t>23-06-2022</t>
  </si>
  <si>
    <t>22-06-2022</t>
  </si>
  <si>
    <t>21-06-2022</t>
  </si>
  <si>
    <t>20-06-2022</t>
  </si>
  <si>
    <t>17-06-2022</t>
  </si>
  <si>
    <t>16-06-2022</t>
  </si>
  <si>
    <t>15-06-2022</t>
  </si>
  <si>
    <t>14-06-2022</t>
  </si>
  <si>
    <t>13-06-2022</t>
  </si>
  <si>
    <t>31-05-2022</t>
  </si>
  <si>
    <t>30-05-2022</t>
  </si>
  <si>
    <t>27-05-2022</t>
  </si>
  <si>
    <t>26-05-2022</t>
  </si>
  <si>
    <t>25-05-2022</t>
  </si>
  <si>
    <t>24-05-2022</t>
  </si>
  <si>
    <t>23-05-2022</t>
  </si>
  <si>
    <t>20-05-2022</t>
  </si>
  <si>
    <t>19-05-2022</t>
  </si>
  <si>
    <t>18-05-2022</t>
  </si>
  <si>
    <t>17-05-2022</t>
  </si>
  <si>
    <t>16-05-2022</t>
  </si>
  <si>
    <t>13-05-2022</t>
  </si>
  <si>
    <t>29-04-2022</t>
  </si>
  <si>
    <t>28-04-2022</t>
  </si>
  <si>
    <t>27-04-2022</t>
  </si>
  <si>
    <t>26-04-2022</t>
  </si>
  <si>
    <t>25-04-2022</t>
  </si>
  <si>
    <t>22-04-2022</t>
  </si>
  <si>
    <t>21-04-2022</t>
  </si>
  <si>
    <t>20-04-2022</t>
  </si>
  <si>
    <t>19-04-2022</t>
  </si>
  <si>
    <t>18-04-2022</t>
  </si>
  <si>
    <t>13-04-2022</t>
  </si>
  <si>
    <t>31-03-2022</t>
  </si>
  <si>
    <t>30-03-2022</t>
  </si>
  <si>
    <t>29-03-2022</t>
  </si>
  <si>
    <t>28-03-2022</t>
  </si>
  <si>
    <t>25-03-2022</t>
  </si>
  <si>
    <t>24-03-2022</t>
  </si>
  <si>
    <t>23-03-2022</t>
  </si>
  <si>
    <t>22-03-2022</t>
  </si>
  <si>
    <t>21-03-2022</t>
  </si>
  <si>
    <t>17-03-2022</t>
  </si>
  <si>
    <t>16-03-2022</t>
  </si>
  <si>
    <t>15-03-2022</t>
  </si>
  <si>
    <t>14-03-2022</t>
  </si>
  <si>
    <t>28-02-2022</t>
  </si>
  <si>
    <t>25-02-2022</t>
  </si>
  <si>
    <t>24-02-2022</t>
  </si>
  <si>
    <t>23-02-2022</t>
  </si>
  <si>
    <t>22-02-2022</t>
  </si>
  <si>
    <t>21-02-2022</t>
  </si>
  <si>
    <t>18-02-2022</t>
  </si>
  <si>
    <t>17-02-2022</t>
  </si>
  <si>
    <t>16-02-2022</t>
  </si>
  <si>
    <t>15-02-2022</t>
  </si>
  <si>
    <t>14-02-2022</t>
  </si>
  <si>
    <t>31-01-2022</t>
  </si>
  <si>
    <t>28-01-2022</t>
  </si>
  <si>
    <t>27-01-2022</t>
  </si>
  <si>
    <t>25-01-2022</t>
  </si>
  <si>
    <t>24-01-2022</t>
  </si>
  <si>
    <t>21-01-2022</t>
  </si>
  <si>
    <t>20-01-2022</t>
  </si>
  <si>
    <t>19-01-2022</t>
  </si>
  <si>
    <t>18-01-2022</t>
  </si>
  <si>
    <t>17-01-2022</t>
  </si>
  <si>
    <t>14-01-2022</t>
  </si>
  <si>
    <t>13-01-2022</t>
  </si>
  <si>
    <t>31-12-2021</t>
  </si>
  <si>
    <t>30-12-2021</t>
  </si>
  <si>
    <t>29-12-2021</t>
  </si>
  <si>
    <t>28-12-2021</t>
  </si>
  <si>
    <t>27-12-2021</t>
  </si>
  <si>
    <t>24-12-2021</t>
  </si>
  <si>
    <t>23-12-2021</t>
  </si>
  <si>
    <t>22-12-2021</t>
  </si>
  <si>
    <t>21-12-2021</t>
  </si>
  <si>
    <t>20-12-2021</t>
  </si>
  <si>
    <t>17-12-2021</t>
  </si>
  <si>
    <t>16-12-2021</t>
  </si>
  <si>
    <t>15-12-2021</t>
  </si>
  <si>
    <t>14-12-2021</t>
  </si>
  <si>
    <t>13-12-2021</t>
  </si>
  <si>
    <t>30-11-2021</t>
  </si>
  <si>
    <t>29-11-2021</t>
  </si>
  <si>
    <t>26-11-2021</t>
  </si>
  <si>
    <t>25-11-2021</t>
  </si>
  <si>
    <t>24-11-2021</t>
  </si>
  <si>
    <t>23-11-2021</t>
  </si>
  <si>
    <t>22-11-2021</t>
  </si>
  <si>
    <t>18-11-2021</t>
  </si>
  <si>
    <t>17-11-2021</t>
  </si>
  <si>
    <t>16-11-2021</t>
  </si>
  <si>
    <t>15-11-2021</t>
  </si>
  <si>
    <t>29-10-2021</t>
  </si>
  <si>
    <t>28-10-2021</t>
  </si>
  <si>
    <t>27-10-2021</t>
  </si>
  <si>
    <t>26-10-2021</t>
  </si>
  <si>
    <t>25-10-2021</t>
  </si>
  <si>
    <t>22-10-2021</t>
  </si>
  <si>
    <t>21-10-2021</t>
  </si>
  <si>
    <t>20-10-2021</t>
  </si>
  <si>
    <t>19-10-2021</t>
  </si>
  <si>
    <t>18-10-2021</t>
  </si>
  <si>
    <t>14-10-2021</t>
  </si>
  <si>
    <t>13-10-2021</t>
  </si>
  <si>
    <t>30-09-2021</t>
  </si>
  <si>
    <t>29-09-2021</t>
  </si>
  <si>
    <t>28-09-2021</t>
  </si>
  <si>
    <t>27-09-2021</t>
  </si>
  <si>
    <t>24-09-2021</t>
  </si>
  <si>
    <t>23-09-2021</t>
  </si>
  <si>
    <t>22-09-2021</t>
  </si>
  <si>
    <t>21-09-2021</t>
  </si>
  <si>
    <t>20-09-2021</t>
  </si>
  <si>
    <t>17-09-2021</t>
  </si>
  <si>
    <t>16-09-2021</t>
  </si>
  <si>
    <t>15-09-2021</t>
  </si>
  <si>
    <t>14-09-2021</t>
  </si>
  <si>
    <t>13-09-2021</t>
  </si>
  <si>
    <t>31-08-2021</t>
  </si>
  <si>
    <t>30-08-2021</t>
  </si>
  <si>
    <t>27-08-2021</t>
  </si>
  <si>
    <t>26-08-2021</t>
  </si>
  <si>
    <t>25-08-2021</t>
  </si>
  <si>
    <t>24-08-2021</t>
  </si>
  <si>
    <t>23-08-2021</t>
  </si>
  <si>
    <t>20-08-2021</t>
  </si>
  <si>
    <t>18-08-2021</t>
  </si>
  <si>
    <t>17-08-2021</t>
  </si>
  <si>
    <t>16-08-2021</t>
  </si>
  <si>
    <t>13-08-2021</t>
  </si>
  <si>
    <t>30-07-2021</t>
  </si>
  <si>
    <t>29-07-2021</t>
  </si>
  <si>
    <t>28-07-2021</t>
  </si>
  <si>
    <t>27-07-2021</t>
  </si>
  <si>
    <t>26-07-2021</t>
  </si>
  <si>
    <t>23-07-2021</t>
  </si>
  <si>
    <t>22-07-2021</t>
  </si>
  <si>
    <t>20-07-2021</t>
  </si>
  <si>
    <t>19-07-2021</t>
  </si>
  <si>
    <t>16-07-2021</t>
  </si>
  <si>
    <t>15-07-2021</t>
  </si>
  <si>
    <t>14-07-2021</t>
  </si>
  <si>
    <t>13-07-2021</t>
  </si>
  <si>
    <t>30-06-2021</t>
  </si>
  <si>
    <t>29-06-2021</t>
  </si>
  <si>
    <t>28-06-2021</t>
  </si>
  <si>
    <t>25-06-2021</t>
  </si>
  <si>
    <t>24-06-2021</t>
  </si>
  <si>
    <t>23-06-2021</t>
  </si>
  <si>
    <t>22-06-2021</t>
  </si>
  <si>
    <t>21-06-2021</t>
  </si>
  <si>
    <t>18-06-2021</t>
  </si>
  <si>
    <t>17-06-2021</t>
  </si>
  <si>
    <t>16-06-2021</t>
  </si>
  <si>
    <t>15-06-2021</t>
  </si>
  <si>
    <t>14-06-2021</t>
  </si>
  <si>
    <t>31-05-2021</t>
  </si>
  <si>
    <t>28-05-2021</t>
  </si>
  <si>
    <t>27-05-2021</t>
  </si>
  <si>
    <t>26-05-2021</t>
  </si>
  <si>
    <t>25-05-2021</t>
  </si>
  <si>
    <t>24-05-2021</t>
  </si>
  <si>
    <t>21-05-2021</t>
  </si>
  <si>
    <t>20-05-2021</t>
  </si>
  <si>
    <t>19-05-2021</t>
  </si>
  <si>
    <t>18-05-2021</t>
  </si>
  <si>
    <t>17-05-2021</t>
  </si>
  <si>
    <t>14-05-2021</t>
  </si>
  <si>
    <t>30-04-2021</t>
  </si>
  <si>
    <t>31.2M</t>
  </si>
  <si>
    <t xml:space="preserve">Volume </t>
  </si>
  <si>
    <t>Shareholder's name</t>
  </si>
  <si>
    <t>Tobacco Manufacturers (India) Limited</t>
  </si>
  <si>
    <t>Life Insurance Corporation of India</t>
  </si>
  <si>
    <t>Specified Undertaking of the Unit Trust of India</t>
  </si>
  <si>
    <t>Myddleton Investment Company Limited</t>
  </si>
  <si>
    <t>ICICI Prudential Mutual Funds</t>
  </si>
  <si>
    <t>SBI Mutual Funds</t>
  </si>
  <si>
    <t>QIB - Insurance Company Registered</t>
  </si>
  <si>
    <t>Parag Parikh Flexi Cap Mutual Funds</t>
  </si>
  <si>
    <t>Goldman Sachs Trust II - Goldman Sachs GQG Partners International Opportunities Fund</t>
  </si>
  <si>
    <t>General Insurance Corporation of India</t>
  </si>
  <si>
    <t>Top 10 Shareholders</t>
  </si>
  <si>
    <t>N. Shares (in Crs)</t>
  </si>
  <si>
    <t>Market Value (in Crs)</t>
  </si>
  <si>
    <t>% Holding</t>
  </si>
  <si>
    <t>FII</t>
  </si>
  <si>
    <t>DII</t>
  </si>
  <si>
    <t>Public &amp; Government</t>
  </si>
  <si>
    <t>Shareholding Pattern</t>
  </si>
  <si>
    <t>Capital Structure</t>
  </si>
  <si>
    <t>Share price as on xxx</t>
  </si>
  <si>
    <t>Number of Shares o/s</t>
  </si>
  <si>
    <t>11.5 M</t>
  </si>
  <si>
    <t>Market Capitalization (in Crs)</t>
  </si>
  <si>
    <t>Less: Cash &amp; Equivalents</t>
  </si>
  <si>
    <t>Add: Total Debt</t>
  </si>
  <si>
    <t>Add: Minority Interest</t>
  </si>
  <si>
    <t>Enterprise Value</t>
  </si>
  <si>
    <t>S Puri Chairman &amp; Managing Director 377 : 1 0</t>
  </si>
  <si>
    <t>S Dutta Executive Director &amp; Chief Financial Officer 132 : 1 21</t>
  </si>
  <si>
    <t>H Malik Executive Director 99 : 1 148 *</t>
  </si>
  <si>
    <t>B Sumant Executive Director 174 : 1 (3)</t>
  </si>
  <si>
    <t>Managerial Remuneration</t>
  </si>
  <si>
    <t>Mr. Sanjeev Puri</t>
  </si>
  <si>
    <t>N Anand</t>
  </si>
  <si>
    <t>H Malik</t>
  </si>
  <si>
    <t>B Sumant</t>
  </si>
  <si>
    <t xml:space="preserve"> </t>
  </si>
  <si>
    <t>Designation</t>
  </si>
  <si>
    <t>Remuneration</t>
  </si>
  <si>
    <t>X of Median Salary</t>
  </si>
  <si>
    <t>CMD</t>
  </si>
  <si>
    <t>ED &amp; CFO</t>
  </si>
  <si>
    <t>ED</t>
  </si>
  <si>
    <t xml:space="preserve">ED </t>
  </si>
  <si>
    <t>Recent Updates</t>
  </si>
  <si>
    <t>ITC Candyman pushes soft chews with new ‘Kuch Bhi Karega’ film</t>
  </si>
  <si>
    <t>From inclusion to impact: How ITC’s skilling programme for differently-abled is unlocking potential</t>
  </si>
  <si>
    <t>ITC passes on 50–60% of cigarette tax hikes, remaining increases to be rolled out over time: Sanjiv Puri</t>
  </si>
  <si>
    <t>ITC bets big on protein-rich foods, eyes fast-growing health segment market</t>
  </si>
  <si>
    <t>AI will create new business opportunities, bring more productivity into IT services: ITC chief Sanjiv Puri</t>
  </si>
  <si>
    <t>ITC Expands AI-Driven ITCMAARS Platform to Strengthen Agriculture Ecosystem</t>
  </si>
  <si>
    <t>ITC WOW Honors Recycling Champions Of Waste Management In Telangana</t>
  </si>
  <si>
    <t>ITC expands disability skilling drive to seven cities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</si>
</sst>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0.0%"/>
    <numFmt numFmtId="167" formatCode="_(* #,##0_);_(* \(#,##0\);_(* &quot;-&quot;??_);_(@_)"/>
    <numFmt numFmtId="168" formatCode="0.00&quot;x&quot;"/>
    <numFmt numFmtId="169" formatCode="#,##0.0"/>
    <numFmt numFmtId="170" formatCode="#,##0;\(#,##0\)"/>
    <numFmt numFmtId="171" formatCode="#,##0\x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8"/>
      <color rgb="FF202122"/>
      <name val="Arial"/>
      <family val="2"/>
    </font>
    <font>
      <sz val="8"/>
      <color rgb="FF202122"/>
      <name val="Arial"/>
      <family val="2"/>
    </font>
    <font>
      <sz val="8"/>
      <color rgb="FF3366CC"/>
      <name val="Arial"/>
      <family val="2"/>
    </font>
    <font>
      <vertAlign val="superscript"/>
      <sz val="6"/>
      <color rgb="FF3366CC"/>
      <name val="Arial"/>
      <family val="2"/>
    </font>
    <font>
      <i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1"/>
      <color rgb="FF22222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ashed">
        <color theme="0" tint="-0.34998626667073579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78">
    <xf numFmtId="0" fontId="0" fillId="0" borderId="0" xfId="0"/>
    <xf numFmtId="164" fontId="1" fillId="0" borderId="0" xfId="1" applyFont="1" applyBorder="1"/>
    <xf numFmtId="0" fontId="1" fillId="0" borderId="0" xfId="0" applyFont="1"/>
    <xf numFmtId="0" fontId="8" fillId="0" borderId="0" xfId="0" applyFont="1"/>
    <xf numFmtId="164" fontId="0" fillId="0" borderId="0" xfId="1" applyFont="1" applyBorder="1"/>
    <xf numFmtId="10" fontId="0" fillId="0" borderId="0" xfId="0" applyNumberFormat="1"/>
    <xf numFmtId="164" fontId="3" fillId="0" borderId="0" xfId="1" applyFont="1" applyBorder="1"/>
    <xf numFmtId="9" fontId="3" fillId="0" borderId="0" xfId="1" applyNumberFormat="1" applyFont="1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0" fillId="0" borderId="0" xfId="1" applyFont="1" applyBorder="1" applyAlignment="1">
      <alignment horizontal="center"/>
    </xf>
    <xf numFmtId="164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43" fontId="0" fillId="0" borderId="0" xfId="1" applyNumberFormat="1" applyFont="1" applyBorder="1"/>
    <xf numFmtId="0" fontId="0" fillId="7" borderId="0" xfId="0" applyFill="1"/>
    <xf numFmtId="0" fontId="0" fillId="0" borderId="0" xfId="0" applyAlignment="1">
      <alignment vertical="top"/>
    </xf>
    <xf numFmtId="0" fontId="12" fillId="7" borderId="0" xfId="0" applyFont="1" applyFill="1" applyAlignment="1">
      <alignment vertical="top" wrapText="1"/>
    </xf>
    <xf numFmtId="0" fontId="11" fillId="0" borderId="0" xfId="0" applyFont="1" applyAlignment="1">
      <alignment horizontal="center"/>
    </xf>
    <xf numFmtId="0" fontId="0" fillId="0" borderId="1" xfId="0" applyBorder="1"/>
    <xf numFmtId="0" fontId="0" fillId="6" borderId="0" xfId="0" applyFill="1"/>
    <xf numFmtId="3" fontId="0" fillId="0" borderId="0" xfId="0" applyNumberFormat="1"/>
    <xf numFmtId="0" fontId="17" fillId="0" borderId="0" xfId="0" applyFont="1"/>
    <xf numFmtId="166" fontId="0" fillId="0" borderId="0" xfId="6" applyNumberFormat="1" applyFont="1"/>
    <xf numFmtId="10" fontId="0" fillId="0" borderId="0" xfId="6" applyNumberFormat="1" applyFont="1"/>
    <xf numFmtId="43" fontId="0" fillId="0" borderId="0" xfId="0" applyNumberFormat="1"/>
    <xf numFmtId="0" fontId="0" fillId="0" borderId="0" xfId="0" applyAlignment="1">
      <alignment horizontal="right"/>
    </xf>
    <xf numFmtId="0" fontId="10" fillId="6" borderId="0" xfId="0" applyFont="1" applyFill="1"/>
    <xf numFmtId="165" fontId="10" fillId="6" borderId="0" xfId="0" applyNumberFormat="1" applyFont="1" applyFill="1" applyAlignment="1">
      <alignment horizontal="center"/>
    </xf>
    <xf numFmtId="167" fontId="0" fillId="0" borderId="0" xfId="0" applyNumberFormat="1"/>
    <xf numFmtId="2" fontId="0" fillId="0" borderId="0" xfId="0" applyNumberFormat="1"/>
    <xf numFmtId="14" fontId="0" fillId="0" borderId="0" xfId="0" applyNumberFormat="1"/>
    <xf numFmtId="16" fontId="0" fillId="0" borderId="0" xfId="0" applyNumberFormat="1"/>
    <xf numFmtId="0" fontId="2" fillId="6" borderId="0" xfId="0" applyFont="1" applyFill="1"/>
    <xf numFmtId="0" fontId="2" fillId="6" borderId="0" xfId="0" applyFont="1" applyFill="1" applyAlignment="1">
      <alignment wrapText="1"/>
    </xf>
    <xf numFmtId="0" fontId="2" fillId="6" borderId="0" xfId="0" applyFont="1" applyFill="1" applyAlignment="1">
      <alignment horizontal="center" wrapText="1"/>
    </xf>
    <xf numFmtId="10" fontId="18" fillId="0" borderId="0" xfId="0" applyNumberFormat="1" applyFont="1"/>
    <xf numFmtId="0" fontId="5" fillId="6" borderId="0" xfId="0" applyFont="1" applyFill="1"/>
    <xf numFmtId="0" fontId="0" fillId="0" borderId="2" xfId="0" applyBorder="1"/>
    <xf numFmtId="168" fontId="0" fillId="0" borderId="2" xfId="0" applyNumberFormat="1" applyBorder="1"/>
    <xf numFmtId="10" fontId="0" fillId="0" borderId="2" xfId="0" applyNumberFormat="1" applyBorder="1"/>
    <xf numFmtId="3" fontId="0" fillId="0" borderId="2" xfId="0" applyNumberFormat="1" applyBorder="1"/>
    <xf numFmtId="0" fontId="16" fillId="0" borderId="2" xfId="0" applyFont="1" applyBorder="1"/>
    <xf numFmtId="10" fontId="16" fillId="0" borderId="2" xfId="0" applyNumberFormat="1" applyFont="1" applyBorder="1"/>
    <xf numFmtId="10" fontId="0" fillId="0" borderId="2" xfId="6" applyNumberFormat="1" applyFont="1" applyBorder="1"/>
    <xf numFmtId="164" fontId="0" fillId="0" borderId="2" xfId="0" applyNumberFormat="1" applyBorder="1"/>
    <xf numFmtId="169" fontId="0" fillId="0" borderId="2" xfId="0" applyNumberFormat="1" applyBorder="1"/>
    <xf numFmtId="0" fontId="0" fillId="0" borderId="2" xfId="0" applyBorder="1" applyAlignment="1">
      <alignment wrapText="1"/>
    </xf>
    <xf numFmtId="171" fontId="0" fillId="0" borderId="2" xfId="0" quotePrefix="1" applyNumberForma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left" indent="1"/>
    </xf>
    <xf numFmtId="1" fontId="0" fillId="0" borderId="2" xfId="0" applyNumberFormat="1" applyBorder="1"/>
    <xf numFmtId="0" fontId="1" fillId="0" borderId="3" xfId="0" applyFont="1" applyBorder="1"/>
    <xf numFmtId="0" fontId="0" fillId="0" borderId="3" xfId="0" applyBorder="1"/>
    <xf numFmtId="0" fontId="0" fillId="0" borderId="4" xfId="0" applyBorder="1" applyAlignment="1">
      <alignment horizontal="left" indent="1"/>
    </xf>
    <xf numFmtId="0" fontId="0" fillId="0" borderId="4" xfId="0" applyBorder="1"/>
    <xf numFmtId="170" fontId="0" fillId="0" borderId="4" xfId="0" applyNumberFormat="1" applyBorder="1"/>
    <xf numFmtId="0" fontId="0" fillId="0" borderId="0" xfId="0" applyAlignment="1">
      <alignment horizontal="left"/>
    </xf>
    <xf numFmtId="0" fontId="2" fillId="6" borderId="0" xfId="0" applyFont="1" applyFill="1" applyAlignment="1">
      <alignment horizontal="center" wrapText="1"/>
    </xf>
    <xf numFmtId="0" fontId="0" fillId="0" borderId="0" xfId="0" applyAlignment="1">
      <alignment horizontal="left" vertical="top"/>
    </xf>
    <xf numFmtId="0" fontId="11" fillId="6" borderId="0" xfId="0" applyFont="1" applyFill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0" fillId="6" borderId="0" xfId="0" applyFont="1" applyFill="1" applyAlignment="1">
      <alignment horizontal="center"/>
    </xf>
    <xf numFmtId="0" fontId="10" fillId="6" borderId="0" xfId="0" applyFont="1" applyFill="1" applyAlignment="1">
      <alignment horizontal="left"/>
    </xf>
    <xf numFmtId="169" fontId="0" fillId="0" borderId="2" xfId="0" applyNumberFormat="1" applyBorder="1" applyAlignment="1">
      <alignment horizontal="right"/>
    </xf>
    <xf numFmtId="0" fontId="0" fillId="0" borderId="0" xfId="0" applyAlignment="1">
      <alignment horizontal="center"/>
    </xf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'Share Price'!$B$1</c:f>
              <c:strCache>
                <c:ptCount val="1"/>
                <c:pt idx="0">
                  <c:v>Adj Price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strRef>
              <c:f>'Share Price'!$A$2:$A$1242</c:f>
              <c:strCache>
                <c:ptCount val="1241"/>
                <c:pt idx="0">
                  <c:v>30-04-2026</c:v>
                </c:pt>
                <c:pt idx="1">
                  <c:v>29-04-2026</c:v>
                </c:pt>
                <c:pt idx="2">
                  <c:v>28-04-2026</c:v>
                </c:pt>
                <c:pt idx="3">
                  <c:v>27-04-2026</c:v>
                </c:pt>
                <c:pt idx="4">
                  <c:v>24-04-2026</c:v>
                </c:pt>
                <c:pt idx="5">
                  <c:v>23-04-2026</c:v>
                </c:pt>
                <c:pt idx="6">
                  <c:v>22-04-2026</c:v>
                </c:pt>
                <c:pt idx="7">
                  <c:v>21-04-2026</c:v>
                </c:pt>
                <c:pt idx="8">
                  <c:v>20-04-2026</c:v>
                </c:pt>
                <c:pt idx="9">
                  <c:v>17-04-2026</c:v>
                </c:pt>
                <c:pt idx="10">
                  <c:v>16-04-2026</c:v>
                </c:pt>
                <c:pt idx="11">
                  <c:v>15-04-2026</c:v>
                </c:pt>
                <c:pt idx="12">
                  <c:v>13-04-2026</c:v>
                </c:pt>
                <c:pt idx="13">
                  <c:v>10/4/2026</c:v>
                </c:pt>
                <c:pt idx="14">
                  <c:v>9/4/2026</c:v>
                </c:pt>
                <c:pt idx="15">
                  <c:v>8/4/2026</c:v>
                </c:pt>
                <c:pt idx="16">
                  <c:v>7/4/2026</c:v>
                </c:pt>
                <c:pt idx="17">
                  <c:v>6/4/2026</c:v>
                </c:pt>
                <c:pt idx="18">
                  <c:v>2/4/2026</c:v>
                </c:pt>
                <c:pt idx="19">
                  <c:v>1/4/2026</c:v>
                </c:pt>
                <c:pt idx="20">
                  <c:v>30-03-2026</c:v>
                </c:pt>
                <c:pt idx="21">
                  <c:v>27-03-2026</c:v>
                </c:pt>
                <c:pt idx="22">
                  <c:v>25-03-2026</c:v>
                </c:pt>
                <c:pt idx="23">
                  <c:v>24-03-2026</c:v>
                </c:pt>
                <c:pt idx="24">
                  <c:v>23-03-2026</c:v>
                </c:pt>
                <c:pt idx="25">
                  <c:v>20-03-2026</c:v>
                </c:pt>
                <c:pt idx="26">
                  <c:v>19-03-2026</c:v>
                </c:pt>
                <c:pt idx="27">
                  <c:v>18-03-2026</c:v>
                </c:pt>
                <c:pt idx="28">
                  <c:v>17-03-2026</c:v>
                </c:pt>
                <c:pt idx="29">
                  <c:v>16-03-2026</c:v>
                </c:pt>
                <c:pt idx="30">
                  <c:v>13-03-2026</c:v>
                </c:pt>
                <c:pt idx="31">
                  <c:v>12/3/2026</c:v>
                </c:pt>
                <c:pt idx="32">
                  <c:v>11/3/2026</c:v>
                </c:pt>
                <c:pt idx="33">
                  <c:v>10/3/2026</c:v>
                </c:pt>
                <c:pt idx="34">
                  <c:v>9/3/2026</c:v>
                </c:pt>
                <c:pt idx="35">
                  <c:v>6/3/2026</c:v>
                </c:pt>
                <c:pt idx="36">
                  <c:v>5/3/2026</c:v>
                </c:pt>
                <c:pt idx="37">
                  <c:v>4/3/2026</c:v>
                </c:pt>
                <c:pt idx="38">
                  <c:v>2/3/2026</c:v>
                </c:pt>
                <c:pt idx="39">
                  <c:v>27-02-2026</c:v>
                </c:pt>
                <c:pt idx="40">
                  <c:v>26-02-2026</c:v>
                </c:pt>
                <c:pt idx="41">
                  <c:v>25-02-2026</c:v>
                </c:pt>
                <c:pt idx="42">
                  <c:v>24-02-2026</c:v>
                </c:pt>
                <c:pt idx="43">
                  <c:v>23-02-2026</c:v>
                </c:pt>
                <c:pt idx="44">
                  <c:v>20-02-2026</c:v>
                </c:pt>
                <c:pt idx="45">
                  <c:v>19-02-2026</c:v>
                </c:pt>
                <c:pt idx="46">
                  <c:v>18-02-2026</c:v>
                </c:pt>
                <c:pt idx="47">
                  <c:v>17-02-2026</c:v>
                </c:pt>
                <c:pt idx="48">
                  <c:v>16-02-2026</c:v>
                </c:pt>
                <c:pt idx="49">
                  <c:v>13-02-2026</c:v>
                </c:pt>
                <c:pt idx="50">
                  <c:v>12/2/2026</c:v>
                </c:pt>
                <c:pt idx="51">
                  <c:v>11/2/2026</c:v>
                </c:pt>
                <c:pt idx="52">
                  <c:v>10/2/2026</c:v>
                </c:pt>
                <c:pt idx="53">
                  <c:v>9/2/2026</c:v>
                </c:pt>
                <c:pt idx="54">
                  <c:v>6/2/2026</c:v>
                </c:pt>
                <c:pt idx="55">
                  <c:v>5/2/2026</c:v>
                </c:pt>
                <c:pt idx="56">
                  <c:v>4/2/2026</c:v>
                </c:pt>
                <c:pt idx="57">
                  <c:v>3/2/2026</c:v>
                </c:pt>
                <c:pt idx="58">
                  <c:v>2/2/2026</c:v>
                </c:pt>
                <c:pt idx="59">
                  <c:v>1/2/2026</c:v>
                </c:pt>
                <c:pt idx="60">
                  <c:v>30-01-2026</c:v>
                </c:pt>
                <c:pt idx="61">
                  <c:v>29-01-2026</c:v>
                </c:pt>
                <c:pt idx="62">
                  <c:v>28-01-2026</c:v>
                </c:pt>
                <c:pt idx="63">
                  <c:v>27-01-2026</c:v>
                </c:pt>
                <c:pt idx="64">
                  <c:v>23-01-2026</c:v>
                </c:pt>
                <c:pt idx="65">
                  <c:v>22-01-2026</c:v>
                </c:pt>
                <c:pt idx="66">
                  <c:v>21-01-2026</c:v>
                </c:pt>
                <c:pt idx="67">
                  <c:v>20-01-2026</c:v>
                </c:pt>
                <c:pt idx="68">
                  <c:v>19-01-2026</c:v>
                </c:pt>
                <c:pt idx="69">
                  <c:v>16-01-2026</c:v>
                </c:pt>
                <c:pt idx="70">
                  <c:v>14-01-2026</c:v>
                </c:pt>
                <c:pt idx="71">
                  <c:v>13-01-2026</c:v>
                </c:pt>
                <c:pt idx="72">
                  <c:v>12/1/2026</c:v>
                </c:pt>
                <c:pt idx="73">
                  <c:v>9/1/2026</c:v>
                </c:pt>
                <c:pt idx="74">
                  <c:v>8/1/2026</c:v>
                </c:pt>
                <c:pt idx="75">
                  <c:v>7/1/2026</c:v>
                </c:pt>
                <c:pt idx="76">
                  <c:v>6/1/2026</c:v>
                </c:pt>
                <c:pt idx="77">
                  <c:v>5/1/2026</c:v>
                </c:pt>
                <c:pt idx="78">
                  <c:v>2/1/2026</c:v>
                </c:pt>
                <c:pt idx="79">
                  <c:v>1/1/2026</c:v>
                </c:pt>
                <c:pt idx="80">
                  <c:v>31-12-2025</c:v>
                </c:pt>
                <c:pt idx="81">
                  <c:v>30-12-2025</c:v>
                </c:pt>
                <c:pt idx="82">
                  <c:v>29-12-2025</c:v>
                </c:pt>
                <c:pt idx="83">
                  <c:v>26-12-2025</c:v>
                </c:pt>
                <c:pt idx="84">
                  <c:v>24-12-2025</c:v>
                </c:pt>
                <c:pt idx="85">
                  <c:v>23-12-2025</c:v>
                </c:pt>
                <c:pt idx="86">
                  <c:v>22-12-2025</c:v>
                </c:pt>
                <c:pt idx="87">
                  <c:v>19-12-2025</c:v>
                </c:pt>
                <c:pt idx="88">
                  <c:v>18-12-2025</c:v>
                </c:pt>
                <c:pt idx="89">
                  <c:v>17-12-2025</c:v>
                </c:pt>
                <c:pt idx="90">
                  <c:v>16-12-2025</c:v>
                </c:pt>
                <c:pt idx="91">
                  <c:v>15-12-2025</c:v>
                </c:pt>
                <c:pt idx="92">
                  <c:v>12/12/2025</c:v>
                </c:pt>
                <c:pt idx="93">
                  <c:v>11/12/2025</c:v>
                </c:pt>
                <c:pt idx="94">
                  <c:v>10/12/2025</c:v>
                </c:pt>
                <c:pt idx="95">
                  <c:v>9/12/2025</c:v>
                </c:pt>
                <c:pt idx="96">
                  <c:v>8/12/2025</c:v>
                </c:pt>
                <c:pt idx="97">
                  <c:v>5/12/2025</c:v>
                </c:pt>
                <c:pt idx="98">
                  <c:v>4/12/2025</c:v>
                </c:pt>
                <c:pt idx="99">
                  <c:v>3/12/2025</c:v>
                </c:pt>
                <c:pt idx="100">
                  <c:v>2/12/2025</c:v>
                </c:pt>
                <c:pt idx="101">
                  <c:v>1/12/2025</c:v>
                </c:pt>
                <c:pt idx="102">
                  <c:v>28-11-2025</c:v>
                </c:pt>
                <c:pt idx="103">
                  <c:v>27-11-2025</c:v>
                </c:pt>
                <c:pt idx="104">
                  <c:v>26-11-2025</c:v>
                </c:pt>
                <c:pt idx="105">
                  <c:v>25-11-2025</c:v>
                </c:pt>
                <c:pt idx="106">
                  <c:v>24-11-2025</c:v>
                </c:pt>
                <c:pt idx="107">
                  <c:v>21-11-2025</c:v>
                </c:pt>
                <c:pt idx="108">
                  <c:v>20-11-2025</c:v>
                </c:pt>
                <c:pt idx="109">
                  <c:v>19-11-2025</c:v>
                </c:pt>
                <c:pt idx="110">
                  <c:v>18-11-2025</c:v>
                </c:pt>
                <c:pt idx="111">
                  <c:v>17-11-2025</c:v>
                </c:pt>
                <c:pt idx="112">
                  <c:v>14-11-2025</c:v>
                </c:pt>
                <c:pt idx="113">
                  <c:v>13-11-2025</c:v>
                </c:pt>
                <c:pt idx="114">
                  <c:v>12/11/2025</c:v>
                </c:pt>
                <c:pt idx="115">
                  <c:v>11/11/2025</c:v>
                </c:pt>
                <c:pt idx="116">
                  <c:v>10/11/2025</c:v>
                </c:pt>
                <c:pt idx="117">
                  <c:v>7/11/2025</c:v>
                </c:pt>
                <c:pt idx="118">
                  <c:v>6/11/2025</c:v>
                </c:pt>
                <c:pt idx="119">
                  <c:v>4/11/2025</c:v>
                </c:pt>
                <c:pt idx="120">
                  <c:v>3/11/2025</c:v>
                </c:pt>
                <c:pt idx="121">
                  <c:v>31-10-2025</c:v>
                </c:pt>
                <c:pt idx="122">
                  <c:v>30-10-2025</c:v>
                </c:pt>
                <c:pt idx="123">
                  <c:v>29-10-2025</c:v>
                </c:pt>
                <c:pt idx="124">
                  <c:v>28-10-2025</c:v>
                </c:pt>
                <c:pt idx="125">
                  <c:v>27-10-2025</c:v>
                </c:pt>
                <c:pt idx="126">
                  <c:v>24-10-2025</c:v>
                </c:pt>
                <c:pt idx="127">
                  <c:v>23-10-2025</c:v>
                </c:pt>
                <c:pt idx="128">
                  <c:v>21-10-2025</c:v>
                </c:pt>
                <c:pt idx="129">
                  <c:v>20-10-2025</c:v>
                </c:pt>
                <c:pt idx="130">
                  <c:v>17-10-2025</c:v>
                </c:pt>
                <c:pt idx="131">
                  <c:v>16-10-2025</c:v>
                </c:pt>
                <c:pt idx="132">
                  <c:v>15-10-2025</c:v>
                </c:pt>
                <c:pt idx="133">
                  <c:v>14-10-2025</c:v>
                </c:pt>
                <c:pt idx="134">
                  <c:v>13-10-2025</c:v>
                </c:pt>
                <c:pt idx="135">
                  <c:v>10/10/2025</c:v>
                </c:pt>
                <c:pt idx="136">
                  <c:v>9/10/2025</c:v>
                </c:pt>
                <c:pt idx="137">
                  <c:v>8/10/2025</c:v>
                </c:pt>
                <c:pt idx="138">
                  <c:v>7/10/2025</c:v>
                </c:pt>
                <c:pt idx="139">
                  <c:v>6/10/2025</c:v>
                </c:pt>
                <c:pt idx="140">
                  <c:v>3/10/2025</c:v>
                </c:pt>
                <c:pt idx="141">
                  <c:v>1/10/2025</c:v>
                </c:pt>
                <c:pt idx="142">
                  <c:v>30-09-2025</c:v>
                </c:pt>
                <c:pt idx="143">
                  <c:v>29-09-2025</c:v>
                </c:pt>
                <c:pt idx="144">
                  <c:v>26-09-2025</c:v>
                </c:pt>
                <c:pt idx="145">
                  <c:v>25-09-2025</c:v>
                </c:pt>
                <c:pt idx="146">
                  <c:v>24-09-2025</c:v>
                </c:pt>
                <c:pt idx="147">
                  <c:v>23-09-2025</c:v>
                </c:pt>
                <c:pt idx="148">
                  <c:v>22-09-2025</c:v>
                </c:pt>
                <c:pt idx="149">
                  <c:v>19-09-2025</c:v>
                </c:pt>
                <c:pt idx="150">
                  <c:v>18-09-2025</c:v>
                </c:pt>
                <c:pt idx="151">
                  <c:v>17-09-2025</c:v>
                </c:pt>
                <c:pt idx="152">
                  <c:v>16-09-2025</c:v>
                </c:pt>
                <c:pt idx="153">
                  <c:v>15-09-2025</c:v>
                </c:pt>
                <c:pt idx="154">
                  <c:v>12/9/2025</c:v>
                </c:pt>
                <c:pt idx="155">
                  <c:v>11/9/2025</c:v>
                </c:pt>
                <c:pt idx="156">
                  <c:v>10/9/2025</c:v>
                </c:pt>
                <c:pt idx="157">
                  <c:v>9/9/2025</c:v>
                </c:pt>
                <c:pt idx="158">
                  <c:v>8/9/2025</c:v>
                </c:pt>
                <c:pt idx="159">
                  <c:v>5/9/2025</c:v>
                </c:pt>
                <c:pt idx="160">
                  <c:v>4/9/2025</c:v>
                </c:pt>
                <c:pt idx="161">
                  <c:v>3/9/2025</c:v>
                </c:pt>
                <c:pt idx="162">
                  <c:v>2/9/2025</c:v>
                </c:pt>
                <c:pt idx="163">
                  <c:v>1/9/2025</c:v>
                </c:pt>
                <c:pt idx="164">
                  <c:v>29-08-2025</c:v>
                </c:pt>
                <c:pt idx="165">
                  <c:v>28-08-2025</c:v>
                </c:pt>
                <c:pt idx="166">
                  <c:v>26-08-2025</c:v>
                </c:pt>
                <c:pt idx="167">
                  <c:v>25-08-2025</c:v>
                </c:pt>
                <c:pt idx="168">
                  <c:v>22-08-2025</c:v>
                </c:pt>
                <c:pt idx="169">
                  <c:v>21-08-2025</c:v>
                </c:pt>
                <c:pt idx="170">
                  <c:v>20-08-2025</c:v>
                </c:pt>
                <c:pt idx="171">
                  <c:v>19-08-2025</c:v>
                </c:pt>
                <c:pt idx="172">
                  <c:v>18-08-2025</c:v>
                </c:pt>
                <c:pt idx="173">
                  <c:v>14-08-2025</c:v>
                </c:pt>
                <c:pt idx="174">
                  <c:v>13-08-2025</c:v>
                </c:pt>
                <c:pt idx="175">
                  <c:v>12/8/2025</c:v>
                </c:pt>
                <c:pt idx="176">
                  <c:v>11/8/2025</c:v>
                </c:pt>
                <c:pt idx="177">
                  <c:v>8/8/2025</c:v>
                </c:pt>
                <c:pt idx="178">
                  <c:v>7/8/2025</c:v>
                </c:pt>
                <c:pt idx="179">
                  <c:v>6/8/2025</c:v>
                </c:pt>
                <c:pt idx="180">
                  <c:v>5/8/2025</c:v>
                </c:pt>
                <c:pt idx="181">
                  <c:v>4/8/2025</c:v>
                </c:pt>
                <c:pt idx="182">
                  <c:v>1/8/2025</c:v>
                </c:pt>
                <c:pt idx="183">
                  <c:v>31-07-2025</c:v>
                </c:pt>
                <c:pt idx="184">
                  <c:v>30-07-2025</c:v>
                </c:pt>
                <c:pt idx="185">
                  <c:v>29-07-2025</c:v>
                </c:pt>
                <c:pt idx="186">
                  <c:v>28-07-2025</c:v>
                </c:pt>
                <c:pt idx="187">
                  <c:v>25-07-2025</c:v>
                </c:pt>
                <c:pt idx="188">
                  <c:v>24-07-2025</c:v>
                </c:pt>
                <c:pt idx="189">
                  <c:v>23-07-2025</c:v>
                </c:pt>
                <c:pt idx="190">
                  <c:v>22-07-2025</c:v>
                </c:pt>
                <c:pt idx="191">
                  <c:v>21-07-2025</c:v>
                </c:pt>
                <c:pt idx="192">
                  <c:v>18-07-2025</c:v>
                </c:pt>
                <c:pt idx="193">
                  <c:v>17-07-2025</c:v>
                </c:pt>
                <c:pt idx="194">
                  <c:v>16-07-2025</c:v>
                </c:pt>
                <c:pt idx="195">
                  <c:v>15-07-2025</c:v>
                </c:pt>
                <c:pt idx="196">
                  <c:v>14-07-2025</c:v>
                </c:pt>
                <c:pt idx="197">
                  <c:v>11/7/2025</c:v>
                </c:pt>
                <c:pt idx="198">
                  <c:v>10/7/2025</c:v>
                </c:pt>
                <c:pt idx="199">
                  <c:v>9/7/2025</c:v>
                </c:pt>
                <c:pt idx="200">
                  <c:v>8/7/2025</c:v>
                </c:pt>
                <c:pt idx="201">
                  <c:v>7/7/2025</c:v>
                </c:pt>
                <c:pt idx="202">
                  <c:v>4/7/2025</c:v>
                </c:pt>
                <c:pt idx="203">
                  <c:v>3/7/2025</c:v>
                </c:pt>
                <c:pt idx="204">
                  <c:v>2/7/2025</c:v>
                </c:pt>
                <c:pt idx="205">
                  <c:v>1/7/2025</c:v>
                </c:pt>
                <c:pt idx="206">
                  <c:v>30-06-2025</c:v>
                </c:pt>
                <c:pt idx="207">
                  <c:v>27-06-2025</c:v>
                </c:pt>
                <c:pt idx="208">
                  <c:v>26-06-2025</c:v>
                </c:pt>
                <c:pt idx="209">
                  <c:v>25-06-2025</c:v>
                </c:pt>
                <c:pt idx="210">
                  <c:v>24-06-2025</c:v>
                </c:pt>
                <c:pt idx="211">
                  <c:v>23-06-2025</c:v>
                </c:pt>
                <c:pt idx="212">
                  <c:v>20-06-2025</c:v>
                </c:pt>
                <c:pt idx="213">
                  <c:v>19-06-2025</c:v>
                </c:pt>
                <c:pt idx="214">
                  <c:v>18-06-2025</c:v>
                </c:pt>
                <c:pt idx="215">
                  <c:v>17-06-2025</c:v>
                </c:pt>
                <c:pt idx="216">
                  <c:v>16-06-2025</c:v>
                </c:pt>
                <c:pt idx="217">
                  <c:v>13-06-2025</c:v>
                </c:pt>
                <c:pt idx="218">
                  <c:v>12/6/2025</c:v>
                </c:pt>
                <c:pt idx="219">
                  <c:v>11/6/2025</c:v>
                </c:pt>
                <c:pt idx="220">
                  <c:v>10/6/2025</c:v>
                </c:pt>
                <c:pt idx="221">
                  <c:v>9/6/2025</c:v>
                </c:pt>
                <c:pt idx="222">
                  <c:v>6/6/2025</c:v>
                </c:pt>
                <c:pt idx="223">
                  <c:v>5/6/2025</c:v>
                </c:pt>
                <c:pt idx="224">
                  <c:v>4/6/2025</c:v>
                </c:pt>
                <c:pt idx="225">
                  <c:v>3/6/2025</c:v>
                </c:pt>
                <c:pt idx="226">
                  <c:v>2/6/2025</c:v>
                </c:pt>
                <c:pt idx="227">
                  <c:v>30-05-2025</c:v>
                </c:pt>
                <c:pt idx="228">
                  <c:v>29-05-2025</c:v>
                </c:pt>
                <c:pt idx="229">
                  <c:v>28-05-2025</c:v>
                </c:pt>
                <c:pt idx="230">
                  <c:v>27-05-2025</c:v>
                </c:pt>
                <c:pt idx="231">
                  <c:v>26-05-2025</c:v>
                </c:pt>
                <c:pt idx="232">
                  <c:v>23-05-2025</c:v>
                </c:pt>
                <c:pt idx="233">
                  <c:v>22-05-2025</c:v>
                </c:pt>
                <c:pt idx="234">
                  <c:v>21-05-2025</c:v>
                </c:pt>
                <c:pt idx="235">
                  <c:v>20-05-2025</c:v>
                </c:pt>
                <c:pt idx="236">
                  <c:v>19-05-2025</c:v>
                </c:pt>
                <c:pt idx="237">
                  <c:v>16-05-2025</c:v>
                </c:pt>
                <c:pt idx="238">
                  <c:v>15-05-2025</c:v>
                </c:pt>
                <c:pt idx="239">
                  <c:v>14-05-2025</c:v>
                </c:pt>
                <c:pt idx="240">
                  <c:v>13-05-2025</c:v>
                </c:pt>
                <c:pt idx="241">
                  <c:v>12/5/2025</c:v>
                </c:pt>
                <c:pt idx="242">
                  <c:v>9/5/2025</c:v>
                </c:pt>
                <c:pt idx="243">
                  <c:v>8/5/2025</c:v>
                </c:pt>
                <c:pt idx="244">
                  <c:v>7/5/2025</c:v>
                </c:pt>
                <c:pt idx="245">
                  <c:v>6/5/2025</c:v>
                </c:pt>
                <c:pt idx="246">
                  <c:v>5/5/2025</c:v>
                </c:pt>
                <c:pt idx="247">
                  <c:v>2/5/2025</c:v>
                </c:pt>
                <c:pt idx="248">
                  <c:v>30-04-2025</c:v>
                </c:pt>
                <c:pt idx="249">
                  <c:v>29-04-2025</c:v>
                </c:pt>
                <c:pt idx="250">
                  <c:v>28-04-2025</c:v>
                </c:pt>
                <c:pt idx="251">
                  <c:v>25-04-2025</c:v>
                </c:pt>
                <c:pt idx="252">
                  <c:v>24-04-2025</c:v>
                </c:pt>
                <c:pt idx="253">
                  <c:v>23-04-2025</c:v>
                </c:pt>
                <c:pt idx="254">
                  <c:v>22-04-2025</c:v>
                </c:pt>
                <c:pt idx="255">
                  <c:v>21-04-2025</c:v>
                </c:pt>
                <c:pt idx="256">
                  <c:v>17-04-2025</c:v>
                </c:pt>
                <c:pt idx="257">
                  <c:v>16-04-2025</c:v>
                </c:pt>
                <c:pt idx="258">
                  <c:v>15-04-2025</c:v>
                </c:pt>
                <c:pt idx="259">
                  <c:v>11/4/2025</c:v>
                </c:pt>
                <c:pt idx="260">
                  <c:v>9/4/2025</c:v>
                </c:pt>
                <c:pt idx="261">
                  <c:v>8/4/2025</c:v>
                </c:pt>
                <c:pt idx="262">
                  <c:v>7/4/2025</c:v>
                </c:pt>
                <c:pt idx="263">
                  <c:v>4/4/2025</c:v>
                </c:pt>
                <c:pt idx="264">
                  <c:v>3/4/2025</c:v>
                </c:pt>
                <c:pt idx="265">
                  <c:v>2/4/2025</c:v>
                </c:pt>
                <c:pt idx="266">
                  <c:v>1/4/2025</c:v>
                </c:pt>
                <c:pt idx="267">
                  <c:v>28-03-2025</c:v>
                </c:pt>
                <c:pt idx="268">
                  <c:v>27-03-2025</c:v>
                </c:pt>
                <c:pt idx="269">
                  <c:v>26-03-2025</c:v>
                </c:pt>
                <c:pt idx="270">
                  <c:v>25-03-2025</c:v>
                </c:pt>
                <c:pt idx="271">
                  <c:v>24-03-2025</c:v>
                </c:pt>
                <c:pt idx="272">
                  <c:v>21-03-2025</c:v>
                </c:pt>
                <c:pt idx="273">
                  <c:v>20-03-2025</c:v>
                </c:pt>
                <c:pt idx="274">
                  <c:v>19-03-2025</c:v>
                </c:pt>
                <c:pt idx="275">
                  <c:v>18-03-2025</c:v>
                </c:pt>
                <c:pt idx="276">
                  <c:v>17-03-2025</c:v>
                </c:pt>
                <c:pt idx="277">
                  <c:v>13-03-2025</c:v>
                </c:pt>
                <c:pt idx="278">
                  <c:v>12/3/2025</c:v>
                </c:pt>
                <c:pt idx="279">
                  <c:v>11/3/2025</c:v>
                </c:pt>
                <c:pt idx="280">
                  <c:v>10/3/2025</c:v>
                </c:pt>
                <c:pt idx="281">
                  <c:v>7/3/2025</c:v>
                </c:pt>
                <c:pt idx="282">
                  <c:v>6/3/2025</c:v>
                </c:pt>
                <c:pt idx="283">
                  <c:v>5/3/2025</c:v>
                </c:pt>
                <c:pt idx="284">
                  <c:v>4/3/2025</c:v>
                </c:pt>
                <c:pt idx="285">
                  <c:v>3/3/2025</c:v>
                </c:pt>
                <c:pt idx="286">
                  <c:v>28-02-2025</c:v>
                </c:pt>
                <c:pt idx="287">
                  <c:v>27-02-2025</c:v>
                </c:pt>
                <c:pt idx="288">
                  <c:v>25-02-2025</c:v>
                </c:pt>
                <c:pt idx="289">
                  <c:v>24-02-2025</c:v>
                </c:pt>
                <c:pt idx="290">
                  <c:v>21-02-2025</c:v>
                </c:pt>
                <c:pt idx="291">
                  <c:v>20-02-2025</c:v>
                </c:pt>
                <c:pt idx="292">
                  <c:v>19-02-2025</c:v>
                </c:pt>
                <c:pt idx="293">
                  <c:v>18-02-2025</c:v>
                </c:pt>
                <c:pt idx="294">
                  <c:v>17-02-2025</c:v>
                </c:pt>
                <c:pt idx="295">
                  <c:v>14-02-2025</c:v>
                </c:pt>
                <c:pt idx="296">
                  <c:v>13-02-2025</c:v>
                </c:pt>
                <c:pt idx="297">
                  <c:v>12/2/2025</c:v>
                </c:pt>
                <c:pt idx="298">
                  <c:v>11/2/2025</c:v>
                </c:pt>
                <c:pt idx="299">
                  <c:v>10/2/2025</c:v>
                </c:pt>
                <c:pt idx="300">
                  <c:v>7/2/2025</c:v>
                </c:pt>
                <c:pt idx="301">
                  <c:v>6/2/2025</c:v>
                </c:pt>
                <c:pt idx="302">
                  <c:v>5/2/2025</c:v>
                </c:pt>
                <c:pt idx="303">
                  <c:v>4/2/2025</c:v>
                </c:pt>
                <c:pt idx="304">
                  <c:v>3/2/2025</c:v>
                </c:pt>
                <c:pt idx="305">
                  <c:v>1/2/2025</c:v>
                </c:pt>
                <c:pt idx="306">
                  <c:v>31-01-2025</c:v>
                </c:pt>
                <c:pt idx="307">
                  <c:v>30-01-2025</c:v>
                </c:pt>
                <c:pt idx="308">
                  <c:v>29-01-2025</c:v>
                </c:pt>
                <c:pt idx="309">
                  <c:v>28-01-2025</c:v>
                </c:pt>
                <c:pt idx="310">
                  <c:v>27-01-2025</c:v>
                </c:pt>
                <c:pt idx="311">
                  <c:v>24-01-2025</c:v>
                </c:pt>
                <c:pt idx="312">
                  <c:v>23-01-2025</c:v>
                </c:pt>
                <c:pt idx="313">
                  <c:v>22-01-2025</c:v>
                </c:pt>
                <c:pt idx="314">
                  <c:v>21-01-2025</c:v>
                </c:pt>
                <c:pt idx="315">
                  <c:v>20-01-2025</c:v>
                </c:pt>
                <c:pt idx="316">
                  <c:v>17-01-2025</c:v>
                </c:pt>
                <c:pt idx="317">
                  <c:v>16-01-2025</c:v>
                </c:pt>
                <c:pt idx="318">
                  <c:v>15-01-2025</c:v>
                </c:pt>
                <c:pt idx="319">
                  <c:v>14-01-2025</c:v>
                </c:pt>
                <c:pt idx="320">
                  <c:v>13-01-2025</c:v>
                </c:pt>
                <c:pt idx="321">
                  <c:v>10/1/2025</c:v>
                </c:pt>
                <c:pt idx="322">
                  <c:v>9/1/2025</c:v>
                </c:pt>
                <c:pt idx="323">
                  <c:v>8/1/2025</c:v>
                </c:pt>
                <c:pt idx="324">
                  <c:v>7/1/2025</c:v>
                </c:pt>
                <c:pt idx="325">
                  <c:v>6/1/2025</c:v>
                </c:pt>
                <c:pt idx="326">
                  <c:v>3/1/2025</c:v>
                </c:pt>
                <c:pt idx="327">
                  <c:v>2/1/2025</c:v>
                </c:pt>
                <c:pt idx="328">
                  <c:v>1/1/2025</c:v>
                </c:pt>
                <c:pt idx="329">
                  <c:v>31-12-2024</c:v>
                </c:pt>
                <c:pt idx="330">
                  <c:v>30-12-2024</c:v>
                </c:pt>
                <c:pt idx="331">
                  <c:v>27-12-2024</c:v>
                </c:pt>
                <c:pt idx="332">
                  <c:v>26-12-2024</c:v>
                </c:pt>
                <c:pt idx="333">
                  <c:v>24-12-2024</c:v>
                </c:pt>
                <c:pt idx="334">
                  <c:v>23-12-2024</c:v>
                </c:pt>
                <c:pt idx="335">
                  <c:v>20-12-2024</c:v>
                </c:pt>
                <c:pt idx="336">
                  <c:v>19-12-2024</c:v>
                </c:pt>
                <c:pt idx="337">
                  <c:v>18-12-2024</c:v>
                </c:pt>
                <c:pt idx="338">
                  <c:v>17-12-2024</c:v>
                </c:pt>
                <c:pt idx="339">
                  <c:v>16-12-2024</c:v>
                </c:pt>
                <c:pt idx="340">
                  <c:v>13-12-2024</c:v>
                </c:pt>
                <c:pt idx="341">
                  <c:v>12/12/2024</c:v>
                </c:pt>
                <c:pt idx="342">
                  <c:v>11/12/2024</c:v>
                </c:pt>
                <c:pt idx="343">
                  <c:v>10/12/2024</c:v>
                </c:pt>
                <c:pt idx="344">
                  <c:v>9/12/2024</c:v>
                </c:pt>
                <c:pt idx="345">
                  <c:v>6/12/2024</c:v>
                </c:pt>
                <c:pt idx="346">
                  <c:v>5/12/2024</c:v>
                </c:pt>
                <c:pt idx="347">
                  <c:v>4/12/2024</c:v>
                </c:pt>
                <c:pt idx="348">
                  <c:v>3/12/2024</c:v>
                </c:pt>
                <c:pt idx="349">
                  <c:v>2/12/2024</c:v>
                </c:pt>
                <c:pt idx="350">
                  <c:v>29-11-2024</c:v>
                </c:pt>
                <c:pt idx="351">
                  <c:v>28-11-2024</c:v>
                </c:pt>
                <c:pt idx="352">
                  <c:v>27-11-2024</c:v>
                </c:pt>
                <c:pt idx="353">
                  <c:v>26-11-2024</c:v>
                </c:pt>
                <c:pt idx="354">
                  <c:v>25-11-2024</c:v>
                </c:pt>
                <c:pt idx="355">
                  <c:v>22-11-2024</c:v>
                </c:pt>
                <c:pt idx="356">
                  <c:v>21-11-2024</c:v>
                </c:pt>
                <c:pt idx="357">
                  <c:v>19-11-2024</c:v>
                </c:pt>
                <c:pt idx="358">
                  <c:v>18-11-2024</c:v>
                </c:pt>
                <c:pt idx="359">
                  <c:v>14-11-2024</c:v>
                </c:pt>
                <c:pt idx="360">
                  <c:v>13-11-2024</c:v>
                </c:pt>
                <c:pt idx="361">
                  <c:v>12/11/2024</c:v>
                </c:pt>
                <c:pt idx="362">
                  <c:v>11/11/2024</c:v>
                </c:pt>
                <c:pt idx="363">
                  <c:v>8/11/2024</c:v>
                </c:pt>
                <c:pt idx="364">
                  <c:v>7/11/2024</c:v>
                </c:pt>
                <c:pt idx="365">
                  <c:v>6/11/2024</c:v>
                </c:pt>
                <c:pt idx="366">
                  <c:v>5/11/2024</c:v>
                </c:pt>
                <c:pt idx="367">
                  <c:v>4/11/2024</c:v>
                </c:pt>
                <c:pt idx="368">
                  <c:v>1/11/2024</c:v>
                </c:pt>
                <c:pt idx="369">
                  <c:v>31-10-2024</c:v>
                </c:pt>
                <c:pt idx="370">
                  <c:v>30-10-2024</c:v>
                </c:pt>
                <c:pt idx="371">
                  <c:v>29-10-2024</c:v>
                </c:pt>
                <c:pt idx="372">
                  <c:v>28-10-2024</c:v>
                </c:pt>
                <c:pt idx="373">
                  <c:v>25-10-2024</c:v>
                </c:pt>
                <c:pt idx="374">
                  <c:v>24-10-2024</c:v>
                </c:pt>
                <c:pt idx="375">
                  <c:v>23-10-2024</c:v>
                </c:pt>
                <c:pt idx="376">
                  <c:v>22-10-2024</c:v>
                </c:pt>
                <c:pt idx="377">
                  <c:v>21-10-2024</c:v>
                </c:pt>
                <c:pt idx="378">
                  <c:v>18-10-2024</c:v>
                </c:pt>
                <c:pt idx="379">
                  <c:v>17-10-2024</c:v>
                </c:pt>
                <c:pt idx="380">
                  <c:v>16-10-2024</c:v>
                </c:pt>
                <c:pt idx="381">
                  <c:v>15-10-2024</c:v>
                </c:pt>
                <c:pt idx="382">
                  <c:v>14-10-2024</c:v>
                </c:pt>
                <c:pt idx="383">
                  <c:v>11/10/2024</c:v>
                </c:pt>
                <c:pt idx="384">
                  <c:v>10/10/2024</c:v>
                </c:pt>
                <c:pt idx="385">
                  <c:v>9/10/2024</c:v>
                </c:pt>
                <c:pt idx="386">
                  <c:v>8/10/2024</c:v>
                </c:pt>
                <c:pt idx="387">
                  <c:v>7/10/2024</c:v>
                </c:pt>
                <c:pt idx="388">
                  <c:v>4/10/2024</c:v>
                </c:pt>
                <c:pt idx="389">
                  <c:v>3/10/2024</c:v>
                </c:pt>
                <c:pt idx="390">
                  <c:v>1/10/2024</c:v>
                </c:pt>
                <c:pt idx="391">
                  <c:v>30-09-2024</c:v>
                </c:pt>
                <c:pt idx="392">
                  <c:v>27-09-2024</c:v>
                </c:pt>
                <c:pt idx="393">
                  <c:v>26-09-2024</c:v>
                </c:pt>
                <c:pt idx="394">
                  <c:v>25-09-2024</c:v>
                </c:pt>
                <c:pt idx="395">
                  <c:v>24-09-2024</c:v>
                </c:pt>
                <c:pt idx="396">
                  <c:v>23-09-2024</c:v>
                </c:pt>
                <c:pt idx="397">
                  <c:v>20-09-2024</c:v>
                </c:pt>
                <c:pt idx="398">
                  <c:v>19-09-2024</c:v>
                </c:pt>
                <c:pt idx="399">
                  <c:v>18-09-2024</c:v>
                </c:pt>
                <c:pt idx="400">
                  <c:v>17-09-2024</c:v>
                </c:pt>
                <c:pt idx="401">
                  <c:v>16-09-2024</c:v>
                </c:pt>
                <c:pt idx="402">
                  <c:v>13-09-2024</c:v>
                </c:pt>
                <c:pt idx="403">
                  <c:v>12/9/2024</c:v>
                </c:pt>
                <c:pt idx="404">
                  <c:v>11/9/2024</c:v>
                </c:pt>
                <c:pt idx="405">
                  <c:v>10/9/2024</c:v>
                </c:pt>
                <c:pt idx="406">
                  <c:v>9/9/2024</c:v>
                </c:pt>
                <c:pt idx="407">
                  <c:v>6/9/2024</c:v>
                </c:pt>
                <c:pt idx="408">
                  <c:v>5/9/2024</c:v>
                </c:pt>
                <c:pt idx="409">
                  <c:v>4/9/2024</c:v>
                </c:pt>
                <c:pt idx="410">
                  <c:v>3/9/2024</c:v>
                </c:pt>
                <c:pt idx="411">
                  <c:v>2/9/2024</c:v>
                </c:pt>
                <c:pt idx="412">
                  <c:v>30-08-2024</c:v>
                </c:pt>
                <c:pt idx="413">
                  <c:v>29-08-2024</c:v>
                </c:pt>
                <c:pt idx="414">
                  <c:v>28-08-2024</c:v>
                </c:pt>
                <c:pt idx="415">
                  <c:v>27-08-2024</c:v>
                </c:pt>
                <c:pt idx="416">
                  <c:v>26-08-2024</c:v>
                </c:pt>
                <c:pt idx="417">
                  <c:v>23-08-2024</c:v>
                </c:pt>
                <c:pt idx="418">
                  <c:v>22-08-2024</c:v>
                </c:pt>
                <c:pt idx="419">
                  <c:v>21-08-2024</c:v>
                </c:pt>
                <c:pt idx="420">
                  <c:v>20-08-2024</c:v>
                </c:pt>
                <c:pt idx="421">
                  <c:v>19-08-2024</c:v>
                </c:pt>
                <c:pt idx="422">
                  <c:v>16-08-2024</c:v>
                </c:pt>
                <c:pt idx="423">
                  <c:v>14-08-2024</c:v>
                </c:pt>
                <c:pt idx="424">
                  <c:v>13-08-2024</c:v>
                </c:pt>
                <c:pt idx="425">
                  <c:v>12/8/2024</c:v>
                </c:pt>
                <c:pt idx="426">
                  <c:v>9/8/2024</c:v>
                </c:pt>
                <c:pt idx="427">
                  <c:v>8/8/2024</c:v>
                </c:pt>
                <c:pt idx="428">
                  <c:v>7/8/2024</c:v>
                </c:pt>
                <c:pt idx="429">
                  <c:v>6/8/2024</c:v>
                </c:pt>
                <c:pt idx="430">
                  <c:v>5/8/2024</c:v>
                </c:pt>
                <c:pt idx="431">
                  <c:v>2/8/2024</c:v>
                </c:pt>
                <c:pt idx="432">
                  <c:v>1/8/2024</c:v>
                </c:pt>
                <c:pt idx="433">
                  <c:v>31-07-2024</c:v>
                </c:pt>
                <c:pt idx="434">
                  <c:v>30-07-2024</c:v>
                </c:pt>
                <c:pt idx="435">
                  <c:v>29-07-2024</c:v>
                </c:pt>
                <c:pt idx="436">
                  <c:v>26-07-2024</c:v>
                </c:pt>
                <c:pt idx="437">
                  <c:v>25-07-2024</c:v>
                </c:pt>
                <c:pt idx="438">
                  <c:v>24-07-2024</c:v>
                </c:pt>
                <c:pt idx="439">
                  <c:v>23-07-2024</c:v>
                </c:pt>
                <c:pt idx="440">
                  <c:v>22-07-2024</c:v>
                </c:pt>
                <c:pt idx="441">
                  <c:v>19-07-2024</c:v>
                </c:pt>
                <c:pt idx="442">
                  <c:v>18-07-2024</c:v>
                </c:pt>
                <c:pt idx="443">
                  <c:v>16-07-2024</c:v>
                </c:pt>
                <c:pt idx="444">
                  <c:v>15-07-2024</c:v>
                </c:pt>
                <c:pt idx="445">
                  <c:v>12/7/2024</c:v>
                </c:pt>
                <c:pt idx="446">
                  <c:v>11/7/2024</c:v>
                </c:pt>
                <c:pt idx="447">
                  <c:v>10/7/2024</c:v>
                </c:pt>
                <c:pt idx="448">
                  <c:v>9/7/2024</c:v>
                </c:pt>
                <c:pt idx="449">
                  <c:v>8/7/2024</c:v>
                </c:pt>
                <c:pt idx="450">
                  <c:v>5/7/2024</c:v>
                </c:pt>
                <c:pt idx="451">
                  <c:v>4/7/2024</c:v>
                </c:pt>
                <c:pt idx="452">
                  <c:v>3/7/2024</c:v>
                </c:pt>
                <c:pt idx="453">
                  <c:v>2/7/2024</c:v>
                </c:pt>
                <c:pt idx="454">
                  <c:v>1/7/2024</c:v>
                </c:pt>
                <c:pt idx="455">
                  <c:v>28-06-2024</c:v>
                </c:pt>
                <c:pt idx="456">
                  <c:v>27-06-2024</c:v>
                </c:pt>
                <c:pt idx="457">
                  <c:v>26-06-2024</c:v>
                </c:pt>
                <c:pt idx="458">
                  <c:v>25-06-2024</c:v>
                </c:pt>
                <c:pt idx="459">
                  <c:v>24-06-2024</c:v>
                </c:pt>
                <c:pt idx="460">
                  <c:v>21-06-2024</c:v>
                </c:pt>
                <c:pt idx="461">
                  <c:v>20-06-2024</c:v>
                </c:pt>
                <c:pt idx="462">
                  <c:v>19-06-2024</c:v>
                </c:pt>
                <c:pt idx="463">
                  <c:v>18-06-2024</c:v>
                </c:pt>
                <c:pt idx="464">
                  <c:v>14-06-2024</c:v>
                </c:pt>
                <c:pt idx="465">
                  <c:v>13-06-2024</c:v>
                </c:pt>
                <c:pt idx="466">
                  <c:v>12/6/2024</c:v>
                </c:pt>
                <c:pt idx="467">
                  <c:v>11/6/2024</c:v>
                </c:pt>
                <c:pt idx="468">
                  <c:v>10/6/2024</c:v>
                </c:pt>
                <c:pt idx="469">
                  <c:v>7/6/2024</c:v>
                </c:pt>
                <c:pt idx="470">
                  <c:v>6/6/2024</c:v>
                </c:pt>
                <c:pt idx="471">
                  <c:v>5/6/2024</c:v>
                </c:pt>
                <c:pt idx="472">
                  <c:v>4/6/2024</c:v>
                </c:pt>
                <c:pt idx="473">
                  <c:v>3/6/2024</c:v>
                </c:pt>
                <c:pt idx="474">
                  <c:v>31-05-2024</c:v>
                </c:pt>
                <c:pt idx="475">
                  <c:v>30-05-2024</c:v>
                </c:pt>
                <c:pt idx="476">
                  <c:v>29-05-2024</c:v>
                </c:pt>
                <c:pt idx="477">
                  <c:v>28-05-2024</c:v>
                </c:pt>
                <c:pt idx="478">
                  <c:v>27-05-2024</c:v>
                </c:pt>
                <c:pt idx="479">
                  <c:v>24-05-2024</c:v>
                </c:pt>
                <c:pt idx="480">
                  <c:v>23-05-2024</c:v>
                </c:pt>
                <c:pt idx="481">
                  <c:v>22-05-2024</c:v>
                </c:pt>
                <c:pt idx="482">
                  <c:v>21-05-2024</c:v>
                </c:pt>
                <c:pt idx="483">
                  <c:v>18-05-2024</c:v>
                </c:pt>
                <c:pt idx="484">
                  <c:v>17-05-2024</c:v>
                </c:pt>
                <c:pt idx="485">
                  <c:v>16-05-2024</c:v>
                </c:pt>
                <c:pt idx="486">
                  <c:v>15-05-2024</c:v>
                </c:pt>
                <c:pt idx="487">
                  <c:v>14-05-2024</c:v>
                </c:pt>
                <c:pt idx="488">
                  <c:v>13-05-2024</c:v>
                </c:pt>
                <c:pt idx="489">
                  <c:v>10/5/2024</c:v>
                </c:pt>
                <c:pt idx="490">
                  <c:v>9/5/2024</c:v>
                </c:pt>
                <c:pt idx="491">
                  <c:v>8/5/2024</c:v>
                </c:pt>
                <c:pt idx="492">
                  <c:v>7/5/2024</c:v>
                </c:pt>
                <c:pt idx="493">
                  <c:v>6/5/2024</c:v>
                </c:pt>
                <c:pt idx="494">
                  <c:v>3/5/2024</c:v>
                </c:pt>
                <c:pt idx="495">
                  <c:v>2/5/2024</c:v>
                </c:pt>
                <c:pt idx="496">
                  <c:v>30-04-2024</c:v>
                </c:pt>
                <c:pt idx="497">
                  <c:v>29-04-2024</c:v>
                </c:pt>
                <c:pt idx="498">
                  <c:v>26-04-2024</c:v>
                </c:pt>
                <c:pt idx="499">
                  <c:v>25-04-2024</c:v>
                </c:pt>
                <c:pt idx="500">
                  <c:v>24-04-2024</c:v>
                </c:pt>
                <c:pt idx="501">
                  <c:v>23-04-2024</c:v>
                </c:pt>
                <c:pt idx="502">
                  <c:v>22-04-2024</c:v>
                </c:pt>
                <c:pt idx="503">
                  <c:v>19-04-2024</c:v>
                </c:pt>
                <c:pt idx="504">
                  <c:v>18-04-2024</c:v>
                </c:pt>
                <c:pt idx="505">
                  <c:v>16-04-2024</c:v>
                </c:pt>
                <c:pt idx="506">
                  <c:v>15-04-2024</c:v>
                </c:pt>
                <c:pt idx="507">
                  <c:v>12/4/2024</c:v>
                </c:pt>
                <c:pt idx="508">
                  <c:v>10/4/2024</c:v>
                </c:pt>
                <c:pt idx="509">
                  <c:v>9/4/2024</c:v>
                </c:pt>
                <c:pt idx="510">
                  <c:v>8/4/2024</c:v>
                </c:pt>
                <c:pt idx="511">
                  <c:v>5/4/2024</c:v>
                </c:pt>
                <c:pt idx="512">
                  <c:v>4/4/2024</c:v>
                </c:pt>
                <c:pt idx="513">
                  <c:v>3/4/2024</c:v>
                </c:pt>
                <c:pt idx="514">
                  <c:v>2/4/2024</c:v>
                </c:pt>
                <c:pt idx="515">
                  <c:v>1/4/2024</c:v>
                </c:pt>
                <c:pt idx="516">
                  <c:v>28-03-2024</c:v>
                </c:pt>
                <c:pt idx="517">
                  <c:v>27-03-2024</c:v>
                </c:pt>
                <c:pt idx="518">
                  <c:v>26-03-2024</c:v>
                </c:pt>
                <c:pt idx="519">
                  <c:v>22-03-2024</c:v>
                </c:pt>
                <c:pt idx="520">
                  <c:v>21-03-2024</c:v>
                </c:pt>
                <c:pt idx="521">
                  <c:v>20-03-2024</c:v>
                </c:pt>
                <c:pt idx="522">
                  <c:v>19-03-2024</c:v>
                </c:pt>
                <c:pt idx="523">
                  <c:v>18-03-2024</c:v>
                </c:pt>
                <c:pt idx="524">
                  <c:v>15-03-2024</c:v>
                </c:pt>
                <c:pt idx="525">
                  <c:v>14-03-2024</c:v>
                </c:pt>
                <c:pt idx="526">
                  <c:v>13-03-2024</c:v>
                </c:pt>
                <c:pt idx="527">
                  <c:v>12/3/2024</c:v>
                </c:pt>
                <c:pt idx="528">
                  <c:v>11/3/2024</c:v>
                </c:pt>
                <c:pt idx="529">
                  <c:v>7/3/2024</c:v>
                </c:pt>
                <c:pt idx="530">
                  <c:v>6/3/2024</c:v>
                </c:pt>
                <c:pt idx="531">
                  <c:v>5/3/2024</c:v>
                </c:pt>
                <c:pt idx="532">
                  <c:v>4/3/2024</c:v>
                </c:pt>
                <c:pt idx="533">
                  <c:v>2/3/2024</c:v>
                </c:pt>
                <c:pt idx="534">
                  <c:v>1/3/2024</c:v>
                </c:pt>
                <c:pt idx="535">
                  <c:v>29-02-2024</c:v>
                </c:pt>
                <c:pt idx="536">
                  <c:v>28-02-2024</c:v>
                </c:pt>
                <c:pt idx="537">
                  <c:v>27-02-2024</c:v>
                </c:pt>
                <c:pt idx="538">
                  <c:v>26-02-2024</c:v>
                </c:pt>
                <c:pt idx="539">
                  <c:v>23-02-2024</c:v>
                </c:pt>
                <c:pt idx="540">
                  <c:v>22-02-2024</c:v>
                </c:pt>
                <c:pt idx="541">
                  <c:v>21-02-2024</c:v>
                </c:pt>
                <c:pt idx="542">
                  <c:v>20-02-2024</c:v>
                </c:pt>
                <c:pt idx="543">
                  <c:v>19-02-2024</c:v>
                </c:pt>
                <c:pt idx="544">
                  <c:v>16-02-2024</c:v>
                </c:pt>
                <c:pt idx="545">
                  <c:v>15-02-2024</c:v>
                </c:pt>
                <c:pt idx="546">
                  <c:v>14-02-2024</c:v>
                </c:pt>
                <c:pt idx="547">
                  <c:v>13-02-2024</c:v>
                </c:pt>
                <c:pt idx="548">
                  <c:v>12/2/2024</c:v>
                </c:pt>
                <c:pt idx="549">
                  <c:v>9/2/2024</c:v>
                </c:pt>
                <c:pt idx="550">
                  <c:v>8/2/2024</c:v>
                </c:pt>
                <c:pt idx="551">
                  <c:v>7/2/2024</c:v>
                </c:pt>
                <c:pt idx="552">
                  <c:v>6/2/2024</c:v>
                </c:pt>
                <c:pt idx="553">
                  <c:v>5/2/2024</c:v>
                </c:pt>
                <c:pt idx="554">
                  <c:v>2/2/2024</c:v>
                </c:pt>
                <c:pt idx="555">
                  <c:v>1/2/2024</c:v>
                </c:pt>
                <c:pt idx="556">
                  <c:v>31-01-2024</c:v>
                </c:pt>
                <c:pt idx="557">
                  <c:v>30-01-2024</c:v>
                </c:pt>
                <c:pt idx="558">
                  <c:v>29-01-2024</c:v>
                </c:pt>
                <c:pt idx="559">
                  <c:v>25-01-2024</c:v>
                </c:pt>
                <c:pt idx="560">
                  <c:v>24-01-2024</c:v>
                </c:pt>
                <c:pt idx="561">
                  <c:v>23-01-2024</c:v>
                </c:pt>
                <c:pt idx="562">
                  <c:v>20-01-2024</c:v>
                </c:pt>
                <c:pt idx="563">
                  <c:v>19-01-2024</c:v>
                </c:pt>
                <c:pt idx="564">
                  <c:v>18-01-2024</c:v>
                </c:pt>
                <c:pt idx="565">
                  <c:v>17-01-2024</c:v>
                </c:pt>
                <c:pt idx="566">
                  <c:v>16-01-2024</c:v>
                </c:pt>
                <c:pt idx="567">
                  <c:v>15-01-2024</c:v>
                </c:pt>
                <c:pt idx="568">
                  <c:v>12/1/2024</c:v>
                </c:pt>
                <c:pt idx="569">
                  <c:v>11/1/2024</c:v>
                </c:pt>
                <c:pt idx="570">
                  <c:v>10/1/2024</c:v>
                </c:pt>
                <c:pt idx="571">
                  <c:v>9/1/2024</c:v>
                </c:pt>
                <c:pt idx="572">
                  <c:v>8/1/2024</c:v>
                </c:pt>
                <c:pt idx="573">
                  <c:v>5/1/2024</c:v>
                </c:pt>
                <c:pt idx="574">
                  <c:v>4/1/2024</c:v>
                </c:pt>
                <c:pt idx="575">
                  <c:v>3/1/2024</c:v>
                </c:pt>
                <c:pt idx="576">
                  <c:v>2/1/2024</c:v>
                </c:pt>
                <c:pt idx="577">
                  <c:v>1/1/2024</c:v>
                </c:pt>
                <c:pt idx="578">
                  <c:v>29-12-2023</c:v>
                </c:pt>
                <c:pt idx="579">
                  <c:v>28-12-2023</c:v>
                </c:pt>
                <c:pt idx="580">
                  <c:v>27-12-2023</c:v>
                </c:pt>
                <c:pt idx="581">
                  <c:v>26-12-2023</c:v>
                </c:pt>
                <c:pt idx="582">
                  <c:v>22-12-2023</c:v>
                </c:pt>
                <c:pt idx="583">
                  <c:v>21-12-2023</c:v>
                </c:pt>
                <c:pt idx="584">
                  <c:v>20-12-2023</c:v>
                </c:pt>
                <c:pt idx="585">
                  <c:v>19-12-2023</c:v>
                </c:pt>
                <c:pt idx="586">
                  <c:v>18-12-2023</c:v>
                </c:pt>
                <c:pt idx="587">
                  <c:v>15-12-2023</c:v>
                </c:pt>
                <c:pt idx="588">
                  <c:v>14-12-2023</c:v>
                </c:pt>
                <c:pt idx="589">
                  <c:v>13-12-2023</c:v>
                </c:pt>
                <c:pt idx="590">
                  <c:v>12/12/2023</c:v>
                </c:pt>
                <c:pt idx="591">
                  <c:v>11/12/2023</c:v>
                </c:pt>
                <c:pt idx="592">
                  <c:v>8/12/2023</c:v>
                </c:pt>
                <c:pt idx="593">
                  <c:v>7/12/2023</c:v>
                </c:pt>
                <c:pt idx="594">
                  <c:v>6/12/2023</c:v>
                </c:pt>
                <c:pt idx="595">
                  <c:v>5/12/2023</c:v>
                </c:pt>
                <c:pt idx="596">
                  <c:v>4/12/2023</c:v>
                </c:pt>
                <c:pt idx="597">
                  <c:v>1/12/2023</c:v>
                </c:pt>
                <c:pt idx="598">
                  <c:v>30-11-2023</c:v>
                </c:pt>
                <c:pt idx="599">
                  <c:v>29-11-2023</c:v>
                </c:pt>
                <c:pt idx="600">
                  <c:v>28-11-2023</c:v>
                </c:pt>
                <c:pt idx="601">
                  <c:v>24-11-2023</c:v>
                </c:pt>
                <c:pt idx="602">
                  <c:v>23-11-2023</c:v>
                </c:pt>
                <c:pt idx="603">
                  <c:v>22-11-2023</c:v>
                </c:pt>
                <c:pt idx="604">
                  <c:v>21-11-2023</c:v>
                </c:pt>
                <c:pt idx="605">
                  <c:v>20-11-2023</c:v>
                </c:pt>
                <c:pt idx="606">
                  <c:v>17-11-2023</c:v>
                </c:pt>
                <c:pt idx="607">
                  <c:v>16-11-2023</c:v>
                </c:pt>
                <c:pt idx="608">
                  <c:v>15-11-2023</c:v>
                </c:pt>
                <c:pt idx="609">
                  <c:v>13-11-2023</c:v>
                </c:pt>
                <c:pt idx="610">
                  <c:v>12/11/2023</c:v>
                </c:pt>
                <c:pt idx="611">
                  <c:v>10/11/2023</c:v>
                </c:pt>
                <c:pt idx="612">
                  <c:v>9/11/2023</c:v>
                </c:pt>
                <c:pt idx="613">
                  <c:v>8/11/2023</c:v>
                </c:pt>
                <c:pt idx="614">
                  <c:v>7/11/2023</c:v>
                </c:pt>
                <c:pt idx="615">
                  <c:v>6/11/2023</c:v>
                </c:pt>
                <c:pt idx="616">
                  <c:v>3/11/2023</c:v>
                </c:pt>
                <c:pt idx="617">
                  <c:v>2/11/2023</c:v>
                </c:pt>
                <c:pt idx="618">
                  <c:v>1/11/2023</c:v>
                </c:pt>
                <c:pt idx="619">
                  <c:v>31-10-2023</c:v>
                </c:pt>
                <c:pt idx="620">
                  <c:v>30-10-2023</c:v>
                </c:pt>
                <c:pt idx="621">
                  <c:v>27-10-2023</c:v>
                </c:pt>
                <c:pt idx="622">
                  <c:v>26-10-2023</c:v>
                </c:pt>
                <c:pt idx="623">
                  <c:v>25-10-2023</c:v>
                </c:pt>
                <c:pt idx="624">
                  <c:v>23-10-2023</c:v>
                </c:pt>
                <c:pt idx="625">
                  <c:v>20-10-2023</c:v>
                </c:pt>
                <c:pt idx="626">
                  <c:v>19-10-2023</c:v>
                </c:pt>
                <c:pt idx="627">
                  <c:v>18-10-2023</c:v>
                </c:pt>
                <c:pt idx="628">
                  <c:v>17-10-2023</c:v>
                </c:pt>
                <c:pt idx="629">
                  <c:v>16-10-2023</c:v>
                </c:pt>
                <c:pt idx="630">
                  <c:v>13-10-2023</c:v>
                </c:pt>
                <c:pt idx="631">
                  <c:v>12/10/2023</c:v>
                </c:pt>
                <c:pt idx="632">
                  <c:v>11/10/2023</c:v>
                </c:pt>
                <c:pt idx="633">
                  <c:v>10/10/2023</c:v>
                </c:pt>
                <c:pt idx="634">
                  <c:v>9/10/2023</c:v>
                </c:pt>
                <c:pt idx="635">
                  <c:v>6/10/2023</c:v>
                </c:pt>
                <c:pt idx="636">
                  <c:v>5/10/2023</c:v>
                </c:pt>
                <c:pt idx="637">
                  <c:v>4/10/2023</c:v>
                </c:pt>
                <c:pt idx="638">
                  <c:v>3/10/2023</c:v>
                </c:pt>
                <c:pt idx="639">
                  <c:v>29-09-2023</c:v>
                </c:pt>
                <c:pt idx="640">
                  <c:v>28-09-2023</c:v>
                </c:pt>
                <c:pt idx="641">
                  <c:v>27-09-2023</c:v>
                </c:pt>
                <c:pt idx="642">
                  <c:v>26-09-2023</c:v>
                </c:pt>
                <c:pt idx="643">
                  <c:v>25-09-2023</c:v>
                </c:pt>
                <c:pt idx="644">
                  <c:v>22-09-2023</c:v>
                </c:pt>
                <c:pt idx="645">
                  <c:v>21-09-2023</c:v>
                </c:pt>
                <c:pt idx="646">
                  <c:v>20-09-2023</c:v>
                </c:pt>
                <c:pt idx="647">
                  <c:v>18-09-2023</c:v>
                </c:pt>
                <c:pt idx="648">
                  <c:v>15-09-2023</c:v>
                </c:pt>
                <c:pt idx="649">
                  <c:v>14-09-2023</c:v>
                </c:pt>
                <c:pt idx="650">
                  <c:v>13-09-2023</c:v>
                </c:pt>
                <c:pt idx="651">
                  <c:v>12/9/2023</c:v>
                </c:pt>
                <c:pt idx="652">
                  <c:v>11/9/2023</c:v>
                </c:pt>
                <c:pt idx="653">
                  <c:v>8/9/2023</c:v>
                </c:pt>
                <c:pt idx="654">
                  <c:v>7/9/2023</c:v>
                </c:pt>
                <c:pt idx="655">
                  <c:v>6/9/2023</c:v>
                </c:pt>
                <c:pt idx="656">
                  <c:v>5/9/2023</c:v>
                </c:pt>
                <c:pt idx="657">
                  <c:v>4/9/2023</c:v>
                </c:pt>
                <c:pt idx="658">
                  <c:v>1/9/2023</c:v>
                </c:pt>
                <c:pt idx="659">
                  <c:v>31-08-2023</c:v>
                </c:pt>
                <c:pt idx="660">
                  <c:v>30-08-2023</c:v>
                </c:pt>
                <c:pt idx="661">
                  <c:v>29-08-2023</c:v>
                </c:pt>
                <c:pt idx="662">
                  <c:v>28-08-2023</c:v>
                </c:pt>
                <c:pt idx="663">
                  <c:v>25-08-2023</c:v>
                </c:pt>
                <c:pt idx="664">
                  <c:v>24-08-2023</c:v>
                </c:pt>
                <c:pt idx="665">
                  <c:v>23-08-2023</c:v>
                </c:pt>
                <c:pt idx="666">
                  <c:v>22-08-2023</c:v>
                </c:pt>
                <c:pt idx="667">
                  <c:v>21-08-2023</c:v>
                </c:pt>
                <c:pt idx="668">
                  <c:v>18-08-2023</c:v>
                </c:pt>
                <c:pt idx="669">
                  <c:v>17-08-2023</c:v>
                </c:pt>
                <c:pt idx="670">
                  <c:v>16-08-2023</c:v>
                </c:pt>
                <c:pt idx="671">
                  <c:v>14-08-2023</c:v>
                </c:pt>
                <c:pt idx="672">
                  <c:v>11/8/2023</c:v>
                </c:pt>
                <c:pt idx="673">
                  <c:v>10/8/2023</c:v>
                </c:pt>
                <c:pt idx="674">
                  <c:v>9/8/2023</c:v>
                </c:pt>
                <c:pt idx="675">
                  <c:v>8/8/2023</c:v>
                </c:pt>
                <c:pt idx="676">
                  <c:v>7/8/2023</c:v>
                </c:pt>
                <c:pt idx="677">
                  <c:v>4/8/2023</c:v>
                </c:pt>
                <c:pt idx="678">
                  <c:v>3/8/2023</c:v>
                </c:pt>
                <c:pt idx="679">
                  <c:v>2/8/2023</c:v>
                </c:pt>
                <c:pt idx="680">
                  <c:v>1/8/2023</c:v>
                </c:pt>
                <c:pt idx="681">
                  <c:v>31-07-2023</c:v>
                </c:pt>
                <c:pt idx="682">
                  <c:v>28-07-2023</c:v>
                </c:pt>
                <c:pt idx="683">
                  <c:v>27-07-2023</c:v>
                </c:pt>
                <c:pt idx="684">
                  <c:v>26-07-2023</c:v>
                </c:pt>
                <c:pt idx="685">
                  <c:v>25-07-2023</c:v>
                </c:pt>
                <c:pt idx="686">
                  <c:v>24-07-2023</c:v>
                </c:pt>
                <c:pt idx="687">
                  <c:v>21-07-2023</c:v>
                </c:pt>
                <c:pt idx="688">
                  <c:v>20-07-2023</c:v>
                </c:pt>
                <c:pt idx="689">
                  <c:v>19-07-2023</c:v>
                </c:pt>
                <c:pt idx="690">
                  <c:v>18-07-2023</c:v>
                </c:pt>
                <c:pt idx="691">
                  <c:v>17-07-2023</c:v>
                </c:pt>
                <c:pt idx="692">
                  <c:v>14-07-2023</c:v>
                </c:pt>
                <c:pt idx="693">
                  <c:v>13-07-2023</c:v>
                </c:pt>
                <c:pt idx="694">
                  <c:v>12/7/2023</c:v>
                </c:pt>
                <c:pt idx="695">
                  <c:v>11/7/2023</c:v>
                </c:pt>
                <c:pt idx="696">
                  <c:v>10/7/2023</c:v>
                </c:pt>
                <c:pt idx="697">
                  <c:v>7/7/2023</c:v>
                </c:pt>
                <c:pt idx="698">
                  <c:v>6/7/2023</c:v>
                </c:pt>
                <c:pt idx="699">
                  <c:v>5/7/2023</c:v>
                </c:pt>
                <c:pt idx="700">
                  <c:v>4/7/2023</c:v>
                </c:pt>
                <c:pt idx="701">
                  <c:v>3/7/2023</c:v>
                </c:pt>
                <c:pt idx="702">
                  <c:v>30-06-2023</c:v>
                </c:pt>
                <c:pt idx="703">
                  <c:v>28-06-2023</c:v>
                </c:pt>
                <c:pt idx="704">
                  <c:v>27-06-2023</c:v>
                </c:pt>
                <c:pt idx="705">
                  <c:v>26-06-2023</c:v>
                </c:pt>
                <c:pt idx="706">
                  <c:v>23-06-2023</c:v>
                </c:pt>
                <c:pt idx="707">
                  <c:v>22-06-2023</c:v>
                </c:pt>
                <c:pt idx="708">
                  <c:v>21-06-2023</c:v>
                </c:pt>
                <c:pt idx="709">
                  <c:v>20-06-2023</c:v>
                </c:pt>
                <c:pt idx="710">
                  <c:v>19-06-2023</c:v>
                </c:pt>
                <c:pt idx="711">
                  <c:v>16-06-2023</c:v>
                </c:pt>
                <c:pt idx="712">
                  <c:v>15-06-2023</c:v>
                </c:pt>
                <c:pt idx="713">
                  <c:v>14-06-2023</c:v>
                </c:pt>
                <c:pt idx="714">
                  <c:v>13-06-2023</c:v>
                </c:pt>
                <c:pt idx="715">
                  <c:v>12/6/2023</c:v>
                </c:pt>
                <c:pt idx="716">
                  <c:v>9/6/2023</c:v>
                </c:pt>
                <c:pt idx="717">
                  <c:v>8/6/2023</c:v>
                </c:pt>
                <c:pt idx="718">
                  <c:v>7/6/2023</c:v>
                </c:pt>
                <c:pt idx="719">
                  <c:v>6/6/2023</c:v>
                </c:pt>
                <c:pt idx="720">
                  <c:v>5/6/2023</c:v>
                </c:pt>
                <c:pt idx="721">
                  <c:v>2/6/2023</c:v>
                </c:pt>
                <c:pt idx="722">
                  <c:v>1/6/2023</c:v>
                </c:pt>
                <c:pt idx="723">
                  <c:v>31-05-2023</c:v>
                </c:pt>
                <c:pt idx="724">
                  <c:v>30-05-2023</c:v>
                </c:pt>
                <c:pt idx="725">
                  <c:v>29-05-2023</c:v>
                </c:pt>
                <c:pt idx="726">
                  <c:v>26-05-2023</c:v>
                </c:pt>
                <c:pt idx="727">
                  <c:v>25-05-2023</c:v>
                </c:pt>
                <c:pt idx="728">
                  <c:v>24-05-2023</c:v>
                </c:pt>
                <c:pt idx="729">
                  <c:v>23-05-2023</c:v>
                </c:pt>
                <c:pt idx="730">
                  <c:v>22-05-2023</c:v>
                </c:pt>
                <c:pt idx="731">
                  <c:v>19-05-2023</c:v>
                </c:pt>
                <c:pt idx="732">
                  <c:v>18-05-2023</c:v>
                </c:pt>
                <c:pt idx="733">
                  <c:v>17-05-2023</c:v>
                </c:pt>
                <c:pt idx="734">
                  <c:v>16-05-2023</c:v>
                </c:pt>
                <c:pt idx="735">
                  <c:v>15-05-2023</c:v>
                </c:pt>
                <c:pt idx="736">
                  <c:v>12/5/2023</c:v>
                </c:pt>
                <c:pt idx="737">
                  <c:v>11/5/2023</c:v>
                </c:pt>
                <c:pt idx="738">
                  <c:v>10/5/2023</c:v>
                </c:pt>
                <c:pt idx="739">
                  <c:v>9/5/2023</c:v>
                </c:pt>
                <c:pt idx="740">
                  <c:v>8/5/2023</c:v>
                </c:pt>
                <c:pt idx="741">
                  <c:v>5/5/2023</c:v>
                </c:pt>
                <c:pt idx="742">
                  <c:v>4/5/2023</c:v>
                </c:pt>
                <c:pt idx="743">
                  <c:v>3/5/2023</c:v>
                </c:pt>
                <c:pt idx="744">
                  <c:v>2/5/2023</c:v>
                </c:pt>
                <c:pt idx="745">
                  <c:v>28-04-2023</c:v>
                </c:pt>
                <c:pt idx="746">
                  <c:v>27-04-2023</c:v>
                </c:pt>
                <c:pt idx="747">
                  <c:v>26-04-2023</c:v>
                </c:pt>
                <c:pt idx="748">
                  <c:v>25-04-2023</c:v>
                </c:pt>
                <c:pt idx="749">
                  <c:v>24-04-2023</c:v>
                </c:pt>
                <c:pt idx="750">
                  <c:v>21-04-2023</c:v>
                </c:pt>
                <c:pt idx="751">
                  <c:v>20-04-2023</c:v>
                </c:pt>
                <c:pt idx="752">
                  <c:v>19-04-2023</c:v>
                </c:pt>
                <c:pt idx="753">
                  <c:v>18-04-2023</c:v>
                </c:pt>
                <c:pt idx="754">
                  <c:v>17-04-2023</c:v>
                </c:pt>
                <c:pt idx="755">
                  <c:v>13-04-2023</c:v>
                </c:pt>
                <c:pt idx="756">
                  <c:v>12/4/2023</c:v>
                </c:pt>
                <c:pt idx="757">
                  <c:v>11/4/2023</c:v>
                </c:pt>
                <c:pt idx="758">
                  <c:v>10/4/2023</c:v>
                </c:pt>
                <c:pt idx="759">
                  <c:v>6/4/2023</c:v>
                </c:pt>
                <c:pt idx="760">
                  <c:v>5/4/2023</c:v>
                </c:pt>
                <c:pt idx="761">
                  <c:v>3/4/2023</c:v>
                </c:pt>
                <c:pt idx="762">
                  <c:v>31-03-2023</c:v>
                </c:pt>
                <c:pt idx="763">
                  <c:v>29-03-2023</c:v>
                </c:pt>
                <c:pt idx="764">
                  <c:v>28-03-2023</c:v>
                </c:pt>
                <c:pt idx="765">
                  <c:v>27-03-2023</c:v>
                </c:pt>
                <c:pt idx="766">
                  <c:v>24-03-2023</c:v>
                </c:pt>
                <c:pt idx="767">
                  <c:v>23-03-2023</c:v>
                </c:pt>
                <c:pt idx="768">
                  <c:v>22-03-2023</c:v>
                </c:pt>
                <c:pt idx="769">
                  <c:v>21-03-2023</c:v>
                </c:pt>
                <c:pt idx="770">
                  <c:v>20-03-2023</c:v>
                </c:pt>
                <c:pt idx="771">
                  <c:v>17-03-2023</c:v>
                </c:pt>
                <c:pt idx="772">
                  <c:v>16-03-2023</c:v>
                </c:pt>
                <c:pt idx="773">
                  <c:v>15-03-2023</c:v>
                </c:pt>
                <c:pt idx="774">
                  <c:v>14-03-2023</c:v>
                </c:pt>
                <c:pt idx="775">
                  <c:v>13-03-2023</c:v>
                </c:pt>
                <c:pt idx="776">
                  <c:v>10/3/2023</c:v>
                </c:pt>
                <c:pt idx="777">
                  <c:v>9/3/2023</c:v>
                </c:pt>
                <c:pt idx="778">
                  <c:v>8/3/2023</c:v>
                </c:pt>
                <c:pt idx="779">
                  <c:v>6/3/2023</c:v>
                </c:pt>
                <c:pt idx="780">
                  <c:v>3/3/2023</c:v>
                </c:pt>
                <c:pt idx="781">
                  <c:v>2/3/2023</c:v>
                </c:pt>
                <c:pt idx="782">
                  <c:v>1/3/2023</c:v>
                </c:pt>
                <c:pt idx="783">
                  <c:v>28-02-2023</c:v>
                </c:pt>
                <c:pt idx="784">
                  <c:v>27-02-2023</c:v>
                </c:pt>
                <c:pt idx="785">
                  <c:v>24-02-2023</c:v>
                </c:pt>
                <c:pt idx="786">
                  <c:v>23-02-2023</c:v>
                </c:pt>
                <c:pt idx="787">
                  <c:v>22-02-2023</c:v>
                </c:pt>
                <c:pt idx="788">
                  <c:v>21-02-2023</c:v>
                </c:pt>
                <c:pt idx="789">
                  <c:v>20-02-2023</c:v>
                </c:pt>
                <c:pt idx="790">
                  <c:v>17-02-2023</c:v>
                </c:pt>
                <c:pt idx="791">
                  <c:v>16-02-2023</c:v>
                </c:pt>
                <c:pt idx="792">
                  <c:v>15-02-2023</c:v>
                </c:pt>
                <c:pt idx="793">
                  <c:v>14-02-2023</c:v>
                </c:pt>
                <c:pt idx="794">
                  <c:v>13-02-2023</c:v>
                </c:pt>
                <c:pt idx="795">
                  <c:v>10/2/2023</c:v>
                </c:pt>
                <c:pt idx="796">
                  <c:v>9/2/2023</c:v>
                </c:pt>
                <c:pt idx="797">
                  <c:v>8/2/2023</c:v>
                </c:pt>
                <c:pt idx="798">
                  <c:v>7/2/2023</c:v>
                </c:pt>
                <c:pt idx="799">
                  <c:v>6/2/2023</c:v>
                </c:pt>
                <c:pt idx="800">
                  <c:v>3/2/2023</c:v>
                </c:pt>
                <c:pt idx="801">
                  <c:v>2/2/2023</c:v>
                </c:pt>
                <c:pt idx="802">
                  <c:v>1/2/2023</c:v>
                </c:pt>
                <c:pt idx="803">
                  <c:v>31-01-2023</c:v>
                </c:pt>
                <c:pt idx="804">
                  <c:v>30-01-2023</c:v>
                </c:pt>
                <c:pt idx="805">
                  <c:v>27-01-2023</c:v>
                </c:pt>
                <c:pt idx="806">
                  <c:v>25-01-2023</c:v>
                </c:pt>
                <c:pt idx="807">
                  <c:v>24-01-2023</c:v>
                </c:pt>
                <c:pt idx="808">
                  <c:v>23-01-2023</c:v>
                </c:pt>
                <c:pt idx="809">
                  <c:v>20-01-2023</c:v>
                </c:pt>
                <c:pt idx="810">
                  <c:v>19-01-2023</c:v>
                </c:pt>
                <c:pt idx="811">
                  <c:v>18-01-2023</c:v>
                </c:pt>
                <c:pt idx="812">
                  <c:v>17-01-2023</c:v>
                </c:pt>
                <c:pt idx="813">
                  <c:v>16-01-2023</c:v>
                </c:pt>
                <c:pt idx="814">
                  <c:v>13-01-2023</c:v>
                </c:pt>
                <c:pt idx="815">
                  <c:v>12/1/2023</c:v>
                </c:pt>
                <c:pt idx="816">
                  <c:v>11/1/2023</c:v>
                </c:pt>
                <c:pt idx="817">
                  <c:v>10/1/2023</c:v>
                </c:pt>
                <c:pt idx="818">
                  <c:v>9/1/2023</c:v>
                </c:pt>
                <c:pt idx="819">
                  <c:v>6/1/2023</c:v>
                </c:pt>
                <c:pt idx="820">
                  <c:v>5/1/2023</c:v>
                </c:pt>
                <c:pt idx="821">
                  <c:v>4/1/2023</c:v>
                </c:pt>
                <c:pt idx="822">
                  <c:v>3/1/2023</c:v>
                </c:pt>
                <c:pt idx="823">
                  <c:v>2/1/2023</c:v>
                </c:pt>
                <c:pt idx="824">
                  <c:v>30-12-2022</c:v>
                </c:pt>
                <c:pt idx="825">
                  <c:v>29-12-2022</c:v>
                </c:pt>
                <c:pt idx="826">
                  <c:v>28-12-2022</c:v>
                </c:pt>
                <c:pt idx="827">
                  <c:v>27-12-2022</c:v>
                </c:pt>
                <c:pt idx="828">
                  <c:v>26-12-2022</c:v>
                </c:pt>
                <c:pt idx="829">
                  <c:v>23-12-2022</c:v>
                </c:pt>
                <c:pt idx="830">
                  <c:v>22-12-2022</c:v>
                </c:pt>
                <c:pt idx="831">
                  <c:v>21-12-2022</c:v>
                </c:pt>
                <c:pt idx="832">
                  <c:v>20-12-2022</c:v>
                </c:pt>
                <c:pt idx="833">
                  <c:v>19-12-2022</c:v>
                </c:pt>
                <c:pt idx="834">
                  <c:v>16-12-2022</c:v>
                </c:pt>
                <c:pt idx="835">
                  <c:v>15-12-2022</c:v>
                </c:pt>
                <c:pt idx="836">
                  <c:v>14-12-2022</c:v>
                </c:pt>
                <c:pt idx="837">
                  <c:v>13-12-2022</c:v>
                </c:pt>
                <c:pt idx="838">
                  <c:v>12/12/2022</c:v>
                </c:pt>
                <c:pt idx="839">
                  <c:v>9/12/2022</c:v>
                </c:pt>
                <c:pt idx="840">
                  <c:v>8/12/2022</c:v>
                </c:pt>
                <c:pt idx="841">
                  <c:v>7/12/2022</c:v>
                </c:pt>
                <c:pt idx="842">
                  <c:v>6/12/2022</c:v>
                </c:pt>
                <c:pt idx="843">
                  <c:v>5/12/2022</c:v>
                </c:pt>
                <c:pt idx="844">
                  <c:v>2/12/2022</c:v>
                </c:pt>
                <c:pt idx="845">
                  <c:v>1/12/2022</c:v>
                </c:pt>
                <c:pt idx="846">
                  <c:v>30-11-2022</c:v>
                </c:pt>
                <c:pt idx="847">
                  <c:v>29-11-2022</c:v>
                </c:pt>
                <c:pt idx="848">
                  <c:v>28-11-2022</c:v>
                </c:pt>
                <c:pt idx="849">
                  <c:v>25-11-2022</c:v>
                </c:pt>
                <c:pt idx="850">
                  <c:v>24-11-2022</c:v>
                </c:pt>
                <c:pt idx="851">
                  <c:v>23-11-2022</c:v>
                </c:pt>
                <c:pt idx="852">
                  <c:v>22-11-2022</c:v>
                </c:pt>
                <c:pt idx="853">
                  <c:v>21-11-2022</c:v>
                </c:pt>
                <c:pt idx="854">
                  <c:v>18-11-2022</c:v>
                </c:pt>
                <c:pt idx="855">
                  <c:v>17-11-2022</c:v>
                </c:pt>
                <c:pt idx="856">
                  <c:v>16-11-2022</c:v>
                </c:pt>
                <c:pt idx="857">
                  <c:v>15-11-2022</c:v>
                </c:pt>
                <c:pt idx="858">
                  <c:v>14-11-2022</c:v>
                </c:pt>
                <c:pt idx="859">
                  <c:v>11/11/2022</c:v>
                </c:pt>
                <c:pt idx="860">
                  <c:v>10/11/2022</c:v>
                </c:pt>
                <c:pt idx="861">
                  <c:v>9/11/2022</c:v>
                </c:pt>
                <c:pt idx="862">
                  <c:v>7/11/2022</c:v>
                </c:pt>
                <c:pt idx="863">
                  <c:v>4/11/2022</c:v>
                </c:pt>
                <c:pt idx="864">
                  <c:v>3/11/2022</c:v>
                </c:pt>
                <c:pt idx="865">
                  <c:v>2/11/2022</c:v>
                </c:pt>
                <c:pt idx="866">
                  <c:v>1/11/2022</c:v>
                </c:pt>
                <c:pt idx="867">
                  <c:v>31-10-2022</c:v>
                </c:pt>
                <c:pt idx="868">
                  <c:v>28-10-2022</c:v>
                </c:pt>
                <c:pt idx="869">
                  <c:v>27-10-2022</c:v>
                </c:pt>
                <c:pt idx="870">
                  <c:v>25-10-2022</c:v>
                </c:pt>
                <c:pt idx="871">
                  <c:v>24-10-2022</c:v>
                </c:pt>
                <c:pt idx="872">
                  <c:v>21-10-2022</c:v>
                </c:pt>
                <c:pt idx="873">
                  <c:v>20-10-2022</c:v>
                </c:pt>
                <c:pt idx="874">
                  <c:v>19-10-2022</c:v>
                </c:pt>
                <c:pt idx="875">
                  <c:v>18-10-2022</c:v>
                </c:pt>
                <c:pt idx="876">
                  <c:v>17-10-2022</c:v>
                </c:pt>
                <c:pt idx="877">
                  <c:v>14-10-2022</c:v>
                </c:pt>
                <c:pt idx="878">
                  <c:v>13-10-2022</c:v>
                </c:pt>
                <c:pt idx="879">
                  <c:v>12/10/2022</c:v>
                </c:pt>
                <c:pt idx="880">
                  <c:v>11/10/2022</c:v>
                </c:pt>
                <c:pt idx="881">
                  <c:v>10/10/2022</c:v>
                </c:pt>
                <c:pt idx="882">
                  <c:v>7/10/2022</c:v>
                </c:pt>
                <c:pt idx="883">
                  <c:v>6/10/2022</c:v>
                </c:pt>
                <c:pt idx="884">
                  <c:v>4/10/2022</c:v>
                </c:pt>
                <c:pt idx="885">
                  <c:v>3/10/2022</c:v>
                </c:pt>
                <c:pt idx="886">
                  <c:v>30-09-2022</c:v>
                </c:pt>
                <c:pt idx="887">
                  <c:v>29-09-2022</c:v>
                </c:pt>
                <c:pt idx="888">
                  <c:v>28-09-2022</c:v>
                </c:pt>
                <c:pt idx="889">
                  <c:v>27-09-2022</c:v>
                </c:pt>
                <c:pt idx="890">
                  <c:v>26-09-2022</c:v>
                </c:pt>
                <c:pt idx="891">
                  <c:v>23-09-2022</c:v>
                </c:pt>
                <c:pt idx="892">
                  <c:v>22-09-2022</c:v>
                </c:pt>
                <c:pt idx="893">
                  <c:v>21-09-2022</c:v>
                </c:pt>
                <c:pt idx="894">
                  <c:v>20-09-2022</c:v>
                </c:pt>
                <c:pt idx="895">
                  <c:v>19-09-2022</c:v>
                </c:pt>
                <c:pt idx="896">
                  <c:v>16-09-2022</c:v>
                </c:pt>
                <c:pt idx="897">
                  <c:v>15-09-2022</c:v>
                </c:pt>
                <c:pt idx="898">
                  <c:v>14-09-2022</c:v>
                </c:pt>
                <c:pt idx="899">
                  <c:v>13-09-2022</c:v>
                </c:pt>
                <c:pt idx="900">
                  <c:v>12/9/2022</c:v>
                </c:pt>
                <c:pt idx="901">
                  <c:v>9/9/2022</c:v>
                </c:pt>
                <c:pt idx="902">
                  <c:v>8/9/2022</c:v>
                </c:pt>
                <c:pt idx="903">
                  <c:v>7/9/2022</c:v>
                </c:pt>
                <c:pt idx="904">
                  <c:v>6/9/2022</c:v>
                </c:pt>
                <c:pt idx="905">
                  <c:v>5/9/2022</c:v>
                </c:pt>
                <c:pt idx="906">
                  <c:v>2/9/2022</c:v>
                </c:pt>
                <c:pt idx="907">
                  <c:v>1/9/2022</c:v>
                </c:pt>
                <c:pt idx="908">
                  <c:v>30-08-2022</c:v>
                </c:pt>
                <c:pt idx="909">
                  <c:v>29-08-2022</c:v>
                </c:pt>
                <c:pt idx="910">
                  <c:v>26-08-2022</c:v>
                </c:pt>
                <c:pt idx="911">
                  <c:v>25-08-2022</c:v>
                </c:pt>
                <c:pt idx="912">
                  <c:v>24-08-2022</c:v>
                </c:pt>
                <c:pt idx="913">
                  <c:v>23-08-2022</c:v>
                </c:pt>
                <c:pt idx="914">
                  <c:v>22-08-2022</c:v>
                </c:pt>
                <c:pt idx="915">
                  <c:v>19-08-2022</c:v>
                </c:pt>
                <c:pt idx="916">
                  <c:v>18-08-2022</c:v>
                </c:pt>
                <c:pt idx="917">
                  <c:v>17-08-2022</c:v>
                </c:pt>
                <c:pt idx="918">
                  <c:v>16-08-2022</c:v>
                </c:pt>
                <c:pt idx="919">
                  <c:v>12/8/2022</c:v>
                </c:pt>
                <c:pt idx="920">
                  <c:v>11/8/2022</c:v>
                </c:pt>
                <c:pt idx="921">
                  <c:v>10/8/2022</c:v>
                </c:pt>
                <c:pt idx="922">
                  <c:v>8/8/2022</c:v>
                </c:pt>
                <c:pt idx="923">
                  <c:v>5/8/2022</c:v>
                </c:pt>
                <c:pt idx="924">
                  <c:v>4/8/2022</c:v>
                </c:pt>
                <c:pt idx="925">
                  <c:v>3/8/2022</c:v>
                </c:pt>
                <c:pt idx="926">
                  <c:v>2/8/2022</c:v>
                </c:pt>
                <c:pt idx="927">
                  <c:v>1/8/2022</c:v>
                </c:pt>
                <c:pt idx="928">
                  <c:v>29-07-2022</c:v>
                </c:pt>
                <c:pt idx="929">
                  <c:v>28-07-2022</c:v>
                </c:pt>
                <c:pt idx="930">
                  <c:v>27-07-2022</c:v>
                </c:pt>
                <c:pt idx="931">
                  <c:v>26-07-2022</c:v>
                </c:pt>
                <c:pt idx="932">
                  <c:v>25-07-2022</c:v>
                </c:pt>
                <c:pt idx="933">
                  <c:v>22-07-2022</c:v>
                </c:pt>
                <c:pt idx="934">
                  <c:v>21-07-2022</c:v>
                </c:pt>
                <c:pt idx="935">
                  <c:v>20-07-2022</c:v>
                </c:pt>
                <c:pt idx="936">
                  <c:v>19-07-2022</c:v>
                </c:pt>
                <c:pt idx="937">
                  <c:v>18-07-2022</c:v>
                </c:pt>
                <c:pt idx="938">
                  <c:v>15-07-2022</c:v>
                </c:pt>
                <c:pt idx="939">
                  <c:v>14-07-2022</c:v>
                </c:pt>
                <c:pt idx="940">
                  <c:v>13-07-2022</c:v>
                </c:pt>
                <c:pt idx="941">
                  <c:v>12/7/2022</c:v>
                </c:pt>
                <c:pt idx="942">
                  <c:v>11/7/2022</c:v>
                </c:pt>
                <c:pt idx="943">
                  <c:v>8/7/2022</c:v>
                </c:pt>
                <c:pt idx="944">
                  <c:v>7/7/2022</c:v>
                </c:pt>
                <c:pt idx="945">
                  <c:v>6/7/2022</c:v>
                </c:pt>
                <c:pt idx="946">
                  <c:v>5/7/2022</c:v>
                </c:pt>
                <c:pt idx="947">
                  <c:v>4/7/2022</c:v>
                </c:pt>
                <c:pt idx="948">
                  <c:v>1/7/2022</c:v>
                </c:pt>
                <c:pt idx="949">
                  <c:v>30-06-2022</c:v>
                </c:pt>
                <c:pt idx="950">
                  <c:v>29-06-2022</c:v>
                </c:pt>
                <c:pt idx="951">
                  <c:v>28-06-2022</c:v>
                </c:pt>
                <c:pt idx="952">
                  <c:v>27-06-2022</c:v>
                </c:pt>
                <c:pt idx="953">
                  <c:v>24-06-2022</c:v>
                </c:pt>
                <c:pt idx="954">
                  <c:v>23-06-2022</c:v>
                </c:pt>
                <c:pt idx="955">
                  <c:v>22-06-2022</c:v>
                </c:pt>
                <c:pt idx="956">
                  <c:v>21-06-2022</c:v>
                </c:pt>
                <c:pt idx="957">
                  <c:v>20-06-2022</c:v>
                </c:pt>
                <c:pt idx="958">
                  <c:v>17-06-2022</c:v>
                </c:pt>
                <c:pt idx="959">
                  <c:v>16-06-2022</c:v>
                </c:pt>
                <c:pt idx="960">
                  <c:v>15-06-2022</c:v>
                </c:pt>
                <c:pt idx="961">
                  <c:v>14-06-2022</c:v>
                </c:pt>
                <c:pt idx="962">
                  <c:v>13-06-2022</c:v>
                </c:pt>
                <c:pt idx="963">
                  <c:v>10/6/2022</c:v>
                </c:pt>
                <c:pt idx="964">
                  <c:v>9/6/2022</c:v>
                </c:pt>
                <c:pt idx="965">
                  <c:v>8/6/2022</c:v>
                </c:pt>
                <c:pt idx="966">
                  <c:v>7/6/2022</c:v>
                </c:pt>
                <c:pt idx="967">
                  <c:v>6/6/2022</c:v>
                </c:pt>
                <c:pt idx="968">
                  <c:v>3/6/2022</c:v>
                </c:pt>
                <c:pt idx="969">
                  <c:v>2/6/2022</c:v>
                </c:pt>
                <c:pt idx="970">
                  <c:v>1/6/2022</c:v>
                </c:pt>
                <c:pt idx="971">
                  <c:v>31-05-2022</c:v>
                </c:pt>
                <c:pt idx="972">
                  <c:v>30-05-2022</c:v>
                </c:pt>
                <c:pt idx="973">
                  <c:v>27-05-2022</c:v>
                </c:pt>
                <c:pt idx="974">
                  <c:v>26-05-2022</c:v>
                </c:pt>
                <c:pt idx="975">
                  <c:v>25-05-2022</c:v>
                </c:pt>
                <c:pt idx="976">
                  <c:v>24-05-2022</c:v>
                </c:pt>
                <c:pt idx="977">
                  <c:v>23-05-2022</c:v>
                </c:pt>
                <c:pt idx="978">
                  <c:v>20-05-2022</c:v>
                </c:pt>
                <c:pt idx="979">
                  <c:v>19-05-2022</c:v>
                </c:pt>
                <c:pt idx="980">
                  <c:v>18-05-2022</c:v>
                </c:pt>
                <c:pt idx="981">
                  <c:v>17-05-2022</c:v>
                </c:pt>
                <c:pt idx="982">
                  <c:v>16-05-2022</c:v>
                </c:pt>
                <c:pt idx="983">
                  <c:v>13-05-2022</c:v>
                </c:pt>
                <c:pt idx="984">
                  <c:v>12/5/2022</c:v>
                </c:pt>
                <c:pt idx="985">
                  <c:v>11/5/2022</c:v>
                </c:pt>
                <c:pt idx="986">
                  <c:v>10/5/2022</c:v>
                </c:pt>
                <c:pt idx="987">
                  <c:v>9/5/2022</c:v>
                </c:pt>
                <c:pt idx="988">
                  <c:v>6/5/2022</c:v>
                </c:pt>
                <c:pt idx="989">
                  <c:v>5/5/2022</c:v>
                </c:pt>
                <c:pt idx="990">
                  <c:v>4/5/2022</c:v>
                </c:pt>
                <c:pt idx="991">
                  <c:v>2/5/2022</c:v>
                </c:pt>
                <c:pt idx="992">
                  <c:v>29-04-2022</c:v>
                </c:pt>
                <c:pt idx="993">
                  <c:v>28-04-2022</c:v>
                </c:pt>
                <c:pt idx="994">
                  <c:v>27-04-2022</c:v>
                </c:pt>
                <c:pt idx="995">
                  <c:v>26-04-2022</c:v>
                </c:pt>
                <c:pt idx="996">
                  <c:v>25-04-2022</c:v>
                </c:pt>
                <c:pt idx="997">
                  <c:v>22-04-2022</c:v>
                </c:pt>
                <c:pt idx="998">
                  <c:v>21-04-2022</c:v>
                </c:pt>
                <c:pt idx="999">
                  <c:v>20-04-2022</c:v>
                </c:pt>
                <c:pt idx="1000">
                  <c:v>19-04-2022</c:v>
                </c:pt>
                <c:pt idx="1001">
                  <c:v>18-04-2022</c:v>
                </c:pt>
                <c:pt idx="1002">
                  <c:v>13-04-2022</c:v>
                </c:pt>
                <c:pt idx="1003">
                  <c:v>12/4/2022</c:v>
                </c:pt>
                <c:pt idx="1004">
                  <c:v>11/4/2022</c:v>
                </c:pt>
                <c:pt idx="1005">
                  <c:v>8/4/2022</c:v>
                </c:pt>
                <c:pt idx="1006">
                  <c:v>7/4/2022</c:v>
                </c:pt>
                <c:pt idx="1007">
                  <c:v>6/4/2022</c:v>
                </c:pt>
                <c:pt idx="1008">
                  <c:v>5/4/2022</c:v>
                </c:pt>
                <c:pt idx="1009">
                  <c:v>4/4/2022</c:v>
                </c:pt>
                <c:pt idx="1010">
                  <c:v>1/4/2022</c:v>
                </c:pt>
                <c:pt idx="1011">
                  <c:v>31-03-2022</c:v>
                </c:pt>
                <c:pt idx="1012">
                  <c:v>30-03-2022</c:v>
                </c:pt>
                <c:pt idx="1013">
                  <c:v>29-03-2022</c:v>
                </c:pt>
                <c:pt idx="1014">
                  <c:v>28-03-2022</c:v>
                </c:pt>
                <c:pt idx="1015">
                  <c:v>25-03-2022</c:v>
                </c:pt>
                <c:pt idx="1016">
                  <c:v>24-03-2022</c:v>
                </c:pt>
                <c:pt idx="1017">
                  <c:v>23-03-2022</c:v>
                </c:pt>
                <c:pt idx="1018">
                  <c:v>22-03-2022</c:v>
                </c:pt>
                <c:pt idx="1019">
                  <c:v>21-03-2022</c:v>
                </c:pt>
                <c:pt idx="1020">
                  <c:v>17-03-2022</c:v>
                </c:pt>
                <c:pt idx="1021">
                  <c:v>16-03-2022</c:v>
                </c:pt>
                <c:pt idx="1022">
                  <c:v>15-03-2022</c:v>
                </c:pt>
                <c:pt idx="1023">
                  <c:v>14-03-2022</c:v>
                </c:pt>
                <c:pt idx="1024">
                  <c:v>11/3/2022</c:v>
                </c:pt>
                <c:pt idx="1025">
                  <c:v>10/3/2022</c:v>
                </c:pt>
                <c:pt idx="1026">
                  <c:v>9/3/2022</c:v>
                </c:pt>
                <c:pt idx="1027">
                  <c:v>8/3/2022</c:v>
                </c:pt>
                <c:pt idx="1028">
                  <c:v>7/3/2022</c:v>
                </c:pt>
                <c:pt idx="1029">
                  <c:v>4/3/2022</c:v>
                </c:pt>
                <c:pt idx="1030">
                  <c:v>3/3/2022</c:v>
                </c:pt>
                <c:pt idx="1031">
                  <c:v>2/3/2022</c:v>
                </c:pt>
                <c:pt idx="1032">
                  <c:v>28-02-2022</c:v>
                </c:pt>
                <c:pt idx="1033">
                  <c:v>25-02-2022</c:v>
                </c:pt>
                <c:pt idx="1034">
                  <c:v>24-02-2022</c:v>
                </c:pt>
                <c:pt idx="1035">
                  <c:v>23-02-2022</c:v>
                </c:pt>
                <c:pt idx="1036">
                  <c:v>22-02-2022</c:v>
                </c:pt>
                <c:pt idx="1037">
                  <c:v>21-02-2022</c:v>
                </c:pt>
                <c:pt idx="1038">
                  <c:v>18-02-2022</c:v>
                </c:pt>
                <c:pt idx="1039">
                  <c:v>17-02-2022</c:v>
                </c:pt>
                <c:pt idx="1040">
                  <c:v>16-02-2022</c:v>
                </c:pt>
                <c:pt idx="1041">
                  <c:v>15-02-2022</c:v>
                </c:pt>
                <c:pt idx="1042">
                  <c:v>14-02-2022</c:v>
                </c:pt>
                <c:pt idx="1043">
                  <c:v>11/2/2022</c:v>
                </c:pt>
                <c:pt idx="1044">
                  <c:v>10/2/2022</c:v>
                </c:pt>
                <c:pt idx="1045">
                  <c:v>9/2/2022</c:v>
                </c:pt>
                <c:pt idx="1046">
                  <c:v>8/2/2022</c:v>
                </c:pt>
                <c:pt idx="1047">
                  <c:v>7/2/2022</c:v>
                </c:pt>
                <c:pt idx="1048">
                  <c:v>4/2/2022</c:v>
                </c:pt>
                <c:pt idx="1049">
                  <c:v>3/2/2022</c:v>
                </c:pt>
                <c:pt idx="1050">
                  <c:v>2/2/2022</c:v>
                </c:pt>
                <c:pt idx="1051">
                  <c:v>1/2/2022</c:v>
                </c:pt>
                <c:pt idx="1052">
                  <c:v>31-01-2022</c:v>
                </c:pt>
                <c:pt idx="1053">
                  <c:v>28-01-2022</c:v>
                </c:pt>
                <c:pt idx="1054">
                  <c:v>27-01-2022</c:v>
                </c:pt>
                <c:pt idx="1055">
                  <c:v>25-01-2022</c:v>
                </c:pt>
                <c:pt idx="1056">
                  <c:v>24-01-2022</c:v>
                </c:pt>
                <c:pt idx="1057">
                  <c:v>21-01-2022</c:v>
                </c:pt>
                <c:pt idx="1058">
                  <c:v>20-01-2022</c:v>
                </c:pt>
                <c:pt idx="1059">
                  <c:v>19-01-2022</c:v>
                </c:pt>
                <c:pt idx="1060">
                  <c:v>18-01-2022</c:v>
                </c:pt>
                <c:pt idx="1061">
                  <c:v>17-01-2022</c:v>
                </c:pt>
                <c:pt idx="1062">
                  <c:v>14-01-2022</c:v>
                </c:pt>
                <c:pt idx="1063">
                  <c:v>13-01-2022</c:v>
                </c:pt>
                <c:pt idx="1064">
                  <c:v>12/1/2022</c:v>
                </c:pt>
                <c:pt idx="1065">
                  <c:v>11/1/2022</c:v>
                </c:pt>
                <c:pt idx="1066">
                  <c:v>10/1/2022</c:v>
                </c:pt>
                <c:pt idx="1067">
                  <c:v>7/1/2022</c:v>
                </c:pt>
                <c:pt idx="1068">
                  <c:v>6/1/2022</c:v>
                </c:pt>
                <c:pt idx="1069">
                  <c:v>5/1/2022</c:v>
                </c:pt>
                <c:pt idx="1070">
                  <c:v>4/1/2022</c:v>
                </c:pt>
                <c:pt idx="1071">
                  <c:v>3/1/2022</c:v>
                </c:pt>
                <c:pt idx="1072">
                  <c:v>31-12-2021</c:v>
                </c:pt>
                <c:pt idx="1073">
                  <c:v>30-12-2021</c:v>
                </c:pt>
                <c:pt idx="1074">
                  <c:v>29-12-2021</c:v>
                </c:pt>
                <c:pt idx="1075">
                  <c:v>28-12-2021</c:v>
                </c:pt>
                <c:pt idx="1076">
                  <c:v>27-12-2021</c:v>
                </c:pt>
                <c:pt idx="1077">
                  <c:v>24-12-2021</c:v>
                </c:pt>
                <c:pt idx="1078">
                  <c:v>23-12-2021</c:v>
                </c:pt>
                <c:pt idx="1079">
                  <c:v>22-12-2021</c:v>
                </c:pt>
                <c:pt idx="1080">
                  <c:v>21-12-2021</c:v>
                </c:pt>
                <c:pt idx="1081">
                  <c:v>20-12-2021</c:v>
                </c:pt>
                <c:pt idx="1082">
                  <c:v>17-12-2021</c:v>
                </c:pt>
                <c:pt idx="1083">
                  <c:v>16-12-2021</c:v>
                </c:pt>
                <c:pt idx="1084">
                  <c:v>15-12-2021</c:v>
                </c:pt>
                <c:pt idx="1085">
                  <c:v>14-12-2021</c:v>
                </c:pt>
                <c:pt idx="1086">
                  <c:v>13-12-2021</c:v>
                </c:pt>
                <c:pt idx="1087">
                  <c:v>10/12/2021</c:v>
                </c:pt>
                <c:pt idx="1088">
                  <c:v>9/12/2021</c:v>
                </c:pt>
                <c:pt idx="1089">
                  <c:v>8/12/2021</c:v>
                </c:pt>
                <c:pt idx="1090">
                  <c:v>7/12/2021</c:v>
                </c:pt>
                <c:pt idx="1091">
                  <c:v>6/12/2021</c:v>
                </c:pt>
                <c:pt idx="1092">
                  <c:v>3/12/2021</c:v>
                </c:pt>
                <c:pt idx="1093">
                  <c:v>2/12/2021</c:v>
                </c:pt>
                <c:pt idx="1094">
                  <c:v>1/12/2021</c:v>
                </c:pt>
                <c:pt idx="1095">
                  <c:v>30-11-2021</c:v>
                </c:pt>
                <c:pt idx="1096">
                  <c:v>29-11-2021</c:v>
                </c:pt>
                <c:pt idx="1097">
                  <c:v>26-11-2021</c:v>
                </c:pt>
                <c:pt idx="1098">
                  <c:v>25-11-2021</c:v>
                </c:pt>
                <c:pt idx="1099">
                  <c:v>24-11-2021</c:v>
                </c:pt>
                <c:pt idx="1100">
                  <c:v>23-11-2021</c:v>
                </c:pt>
                <c:pt idx="1101">
                  <c:v>22-11-2021</c:v>
                </c:pt>
                <c:pt idx="1102">
                  <c:v>18-11-2021</c:v>
                </c:pt>
                <c:pt idx="1103">
                  <c:v>17-11-2021</c:v>
                </c:pt>
                <c:pt idx="1104">
                  <c:v>16-11-2021</c:v>
                </c:pt>
                <c:pt idx="1105">
                  <c:v>15-11-2021</c:v>
                </c:pt>
                <c:pt idx="1106">
                  <c:v>12/11/2021</c:v>
                </c:pt>
                <c:pt idx="1107">
                  <c:v>11/11/2021</c:v>
                </c:pt>
                <c:pt idx="1108">
                  <c:v>10/11/2021</c:v>
                </c:pt>
                <c:pt idx="1109">
                  <c:v>9/11/2021</c:v>
                </c:pt>
                <c:pt idx="1110">
                  <c:v>8/11/2021</c:v>
                </c:pt>
                <c:pt idx="1111">
                  <c:v>4/11/2021</c:v>
                </c:pt>
                <c:pt idx="1112">
                  <c:v>3/11/2021</c:v>
                </c:pt>
                <c:pt idx="1113">
                  <c:v>2/11/2021</c:v>
                </c:pt>
                <c:pt idx="1114">
                  <c:v>1/11/2021</c:v>
                </c:pt>
                <c:pt idx="1115">
                  <c:v>29-10-2021</c:v>
                </c:pt>
                <c:pt idx="1116">
                  <c:v>28-10-2021</c:v>
                </c:pt>
                <c:pt idx="1117">
                  <c:v>27-10-2021</c:v>
                </c:pt>
                <c:pt idx="1118">
                  <c:v>26-10-2021</c:v>
                </c:pt>
                <c:pt idx="1119">
                  <c:v>25-10-2021</c:v>
                </c:pt>
                <c:pt idx="1120">
                  <c:v>22-10-2021</c:v>
                </c:pt>
                <c:pt idx="1121">
                  <c:v>21-10-2021</c:v>
                </c:pt>
                <c:pt idx="1122">
                  <c:v>20-10-2021</c:v>
                </c:pt>
                <c:pt idx="1123">
                  <c:v>19-10-2021</c:v>
                </c:pt>
                <c:pt idx="1124">
                  <c:v>18-10-2021</c:v>
                </c:pt>
                <c:pt idx="1125">
                  <c:v>14-10-2021</c:v>
                </c:pt>
                <c:pt idx="1126">
                  <c:v>13-10-2021</c:v>
                </c:pt>
                <c:pt idx="1127">
                  <c:v>12/10/2021</c:v>
                </c:pt>
                <c:pt idx="1128">
                  <c:v>11/10/2021</c:v>
                </c:pt>
                <c:pt idx="1129">
                  <c:v>8/10/2021</c:v>
                </c:pt>
                <c:pt idx="1130">
                  <c:v>7/10/2021</c:v>
                </c:pt>
                <c:pt idx="1131">
                  <c:v>6/10/2021</c:v>
                </c:pt>
                <c:pt idx="1132">
                  <c:v>5/10/2021</c:v>
                </c:pt>
                <c:pt idx="1133">
                  <c:v>4/10/2021</c:v>
                </c:pt>
                <c:pt idx="1134">
                  <c:v>1/10/2021</c:v>
                </c:pt>
                <c:pt idx="1135">
                  <c:v>30-09-2021</c:v>
                </c:pt>
                <c:pt idx="1136">
                  <c:v>29-09-2021</c:v>
                </c:pt>
                <c:pt idx="1137">
                  <c:v>28-09-2021</c:v>
                </c:pt>
                <c:pt idx="1138">
                  <c:v>27-09-2021</c:v>
                </c:pt>
                <c:pt idx="1139">
                  <c:v>24-09-2021</c:v>
                </c:pt>
                <c:pt idx="1140">
                  <c:v>23-09-2021</c:v>
                </c:pt>
                <c:pt idx="1141">
                  <c:v>22-09-2021</c:v>
                </c:pt>
                <c:pt idx="1142">
                  <c:v>21-09-2021</c:v>
                </c:pt>
                <c:pt idx="1143">
                  <c:v>20-09-2021</c:v>
                </c:pt>
                <c:pt idx="1144">
                  <c:v>17-09-2021</c:v>
                </c:pt>
                <c:pt idx="1145">
                  <c:v>16-09-2021</c:v>
                </c:pt>
                <c:pt idx="1146">
                  <c:v>15-09-2021</c:v>
                </c:pt>
                <c:pt idx="1147">
                  <c:v>14-09-2021</c:v>
                </c:pt>
                <c:pt idx="1148">
                  <c:v>13-09-2021</c:v>
                </c:pt>
                <c:pt idx="1149">
                  <c:v>9/9/2021</c:v>
                </c:pt>
                <c:pt idx="1150">
                  <c:v>8/9/2021</c:v>
                </c:pt>
                <c:pt idx="1151">
                  <c:v>7/9/2021</c:v>
                </c:pt>
                <c:pt idx="1152">
                  <c:v>6/9/2021</c:v>
                </c:pt>
                <c:pt idx="1153">
                  <c:v>3/9/2021</c:v>
                </c:pt>
                <c:pt idx="1154">
                  <c:v>2/9/2021</c:v>
                </c:pt>
                <c:pt idx="1155">
                  <c:v>1/9/2021</c:v>
                </c:pt>
                <c:pt idx="1156">
                  <c:v>31-08-2021</c:v>
                </c:pt>
                <c:pt idx="1157">
                  <c:v>30-08-2021</c:v>
                </c:pt>
                <c:pt idx="1158">
                  <c:v>27-08-2021</c:v>
                </c:pt>
                <c:pt idx="1159">
                  <c:v>26-08-2021</c:v>
                </c:pt>
                <c:pt idx="1160">
                  <c:v>25-08-2021</c:v>
                </c:pt>
                <c:pt idx="1161">
                  <c:v>24-08-2021</c:v>
                </c:pt>
                <c:pt idx="1162">
                  <c:v>23-08-2021</c:v>
                </c:pt>
                <c:pt idx="1163">
                  <c:v>20-08-2021</c:v>
                </c:pt>
                <c:pt idx="1164">
                  <c:v>18-08-2021</c:v>
                </c:pt>
                <c:pt idx="1165">
                  <c:v>17-08-2021</c:v>
                </c:pt>
                <c:pt idx="1166">
                  <c:v>16-08-2021</c:v>
                </c:pt>
                <c:pt idx="1167">
                  <c:v>13-08-2021</c:v>
                </c:pt>
                <c:pt idx="1168">
                  <c:v>12/8/2021</c:v>
                </c:pt>
                <c:pt idx="1169">
                  <c:v>11/8/2021</c:v>
                </c:pt>
                <c:pt idx="1170">
                  <c:v>10/8/2021</c:v>
                </c:pt>
                <c:pt idx="1171">
                  <c:v>9/8/2021</c:v>
                </c:pt>
                <c:pt idx="1172">
                  <c:v>6/8/2021</c:v>
                </c:pt>
                <c:pt idx="1173">
                  <c:v>5/8/2021</c:v>
                </c:pt>
                <c:pt idx="1174">
                  <c:v>4/8/2021</c:v>
                </c:pt>
                <c:pt idx="1175">
                  <c:v>3/8/2021</c:v>
                </c:pt>
                <c:pt idx="1176">
                  <c:v>2/8/2021</c:v>
                </c:pt>
                <c:pt idx="1177">
                  <c:v>30-07-2021</c:v>
                </c:pt>
                <c:pt idx="1178">
                  <c:v>29-07-2021</c:v>
                </c:pt>
                <c:pt idx="1179">
                  <c:v>28-07-2021</c:v>
                </c:pt>
                <c:pt idx="1180">
                  <c:v>27-07-2021</c:v>
                </c:pt>
                <c:pt idx="1181">
                  <c:v>26-07-2021</c:v>
                </c:pt>
                <c:pt idx="1182">
                  <c:v>23-07-2021</c:v>
                </c:pt>
                <c:pt idx="1183">
                  <c:v>22-07-2021</c:v>
                </c:pt>
                <c:pt idx="1184">
                  <c:v>20-07-2021</c:v>
                </c:pt>
                <c:pt idx="1185">
                  <c:v>19-07-2021</c:v>
                </c:pt>
                <c:pt idx="1186">
                  <c:v>16-07-2021</c:v>
                </c:pt>
                <c:pt idx="1187">
                  <c:v>15-07-2021</c:v>
                </c:pt>
                <c:pt idx="1188">
                  <c:v>14-07-2021</c:v>
                </c:pt>
                <c:pt idx="1189">
                  <c:v>13-07-2021</c:v>
                </c:pt>
                <c:pt idx="1190">
                  <c:v>12/7/2021</c:v>
                </c:pt>
                <c:pt idx="1191">
                  <c:v>9/7/2021</c:v>
                </c:pt>
                <c:pt idx="1192">
                  <c:v>8/7/2021</c:v>
                </c:pt>
                <c:pt idx="1193">
                  <c:v>7/7/2021</c:v>
                </c:pt>
                <c:pt idx="1194">
                  <c:v>6/7/2021</c:v>
                </c:pt>
                <c:pt idx="1195">
                  <c:v>5/7/2021</c:v>
                </c:pt>
                <c:pt idx="1196">
                  <c:v>2/7/2021</c:v>
                </c:pt>
                <c:pt idx="1197">
                  <c:v>1/7/2021</c:v>
                </c:pt>
                <c:pt idx="1198">
                  <c:v>30-06-2021</c:v>
                </c:pt>
                <c:pt idx="1199">
                  <c:v>29-06-2021</c:v>
                </c:pt>
                <c:pt idx="1200">
                  <c:v>28-06-2021</c:v>
                </c:pt>
                <c:pt idx="1201">
                  <c:v>25-06-2021</c:v>
                </c:pt>
                <c:pt idx="1202">
                  <c:v>24-06-2021</c:v>
                </c:pt>
                <c:pt idx="1203">
                  <c:v>23-06-2021</c:v>
                </c:pt>
                <c:pt idx="1204">
                  <c:v>22-06-2021</c:v>
                </c:pt>
                <c:pt idx="1205">
                  <c:v>21-06-2021</c:v>
                </c:pt>
                <c:pt idx="1206">
                  <c:v>18-06-2021</c:v>
                </c:pt>
                <c:pt idx="1207">
                  <c:v>17-06-2021</c:v>
                </c:pt>
                <c:pt idx="1208">
                  <c:v>16-06-2021</c:v>
                </c:pt>
                <c:pt idx="1209">
                  <c:v>15-06-2021</c:v>
                </c:pt>
                <c:pt idx="1210">
                  <c:v>14-06-2021</c:v>
                </c:pt>
                <c:pt idx="1211">
                  <c:v>11/6/2021</c:v>
                </c:pt>
                <c:pt idx="1212">
                  <c:v>10/6/2021</c:v>
                </c:pt>
                <c:pt idx="1213">
                  <c:v>9/6/2021</c:v>
                </c:pt>
                <c:pt idx="1214">
                  <c:v>8/6/2021</c:v>
                </c:pt>
                <c:pt idx="1215">
                  <c:v>7/6/2021</c:v>
                </c:pt>
                <c:pt idx="1216">
                  <c:v>4/6/2021</c:v>
                </c:pt>
                <c:pt idx="1217">
                  <c:v>3/6/2021</c:v>
                </c:pt>
                <c:pt idx="1218">
                  <c:v>2/6/2021</c:v>
                </c:pt>
                <c:pt idx="1219">
                  <c:v>1/6/2021</c:v>
                </c:pt>
                <c:pt idx="1220">
                  <c:v>31-05-2021</c:v>
                </c:pt>
                <c:pt idx="1221">
                  <c:v>28-05-2021</c:v>
                </c:pt>
                <c:pt idx="1222">
                  <c:v>27-05-2021</c:v>
                </c:pt>
                <c:pt idx="1223">
                  <c:v>26-05-2021</c:v>
                </c:pt>
                <c:pt idx="1224">
                  <c:v>25-05-2021</c:v>
                </c:pt>
                <c:pt idx="1225">
                  <c:v>24-05-2021</c:v>
                </c:pt>
                <c:pt idx="1226">
                  <c:v>21-05-2021</c:v>
                </c:pt>
                <c:pt idx="1227">
                  <c:v>20-05-2021</c:v>
                </c:pt>
                <c:pt idx="1228">
                  <c:v>19-05-2021</c:v>
                </c:pt>
                <c:pt idx="1229">
                  <c:v>18-05-2021</c:v>
                </c:pt>
                <c:pt idx="1230">
                  <c:v>17-05-2021</c:v>
                </c:pt>
                <c:pt idx="1231">
                  <c:v>14-05-2021</c:v>
                </c:pt>
                <c:pt idx="1232">
                  <c:v>12/5/2021</c:v>
                </c:pt>
                <c:pt idx="1233">
                  <c:v>11/5/2021</c:v>
                </c:pt>
                <c:pt idx="1234">
                  <c:v>10/5/2021</c:v>
                </c:pt>
                <c:pt idx="1235">
                  <c:v>7/5/2021</c:v>
                </c:pt>
                <c:pt idx="1236">
                  <c:v>6/5/2021</c:v>
                </c:pt>
                <c:pt idx="1237">
                  <c:v>5/5/2021</c:v>
                </c:pt>
                <c:pt idx="1238">
                  <c:v>4/5/2021</c:v>
                </c:pt>
                <c:pt idx="1239">
                  <c:v>3/5/2021</c:v>
                </c:pt>
                <c:pt idx="1240">
                  <c:v>30-04-2021</c:v>
                </c:pt>
              </c:strCache>
            </c:strRef>
          </c:cat>
          <c:val>
            <c:numRef>
              <c:f>'Share Price'!$B$2:$B$1242</c:f>
              <c:numCache>
                <c:formatCode>General</c:formatCode>
                <c:ptCount val="1241"/>
                <c:pt idx="0">
                  <c:v>314.89999999999998</c:v>
                </c:pt>
                <c:pt idx="1">
                  <c:v>316.25</c:v>
                </c:pt>
                <c:pt idx="2">
                  <c:v>304.45</c:v>
                </c:pt>
                <c:pt idx="3">
                  <c:v>303.85000000000002</c:v>
                </c:pt>
                <c:pt idx="4">
                  <c:v>301.60000000000002</c:v>
                </c:pt>
                <c:pt idx="5">
                  <c:v>305.3</c:v>
                </c:pt>
                <c:pt idx="6">
                  <c:v>305.5</c:v>
                </c:pt>
                <c:pt idx="7">
                  <c:v>309.64999999999998</c:v>
                </c:pt>
                <c:pt idx="8">
                  <c:v>305</c:v>
                </c:pt>
                <c:pt idx="9">
                  <c:v>306.8</c:v>
                </c:pt>
                <c:pt idx="10">
                  <c:v>303.39999999999998</c:v>
                </c:pt>
                <c:pt idx="11">
                  <c:v>302.05</c:v>
                </c:pt>
                <c:pt idx="12">
                  <c:v>298.64999999999998</c:v>
                </c:pt>
                <c:pt idx="13">
                  <c:v>304.25</c:v>
                </c:pt>
                <c:pt idx="14">
                  <c:v>303</c:v>
                </c:pt>
                <c:pt idx="15">
                  <c:v>302.45</c:v>
                </c:pt>
                <c:pt idx="16">
                  <c:v>298.45</c:v>
                </c:pt>
                <c:pt idx="17">
                  <c:v>294.85000000000002</c:v>
                </c:pt>
                <c:pt idx="18">
                  <c:v>292.85000000000002</c:v>
                </c:pt>
                <c:pt idx="19">
                  <c:v>291.7</c:v>
                </c:pt>
                <c:pt idx="20">
                  <c:v>287.7</c:v>
                </c:pt>
                <c:pt idx="21">
                  <c:v>294.7</c:v>
                </c:pt>
                <c:pt idx="22">
                  <c:v>295.7</c:v>
                </c:pt>
                <c:pt idx="23">
                  <c:v>291.25</c:v>
                </c:pt>
                <c:pt idx="24">
                  <c:v>290.45</c:v>
                </c:pt>
                <c:pt idx="25">
                  <c:v>299.95</c:v>
                </c:pt>
                <c:pt idx="26">
                  <c:v>298</c:v>
                </c:pt>
                <c:pt idx="27">
                  <c:v>304.05</c:v>
                </c:pt>
                <c:pt idx="28">
                  <c:v>304.85000000000002</c:v>
                </c:pt>
                <c:pt idx="29">
                  <c:v>308.25</c:v>
                </c:pt>
                <c:pt idx="30">
                  <c:v>301.45</c:v>
                </c:pt>
                <c:pt idx="31">
                  <c:v>304.10000000000002</c:v>
                </c:pt>
                <c:pt idx="32">
                  <c:v>309</c:v>
                </c:pt>
                <c:pt idx="33">
                  <c:v>309.05</c:v>
                </c:pt>
                <c:pt idx="34">
                  <c:v>306</c:v>
                </c:pt>
                <c:pt idx="35">
                  <c:v>309.7</c:v>
                </c:pt>
                <c:pt idx="36">
                  <c:v>311.5</c:v>
                </c:pt>
                <c:pt idx="37">
                  <c:v>311.95</c:v>
                </c:pt>
                <c:pt idx="38">
                  <c:v>314.89999999999998</c:v>
                </c:pt>
                <c:pt idx="39">
                  <c:v>313.60000000000002</c:v>
                </c:pt>
                <c:pt idx="40">
                  <c:v>318.3</c:v>
                </c:pt>
                <c:pt idx="41">
                  <c:v>319.75</c:v>
                </c:pt>
                <c:pt idx="42">
                  <c:v>323.5</c:v>
                </c:pt>
                <c:pt idx="43">
                  <c:v>325.39999999999998</c:v>
                </c:pt>
                <c:pt idx="44">
                  <c:v>327</c:v>
                </c:pt>
                <c:pt idx="45">
                  <c:v>326</c:v>
                </c:pt>
                <c:pt idx="46">
                  <c:v>332.45</c:v>
                </c:pt>
                <c:pt idx="47">
                  <c:v>325.45</c:v>
                </c:pt>
                <c:pt idx="48">
                  <c:v>317.95</c:v>
                </c:pt>
                <c:pt idx="49">
                  <c:v>313.75</c:v>
                </c:pt>
                <c:pt idx="50">
                  <c:v>317.45</c:v>
                </c:pt>
                <c:pt idx="51">
                  <c:v>318.25</c:v>
                </c:pt>
                <c:pt idx="52">
                  <c:v>321.39999999999998</c:v>
                </c:pt>
                <c:pt idx="53">
                  <c:v>322.8</c:v>
                </c:pt>
                <c:pt idx="54">
                  <c:v>325.8</c:v>
                </c:pt>
                <c:pt idx="55">
                  <c:v>310.2</c:v>
                </c:pt>
                <c:pt idx="56">
                  <c:v>313.85000000000002</c:v>
                </c:pt>
                <c:pt idx="57">
                  <c:v>316.64999999999998</c:v>
                </c:pt>
                <c:pt idx="58">
                  <c:v>314.7</c:v>
                </c:pt>
                <c:pt idx="59">
                  <c:v>309.45</c:v>
                </c:pt>
                <c:pt idx="60">
                  <c:v>322.14999999999998</c:v>
                </c:pt>
                <c:pt idx="61">
                  <c:v>318.60000000000002</c:v>
                </c:pt>
                <c:pt idx="62">
                  <c:v>321.14999999999998</c:v>
                </c:pt>
                <c:pt idx="63">
                  <c:v>318.64999999999998</c:v>
                </c:pt>
                <c:pt idx="64">
                  <c:v>323.39999999999998</c:v>
                </c:pt>
                <c:pt idx="65">
                  <c:v>324.85000000000002</c:v>
                </c:pt>
                <c:pt idx="66">
                  <c:v>324.75</c:v>
                </c:pt>
                <c:pt idx="67">
                  <c:v>326.3</c:v>
                </c:pt>
                <c:pt idx="68">
                  <c:v>333.2</c:v>
                </c:pt>
                <c:pt idx="69">
                  <c:v>329.2</c:v>
                </c:pt>
                <c:pt idx="70">
                  <c:v>334.75</c:v>
                </c:pt>
                <c:pt idx="71">
                  <c:v>334.7</c:v>
                </c:pt>
                <c:pt idx="72">
                  <c:v>338.4</c:v>
                </c:pt>
                <c:pt idx="73">
                  <c:v>337.15</c:v>
                </c:pt>
                <c:pt idx="74">
                  <c:v>340.9</c:v>
                </c:pt>
                <c:pt idx="75">
                  <c:v>341.25</c:v>
                </c:pt>
                <c:pt idx="76">
                  <c:v>342.45</c:v>
                </c:pt>
                <c:pt idx="77">
                  <c:v>349.7</c:v>
                </c:pt>
                <c:pt idx="78">
                  <c:v>350.05</c:v>
                </c:pt>
                <c:pt idx="79">
                  <c:v>363.85</c:v>
                </c:pt>
                <c:pt idx="80">
                  <c:v>403</c:v>
                </c:pt>
                <c:pt idx="81">
                  <c:v>400.6</c:v>
                </c:pt>
                <c:pt idx="82">
                  <c:v>402.6</c:v>
                </c:pt>
                <c:pt idx="83">
                  <c:v>404.15</c:v>
                </c:pt>
                <c:pt idx="84">
                  <c:v>406.6</c:v>
                </c:pt>
                <c:pt idx="85">
                  <c:v>407.35</c:v>
                </c:pt>
                <c:pt idx="86">
                  <c:v>402.7</c:v>
                </c:pt>
                <c:pt idx="87">
                  <c:v>401.05</c:v>
                </c:pt>
                <c:pt idx="88">
                  <c:v>400.4</c:v>
                </c:pt>
                <c:pt idx="89">
                  <c:v>399.8</c:v>
                </c:pt>
                <c:pt idx="90">
                  <c:v>401.7</c:v>
                </c:pt>
                <c:pt idx="91">
                  <c:v>402.3</c:v>
                </c:pt>
                <c:pt idx="92">
                  <c:v>400.1</c:v>
                </c:pt>
                <c:pt idx="93">
                  <c:v>402.9</c:v>
                </c:pt>
                <c:pt idx="94">
                  <c:v>403.15</c:v>
                </c:pt>
                <c:pt idx="95">
                  <c:v>401.05</c:v>
                </c:pt>
                <c:pt idx="96">
                  <c:v>402.3</c:v>
                </c:pt>
                <c:pt idx="97">
                  <c:v>404.95</c:v>
                </c:pt>
                <c:pt idx="98">
                  <c:v>403.05</c:v>
                </c:pt>
                <c:pt idx="99">
                  <c:v>400.5</c:v>
                </c:pt>
                <c:pt idx="100">
                  <c:v>400.95</c:v>
                </c:pt>
                <c:pt idx="101">
                  <c:v>404.25</c:v>
                </c:pt>
                <c:pt idx="102">
                  <c:v>404.25</c:v>
                </c:pt>
                <c:pt idx="103">
                  <c:v>404.3</c:v>
                </c:pt>
                <c:pt idx="104">
                  <c:v>402.3</c:v>
                </c:pt>
                <c:pt idx="105">
                  <c:v>400.8</c:v>
                </c:pt>
                <c:pt idx="106">
                  <c:v>403.55</c:v>
                </c:pt>
                <c:pt idx="107">
                  <c:v>407.85</c:v>
                </c:pt>
                <c:pt idx="108">
                  <c:v>405.45</c:v>
                </c:pt>
                <c:pt idx="109">
                  <c:v>403.55</c:v>
                </c:pt>
                <c:pt idx="110">
                  <c:v>405.85</c:v>
                </c:pt>
                <c:pt idx="111">
                  <c:v>407.1</c:v>
                </c:pt>
                <c:pt idx="112">
                  <c:v>408.15</c:v>
                </c:pt>
                <c:pt idx="113">
                  <c:v>405.7</c:v>
                </c:pt>
                <c:pt idx="114">
                  <c:v>407</c:v>
                </c:pt>
                <c:pt idx="115">
                  <c:v>406.85</c:v>
                </c:pt>
                <c:pt idx="116">
                  <c:v>405.55</c:v>
                </c:pt>
                <c:pt idx="117">
                  <c:v>404.05</c:v>
                </c:pt>
                <c:pt idx="118">
                  <c:v>407.5</c:v>
                </c:pt>
                <c:pt idx="119">
                  <c:v>408.9</c:v>
                </c:pt>
                <c:pt idx="120">
                  <c:v>413.95</c:v>
                </c:pt>
                <c:pt idx="121">
                  <c:v>420.35</c:v>
                </c:pt>
                <c:pt idx="122">
                  <c:v>418.75</c:v>
                </c:pt>
                <c:pt idx="123">
                  <c:v>421.6</c:v>
                </c:pt>
                <c:pt idx="124">
                  <c:v>417.9</c:v>
                </c:pt>
                <c:pt idx="125">
                  <c:v>420.65</c:v>
                </c:pt>
                <c:pt idx="126">
                  <c:v>416.8</c:v>
                </c:pt>
                <c:pt idx="127">
                  <c:v>415.95</c:v>
                </c:pt>
                <c:pt idx="128">
                  <c:v>412.85</c:v>
                </c:pt>
                <c:pt idx="129">
                  <c:v>413.05</c:v>
                </c:pt>
                <c:pt idx="130">
                  <c:v>412.15</c:v>
                </c:pt>
                <c:pt idx="131">
                  <c:v>405.15</c:v>
                </c:pt>
                <c:pt idx="132">
                  <c:v>399.9</c:v>
                </c:pt>
                <c:pt idx="133">
                  <c:v>396.8</c:v>
                </c:pt>
                <c:pt idx="134">
                  <c:v>399.25</c:v>
                </c:pt>
                <c:pt idx="135">
                  <c:v>402.8</c:v>
                </c:pt>
                <c:pt idx="136">
                  <c:v>399.9</c:v>
                </c:pt>
                <c:pt idx="137">
                  <c:v>399.75</c:v>
                </c:pt>
                <c:pt idx="138">
                  <c:v>399.8</c:v>
                </c:pt>
                <c:pt idx="139">
                  <c:v>400.75</c:v>
                </c:pt>
                <c:pt idx="140">
                  <c:v>404.3</c:v>
                </c:pt>
                <c:pt idx="141">
                  <c:v>405.6</c:v>
                </c:pt>
                <c:pt idx="142">
                  <c:v>401.55</c:v>
                </c:pt>
                <c:pt idx="143">
                  <c:v>407.25</c:v>
                </c:pt>
                <c:pt idx="144">
                  <c:v>405.1</c:v>
                </c:pt>
                <c:pt idx="145">
                  <c:v>400.1</c:v>
                </c:pt>
                <c:pt idx="146">
                  <c:v>401</c:v>
                </c:pt>
                <c:pt idx="147">
                  <c:v>403.2</c:v>
                </c:pt>
                <c:pt idx="148">
                  <c:v>406.95</c:v>
                </c:pt>
                <c:pt idx="149">
                  <c:v>410.65</c:v>
                </c:pt>
                <c:pt idx="150">
                  <c:v>411.55</c:v>
                </c:pt>
                <c:pt idx="151">
                  <c:v>409.3</c:v>
                </c:pt>
                <c:pt idx="152">
                  <c:v>413.1</c:v>
                </c:pt>
                <c:pt idx="153">
                  <c:v>412.65</c:v>
                </c:pt>
                <c:pt idx="154">
                  <c:v>413.75</c:v>
                </c:pt>
                <c:pt idx="155">
                  <c:v>415.05</c:v>
                </c:pt>
                <c:pt idx="156">
                  <c:v>413.05</c:v>
                </c:pt>
                <c:pt idx="157">
                  <c:v>410.05</c:v>
                </c:pt>
                <c:pt idx="158">
                  <c:v>407.55</c:v>
                </c:pt>
                <c:pt idx="159">
                  <c:v>407.35</c:v>
                </c:pt>
                <c:pt idx="160">
                  <c:v>415.9</c:v>
                </c:pt>
                <c:pt idx="161">
                  <c:v>411.75</c:v>
                </c:pt>
                <c:pt idx="162">
                  <c:v>406.75</c:v>
                </c:pt>
                <c:pt idx="163">
                  <c:v>405.85</c:v>
                </c:pt>
                <c:pt idx="164">
                  <c:v>409.75</c:v>
                </c:pt>
                <c:pt idx="165">
                  <c:v>400.9</c:v>
                </c:pt>
                <c:pt idx="166">
                  <c:v>403.35</c:v>
                </c:pt>
                <c:pt idx="167">
                  <c:v>399.35</c:v>
                </c:pt>
                <c:pt idx="168">
                  <c:v>398.3</c:v>
                </c:pt>
                <c:pt idx="169">
                  <c:v>405.55</c:v>
                </c:pt>
                <c:pt idx="170">
                  <c:v>406.05</c:v>
                </c:pt>
                <c:pt idx="171">
                  <c:v>409.1</c:v>
                </c:pt>
                <c:pt idx="172">
                  <c:v>406.3</c:v>
                </c:pt>
                <c:pt idx="173">
                  <c:v>411.45</c:v>
                </c:pt>
                <c:pt idx="174">
                  <c:v>414.1</c:v>
                </c:pt>
                <c:pt idx="175">
                  <c:v>416.35</c:v>
                </c:pt>
                <c:pt idx="176">
                  <c:v>416.85</c:v>
                </c:pt>
                <c:pt idx="177">
                  <c:v>414.5</c:v>
                </c:pt>
                <c:pt idx="178">
                  <c:v>413.6</c:v>
                </c:pt>
                <c:pt idx="179">
                  <c:v>412</c:v>
                </c:pt>
                <c:pt idx="180">
                  <c:v>414.15</c:v>
                </c:pt>
                <c:pt idx="181">
                  <c:v>416.85</c:v>
                </c:pt>
                <c:pt idx="182">
                  <c:v>416.45</c:v>
                </c:pt>
                <c:pt idx="183">
                  <c:v>411.95</c:v>
                </c:pt>
                <c:pt idx="184">
                  <c:v>407.6</c:v>
                </c:pt>
                <c:pt idx="185">
                  <c:v>408.45</c:v>
                </c:pt>
                <c:pt idx="186">
                  <c:v>409.9</c:v>
                </c:pt>
                <c:pt idx="187">
                  <c:v>409.4</c:v>
                </c:pt>
                <c:pt idx="188">
                  <c:v>409.95</c:v>
                </c:pt>
                <c:pt idx="189">
                  <c:v>414.95</c:v>
                </c:pt>
                <c:pt idx="190">
                  <c:v>416</c:v>
                </c:pt>
                <c:pt idx="191">
                  <c:v>420.1</c:v>
                </c:pt>
                <c:pt idx="192">
                  <c:v>422.75</c:v>
                </c:pt>
                <c:pt idx="193">
                  <c:v>423.95</c:v>
                </c:pt>
                <c:pt idx="194">
                  <c:v>424.6</c:v>
                </c:pt>
                <c:pt idx="195">
                  <c:v>422.1</c:v>
                </c:pt>
                <c:pt idx="196">
                  <c:v>419.4</c:v>
                </c:pt>
                <c:pt idx="197">
                  <c:v>416.8</c:v>
                </c:pt>
                <c:pt idx="198">
                  <c:v>416.85</c:v>
                </c:pt>
                <c:pt idx="199">
                  <c:v>419.45</c:v>
                </c:pt>
                <c:pt idx="200">
                  <c:v>417.2</c:v>
                </c:pt>
                <c:pt idx="201">
                  <c:v>416.15</c:v>
                </c:pt>
                <c:pt idx="202">
                  <c:v>412.55</c:v>
                </c:pt>
                <c:pt idx="203">
                  <c:v>413.35</c:v>
                </c:pt>
                <c:pt idx="204">
                  <c:v>412.95</c:v>
                </c:pt>
                <c:pt idx="205">
                  <c:v>415.1</c:v>
                </c:pt>
                <c:pt idx="206">
                  <c:v>416.45</c:v>
                </c:pt>
                <c:pt idx="207">
                  <c:v>418.65</c:v>
                </c:pt>
                <c:pt idx="208">
                  <c:v>420.3</c:v>
                </c:pt>
                <c:pt idx="209">
                  <c:v>416.35</c:v>
                </c:pt>
                <c:pt idx="210">
                  <c:v>414.35</c:v>
                </c:pt>
                <c:pt idx="211">
                  <c:v>413.9</c:v>
                </c:pt>
                <c:pt idx="212">
                  <c:v>418.55</c:v>
                </c:pt>
                <c:pt idx="213">
                  <c:v>416</c:v>
                </c:pt>
                <c:pt idx="214">
                  <c:v>415.9</c:v>
                </c:pt>
                <c:pt idx="215">
                  <c:v>417.4</c:v>
                </c:pt>
                <c:pt idx="216">
                  <c:v>418.2</c:v>
                </c:pt>
                <c:pt idx="217">
                  <c:v>413.9</c:v>
                </c:pt>
                <c:pt idx="218">
                  <c:v>421</c:v>
                </c:pt>
                <c:pt idx="219">
                  <c:v>426.15</c:v>
                </c:pt>
                <c:pt idx="220">
                  <c:v>427</c:v>
                </c:pt>
                <c:pt idx="221">
                  <c:v>423.05</c:v>
                </c:pt>
                <c:pt idx="222">
                  <c:v>421.05</c:v>
                </c:pt>
                <c:pt idx="223">
                  <c:v>419.1</c:v>
                </c:pt>
                <c:pt idx="224">
                  <c:v>417</c:v>
                </c:pt>
                <c:pt idx="225">
                  <c:v>416.95</c:v>
                </c:pt>
                <c:pt idx="226">
                  <c:v>419.3</c:v>
                </c:pt>
                <c:pt idx="227">
                  <c:v>418.05</c:v>
                </c:pt>
                <c:pt idx="228">
                  <c:v>418.75</c:v>
                </c:pt>
                <c:pt idx="229">
                  <c:v>420.2</c:v>
                </c:pt>
                <c:pt idx="230">
                  <c:v>433.9</c:v>
                </c:pt>
                <c:pt idx="231">
                  <c:v>442.9</c:v>
                </c:pt>
                <c:pt idx="232">
                  <c:v>436.3</c:v>
                </c:pt>
                <c:pt idx="233">
                  <c:v>426.1</c:v>
                </c:pt>
                <c:pt idx="234">
                  <c:v>433</c:v>
                </c:pt>
                <c:pt idx="235">
                  <c:v>434.9</c:v>
                </c:pt>
                <c:pt idx="236">
                  <c:v>435.35</c:v>
                </c:pt>
                <c:pt idx="237">
                  <c:v>435.7</c:v>
                </c:pt>
                <c:pt idx="238">
                  <c:v>432.65</c:v>
                </c:pt>
                <c:pt idx="239">
                  <c:v>429.1</c:v>
                </c:pt>
                <c:pt idx="240">
                  <c:v>427.9</c:v>
                </c:pt>
                <c:pt idx="241">
                  <c:v>435.5</c:v>
                </c:pt>
                <c:pt idx="242">
                  <c:v>423.55</c:v>
                </c:pt>
                <c:pt idx="243">
                  <c:v>430.6</c:v>
                </c:pt>
                <c:pt idx="244">
                  <c:v>431.15</c:v>
                </c:pt>
                <c:pt idx="245">
                  <c:v>435.55</c:v>
                </c:pt>
                <c:pt idx="246">
                  <c:v>436.95</c:v>
                </c:pt>
                <c:pt idx="247">
                  <c:v>430.25</c:v>
                </c:pt>
                <c:pt idx="248">
                  <c:v>425.8</c:v>
                </c:pt>
                <c:pt idx="249">
                  <c:v>426</c:v>
                </c:pt>
                <c:pt idx="250">
                  <c:v>428.8</c:v>
                </c:pt>
                <c:pt idx="251">
                  <c:v>427.8</c:v>
                </c:pt>
                <c:pt idx="252">
                  <c:v>430.05</c:v>
                </c:pt>
                <c:pt idx="253">
                  <c:v>430.85</c:v>
                </c:pt>
                <c:pt idx="254">
                  <c:v>433.6</c:v>
                </c:pt>
                <c:pt idx="255">
                  <c:v>422.85</c:v>
                </c:pt>
                <c:pt idx="256">
                  <c:v>427.25</c:v>
                </c:pt>
                <c:pt idx="257">
                  <c:v>424.45</c:v>
                </c:pt>
                <c:pt idx="258">
                  <c:v>420.4</c:v>
                </c:pt>
                <c:pt idx="259">
                  <c:v>421.55</c:v>
                </c:pt>
                <c:pt idx="260">
                  <c:v>416.3</c:v>
                </c:pt>
                <c:pt idx="261">
                  <c:v>412.55</c:v>
                </c:pt>
                <c:pt idx="262">
                  <c:v>406.05</c:v>
                </c:pt>
                <c:pt idx="263">
                  <c:v>409.7</c:v>
                </c:pt>
                <c:pt idx="264">
                  <c:v>409.4</c:v>
                </c:pt>
                <c:pt idx="265">
                  <c:v>409.05</c:v>
                </c:pt>
                <c:pt idx="266">
                  <c:v>406.65</c:v>
                </c:pt>
                <c:pt idx="267">
                  <c:v>409.75</c:v>
                </c:pt>
                <c:pt idx="268">
                  <c:v>409.45</c:v>
                </c:pt>
                <c:pt idx="269">
                  <c:v>407.35</c:v>
                </c:pt>
                <c:pt idx="270">
                  <c:v>409.8</c:v>
                </c:pt>
                <c:pt idx="271">
                  <c:v>410.9</c:v>
                </c:pt>
                <c:pt idx="272">
                  <c:v>405.55</c:v>
                </c:pt>
                <c:pt idx="273">
                  <c:v>403.95</c:v>
                </c:pt>
                <c:pt idx="274">
                  <c:v>403.05</c:v>
                </c:pt>
                <c:pt idx="275">
                  <c:v>409.1</c:v>
                </c:pt>
                <c:pt idx="276">
                  <c:v>407.95</c:v>
                </c:pt>
                <c:pt idx="277">
                  <c:v>412.05</c:v>
                </c:pt>
                <c:pt idx="278">
                  <c:v>412.4</c:v>
                </c:pt>
                <c:pt idx="279">
                  <c:v>406.2</c:v>
                </c:pt>
                <c:pt idx="280">
                  <c:v>405</c:v>
                </c:pt>
                <c:pt idx="281">
                  <c:v>403.9</c:v>
                </c:pt>
                <c:pt idx="282">
                  <c:v>405.7</c:v>
                </c:pt>
                <c:pt idx="283">
                  <c:v>405.05</c:v>
                </c:pt>
                <c:pt idx="284">
                  <c:v>394.85</c:v>
                </c:pt>
                <c:pt idx="285">
                  <c:v>397.45</c:v>
                </c:pt>
                <c:pt idx="286">
                  <c:v>395</c:v>
                </c:pt>
                <c:pt idx="287">
                  <c:v>401.6</c:v>
                </c:pt>
                <c:pt idx="288">
                  <c:v>404.85</c:v>
                </c:pt>
                <c:pt idx="289">
                  <c:v>401.9</c:v>
                </c:pt>
                <c:pt idx="290">
                  <c:v>400.9</c:v>
                </c:pt>
                <c:pt idx="291">
                  <c:v>402.05</c:v>
                </c:pt>
                <c:pt idx="292">
                  <c:v>406.4</c:v>
                </c:pt>
                <c:pt idx="293">
                  <c:v>405.25</c:v>
                </c:pt>
                <c:pt idx="294">
                  <c:v>408.6</c:v>
                </c:pt>
                <c:pt idx="295">
                  <c:v>410.25</c:v>
                </c:pt>
                <c:pt idx="296">
                  <c:v>409.7</c:v>
                </c:pt>
                <c:pt idx="297">
                  <c:v>409.9</c:v>
                </c:pt>
                <c:pt idx="298">
                  <c:v>418.3</c:v>
                </c:pt>
                <c:pt idx="299">
                  <c:v>427.2</c:v>
                </c:pt>
                <c:pt idx="300">
                  <c:v>430.85</c:v>
                </c:pt>
                <c:pt idx="301">
                  <c:v>441.1</c:v>
                </c:pt>
                <c:pt idx="302">
                  <c:v>448.15</c:v>
                </c:pt>
                <c:pt idx="303">
                  <c:v>455.15</c:v>
                </c:pt>
                <c:pt idx="304">
                  <c:v>454.35</c:v>
                </c:pt>
                <c:pt idx="305">
                  <c:v>462.55</c:v>
                </c:pt>
                <c:pt idx="306">
                  <c:v>447.5</c:v>
                </c:pt>
                <c:pt idx="307">
                  <c:v>436.2</c:v>
                </c:pt>
                <c:pt idx="308">
                  <c:v>433.35</c:v>
                </c:pt>
                <c:pt idx="309">
                  <c:v>435.45</c:v>
                </c:pt>
                <c:pt idx="310">
                  <c:v>440.1</c:v>
                </c:pt>
                <c:pt idx="311">
                  <c:v>441.6</c:v>
                </c:pt>
                <c:pt idx="312">
                  <c:v>440.2</c:v>
                </c:pt>
                <c:pt idx="313">
                  <c:v>437</c:v>
                </c:pt>
                <c:pt idx="314">
                  <c:v>437.55</c:v>
                </c:pt>
                <c:pt idx="315">
                  <c:v>437.7</c:v>
                </c:pt>
                <c:pt idx="316">
                  <c:v>440.2</c:v>
                </c:pt>
                <c:pt idx="317">
                  <c:v>432.85</c:v>
                </c:pt>
                <c:pt idx="318">
                  <c:v>437.35</c:v>
                </c:pt>
                <c:pt idx="319">
                  <c:v>436.6</c:v>
                </c:pt>
                <c:pt idx="320">
                  <c:v>439.05</c:v>
                </c:pt>
                <c:pt idx="321">
                  <c:v>444.9</c:v>
                </c:pt>
                <c:pt idx="322">
                  <c:v>450.1</c:v>
                </c:pt>
                <c:pt idx="323">
                  <c:v>449.55</c:v>
                </c:pt>
                <c:pt idx="324">
                  <c:v>441.1</c:v>
                </c:pt>
                <c:pt idx="325">
                  <c:v>442.65</c:v>
                </c:pt>
                <c:pt idx="326">
                  <c:v>455.6</c:v>
                </c:pt>
                <c:pt idx="327">
                  <c:v>462.65</c:v>
                </c:pt>
                <c:pt idx="328">
                  <c:v>457.82</c:v>
                </c:pt>
                <c:pt idx="329">
                  <c:v>457.54</c:v>
                </c:pt>
                <c:pt idx="330">
                  <c:v>451.25</c:v>
                </c:pt>
                <c:pt idx="331">
                  <c:v>452.76</c:v>
                </c:pt>
                <c:pt idx="332">
                  <c:v>451.2</c:v>
                </c:pt>
                <c:pt idx="333">
                  <c:v>452.62</c:v>
                </c:pt>
                <c:pt idx="334">
                  <c:v>448.65</c:v>
                </c:pt>
                <c:pt idx="335">
                  <c:v>439.57</c:v>
                </c:pt>
                <c:pt idx="336">
                  <c:v>441.36</c:v>
                </c:pt>
                <c:pt idx="337">
                  <c:v>445.1</c:v>
                </c:pt>
                <c:pt idx="338">
                  <c:v>444.2</c:v>
                </c:pt>
                <c:pt idx="339">
                  <c:v>444.72</c:v>
                </c:pt>
                <c:pt idx="340">
                  <c:v>444.63</c:v>
                </c:pt>
                <c:pt idx="341">
                  <c:v>435.73</c:v>
                </c:pt>
                <c:pt idx="342">
                  <c:v>440.13</c:v>
                </c:pt>
                <c:pt idx="343">
                  <c:v>440.32</c:v>
                </c:pt>
                <c:pt idx="344">
                  <c:v>439.85</c:v>
                </c:pt>
                <c:pt idx="345">
                  <c:v>445.71</c:v>
                </c:pt>
                <c:pt idx="346">
                  <c:v>442.26</c:v>
                </c:pt>
                <c:pt idx="347">
                  <c:v>441.88</c:v>
                </c:pt>
                <c:pt idx="348">
                  <c:v>447.04</c:v>
                </c:pt>
                <c:pt idx="349">
                  <c:v>451.44</c:v>
                </c:pt>
                <c:pt idx="350">
                  <c:v>451.01</c:v>
                </c:pt>
                <c:pt idx="351">
                  <c:v>449.26</c:v>
                </c:pt>
                <c:pt idx="352">
                  <c:v>451.2</c:v>
                </c:pt>
                <c:pt idx="353">
                  <c:v>451.25</c:v>
                </c:pt>
                <c:pt idx="354">
                  <c:v>451.06</c:v>
                </c:pt>
                <c:pt idx="355">
                  <c:v>449.02</c:v>
                </c:pt>
                <c:pt idx="356">
                  <c:v>432.47</c:v>
                </c:pt>
                <c:pt idx="357">
                  <c:v>442.12</c:v>
                </c:pt>
                <c:pt idx="358">
                  <c:v>441.36</c:v>
                </c:pt>
                <c:pt idx="359">
                  <c:v>440.8</c:v>
                </c:pt>
                <c:pt idx="360">
                  <c:v>446.71</c:v>
                </c:pt>
                <c:pt idx="361">
                  <c:v>447.32</c:v>
                </c:pt>
                <c:pt idx="362">
                  <c:v>451.2</c:v>
                </c:pt>
                <c:pt idx="363">
                  <c:v>452.24</c:v>
                </c:pt>
                <c:pt idx="364">
                  <c:v>452.1</c:v>
                </c:pt>
                <c:pt idx="365">
                  <c:v>455.13</c:v>
                </c:pt>
                <c:pt idx="366">
                  <c:v>454.27</c:v>
                </c:pt>
                <c:pt idx="367">
                  <c:v>458.44</c:v>
                </c:pt>
                <c:pt idx="368">
                  <c:v>463.83</c:v>
                </c:pt>
                <c:pt idx="369">
                  <c:v>462.41</c:v>
                </c:pt>
                <c:pt idx="370">
                  <c:v>465.01</c:v>
                </c:pt>
                <c:pt idx="371">
                  <c:v>461.61</c:v>
                </c:pt>
                <c:pt idx="372">
                  <c:v>458.01</c:v>
                </c:pt>
                <c:pt idx="373">
                  <c:v>456.26</c:v>
                </c:pt>
                <c:pt idx="374">
                  <c:v>446.23</c:v>
                </c:pt>
                <c:pt idx="375">
                  <c:v>454.42</c:v>
                </c:pt>
                <c:pt idx="376">
                  <c:v>455.79</c:v>
                </c:pt>
                <c:pt idx="377">
                  <c:v>457.54</c:v>
                </c:pt>
                <c:pt idx="378">
                  <c:v>460.42</c:v>
                </c:pt>
                <c:pt idx="379">
                  <c:v>462.51</c:v>
                </c:pt>
                <c:pt idx="380">
                  <c:v>466.57</c:v>
                </c:pt>
                <c:pt idx="381">
                  <c:v>471.64</c:v>
                </c:pt>
                <c:pt idx="382">
                  <c:v>470.12</c:v>
                </c:pt>
                <c:pt idx="383">
                  <c:v>461.84</c:v>
                </c:pt>
                <c:pt idx="384">
                  <c:v>465.49</c:v>
                </c:pt>
                <c:pt idx="385">
                  <c:v>465.15</c:v>
                </c:pt>
                <c:pt idx="386">
                  <c:v>480.53</c:v>
                </c:pt>
                <c:pt idx="387">
                  <c:v>482.66</c:v>
                </c:pt>
                <c:pt idx="388">
                  <c:v>476.36</c:v>
                </c:pt>
                <c:pt idx="389">
                  <c:v>485.07</c:v>
                </c:pt>
                <c:pt idx="390">
                  <c:v>488.33</c:v>
                </c:pt>
                <c:pt idx="391">
                  <c:v>490.18</c:v>
                </c:pt>
                <c:pt idx="392">
                  <c:v>494.48</c:v>
                </c:pt>
                <c:pt idx="393">
                  <c:v>494.53</c:v>
                </c:pt>
                <c:pt idx="394">
                  <c:v>489.61</c:v>
                </c:pt>
                <c:pt idx="395">
                  <c:v>487.43</c:v>
                </c:pt>
                <c:pt idx="396">
                  <c:v>489.04</c:v>
                </c:pt>
                <c:pt idx="397">
                  <c:v>486.63</c:v>
                </c:pt>
                <c:pt idx="398">
                  <c:v>480.81</c:v>
                </c:pt>
                <c:pt idx="399">
                  <c:v>479.96</c:v>
                </c:pt>
                <c:pt idx="400">
                  <c:v>480.34</c:v>
                </c:pt>
                <c:pt idx="401">
                  <c:v>483.51</c:v>
                </c:pt>
                <c:pt idx="402">
                  <c:v>486.11</c:v>
                </c:pt>
                <c:pt idx="403">
                  <c:v>491.45</c:v>
                </c:pt>
                <c:pt idx="404">
                  <c:v>486.58</c:v>
                </c:pt>
                <c:pt idx="405">
                  <c:v>485.87</c:v>
                </c:pt>
                <c:pt idx="406">
                  <c:v>484.12</c:v>
                </c:pt>
                <c:pt idx="407">
                  <c:v>474.61</c:v>
                </c:pt>
                <c:pt idx="408">
                  <c:v>483.6</c:v>
                </c:pt>
                <c:pt idx="409">
                  <c:v>479.01</c:v>
                </c:pt>
                <c:pt idx="410">
                  <c:v>481.9</c:v>
                </c:pt>
                <c:pt idx="411">
                  <c:v>482.51</c:v>
                </c:pt>
                <c:pt idx="412">
                  <c:v>474.8</c:v>
                </c:pt>
                <c:pt idx="413">
                  <c:v>477.83</c:v>
                </c:pt>
                <c:pt idx="414">
                  <c:v>470.45</c:v>
                </c:pt>
                <c:pt idx="415">
                  <c:v>473.57</c:v>
                </c:pt>
                <c:pt idx="416">
                  <c:v>478.4</c:v>
                </c:pt>
                <c:pt idx="417">
                  <c:v>478.49</c:v>
                </c:pt>
                <c:pt idx="418">
                  <c:v>477.31</c:v>
                </c:pt>
                <c:pt idx="419">
                  <c:v>478.11</c:v>
                </c:pt>
                <c:pt idx="420">
                  <c:v>471.87</c:v>
                </c:pt>
                <c:pt idx="421">
                  <c:v>474.38</c:v>
                </c:pt>
                <c:pt idx="422">
                  <c:v>475.51</c:v>
                </c:pt>
                <c:pt idx="423">
                  <c:v>465.63</c:v>
                </c:pt>
                <c:pt idx="424">
                  <c:v>463.55</c:v>
                </c:pt>
                <c:pt idx="425">
                  <c:v>467.9</c:v>
                </c:pt>
                <c:pt idx="426">
                  <c:v>469.13</c:v>
                </c:pt>
                <c:pt idx="427">
                  <c:v>468.04</c:v>
                </c:pt>
                <c:pt idx="428">
                  <c:v>466.05</c:v>
                </c:pt>
                <c:pt idx="429">
                  <c:v>460.05</c:v>
                </c:pt>
                <c:pt idx="430">
                  <c:v>459.76</c:v>
                </c:pt>
                <c:pt idx="431">
                  <c:v>462.7</c:v>
                </c:pt>
                <c:pt idx="432">
                  <c:v>467.05</c:v>
                </c:pt>
                <c:pt idx="433">
                  <c:v>468.61</c:v>
                </c:pt>
                <c:pt idx="434">
                  <c:v>463.45</c:v>
                </c:pt>
                <c:pt idx="435">
                  <c:v>469.27</c:v>
                </c:pt>
                <c:pt idx="436">
                  <c:v>475.09</c:v>
                </c:pt>
                <c:pt idx="437">
                  <c:v>463.5</c:v>
                </c:pt>
                <c:pt idx="438">
                  <c:v>467.38</c:v>
                </c:pt>
                <c:pt idx="439">
                  <c:v>465.63</c:v>
                </c:pt>
                <c:pt idx="440">
                  <c:v>441.36</c:v>
                </c:pt>
                <c:pt idx="441">
                  <c:v>448.93</c:v>
                </c:pt>
                <c:pt idx="442">
                  <c:v>444.86</c:v>
                </c:pt>
                <c:pt idx="443">
                  <c:v>440.42</c:v>
                </c:pt>
                <c:pt idx="444">
                  <c:v>438.38</c:v>
                </c:pt>
                <c:pt idx="445">
                  <c:v>434.27</c:v>
                </c:pt>
                <c:pt idx="446">
                  <c:v>433.89</c:v>
                </c:pt>
                <c:pt idx="447">
                  <c:v>427.08</c:v>
                </c:pt>
                <c:pt idx="448">
                  <c:v>428.17</c:v>
                </c:pt>
                <c:pt idx="449">
                  <c:v>419.65</c:v>
                </c:pt>
                <c:pt idx="450">
                  <c:v>410.24</c:v>
                </c:pt>
                <c:pt idx="451">
                  <c:v>405.89</c:v>
                </c:pt>
                <c:pt idx="452">
                  <c:v>405.18</c:v>
                </c:pt>
                <c:pt idx="453">
                  <c:v>402.53</c:v>
                </c:pt>
                <c:pt idx="454">
                  <c:v>405.89</c:v>
                </c:pt>
                <c:pt idx="455">
                  <c:v>401.96</c:v>
                </c:pt>
                <c:pt idx="456">
                  <c:v>402.62</c:v>
                </c:pt>
                <c:pt idx="457">
                  <c:v>401.06</c:v>
                </c:pt>
                <c:pt idx="458">
                  <c:v>400.45</c:v>
                </c:pt>
                <c:pt idx="459">
                  <c:v>400.45</c:v>
                </c:pt>
                <c:pt idx="460">
                  <c:v>396.95</c:v>
                </c:pt>
                <c:pt idx="461">
                  <c:v>400.45</c:v>
                </c:pt>
                <c:pt idx="462">
                  <c:v>400.78</c:v>
                </c:pt>
                <c:pt idx="463">
                  <c:v>405.6</c:v>
                </c:pt>
                <c:pt idx="464">
                  <c:v>407.87</c:v>
                </c:pt>
                <c:pt idx="465">
                  <c:v>407.07</c:v>
                </c:pt>
                <c:pt idx="466">
                  <c:v>408.96</c:v>
                </c:pt>
                <c:pt idx="467">
                  <c:v>409.62</c:v>
                </c:pt>
                <c:pt idx="468">
                  <c:v>413.31</c:v>
                </c:pt>
                <c:pt idx="469">
                  <c:v>415.44</c:v>
                </c:pt>
                <c:pt idx="470">
                  <c:v>411.89</c:v>
                </c:pt>
                <c:pt idx="471">
                  <c:v>407.07</c:v>
                </c:pt>
                <c:pt idx="472">
                  <c:v>392.79</c:v>
                </c:pt>
                <c:pt idx="473">
                  <c:v>407.12</c:v>
                </c:pt>
                <c:pt idx="474">
                  <c:v>403.43</c:v>
                </c:pt>
                <c:pt idx="475">
                  <c:v>400.97</c:v>
                </c:pt>
                <c:pt idx="476">
                  <c:v>407.68</c:v>
                </c:pt>
                <c:pt idx="477">
                  <c:v>405.84</c:v>
                </c:pt>
                <c:pt idx="478">
                  <c:v>408.2</c:v>
                </c:pt>
                <c:pt idx="479">
                  <c:v>412.65</c:v>
                </c:pt>
                <c:pt idx="480">
                  <c:v>417.52</c:v>
                </c:pt>
                <c:pt idx="481">
                  <c:v>416.15</c:v>
                </c:pt>
                <c:pt idx="482">
                  <c:v>411.33</c:v>
                </c:pt>
                <c:pt idx="483">
                  <c:v>436.65</c:v>
                </c:pt>
                <c:pt idx="484">
                  <c:v>412.74</c:v>
                </c:pt>
                <c:pt idx="485">
                  <c:v>408.16</c:v>
                </c:pt>
                <c:pt idx="486">
                  <c:v>404.7</c:v>
                </c:pt>
                <c:pt idx="487">
                  <c:v>406.5</c:v>
                </c:pt>
                <c:pt idx="488">
                  <c:v>408.54</c:v>
                </c:pt>
                <c:pt idx="489">
                  <c:v>409.95</c:v>
                </c:pt>
                <c:pt idx="490">
                  <c:v>402.15</c:v>
                </c:pt>
                <c:pt idx="491">
                  <c:v>417.19</c:v>
                </c:pt>
                <c:pt idx="492">
                  <c:v>416.58</c:v>
                </c:pt>
                <c:pt idx="493">
                  <c:v>411.28</c:v>
                </c:pt>
                <c:pt idx="494">
                  <c:v>412.89</c:v>
                </c:pt>
                <c:pt idx="495">
                  <c:v>415.3</c:v>
                </c:pt>
                <c:pt idx="496">
                  <c:v>412.13</c:v>
                </c:pt>
                <c:pt idx="497">
                  <c:v>414.54</c:v>
                </c:pt>
                <c:pt idx="498">
                  <c:v>416.25</c:v>
                </c:pt>
                <c:pt idx="499">
                  <c:v>413.93</c:v>
                </c:pt>
                <c:pt idx="500">
                  <c:v>405.74</c:v>
                </c:pt>
                <c:pt idx="501">
                  <c:v>406.03</c:v>
                </c:pt>
                <c:pt idx="502">
                  <c:v>402.34</c:v>
                </c:pt>
                <c:pt idx="503">
                  <c:v>401.82</c:v>
                </c:pt>
                <c:pt idx="504">
                  <c:v>396.24</c:v>
                </c:pt>
                <c:pt idx="505">
                  <c:v>402.91</c:v>
                </c:pt>
                <c:pt idx="506">
                  <c:v>402.91</c:v>
                </c:pt>
                <c:pt idx="507">
                  <c:v>406.88</c:v>
                </c:pt>
                <c:pt idx="508">
                  <c:v>413.36</c:v>
                </c:pt>
                <c:pt idx="509">
                  <c:v>403.33</c:v>
                </c:pt>
                <c:pt idx="510">
                  <c:v>405.93</c:v>
                </c:pt>
                <c:pt idx="511">
                  <c:v>404.47</c:v>
                </c:pt>
                <c:pt idx="512">
                  <c:v>399.93</c:v>
                </c:pt>
                <c:pt idx="513">
                  <c:v>402.24</c:v>
                </c:pt>
                <c:pt idx="514">
                  <c:v>402.86</c:v>
                </c:pt>
                <c:pt idx="515">
                  <c:v>403.66</c:v>
                </c:pt>
                <c:pt idx="516">
                  <c:v>405.23</c:v>
                </c:pt>
                <c:pt idx="517">
                  <c:v>404.89</c:v>
                </c:pt>
                <c:pt idx="518">
                  <c:v>404.56</c:v>
                </c:pt>
                <c:pt idx="519">
                  <c:v>405.46</c:v>
                </c:pt>
                <c:pt idx="520">
                  <c:v>398.51</c:v>
                </c:pt>
                <c:pt idx="521">
                  <c:v>393.26</c:v>
                </c:pt>
                <c:pt idx="522">
                  <c:v>387.44</c:v>
                </c:pt>
                <c:pt idx="523">
                  <c:v>394.91</c:v>
                </c:pt>
                <c:pt idx="524">
                  <c:v>396.47</c:v>
                </c:pt>
                <c:pt idx="525">
                  <c:v>396.99</c:v>
                </c:pt>
                <c:pt idx="526">
                  <c:v>399.64</c:v>
                </c:pt>
                <c:pt idx="527">
                  <c:v>382.61</c:v>
                </c:pt>
                <c:pt idx="528">
                  <c:v>387.3</c:v>
                </c:pt>
                <c:pt idx="529">
                  <c:v>391.22</c:v>
                </c:pt>
                <c:pt idx="530">
                  <c:v>385.83</c:v>
                </c:pt>
                <c:pt idx="531">
                  <c:v>384.22</c:v>
                </c:pt>
                <c:pt idx="532">
                  <c:v>387.01</c:v>
                </c:pt>
                <c:pt idx="533">
                  <c:v>412.05</c:v>
                </c:pt>
                <c:pt idx="534">
                  <c:v>387.39</c:v>
                </c:pt>
                <c:pt idx="535">
                  <c:v>384.36</c:v>
                </c:pt>
                <c:pt idx="536">
                  <c:v>386.26</c:v>
                </c:pt>
                <c:pt idx="537">
                  <c:v>388.95</c:v>
                </c:pt>
                <c:pt idx="538">
                  <c:v>387.11</c:v>
                </c:pt>
                <c:pt idx="539">
                  <c:v>389.19</c:v>
                </c:pt>
                <c:pt idx="540">
                  <c:v>392.08</c:v>
                </c:pt>
                <c:pt idx="541">
                  <c:v>381.57</c:v>
                </c:pt>
                <c:pt idx="542">
                  <c:v>384.18</c:v>
                </c:pt>
                <c:pt idx="543">
                  <c:v>387.16</c:v>
                </c:pt>
                <c:pt idx="544">
                  <c:v>382.76</c:v>
                </c:pt>
                <c:pt idx="545">
                  <c:v>382.1</c:v>
                </c:pt>
                <c:pt idx="546">
                  <c:v>389.33</c:v>
                </c:pt>
                <c:pt idx="547">
                  <c:v>384.79</c:v>
                </c:pt>
                <c:pt idx="548">
                  <c:v>384.89</c:v>
                </c:pt>
                <c:pt idx="549">
                  <c:v>393.07</c:v>
                </c:pt>
                <c:pt idx="550">
                  <c:v>392.17</c:v>
                </c:pt>
                <c:pt idx="551">
                  <c:v>408.49</c:v>
                </c:pt>
                <c:pt idx="552">
                  <c:v>408.11</c:v>
                </c:pt>
                <c:pt idx="553">
                  <c:v>414.4</c:v>
                </c:pt>
                <c:pt idx="554">
                  <c:v>416.34</c:v>
                </c:pt>
                <c:pt idx="555">
                  <c:v>418.99</c:v>
                </c:pt>
                <c:pt idx="556">
                  <c:v>417.71</c:v>
                </c:pt>
                <c:pt idx="557">
                  <c:v>414.4</c:v>
                </c:pt>
                <c:pt idx="558">
                  <c:v>425.52</c:v>
                </c:pt>
                <c:pt idx="559">
                  <c:v>431.05</c:v>
                </c:pt>
                <c:pt idx="560">
                  <c:v>438.57</c:v>
                </c:pt>
                <c:pt idx="561">
                  <c:v>434.5</c:v>
                </c:pt>
                <c:pt idx="562">
                  <c:v>468.4</c:v>
                </c:pt>
                <c:pt idx="563">
                  <c:v>446.05</c:v>
                </c:pt>
                <c:pt idx="564">
                  <c:v>440.37</c:v>
                </c:pt>
                <c:pt idx="565">
                  <c:v>441.41</c:v>
                </c:pt>
                <c:pt idx="566">
                  <c:v>446.8</c:v>
                </c:pt>
                <c:pt idx="567">
                  <c:v>442.36</c:v>
                </c:pt>
                <c:pt idx="568">
                  <c:v>441.5</c:v>
                </c:pt>
                <c:pt idx="569">
                  <c:v>437.67</c:v>
                </c:pt>
                <c:pt idx="570">
                  <c:v>438.29</c:v>
                </c:pt>
                <c:pt idx="571">
                  <c:v>439.47</c:v>
                </c:pt>
                <c:pt idx="572">
                  <c:v>440.37</c:v>
                </c:pt>
                <c:pt idx="573">
                  <c:v>448.36</c:v>
                </c:pt>
                <c:pt idx="574">
                  <c:v>450.68</c:v>
                </c:pt>
                <c:pt idx="575">
                  <c:v>451.48</c:v>
                </c:pt>
                <c:pt idx="576">
                  <c:v>444.96</c:v>
                </c:pt>
                <c:pt idx="577">
                  <c:v>442.78</c:v>
                </c:pt>
                <c:pt idx="578">
                  <c:v>437.15</c:v>
                </c:pt>
                <c:pt idx="579">
                  <c:v>439.05</c:v>
                </c:pt>
                <c:pt idx="580">
                  <c:v>432.42</c:v>
                </c:pt>
                <c:pt idx="581">
                  <c:v>431.81</c:v>
                </c:pt>
                <c:pt idx="582">
                  <c:v>430.63</c:v>
                </c:pt>
                <c:pt idx="583">
                  <c:v>427.08</c:v>
                </c:pt>
                <c:pt idx="584">
                  <c:v>426.65</c:v>
                </c:pt>
                <c:pt idx="585">
                  <c:v>431.48</c:v>
                </c:pt>
                <c:pt idx="586">
                  <c:v>427.27</c:v>
                </c:pt>
                <c:pt idx="587">
                  <c:v>433.46</c:v>
                </c:pt>
                <c:pt idx="588">
                  <c:v>435.26</c:v>
                </c:pt>
                <c:pt idx="589">
                  <c:v>431.05</c:v>
                </c:pt>
                <c:pt idx="590">
                  <c:v>428.64</c:v>
                </c:pt>
                <c:pt idx="591">
                  <c:v>428.02</c:v>
                </c:pt>
                <c:pt idx="592">
                  <c:v>424.9</c:v>
                </c:pt>
                <c:pt idx="593">
                  <c:v>433.37</c:v>
                </c:pt>
                <c:pt idx="594">
                  <c:v>438.24</c:v>
                </c:pt>
                <c:pt idx="595">
                  <c:v>427.36</c:v>
                </c:pt>
                <c:pt idx="596">
                  <c:v>429.54</c:v>
                </c:pt>
                <c:pt idx="597">
                  <c:v>425.52</c:v>
                </c:pt>
                <c:pt idx="598">
                  <c:v>412.27</c:v>
                </c:pt>
                <c:pt idx="599">
                  <c:v>413.6</c:v>
                </c:pt>
                <c:pt idx="600">
                  <c:v>411.75</c:v>
                </c:pt>
                <c:pt idx="601">
                  <c:v>414.16</c:v>
                </c:pt>
                <c:pt idx="602">
                  <c:v>416.58</c:v>
                </c:pt>
                <c:pt idx="603">
                  <c:v>415.96</c:v>
                </c:pt>
                <c:pt idx="604">
                  <c:v>412.7</c:v>
                </c:pt>
                <c:pt idx="605">
                  <c:v>413.22</c:v>
                </c:pt>
                <c:pt idx="606">
                  <c:v>415.54</c:v>
                </c:pt>
                <c:pt idx="607">
                  <c:v>414.97</c:v>
                </c:pt>
                <c:pt idx="608">
                  <c:v>418.09</c:v>
                </c:pt>
                <c:pt idx="609">
                  <c:v>412.46</c:v>
                </c:pt>
                <c:pt idx="610">
                  <c:v>438.45</c:v>
                </c:pt>
                <c:pt idx="611">
                  <c:v>412.98</c:v>
                </c:pt>
                <c:pt idx="612">
                  <c:v>410.95</c:v>
                </c:pt>
                <c:pt idx="613">
                  <c:v>413.36</c:v>
                </c:pt>
                <c:pt idx="614">
                  <c:v>409.34</c:v>
                </c:pt>
                <c:pt idx="615">
                  <c:v>411.85</c:v>
                </c:pt>
                <c:pt idx="616">
                  <c:v>409.86</c:v>
                </c:pt>
                <c:pt idx="617">
                  <c:v>407.87</c:v>
                </c:pt>
                <c:pt idx="618">
                  <c:v>404.99</c:v>
                </c:pt>
                <c:pt idx="619">
                  <c:v>405.27</c:v>
                </c:pt>
                <c:pt idx="620">
                  <c:v>407.21</c:v>
                </c:pt>
                <c:pt idx="621">
                  <c:v>410.33</c:v>
                </c:pt>
                <c:pt idx="622">
                  <c:v>410.9</c:v>
                </c:pt>
                <c:pt idx="623">
                  <c:v>409.34</c:v>
                </c:pt>
                <c:pt idx="624">
                  <c:v>412.37</c:v>
                </c:pt>
                <c:pt idx="625">
                  <c:v>414.64</c:v>
                </c:pt>
                <c:pt idx="626">
                  <c:v>426.08</c:v>
                </c:pt>
                <c:pt idx="627">
                  <c:v>427.27</c:v>
                </c:pt>
                <c:pt idx="628">
                  <c:v>428.97</c:v>
                </c:pt>
                <c:pt idx="629">
                  <c:v>424.71</c:v>
                </c:pt>
                <c:pt idx="630">
                  <c:v>424.14</c:v>
                </c:pt>
                <c:pt idx="631">
                  <c:v>426.37</c:v>
                </c:pt>
                <c:pt idx="632">
                  <c:v>424.05</c:v>
                </c:pt>
                <c:pt idx="633">
                  <c:v>420.41</c:v>
                </c:pt>
                <c:pt idx="634">
                  <c:v>416.67</c:v>
                </c:pt>
                <c:pt idx="635">
                  <c:v>418.28</c:v>
                </c:pt>
                <c:pt idx="636">
                  <c:v>412.51</c:v>
                </c:pt>
                <c:pt idx="637">
                  <c:v>412.56</c:v>
                </c:pt>
                <c:pt idx="638">
                  <c:v>416.01</c:v>
                </c:pt>
                <c:pt idx="639">
                  <c:v>420.41</c:v>
                </c:pt>
                <c:pt idx="640">
                  <c:v>416.95</c:v>
                </c:pt>
                <c:pt idx="641">
                  <c:v>424.9</c:v>
                </c:pt>
                <c:pt idx="642">
                  <c:v>418.56</c:v>
                </c:pt>
                <c:pt idx="643">
                  <c:v>418.7</c:v>
                </c:pt>
                <c:pt idx="644">
                  <c:v>419.18</c:v>
                </c:pt>
                <c:pt idx="645">
                  <c:v>423.34</c:v>
                </c:pt>
                <c:pt idx="646">
                  <c:v>428.5</c:v>
                </c:pt>
                <c:pt idx="647">
                  <c:v>427.64</c:v>
                </c:pt>
                <c:pt idx="648">
                  <c:v>424.14</c:v>
                </c:pt>
                <c:pt idx="649">
                  <c:v>425.66</c:v>
                </c:pt>
                <c:pt idx="650">
                  <c:v>429.02</c:v>
                </c:pt>
                <c:pt idx="651">
                  <c:v>426.79</c:v>
                </c:pt>
                <c:pt idx="652">
                  <c:v>423.06</c:v>
                </c:pt>
                <c:pt idx="653">
                  <c:v>418.75</c:v>
                </c:pt>
                <c:pt idx="654">
                  <c:v>421.83</c:v>
                </c:pt>
                <c:pt idx="655">
                  <c:v>423.29</c:v>
                </c:pt>
                <c:pt idx="656">
                  <c:v>419.18</c:v>
                </c:pt>
                <c:pt idx="657">
                  <c:v>413.88</c:v>
                </c:pt>
                <c:pt idx="658">
                  <c:v>417.24</c:v>
                </c:pt>
                <c:pt idx="659">
                  <c:v>415.96</c:v>
                </c:pt>
                <c:pt idx="660">
                  <c:v>418.89</c:v>
                </c:pt>
                <c:pt idx="661">
                  <c:v>416.34</c:v>
                </c:pt>
                <c:pt idx="662">
                  <c:v>417.57</c:v>
                </c:pt>
                <c:pt idx="663">
                  <c:v>419.42</c:v>
                </c:pt>
                <c:pt idx="664">
                  <c:v>426.56</c:v>
                </c:pt>
                <c:pt idx="665">
                  <c:v>426.13</c:v>
                </c:pt>
                <c:pt idx="666">
                  <c:v>429.73</c:v>
                </c:pt>
                <c:pt idx="667">
                  <c:v>423.63</c:v>
                </c:pt>
                <c:pt idx="668">
                  <c:v>417.81</c:v>
                </c:pt>
                <c:pt idx="669">
                  <c:v>417.19</c:v>
                </c:pt>
                <c:pt idx="670">
                  <c:v>425.94</c:v>
                </c:pt>
                <c:pt idx="671">
                  <c:v>424.95</c:v>
                </c:pt>
                <c:pt idx="672">
                  <c:v>424.52</c:v>
                </c:pt>
                <c:pt idx="673">
                  <c:v>427.36</c:v>
                </c:pt>
                <c:pt idx="674">
                  <c:v>433.89</c:v>
                </c:pt>
                <c:pt idx="675">
                  <c:v>427.93</c:v>
                </c:pt>
                <c:pt idx="676">
                  <c:v>430.34</c:v>
                </c:pt>
                <c:pt idx="677">
                  <c:v>430.39</c:v>
                </c:pt>
                <c:pt idx="678">
                  <c:v>431.43</c:v>
                </c:pt>
                <c:pt idx="679">
                  <c:v>435.26</c:v>
                </c:pt>
                <c:pt idx="680">
                  <c:v>439.71</c:v>
                </c:pt>
                <c:pt idx="681">
                  <c:v>440.56</c:v>
                </c:pt>
                <c:pt idx="682">
                  <c:v>443.16</c:v>
                </c:pt>
                <c:pt idx="683">
                  <c:v>439.94</c:v>
                </c:pt>
                <c:pt idx="684">
                  <c:v>446.76</c:v>
                </c:pt>
                <c:pt idx="685">
                  <c:v>437.34</c:v>
                </c:pt>
                <c:pt idx="686">
                  <c:v>445.9</c:v>
                </c:pt>
                <c:pt idx="687">
                  <c:v>463.97</c:v>
                </c:pt>
                <c:pt idx="688">
                  <c:v>465.58</c:v>
                </c:pt>
                <c:pt idx="689">
                  <c:v>453</c:v>
                </c:pt>
                <c:pt idx="690">
                  <c:v>446.99</c:v>
                </c:pt>
                <c:pt idx="691">
                  <c:v>446.85</c:v>
                </c:pt>
                <c:pt idx="692">
                  <c:v>447.37</c:v>
                </c:pt>
                <c:pt idx="693">
                  <c:v>446.52</c:v>
                </c:pt>
                <c:pt idx="694">
                  <c:v>446.8</c:v>
                </c:pt>
                <c:pt idx="695">
                  <c:v>447.61</c:v>
                </c:pt>
                <c:pt idx="696">
                  <c:v>440.7</c:v>
                </c:pt>
                <c:pt idx="697">
                  <c:v>443.11</c:v>
                </c:pt>
                <c:pt idx="698">
                  <c:v>448.32</c:v>
                </c:pt>
                <c:pt idx="699">
                  <c:v>449.45</c:v>
                </c:pt>
                <c:pt idx="700">
                  <c:v>441.17</c:v>
                </c:pt>
                <c:pt idx="701">
                  <c:v>438.24</c:v>
                </c:pt>
                <c:pt idx="702">
                  <c:v>427.22</c:v>
                </c:pt>
                <c:pt idx="703">
                  <c:v>425.09</c:v>
                </c:pt>
                <c:pt idx="704">
                  <c:v>421.07</c:v>
                </c:pt>
                <c:pt idx="705">
                  <c:v>421.64</c:v>
                </c:pt>
                <c:pt idx="706">
                  <c:v>420.74</c:v>
                </c:pt>
                <c:pt idx="707">
                  <c:v>423.48</c:v>
                </c:pt>
                <c:pt idx="708">
                  <c:v>422.92</c:v>
                </c:pt>
                <c:pt idx="709">
                  <c:v>428.4</c:v>
                </c:pt>
                <c:pt idx="710">
                  <c:v>429.11</c:v>
                </c:pt>
                <c:pt idx="711">
                  <c:v>428.64</c:v>
                </c:pt>
                <c:pt idx="712">
                  <c:v>423.91</c:v>
                </c:pt>
                <c:pt idx="713">
                  <c:v>420.5</c:v>
                </c:pt>
                <c:pt idx="714">
                  <c:v>421.35</c:v>
                </c:pt>
                <c:pt idx="715">
                  <c:v>413.36</c:v>
                </c:pt>
                <c:pt idx="716">
                  <c:v>414.78</c:v>
                </c:pt>
                <c:pt idx="717">
                  <c:v>418.99</c:v>
                </c:pt>
                <c:pt idx="718">
                  <c:v>419.98</c:v>
                </c:pt>
                <c:pt idx="719">
                  <c:v>418.89</c:v>
                </c:pt>
                <c:pt idx="720">
                  <c:v>416.86</c:v>
                </c:pt>
                <c:pt idx="721">
                  <c:v>419.46</c:v>
                </c:pt>
                <c:pt idx="722">
                  <c:v>415.96</c:v>
                </c:pt>
                <c:pt idx="723">
                  <c:v>421.45</c:v>
                </c:pt>
                <c:pt idx="724">
                  <c:v>425.61</c:v>
                </c:pt>
                <c:pt idx="725">
                  <c:v>422.25</c:v>
                </c:pt>
                <c:pt idx="726">
                  <c:v>417.08</c:v>
                </c:pt>
                <c:pt idx="727">
                  <c:v>414.78</c:v>
                </c:pt>
                <c:pt idx="728">
                  <c:v>407.59</c:v>
                </c:pt>
                <c:pt idx="729">
                  <c:v>403.5</c:v>
                </c:pt>
                <c:pt idx="730">
                  <c:v>399.36</c:v>
                </c:pt>
                <c:pt idx="731">
                  <c:v>394.75</c:v>
                </c:pt>
                <c:pt idx="732">
                  <c:v>394.61</c:v>
                </c:pt>
                <c:pt idx="733">
                  <c:v>402.04</c:v>
                </c:pt>
                <c:pt idx="734">
                  <c:v>398.61</c:v>
                </c:pt>
                <c:pt idx="735">
                  <c:v>402.23</c:v>
                </c:pt>
                <c:pt idx="736">
                  <c:v>395.32</c:v>
                </c:pt>
                <c:pt idx="737">
                  <c:v>395.27</c:v>
                </c:pt>
                <c:pt idx="738">
                  <c:v>399.92</c:v>
                </c:pt>
                <c:pt idx="739">
                  <c:v>398.46</c:v>
                </c:pt>
                <c:pt idx="740">
                  <c:v>405.66</c:v>
                </c:pt>
                <c:pt idx="741">
                  <c:v>403.12</c:v>
                </c:pt>
                <c:pt idx="742">
                  <c:v>399.22</c:v>
                </c:pt>
                <c:pt idx="743">
                  <c:v>401.61</c:v>
                </c:pt>
                <c:pt idx="744">
                  <c:v>399.08</c:v>
                </c:pt>
                <c:pt idx="745">
                  <c:v>400.11</c:v>
                </c:pt>
                <c:pt idx="746">
                  <c:v>391.13</c:v>
                </c:pt>
                <c:pt idx="747">
                  <c:v>387.61</c:v>
                </c:pt>
                <c:pt idx="748">
                  <c:v>386.95</c:v>
                </c:pt>
                <c:pt idx="749">
                  <c:v>384.27</c:v>
                </c:pt>
                <c:pt idx="750">
                  <c:v>383.85</c:v>
                </c:pt>
                <c:pt idx="751">
                  <c:v>376.37</c:v>
                </c:pt>
                <c:pt idx="752">
                  <c:v>374.91</c:v>
                </c:pt>
                <c:pt idx="753">
                  <c:v>374.68</c:v>
                </c:pt>
                <c:pt idx="754">
                  <c:v>376.23</c:v>
                </c:pt>
                <c:pt idx="755">
                  <c:v>371.95</c:v>
                </c:pt>
                <c:pt idx="756">
                  <c:v>370.02</c:v>
                </c:pt>
                <c:pt idx="757">
                  <c:v>372.33</c:v>
                </c:pt>
                <c:pt idx="758">
                  <c:v>365.32</c:v>
                </c:pt>
                <c:pt idx="759">
                  <c:v>364.19</c:v>
                </c:pt>
                <c:pt idx="760">
                  <c:v>363.3</c:v>
                </c:pt>
                <c:pt idx="761">
                  <c:v>356.25</c:v>
                </c:pt>
                <c:pt idx="762">
                  <c:v>360.58</c:v>
                </c:pt>
                <c:pt idx="763">
                  <c:v>359.87</c:v>
                </c:pt>
                <c:pt idx="764">
                  <c:v>357.05</c:v>
                </c:pt>
                <c:pt idx="765">
                  <c:v>357.47</c:v>
                </c:pt>
                <c:pt idx="766">
                  <c:v>356.06</c:v>
                </c:pt>
                <c:pt idx="767">
                  <c:v>357.89</c:v>
                </c:pt>
                <c:pt idx="768">
                  <c:v>355.17</c:v>
                </c:pt>
                <c:pt idx="769">
                  <c:v>354.42</c:v>
                </c:pt>
                <c:pt idx="770">
                  <c:v>356.16</c:v>
                </c:pt>
                <c:pt idx="771">
                  <c:v>353.1</c:v>
                </c:pt>
                <c:pt idx="772">
                  <c:v>358.65</c:v>
                </c:pt>
                <c:pt idx="773">
                  <c:v>356.72</c:v>
                </c:pt>
                <c:pt idx="774">
                  <c:v>357</c:v>
                </c:pt>
                <c:pt idx="775">
                  <c:v>360.72</c:v>
                </c:pt>
                <c:pt idx="776">
                  <c:v>364.81</c:v>
                </c:pt>
                <c:pt idx="777">
                  <c:v>364.33</c:v>
                </c:pt>
                <c:pt idx="778">
                  <c:v>368.94</c:v>
                </c:pt>
                <c:pt idx="779">
                  <c:v>364.95</c:v>
                </c:pt>
                <c:pt idx="780">
                  <c:v>361.94</c:v>
                </c:pt>
                <c:pt idx="781">
                  <c:v>353.1</c:v>
                </c:pt>
                <c:pt idx="782">
                  <c:v>356.06</c:v>
                </c:pt>
                <c:pt idx="783">
                  <c:v>354.18</c:v>
                </c:pt>
                <c:pt idx="784">
                  <c:v>359.35</c:v>
                </c:pt>
                <c:pt idx="785">
                  <c:v>362.08</c:v>
                </c:pt>
                <c:pt idx="786">
                  <c:v>364.43</c:v>
                </c:pt>
                <c:pt idx="787">
                  <c:v>360.9</c:v>
                </c:pt>
                <c:pt idx="788">
                  <c:v>359.4</c:v>
                </c:pt>
                <c:pt idx="789">
                  <c:v>361.09</c:v>
                </c:pt>
                <c:pt idx="790">
                  <c:v>360.48</c:v>
                </c:pt>
                <c:pt idx="791">
                  <c:v>359.68</c:v>
                </c:pt>
                <c:pt idx="792">
                  <c:v>359.35</c:v>
                </c:pt>
                <c:pt idx="793">
                  <c:v>363.35</c:v>
                </c:pt>
                <c:pt idx="794">
                  <c:v>351.83</c:v>
                </c:pt>
                <c:pt idx="795">
                  <c:v>349.15</c:v>
                </c:pt>
                <c:pt idx="796">
                  <c:v>351.88</c:v>
                </c:pt>
                <c:pt idx="797">
                  <c:v>353.1</c:v>
                </c:pt>
                <c:pt idx="798">
                  <c:v>350.94</c:v>
                </c:pt>
                <c:pt idx="799">
                  <c:v>360.48</c:v>
                </c:pt>
                <c:pt idx="800">
                  <c:v>357.89</c:v>
                </c:pt>
                <c:pt idx="801">
                  <c:v>355.97</c:v>
                </c:pt>
                <c:pt idx="802">
                  <c:v>339.8</c:v>
                </c:pt>
                <c:pt idx="803">
                  <c:v>331.29</c:v>
                </c:pt>
                <c:pt idx="804">
                  <c:v>324.19</c:v>
                </c:pt>
                <c:pt idx="805">
                  <c:v>325.32</c:v>
                </c:pt>
                <c:pt idx="806">
                  <c:v>318.97000000000003</c:v>
                </c:pt>
                <c:pt idx="807">
                  <c:v>318.69</c:v>
                </c:pt>
                <c:pt idx="808">
                  <c:v>317.56</c:v>
                </c:pt>
                <c:pt idx="809">
                  <c:v>314.60000000000002</c:v>
                </c:pt>
                <c:pt idx="810">
                  <c:v>312.29000000000002</c:v>
                </c:pt>
                <c:pt idx="811">
                  <c:v>314.64</c:v>
                </c:pt>
                <c:pt idx="812">
                  <c:v>312.39</c:v>
                </c:pt>
                <c:pt idx="813">
                  <c:v>310.45999999999998</c:v>
                </c:pt>
                <c:pt idx="814">
                  <c:v>309.10000000000002</c:v>
                </c:pt>
                <c:pt idx="815">
                  <c:v>310.13</c:v>
                </c:pt>
                <c:pt idx="816">
                  <c:v>311.95999999999998</c:v>
                </c:pt>
                <c:pt idx="817">
                  <c:v>313.47000000000003</c:v>
                </c:pt>
                <c:pt idx="818">
                  <c:v>317.83999999999997</c:v>
                </c:pt>
                <c:pt idx="819">
                  <c:v>315.02</c:v>
                </c:pt>
                <c:pt idx="820">
                  <c:v>313.52</c:v>
                </c:pt>
                <c:pt idx="821">
                  <c:v>307.45</c:v>
                </c:pt>
                <c:pt idx="822">
                  <c:v>311.31</c:v>
                </c:pt>
                <c:pt idx="823">
                  <c:v>312.95</c:v>
                </c:pt>
                <c:pt idx="824">
                  <c:v>311.73</c:v>
                </c:pt>
                <c:pt idx="825">
                  <c:v>315.3</c:v>
                </c:pt>
                <c:pt idx="826">
                  <c:v>314.41000000000003</c:v>
                </c:pt>
                <c:pt idx="827">
                  <c:v>313.23</c:v>
                </c:pt>
                <c:pt idx="828">
                  <c:v>314.60000000000002</c:v>
                </c:pt>
                <c:pt idx="829">
                  <c:v>307.17</c:v>
                </c:pt>
                <c:pt idx="830">
                  <c:v>312.58</c:v>
                </c:pt>
                <c:pt idx="831">
                  <c:v>315.11</c:v>
                </c:pt>
                <c:pt idx="832">
                  <c:v>319.82</c:v>
                </c:pt>
                <c:pt idx="833">
                  <c:v>320.14</c:v>
                </c:pt>
                <c:pt idx="834">
                  <c:v>333.05</c:v>
                </c:pt>
                <c:pt idx="835">
                  <c:v>336.77</c:v>
                </c:pt>
                <c:pt idx="836">
                  <c:v>343.29</c:v>
                </c:pt>
                <c:pt idx="837">
                  <c:v>343.48</c:v>
                </c:pt>
                <c:pt idx="838">
                  <c:v>341.1</c:v>
                </c:pt>
                <c:pt idx="839">
                  <c:v>339.31</c:v>
                </c:pt>
                <c:pt idx="840">
                  <c:v>336.33</c:v>
                </c:pt>
                <c:pt idx="841">
                  <c:v>338.02</c:v>
                </c:pt>
                <c:pt idx="842">
                  <c:v>335.23</c:v>
                </c:pt>
                <c:pt idx="843">
                  <c:v>334.69</c:v>
                </c:pt>
                <c:pt idx="844">
                  <c:v>335.09</c:v>
                </c:pt>
                <c:pt idx="845">
                  <c:v>337.47</c:v>
                </c:pt>
                <c:pt idx="846">
                  <c:v>337.92</c:v>
                </c:pt>
                <c:pt idx="847">
                  <c:v>340.2</c:v>
                </c:pt>
                <c:pt idx="848">
                  <c:v>337.97</c:v>
                </c:pt>
                <c:pt idx="849">
                  <c:v>338.22</c:v>
                </c:pt>
                <c:pt idx="850">
                  <c:v>338.66</c:v>
                </c:pt>
                <c:pt idx="851">
                  <c:v>337.72</c:v>
                </c:pt>
                <c:pt idx="852">
                  <c:v>338.17</c:v>
                </c:pt>
                <c:pt idx="853">
                  <c:v>335.14</c:v>
                </c:pt>
                <c:pt idx="854">
                  <c:v>338.96</c:v>
                </c:pt>
                <c:pt idx="855">
                  <c:v>341.6</c:v>
                </c:pt>
                <c:pt idx="856">
                  <c:v>341.99</c:v>
                </c:pt>
                <c:pt idx="857">
                  <c:v>343.14</c:v>
                </c:pt>
                <c:pt idx="858">
                  <c:v>345.07</c:v>
                </c:pt>
                <c:pt idx="859">
                  <c:v>354.17</c:v>
                </c:pt>
                <c:pt idx="860">
                  <c:v>353.82</c:v>
                </c:pt>
                <c:pt idx="861">
                  <c:v>358.49</c:v>
                </c:pt>
                <c:pt idx="862">
                  <c:v>351.34</c:v>
                </c:pt>
                <c:pt idx="863">
                  <c:v>351.43</c:v>
                </c:pt>
                <c:pt idx="864">
                  <c:v>351.53</c:v>
                </c:pt>
                <c:pt idx="865">
                  <c:v>352.48</c:v>
                </c:pt>
                <c:pt idx="866">
                  <c:v>347.36</c:v>
                </c:pt>
                <c:pt idx="867">
                  <c:v>346.57</c:v>
                </c:pt>
                <c:pt idx="868">
                  <c:v>343.68</c:v>
                </c:pt>
                <c:pt idx="869">
                  <c:v>343.68</c:v>
                </c:pt>
                <c:pt idx="870">
                  <c:v>344.18</c:v>
                </c:pt>
                <c:pt idx="871">
                  <c:v>345.57</c:v>
                </c:pt>
                <c:pt idx="872">
                  <c:v>343.48</c:v>
                </c:pt>
                <c:pt idx="873">
                  <c:v>347.56</c:v>
                </c:pt>
                <c:pt idx="874">
                  <c:v>344.23</c:v>
                </c:pt>
                <c:pt idx="875">
                  <c:v>338.22</c:v>
                </c:pt>
                <c:pt idx="876">
                  <c:v>330.22</c:v>
                </c:pt>
                <c:pt idx="877">
                  <c:v>330.07</c:v>
                </c:pt>
                <c:pt idx="878">
                  <c:v>326.64</c:v>
                </c:pt>
                <c:pt idx="879">
                  <c:v>328.08</c:v>
                </c:pt>
                <c:pt idx="880">
                  <c:v>324.3</c:v>
                </c:pt>
                <c:pt idx="881">
                  <c:v>325.83999999999997</c:v>
                </c:pt>
                <c:pt idx="882">
                  <c:v>332.05</c:v>
                </c:pt>
                <c:pt idx="883">
                  <c:v>334.59</c:v>
                </c:pt>
                <c:pt idx="884">
                  <c:v>330.81</c:v>
                </c:pt>
                <c:pt idx="885">
                  <c:v>322.41000000000003</c:v>
                </c:pt>
                <c:pt idx="886">
                  <c:v>330.17</c:v>
                </c:pt>
                <c:pt idx="887">
                  <c:v>331.01</c:v>
                </c:pt>
                <c:pt idx="888">
                  <c:v>322.95999999999998</c:v>
                </c:pt>
                <c:pt idx="889">
                  <c:v>332.8</c:v>
                </c:pt>
                <c:pt idx="890">
                  <c:v>330.56</c:v>
                </c:pt>
                <c:pt idx="891">
                  <c:v>344.28</c:v>
                </c:pt>
                <c:pt idx="892">
                  <c:v>342.94</c:v>
                </c:pt>
                <c:pt idx="893">
                  <c:v>338.86</c:v>
                </c:pt>
                <c:pt idx="894">
                  <c:v>333.94</c:v>
                </c:pt>
                <c:pt idx="895">
                  <c:v>333.55</c:v>
                </c:pt>
                <c:pt idx="896">
                  <c:v>329.27</c:v>
                </c:pt>
                <c:pt idx="897">
                  <c:v>332.05</c:v>
                </c:pt>
                <c:pt idx="898">
                  <c:v>333.3</c:v>
                </c:pt>
                <c:pt idx="899">
                  <c:v>332.35</c:v>
                </c:pt>
                <c:pt idx="900">
                  <c:v>328.87</c:v>
                </c:pt>
                <c:pt idx="901">
                  <c:v>328.48</c:v>
                </c:pt>
                <c:pt idx="902">
                  <c:v>327.88</c:v>
                </c:pt>
                <c:pt idx="903">
                  <c:v>324.10000000000002</c:v>
                </c:pt>
                <c:pt idx="904">
                  <c:v>325.14999999999998</c:v>
                </c:pt>
                <c:pt idx="905">
                  <c:v>326.83999999999997</c:v>
                </c:pt>
                <c:pt idx="906">
                  <c:v>321.17</c:v>
                </c:pt>
                <c:pt idx="907">
                  <c:v>315.64999999999998</c:v>
                </c:pt>
                <c:pt idx="908">
                  <c:v>318.54000000000002</c:v>
                </c:pt>
                <c:pt idx="909">
                  <c:v>311.63</c:v>
                </c:pt>
                <c:pt idx="910">
                  <c:v>310.98</c:v>
                </c:pt>
                <c:pt idx="911">
                  <c:v>310.44</c:v>
                </c:pt>
                <c:pt idx="912">
                  <c:v>312.18</c:v>
                </c:pt>
                <c:pt idx="913">
                  <c:v>313.97000000000003</c:v>
                </c:pt>
                <c:pt idx="914">
                  <c:v>312.48</c:v>
                </c:pt>
                <c:pt idx="915">
                  <c:v>310.08999999999997</c:v>
                </c:pt>
                <c:pt idx="916">
                  <c:v>313.72000000000003</c:v>
                </c:pt>
                <c:pt idx="917">
                  <c:v>310.64</c:v>
                </c:pt>
                <c:pt idx="918">
                  <c:v>308.64999999999998</c:v>
                </c:pt>
                <c:pt idx="919">
                  <c:v>306.66000000000003</c:v>
                </c:pt>
                <c:pt idx="920">
                  <c:v>304.38</c:v>
                </c:pt>
                <c:pt idx="921">
                  <c:v>309.3</c:v>
                </c:pt>
                <c:pt idx="922">
                  <c:v>311.23</c:v>
                </c:pt>
                <c:pt idx="923">
                  <c:v>308.95</c:v>
                </c:pt>
                <c:pt idx="924">
                  <c:v>307.61</c:v>
                </c:pt>
                <c:pt idx="925">
                  <c:v>306.26</c:v>
                </c:pt>
                <c:pt idx="926">
                  <c:v>308.05</c:v>
                </c:pt>
                <c:pt idx="927">
                  <c:v>305.62</c:v>
                </c:pt>
                <c:pt idx="928">
                  <c:v>301.19</c:v>
                </c:pt>
                <c:pt idx="929">
                  <c:v>301.58999999999997</c:v>
                </c:pt>
                <c:pt idx="930">
                  <c:v>302.29000000000002</c:v>
                </c:pt>
                <c:pt idx="931">
                  <c:v>300.60000000000002</c:v>
                </c:pt>
                <c:pt idx="932">
                  <c:v>299.26</c:v>
                </c:pt>
                <c:pt idx="933">
                  <c:v>298.70999999999998</c:v>
                </c:pt>
                <c:pt idx="934">
                  <c:v>297.72000000000003</c:v>
                </c:pt>
                <c:pt idx="935">
                  <c:v>296.37</c:v>
                </c:pt>
                <c:pt idx="936">
                  <c:v>292.8</c:v>
                </c:pt>
                <c:pt idx="937">
                  <c:v>293.49</c:v>
                </c:pt>
                <c:pt idx="938">
                  <c:v>291.75</c:v>
                </c:pt>
                <c:pt idx="939">
                  <c:v>289.07</c:v>
                </c:pt>
                <c:pt idx="940">
                  <c:v>292.25</c:v>
                </c:pt>
                <c:pt idx="941">
                  <c:v>290.91000000000003</c:v>
                </c:pt>
                <c:pt idx="942">
                  <c:v>293.19</c:v>
                </c:pt>
                <c:pt idx="943">
                  <c:v>291.26</c:v>
                </c:pt>
                <c:pt idx="944">
                  <c:v>290.16000000000003</c:v>
                </c:pt>
                <c:pt idx="945">
                  <c:v>287.52999999999997</c:v>
                </c:pt>
                <c:pt idx="946">
                  <c:v>285.14</c:v>
                </c:pt>
                <c:pt idx="947">
                  <c:v>290.11</c:v>
                </c:pt>
                <c:pt idx="948">
                  <c:v>282.61</c:v>
                </c:pt>
                <c:pt idx="949">
                  <c:v>271.83</c:v>
                </c:pt>
                <c:pt idx="950">
                  <c:v>272.37</c:v>
                </c:pt>
                <c:pt idx="951">
                  <c:v>270.18</c:v>
                </c:pt>
                <c:pt idx="952">
                  <c:v>268.3</c:v>
                </c:pt>
                <c:pt idx="953">
                  <c:v>264.22000000000003</c:v>
                </c:pt>
                <c:pt idx="954">
                  <c:v>263.87</c:v>
                </c:pt>
                <c:pt idx="955">
                  <c:v>263.68</c:v>
                </c:pt>
                <c:pt idx="956">
                  <c:v>268.25</c:v>
                </c:pt>
                <c:pt idx="957">
                  <c:v>262.48</c:v>
                </c:pt>
                <c:pt idx="958">
                  <c:v>261.69</c:v>
                </c:pt>
                <c:pt idx="959">
                  <c:v>259.10000000000002</c:v>
                </c:pt>
                <c:pt idx="960">
                  <c:v>261.79000000000002</c:v>
                </c:pt>
                <c:pt idx="961">
                  <c:v>263.83</c:v>
                </c:pt>
                <c:pt idx="962">
                  <c:v>263.02999999999997</c:v>
                </c:pt>
                <c:pt idx="963">
                  <c:v>268.5</c:v>
                </c:pt>
                <c:pt idx="964">
                  <c:v>269.19</c:v>
                </c:pt>
                <c:pt idx="965">
                  <c:v>266.26</c:v>
                </c:pt>
                <c:pt idx="966">
                  <c:v>272.22000000000003</c:v>
                </c:pt>
                <c:pt idx="967">
                  <c:v>273.12</c:v>
                </c:pt>
                <c:pt idx="968">
                  <c:v>271.02999999999997</c:v>
                </c:pt>
                <c:pt idx="969">
                  <c:v>271.83</c:v>
                </c:pt>
                <c:pt idx="970">
                  <c:v>270.18</c:v>
                </c:pt>
                <c:pt idx="971">
                  <c:v>268.99</c:v>
                </c:pt>
                <c:pt idx="972">
                  <c:v>267.39999999999998</c:v>
                </c:pt>
                <c:pt idx="973">
                  <c:v>267.55</c:v>
                </c:pt>
                <c:pt idx="974">
                  <c:v>265.07</c:v>
                </c:pt>
                <c:pt idx="975">
                  <c:v>271.02999999999997</c:v>
                </c:pt>
                <c:pt idx="976">
                  <c:v>269.19</c:v>
                </c:pt>
                <c:pt idx="977">
                  <c:v>272.82</c:v>
                </c:pt>
                <c:pt idx="978">
                  <c:v>278.29000000000002</c:v>
                </c:pt>
                <c:pt idx="979">
                  <c:v>273.95999999999998</c:v>
                </c:pt>
                <c:pt idx="980">
                  <c:v>266.8</c:v>
                </c:pt>
                <c:pt idx="981">
                  <c:v>264.7</c:v>
                </c:pt>
                <c:pt idx="982">
                  <c:v>254.1</c:v>
                </c:pt>
                <c:pt idx="983">
                  <c:v>258.60000000000002</c:v>
                </c:pt>
                <c:pt idx="984">
                  <c:v>251.35</c:v>
                </c:pt>
                <c:pt idx="985">
                  <c:v>254.09</c:v>
                </c:pt>
                <c:pt idx="986">
                  <c:v>259.75</c:v>
                </c:pt>
                <c:pt idx="987">
                  <c:v>261.33999999999997</c:v>
                </c:pt>
                <c:pt idx="988">
                  <c:v>266.64999999999998</c:v>
                </c:pt>
                <c:pt idx="989">
                  <c:v>262.05</c:v>
                </c:pt>
                <c:pt idx="990">
                  <c:v>259.75</c:v>
                </c:pt>
                <c:pt idx="991">
                  <c:v>263.14999999999998</c:v>
                </c:pt>
                <c:pt idx="992">
                  <c:v>259.55</c:v>
                </c:pt>
                <c:pt idx="993">
                  <c:v>261.10000000000002</c:v>
                </c:pt>
                <c:pt idx="994">
                  <c:v>257.5</c:v>
                </c:pt>
                <c:pt idx="995">
                  <c:v>258.95</c:v>
                </c:pt>
                <c:pt idx="996">
                  <c:v>255.25</c:v>
                </c:pt>
                <c:pt idx="997">
                  <c:v>261.10000000000002</c:v>
                </c:pt>
                <c:pt idx="998">
                  <c:v>260.39999999999998</c:v>
                </c:pt>
                <c:pt idx="999">
                  <c:v>259.55</c:v>
                </c:pt>
                <c:pt idx="1000">
                  <c:v>261.55</c:v>
                </c:pt>
                <c:pt idx="1001">
                  <c:v>268.45</c:v>
                </c:pt>
                <c:pt idx="1002">
                  <c:v>269.55</c:v>
                </c:pt>
                <c:pt idx="1003">
                  <c:v>263.18</c:v>
                </c:pt>
                <c:pt idx="1004">
                  <c:v>267.5</c:v>
                </c:pt>
                <c:pt idx="1005">
                  <c:v>266.16000000000003</c:v>
                </c:pt>
                <c:pt idx="1006">
                  <c:v>256.64999999999998</c:v>
                </c:pt>
                <c:pt idx="1007">
                  <c:v>259.60000000000002</c:v>
                </c:pt>
                <c:pt idx="1008">
                  <c:v>259.45</c:v>
                </c:pt>
                <c:pt idx="1009">
                  <c:v>255.45</c:v>
                </c:pt>
                <c:pt idx="1010">
                  <c:v>253.3</c:v>
                </c:pt>
                <c:pt idx="1011">
                  <c:v>250.65</c:v>
                </c:pt>
                <c:pt idx="1012">
                  <c:v>249.2</c:v>
                </c:pt>
                <c:pt idx="1013">
                  <c:v>254.6</c:v>
                </c:pt>
                <c:pt idx="1014">
                  <c:v>257.05</c:v>
                </c:pt>
                <c:pt idx="1015">
                  <c:v>253.35</c:v>
                </c:pt>
                <c:pt idx="1016">
                  <c:v>254.85</c:v>
                </c:pt>
                <c:pt idx="1017">
                  <c:v>252</c:v>
                </c:pt>
                <c:pt idx="1018">
                  <c:v>249.75</c:v>
                </c:pt>
                <c:pt idx="1019">
                  <c:v>244.5</c:v>
                </c:pt>
                <c:pt idx="1020">
                  <c:v>244.9</c:v>
                </c:pt>
                <c:pt idx="1021">
                  <c:v>242.6</c:v>
                </c:pt>
                <c:pt idx="1022">
                  <c:v>237.85</c:v>
                </c:pt>
                <c:pt idx="1023">
                  <c:v>239</c:v>
                </c:pt>
                <c:pt idx="1024">
                  <c:v>236.35</c:v>
                </c:pt>
                <c:pt idx="1025">
                  <c:v>232</c:v>
                </c:pt>
                <c:pt idx="1026">
                  <c:v>229.25</c:v>
                </c:pt>
                <c:pt idx="1027">
                  <c:v>226.9</c:v>
                </c:pt>
                <c:pt idx="1028">
                  <c:v>224.95</c:v>
                </c:pt>
                <c:pt idx="1029">
                  <c:v>225.5</c:v>
                </c:pt>
                <c:pt idx="1030">
                  <c:v>219.4</c:v>
                </c:pt>
                <c:pt idx="1031">
                  <c:v>215.3</c:v>
                </c:pt>
                <c:pt idx="1032">
                  <c:v>215.85</c:v>
                </c:pt>
                <c:pt idx="1033">
                  <c:v>213.95</c:v>
                </c:pt>
                <c:pt idx="1034">
                  <c:v>208.5</c:v>
                </c:pt>
                <c:pt idx="1035">
                  <c:v>215.95</c:v>
                </c:pt>
                <c:pt idx="1036">
                  <c:v>214.85</c:v>
                </c:pt>
                <c:pt idx="1037">
                  <c:v>218</c:v>
                </c:pt>
                <c:pt idx="1038">
                  <c:v>221.9</c:v>
                </c:pt>
                <c:pt idx="1039">
                  <c:v>222.65</c:v>
                </c:pt>
                <c:pt idx="1040">
                  <c:v>222.75</c:v>
                </c:pt>
                <c:pt idx="1041">
                  <c:v>223</c:v>
                </c:pt>
                <c:pt idx="1042">
                  <c:v>219.45</c:v>
                </c:pt>
                <c:pt idx="1043">
                  <c:v>232.45</c:v>
                </c:pt>
                <c:pt idx="1044">
                  <c:v>232.25</c:v>
                </c:pt>
                <c:pt idx="1045">
                  <c:v>230.15</c:v>
                </c:pt>
                <c:pt idx="1046">
                  <c:v>231.25</c:v>
                </c:pt>
                <c:pt idx="1047">
                  <c:v>230.2</c:v>
                </c:pt>
                <c:pt idx="1048">
                  <c:v>234.3</c:v>
                </c:pt>
                <c:pt idx="1049">
                  <c:v>234.45</c:v>
                </c:pt>
                <c:pt idx="1050">
                  <c:v>232.15</c:v>
                </c:pt>
                <c:pt idx="1051">
                  <c:v>227.75</c:v>
                </c:pt>
                <c:pt idx="1052">
                  <c:v>220.2</c:v>
                </c:pt>
                <c:pt idx="1053">
                  <c:v>217.6</c:v>
                </c:pt>
                <c:pt idx="1054">
                  <c:v>214.6</c:v>
                </c:pt>
                <c:pt idx="1055">
                  <c:v>214.3</c:v>
                </c:pt>
                <c:pt idx="1056">
                  <c:v>211.8</c:v>
                </c:pt>
                <c:pt idx="1057">
                  <c:v>217.05</c:v>
                </c:pt>
                <c:pt idx="1058">
                  <c:v>218.75</c:v>
                </c:pt>
                <c:pt idx="1059">
                  <c:v>220.35</c:v>
                </c:pt>
                <c:pt idx="1060">
                  <c:v>220.75</c:v>
                </c:pt>
                <c:pt idx="1061">
                  <c:v>224.6</c:v>
                </c:pt>
                <c:pt idx="1062">
                  <c:v>222.6</c:v>
                </c:pt>
                <c:pt idx="1063">
                  <c:v>223.95</c:v>
                </c:pt>
                <c:pt idx="1064">
                  <c:v>222.75</c:v>
                </c:pt>
                <c:pt idx="1065">
                  <c:v>221.95</c:v>
                </c:pt>
                <c:pt idx="1066">
                  <c:v>223.3</c:v>
                </c:pt>
                <c:pt idx="1067">
                  <c:v>218.4</c:v>
                </c:pt>
                <c:pt idx="1068">
                  <c:v>218.7</c:v>
                </c:pt>
                <c:pt idx="1069">
                  <c:v>220.55</c:v>
                </c:pt>
                <c:pt idx="1070">
                  <c:v>220.25</c:v>
                </c:pt>
                <c:pt idx="1071">
                  <c:v>219.1</c:v>
                </c:pt>
                <c:pt idx="1072">
                  <c:v>218.05</c:v>
                </c:pt>
                <c:pt idx="1073">
                  <c:v>216</c:v>
                </c:pt>
                <c:pt idx="1074">
                  <c:v>216.75</c:v>
                </c:pt>
                <c:pt idx="1075">
                  <c:v>220.05</c:v>
                </c:pt>
                <c:pt idx="1076">
                  <c:v>217.55</c:v>
                </c:pt>
                <c:pt idx="1077">
                  <c:v>218</c:v>
                </c:pt>
                <c:pt idx="1078">
                  <c:v>217.3</c:v>
                </c:pt>
                <c:pt idx="1079">
                  <c:v>212</c:v>
                </c:pt>
                <c:pt idx="1080">
                  <c:v>212.5</c:v>
                </c:pt>
                <c:pt idx="1081">
                  <c:v>212.4</c:v>
                </c:pt>
                <c:pt idx="1082">
                  <c:v>217.95</c:v>
                </c:pt>
                <c:pt idx="1083">
                  <c:v>222.9</c:v>
                </c:pt>
                <c:pt idx="1084">
                  <c:v>224.05</c:v>
                </c:pt>
                <c:pt idx="1085">
                  <c:v>228.6</c:v>
                </c:pt>
                <c:pt idx="1086">
                  <c:v>234.6</c:v>
                </c:pt>
                <c:pt idx="1087">
                  <c:v>236.1</c:v>
                </c:pt>
                <c:pt idx="1088">
                  <c:v>235.4</c:v>
                </c:pt>
                <c:pt idx="1089">
                  <c:v>224.95</c:v>
                </c:pt>
                <c:pt idx="1090">
                  <c:v>220.65</c:v>
                </c:pt>
                <c:pt idx="1091">
                  <c:v>217.9</c:v>
                </c:pt>
                <c:pt idx="1092">
                  <c:v>221.65</c:v>
                </c:pt>
                <c:pt idx="1093">
                  <c:v>225.45</c:v>
                </c:pt>
                <c:pt idx="1094">
                  <c:v>221.9</c:v>
                </c:pt>
                <c:pt idx="1095">
                  <c:v>221.15</c:v>
                </c:pt>
                <c:pt idx="1096">
                  <c:v>221.5</c:v>
                </c:pt>
                <c:pt idx="1097">
                  <c:v>224</c:v>
                </c:pt>
                <c:pt idx="1098">
                  <c:v>231.3</c:v>
                </c:pt>
                <c:pt idx="1099">
                  <c:v>227.7</c:v>
                </c:pt>
                <c:pt idx="1100">
                  <c:v>231.6</c:v>
                </c:pt>
                <c:pt idx="1101">
                  <c:v>230.9</c:v>
                </c:pt>
                <c:pt idx="1102">
                  <c:v>237.5</c:v>
                </c:pt>
                <c:pt idx="1103">
                  <c:v>239.5</c:v>
                </c:pt>
                <c:pt idx="1104">
                  <c:v>235.45</c:v>
                </c:pt>
                <c:pt idx="1105">
                  <c:v>238.1</c:v>
                </c:pt>
                <c:pt idx="1106">
                  <c:v>232.9</c:v>
                </c:pt>
                <c:pt idx="1107">
                  <c:v>230</c:v>
                </c:pt>
                <c:pt idx="1108">
                  <c:v>230.85</c:v>
                </c:pt>
                <c:pt idx="1109">
                  <c:v>228.75</c:v>
                </c:pt>
                <c:pt idx="1110">
                  <c:v>229.8</c:v>
                </c:pt>
                <c:pt idx="1111">
                  <c:v>226.55</c:v>
                </c:pt>
                <c:pt idx="1112">
                  <c:v>222.45</c:v>
                </c:pt>
                <c:pt idx="1113">
                  <c:v>225.6</c:v>
                </c:pt>
                <c:pt idx="1114">
                  <c:v>226.85</c:v>
                </c:pt>
                <c:pt idx="1115">
                  <c:v>223.2</c:v>
                </c:pt>
                <c:pt idx="1116">
                  <c:v>225.1</c:v>
                </c:pt>
                <c:pt idx="1117">
                  <c:v>238.45</c:v>
                </c:pt>
                <c:pt idx="1118">
                  <c:v>236.7</c:v>
                </c:pt>
                <c:pt idx="1119">
                  <c:v>233.4</c:v>
                </c:pt>
                <c:pt idx="1120">
                  <c:v>236.6</c:v>
                </c:pt>
                <c:pt idx="1121">
                  <c:v>244.7</c:v>
                </c:pt>
                <c:pt idx="1122">
                  <c:v>246.6</c:v>
                </c:pt>
                <c:pt idx="1123">
                  <c:v>245.95</c:v>
                </c:pt>
                <c:pt idx="1124">
                  <c:v>262.55</c:v>
                </c:pt>
                <c:pt idx="1125">
                  <c:v>256.55</c:v>
                </c:pt>
                <c:pt idx="1126">
                  <c:v>249.2</c:v>
                </c:pt>
                <c:pt idx="1127">
                  <c:v>241.3</c:v>
                </c:pt>
                <c:pt idx="1128">
                  <c:v>238.05</c:v>
                </c:pt>
                <c:pt idx="1129">
                  <c:v>231.7</c:v>
                </c:pt>
                <c:pt idx="1130">
                  <c:v>232.95</c:v>
                </c:pt>
                <c:pt idx="1131">
                  <c:v>231.25</c:v>
                </c:pt>
                <c:pt idx="1132">
                  <c:v>234.7</c:v>
                </c:pt>
                <c:pt idx="1133">
                  <c:v>236.6</c:v>
                </c:pt>
                <c:pt idx="1134">
                  <c:v>235.35</c:v>
                </c:pt>
                <c:pt idx="1135">
                  <c:v>236.15</c:v>
                </c:pt>
                <c:pt idx="1136">
                  <c:v>238.1</c:v>
                </c:pt>
                <c:pt idx="1137">
                  <c:v>237.75</c:v>
                </c:pt>
                <c:pt idx="1138">
                  <c:v>238.7</c:v>
                </c:pt>
                <c:pt idx="1139">
                  <c:v>238.45</c:v>
                </c:pt>
                <c:pt idx="1140">
                  <c:v>242.5</c:v>
                </c:pt>
                <c:pt idx="1141">
                  <c:v>243.5</c:v>
                </c:pt>
                <c:pt idx="1142">
                  <c:v>241.5</c:v>
                </c:pt>
                <c:pt idx="1143">
                  <c:v>233.75</c:v>
                </c:pt>
                <c:pt idx="1144">
                  <c:v>231.15</c:v>
                </c:pt>
                <c:pt idx="1145">
                  <c:v>230.75</c:v>
                </c:pt>
                <c:pt idx="1146">
                  <c:v>216</c:v>
                </c:pt>
                <c:pt idx="1147">
                  <c:v>216.1</c:v>
                </c:pt>
                <c:pt idx="1148">
                  <c:v>214.15</c:v>
                </c:pt>
                <c:pt idx="1149">
                  <c:v>212.65</c:v>
                </c:pt>
                <c:pt idx="1150">
                  <c:v>211.25</c:v>
                </c:pt>
                <c:pt idx="1151">
                  <c:v>211.75</c:v>
                </c:pt>
                <c:pt idx="1152">
                  <c:v>209.3</c:v>
                </c:pt>
                <c:pt idx="1153">
                  <c:v>210.6</c:v>
                </c:pt>
                <c:pt idx="1154">
                  <c:v>209.75</c:v>
                </c:pt>
                <c:pt idx="1155">
                  <c:v>209.5</c:v>
                </c:pt>
                <c:pt idx="1156">
                  <c:v>211.3</c:v>
                </c:pt>
                <c:pt idx="1157">
                  <c:v>208</c:v>
                </c:pt>
                <c:pt idx="1158">
                  <c:v>205.9</c:v>
                </c:pt>
                <c:pt idx="1159">
                  <c:v>204.6</c:v>
                </c:pt>
                <c:pt idx="1160">
                  <c:v>206.4</c:v>
                </c:pt>
                <c:pt idx="1161">
                  <c:v>205.75</c:v>
                </c:pt>
                <c:pt idx="1162">
                  <c:v>206.3</c:v>
                </c:pt>
                <c:pt idx="1163">
                  <c:v>208.9</c:v>
                </c:pt>
                <c:pt idx="1164">
                  <c:v>208.95</c:v>
                </c:pt>
                <c:pt idx="1165">
                  <c:v>209.2</c:v>
                </c:pt>
                <c:pt idx="1166">
                  <c:v>210.9</c:v>
                </c:pt>
                <c:pt idx="1167">
                  <c:v>211.45</c:v>
                </c:pt>
                <c:pt idx="1168">
                  <c:v>208.9</c:v>
                </c:pt>
                <c:pt idx="1169">
                  <c:v>208.65</c:v>
                </c:pt>
                <c:pt idx="1170">
                  <c:v>209.85</c:v>
                </c:pt>
                <c:pt idx="1171">
                  <c:v>213.8</c:v>
                </c:pt>
                <c:pt idx="1172">
                  <c:v>214.25</c:v>
                </c:pt>
                <c:pt idx="1173">
                  <c:v>215.25</c:v>
                </c:pt>
                <c:pt idx="1174">
                  <c:v>208.6</c:v>
                </c:pt>
                <c:pt idx="1175">
                  <c:v>209.9</c:v>
                </c:pt>
                <c:pt idx="1176">
                  <c:v>207.3</c:v>
                </c:pt>
                <c:pt idx="1177">
                  <c:v>204.95</c:v>
                </c:pt>
                <c:pt idx="1178">
                  <c:v>206.05</c:v>
                </c:pt>
                <c:pt idx="1179">
                  <c:v>209.1</c:v>
                </c:pt>
                <c:pt idx="1180">
                  <c:v>208.65</c:v>
                </c:pt>
                <c:pt idx="1181">
                  <c:v>211.15</c:v>
                </c:pt>
                <c:pt idx="1182">
                  <c:v>212.4</c:v>
                </c:pt>
                <c:pt idx="1183">
                  <c:v>207</c:v>
                </c:pt>
                <c:pt idx="1184">
                  <c:v>206.8</c:v>
                </c:pt>
                <c:pt idx="1185">
                  <c:v>207.75</c:v>
                </c:pt>
                <c:pt idx="1186">
                  <c:v>207.9</c:v>
                </c:pt>
                <c:pt idx="1187">
                  <c:v>206.25</c:v>
                </c:pt>
                <c:pt idx="1188">
                  <c:v>204.1</c:v>
                </c:pt>
                <c:pt idx="1189">
                  <c:v>201.85</c:v>
                </c:pt>
                <c:pt idx="1190">
                  <c:v>201.1</c:v>
                </c:pt>
                <c:pt idx="1191">
                  <c:v>201.35</c:v>
                </c:pt>
                <c:pt idx="1192">
                  <c:v>202</c:v>
                </c:pt>
                <c:pt idx="1193">
                  <c:v>203.75</c:v>
                </c:pt>
                <c:pt idx="1194">
                  <c:v>202.5</c:v>
                </c:pt>
                <c:pt idx="1195">
                  <c:v>203.65</c:v>
                </c:pt>
                <c:pt idx="1196">
                  <c:v>202.4</c:v>
                </c:pt>
                <c:pt idx="1197">
                  <c:v>203</c:v>
                </c:pt>
                <c:pt idx="1198">
                  <c:v>202.7</c:v>
                </c:pt>
                <c:pt idx="1199">
                  <c:v>203.3</c:v>
                </c:pt>
                <c:pt idx="1200">
                  <c:v>203.6</c:v>
                </c:pt>
                <c:pt idx="1201">
                  <c:v>205.05</c:v>
                </c:pt>
                <c:pt idx="1202">
                  <c:v>203.25</c:v>
                </c:pt>
                <c:pt idx="1203">
                  <c:v>203.95</c:v>
                </c:pt>
                <c:pt idx="1204">
                  <c:v>205.1</c:v>
                </c:pt>
                <c:pt idx="1205">
                  <c:v>204.45</c:v>
                </c:pt>
                <c:pt idx="1206">
                  <c:v>204.55</c:v>
                </c:pt>
                <c:pt idx="1207">
                  <c:v>205.65</c:v>
                </c:pt>
                <c:pt idx="1208">
                  <c:v>207.85</c:v>
                </c:pt>
                <c:pt idx="1209">
                  <c:v>207.05</c:v>
                </c:pt>
                <c:pt idx="1210">
                  <c:v>207.3</c:v>
                </c:pt>
                <c:pt idx="1211">
                  <c:v>207.9</c:v>
                </c:pt>
                <c:pt idx="1212">
                  <c:v>209.3</c:v>
                </c:pt>
                <c:pt idx="1213">
                  <c:v>212.5</c:v>
                </c:pt>
                <c:pt idx="1214">
                  <c:v>213.65</c:v>
                </c:pt>
                <c:pt idx="1215">
                  <c:v>211.45</c:v>
                </c:pt>
                <c:pt idx="1216">
                  <c:v>208.75</c:v>
                </c:pt>
                <c:pt idx="1217">
                  <c:v>209.05</c:v>
                </c:pt>
                <c:pt idx="1218">
                  <c:v>209</c:v>
                </c:pt>
                <c:pt idx="1219">
                  <c:v>215.25</c:v>
                </c:pt>
                <c:pt idx="1220">
                  <c:v>216.6</c:v>
                </c:pt>
                <c:pt idx="1221">
                  <c:v>212.9</c:v>
                </c:pt>
                <c:pt idx="1222">
                  <c:v>211.15</c:v>
                </c:pt>
                <c:pt idx="1223">
                  <c:v>210.6</c:v>
                </c:pt>
                <c:pt idx="1224">
                  <c:v>210.9</c:v>
                </c:pt>
                <c:pt idx="1225">
                  <c:v>211.5</c:v>
                </c:pt>
                <c:pt idx="1226">
                  <c:v>209.05</c:v>
                </c:pt>
                <c:pt idx="1227">
                  <c:v>207</c:v>
                </c:pt>
                <c:pt idx="1228">
                  <c:v>207.75</c:v>
                </c:pt>
                <c:pt idx="1229">
                  <c:v>210.05</c:v>
                </c:pt>
                <c:pt idx="1230">
                  <c:v>212.6</c:v>
                </c:pt>
                <c:pt idx="1231">
                  <c:v>212.25</c:v>
                </c:pt>
                <c:pt idx="1232">
                  <c:v>203.25</c:v>
                </c:pt>
                <c:pt idx="1233">
                  <c:v>204</c:v>
                </c:pt>
                <c:pt idx="1234">
                  <c:v>205.55</c:v>
                </c:pt>
                <c:pt idx="1235">
                  <c:v>205.35</c:v>
                </c:pt>
                <c:pt idx="1236">
                  <c:v>202.75</c:v>
                </c:pt>
                <c:pt idx="1237">
                  <c:v>201.4</c:v>
                </c:pt>
                <c:pt idx="1238">
                  <c:v>199.6</c:v>
                </c:pt>
                <c:pt idx="1239">
                  <c:v>200.95</c:v>
                </c:pt>
                <c:pt idx="1240">
                  <c:v>202.6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7B-41AD-BE53-8B3AF5C00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302320"/>
        <c:axId val="71302800"/>
      </c:lineChart>
      <c:catAx>
        <c:axId val="7130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02800"/>
        <c:crosses val="autoZero"/>
        <c:auto val="1"/>
        <c:lblAlgn val="ctr"/>
        <c:lblOffset val="100"/>
        <c:noMultiLvlLbl val="0"/>
      </c:catAx>
      <c:valAx>
        <c:axId val="71302800"/>
        <c:scaling>
          <c:orientation val="minMax"/>
          <c:max val="500"/>
          <c:min val="1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02320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481460944142546"/>
          <c:y val="7.4626865671641784E-2"/>
          <c:w val="0.70754845785121934"/>
          <c:h val="0.513408156070043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'Share Price'!$D$1</c:f>
              <c:strCache>
                <c:ptCount val="1"/>
                <c:pt idx="0">
                  <c:v>Volume 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'Share Price'!$A$2:$A$1242</c:f>
              <c:strCache>
                <c:ptCount val="1241"/>
                <c:pt idx="0">
                  <c:v>30-04-2026</c:v>
                </c:pt>
                <c:pt idx="1">
                  <c:v>29-04-2026</c:v>
                </c:pt>
                <c:pt idx="2">
                  <c:v>28-04-2026</c:v>
                </c:pt>
                <c:pt idx="3">
                  <c:v>27-04-2026</c:v>
                </c:pt>
                <c:pt idx="4">
                  <c:v>24-04-2026</c:v>
                </c:pt>
                <c:pt idx="5">
                  <c:v>23-04-2026</c:v>
                </c:pt>
                <c:pt idx="6">
                  <c:v>22-04-2026</c:v>
                </c:pt>
                <c:pt idx="7">
                  <c:v>21-04-2026</c:v>
                </c:pt>
                <c:pt idx="8">
                  <c:v>20-04-2026</c:v>
                </c:pt>
                <c:pt idx="9">
                  <c:v>17-04-2026</c:v>
                </c:pt>
                <c:pt idx="10">
                  <c:v>16-04-2026</c:v>
                </c:pt>
                <c:pt idx="11">
                  <c:v>15-04-2026</c:v>
                </c:pt>
                <c:pt idx="12">
                  <c:v>13-04-2026</c:v>
                </c:pt>
                <c:pt idx="13">
                  <c:v>10/4/2026</c:v>
                </c:pt>
                <c:pt idx="14">
                  <c:v>9/4/2026</c:v>
                </c:pt>
                <c:pt idx="15">
                  <c:v>8/4/2026</c:v>
                </c:pt>
                <c:pt idx="16">
                  <c:v>7/4/2026</c:v>
                </c:pt>
                <c:pt idx="17">
                  <c:v>6/4/2026</c:v>
                </c:pt>
                <c:pt idx="18">
                  <c:v>2/4/2026</c:v>
                </c:pt>
                <c:pt idx="19">
                  <c:v>1/4/2026</c:v>
                </c:pt>
                <c:pt idx="20">
                  <c:v>30-03-2026</c:v>
                </c:pt>
                <c:pt idx="21">
                  <c:v>27-03-2026</c:v>
                </c:pt>
                <c:pt idx="22">
                  <c:v>25-03-2026</c:v>
                </c:pt>
                <c:pt idx="23">
                  <c:v>24-03-2026</c:v>
                </c:pt>
                <c:pt idx="24">
                  <c:v>23-03-2026</c:v>
                </c:pt>
                <c:pt idx="25">
                  <c:v>20-03-2026</c:v>
                </c:pt>
                <c:pt idx="26">
                  <c:v>19-03-2026</c:v>
                </c:pt>
                <c:pt idx="27">
                  <c:v>18-03-2026</c:v>
                </c:pt>
                <c:pt idx="28">
                  <c:v>17-03-2026</c:v>
                </c:pt>
                <c:pt idx="29">
                  <c:v>16-03-2026</c:v>
                </c:pt>
                <c:pt idx="30">
                  <c:v>13-03-2026</c:v>
                </c:pt>
                <c:pt idx="31">
                  <c:v>12/3/2026</c:v>
                </c:pt>
                <c:pt idx="32">
                  <c:v>11/3/2026</c:v>
                </c:pt>
                <c:pt idx="33">
                  <c:v>10/3/2026</c:v>
                </c:pt>
                <c:pt idx="34">
                  <c:v>9/3/2026</c:v>
                </c:pt>
                <c:pt idx="35">
                  <c:v>6/3/2026</c:v>
                </c:pt>
                <c:pt idx="36">
                  <c:v>5/3/2026</c:v>
                </c:pt>
                <c:pt idx="37">
                  <c:v>4/3/2026</c:v>
                </c:pt>
                <c:pt idx="38">
                  <c:v>2/3/2026</c:v>
                </c:pt>
                <c:pt idx="39">
                  <c:v>27-02-2026</c:v>
                </c:pt>
                <c:pt idx="40">
                  <c:v>26-02-2026</c:v>
                </c:pt>
                <c:pt idx="41">
                  <c:v>25-02-2026</c:v>
                </c:pt>
                <c:pt idx="42">
                  <c:v>24-02-2026</c:v>
                </c:pt>
                <c:pt idx="43">
                  <c:v>23-02-2026</c:v>
                </c:pt>
                <c:pt idx="44">
                  <c:v>20-02-2026</c:v>
                </c:pt>
                <c:pt idx="45">
                  <c:v>19-02-2026</c:v>
                </c:pt>
                <c:pt idx="46">
                  <c:v>18-02-2026</c:v>
                </c:pt>
                <c:pt idx="47">
                  <c:v>17-02-2026</c:v>
                </c:pt>
                <c:pt idx="48">
                  <c:v>16-02-2026</c:v>
                </c:pt>
                <c:pt idx="49">
                  <c:v>13-02-2026</c:v>
                </c:pt>
                <c:pt idx="50">
                  <c:v>12/2/2026</c:v>
                </c:pt>
                <c:pt idx="51">
                  <c:v>11/2/2026</c:v>
                </c:pt>
                <c:pt idx="52">
                  <c:v>10/2/2026</c:v>
                </c:pt>
                <c:pt idx="53">
                  <c:v>9/2/2026</c:v>
                </c:pt>
                <c:pt idx="54">
                  <c:v>6/2/2026</c:v>
                </c:pt>
                <c:pt idx="55">
                  <c:v>5/2/2026</c:v>
                </c:pt>
                <c:pt idx="56">
                  <c:v>4/2/2026</c:v>
                </c:pt>
                <c:pt idx="57">
                  <c:v>3/2/2026</c:v>
                </c:pt>
                <c:pt idx="58">
                  <c:v>2/2/2026</c:v>
                </c:pt>
                <c:pt idx="59">
                  <c:v>1/2/2026</c:v>
                </c:pt>
                <c:pt idx="60">
                  <c:v>30-01-2026</c:v>
                </c:pt>
                <c:pt idx="61">
                  <c:v>29-01-2026</c:v>
                </c:pt>
                <c:pt idx="62">
                  <c:v>28-01-2026</c:v>
                </c:pt>
                <c:pt idx="63">
                  <c:v>27-01-2026</c:v>
                </c:pt>
                <c:pt idx="64">
                  <c:v>23-01-2026</c:v>
                </c:pt>
                <c:pt idx="65">
                  <c:v>22-01-2026</c:v>
                </c:pt>
                <c:pt idx="66">
                  <c:v>21-01-2026</c:v>
                </c:pt>
                <c:pt idx="67">
                  <c:v>20-01-2026</c:v>
                </c:pt>
                <c:pt idx="68">
                  <c:v>19-01-2026</c:v>
                </c:pt>
                <c:pt idx="69">
                  <c:v>16-01-2026</c:v>
                </c:pt>
                <c:pt idx="70">
                  <c:v>14-01-2026</c:v>
                </c:pt>
                <c:pt idx="71">
                  <c:v>13-01-2026</c:v>
                </c:pt>
                <c:pt idx="72">
                  <c:v>12/1/2026</c:v>
                </c:pt>
                <c:pt idx="73">
                  <c:v>9/1/2026</c:v>
                </c:pt>
                <c:pt idx="74">
                  <c:v>8/1/2026</c:v>
                </c:pt>
                <c:pt idx="75">
                  <c:v>7/1/2026</c:v>
                </c:pt>
                <c:pt idx="76">
                  <c:v>6/1/2026</c:v>
                </c:pt>
                <c:pt idx="77">
                  <c:v>5/1/2026</c:v>
                </c:pt>
                <c:pt idx="78">
                  <c:v>2/1/2026</c:v>
                </c:pt>
                <c:pt idx="79">
                  <c:v>1/1/2026</c:v>
                </c:pt>
                <c:pt idx="80">
                  <c:v>31-12-2025</c:v>
                </c:pt>
                <c:pt idx="81">
                  <c:v>30-12-2025</c:v>
                </c:pt>
                <c:pt idx="82">
                  <c:v>29-12-2025</c:v>
                </c:pt>
                <c:pt idx="83">
                  <c:v>26-12-2025</c:v>
                </c:pt>
                <c:pt idx="84">
                  <c:v>24-12-2025</c:v>
                </c:pt>
                <c:pt idx="85">
                  <c:v>23-12-2025</c:v>
                </c:pt>
                <c:pt idx="86">
                  <c:v>22-12-2025</c:v>
                </c:pt>
                <c:pt idx="87">
                  <c:v>19-12-2025</c:v>
                </c:pt>
                <c:pt idx="88">
                  <c:v>18-12-2025</c:v>
                </c:pt>
                <c:pt idx="89">
                  <c:v>17-12-2025</c:v>
                </c:pt>
                <c:pt idx="90">
                  <c:v>16-12-2025</c:v>
                </c:pt>
                <c:pt idx="91">
                  <c:v>15-12-2025</c:v>
                </c:pt>
                <c:pt idx="92">
                  <c:v>12/12/2025</c:v>
                </c:pt>
                <c:pt idx="93">
                  <c:v>11/12/2025</c:v>
                </c:pt>
                <c:pt idx="94">
                  <c:v>10/12/2025</c:v>
                </c:pt>
                <c:pt idx="95">
                  <c:v>9/12/2025</c:v>
                </c:pt>
                <c:pt idx="96">
                  <c:v>8/12/2025</c:v>
                </c:pt>
                <c:pt idx="97">
                  <c:v>5/12/2025</c:v>
                </c:pt>
                <c:pt idx="98">
                  <c:v>4/12/2025</c:v>
                </c:pt>
                <c:pt idx="99">
                  <c:v>3/12/2025</c:v>
                </c:pt>
                <c:pt idx="100">
                  <c:v>2/12/2025</c:v>
                </c:pt>
                <c:pt idx="101">
                  <c:v>1/12/2025</c:v>
                </c:pt>
                <c:pt idx="102">
                  <c:v>28-11-2025</c:v>
                </c:pt>
                <c:pt idx="103">
                  <c:v>27-11-2025</c:v>
                </c:pt>
                <c:pt idx="104">
                  <c:v>26-11-2025</c:v>
                </c:pt>
                <c:pt idx="105">
                  <c:v>25-11-2025</c:v>
                </c:pt>
                <c:pt idx="106">
                  <c:v>24-11-2025</c:v>
                </c:pt>
                <c:pt idx="107">
                  <c:v>21-11-2025</c:v>
                </c:pt>
                <c:pt idx="108">
                  <c:v>20-11-2025</c:v>
                </c:pt>
                <c:pt idx="109">
                  <c:v>19-11-2025</c:v>
                </c:pt>
                <c:pt idx="110">
                  <c:v>18-11-2025</c:v>
                </c:pt>
                <c:pt idx="111">
                  <c:v>17-11-2025</c:v>
                </c:pt>
                <c:pt idx="112">
                  <c:v>14-11-2025</c:v>
                </c:pt>
                <c:pt idx="113">
                  <c:v>13-11-2025</c:v>
                </c:pt>
                <c:pt idx="114">
                  <c:v>12/11/2025</c:v>
                </c:pt>
                <c:pt idx="115">
                  <c:v>11/11/2025</c:v>
                </c:pt>
                <c:pt idx="116">
                  <c:v>10/11/2025</c:v>
                </c:pt>
                <c:pt idx="117">
                  <c:v>7/11/2025</c:v>
                </c:pt>
                <c:pt idx="118">
                  <c:v>6/11/2025</c:v>
                </c:pt>
                <c:pt idx="119">
                  <c:v>4/11/2025</c:v>
                </c:pt>
                <c:pt idx="120">
                  <c:v>3/11/2025</c:v>
                </c:pt>
                <c:pt idx="121">
                  <c:v>31-10-2025</c:v>
                </c:pt>
                <c:pt idx="122">
                  <c:v>30-10-2025</c:v>
                </c:pt>
                <c:pt idx="123">
                  <c:v>29-10-2025</c:v>
                </c:pt>
                <c:pt idx="124">
                  <c:v>28-10-2025</c:v>
                </c:pt>
                <c:pt idx="125">
                  <c:v>27-10-2025</c:v>
                </c:pt>
                <c:pt idx="126">
                  <c:v>24-10-2025</c:v>
                </c:pt>
                <c:pt idx="127">
                  <c:v>23-10-2025</c:v>
                </c:pt>
                <c:pt idx="128">
                  <c:v>21-10-2025</c:v>
                </c:pt>
                <c:pt idx="129">
                  <c:v>20-10-2025</c:v>
                </c:pt>
                <c:pt idx="130">
                  <c:v>17-10-2025</c:v>
                </c:pt>
                <c:pt idx="131">
                  <c:v>16-10-2025</c:v>
                </c:pt>
                <c:pt idx="132">
                  <c:v>15-10-2025</c:v>
                </c:pt>
                <c:pt idx="133">
                  <c:v>14-10-2025</c:v>
                </c:pt>
                <c:pt idx="134">
                  <c:v>13-10-2025</c:v>
                </c:pt>
                <c:pt idx="135">
                  <c:v>10/10/2025</c:v>
                </c:pt>
                <c:pt idx="136">
                  <c:v>9/10/2025</c:v>
                </c:pt>
                <c:pt idx="137">
                  <c:v>8/10/2025</c:v>
                </c:pt>
                <c:pt idx="138">
                  <c:v>7/10/2025</c:v>
                </c:pt>
                <c:pt idx="139">
                  <c:v>6/10/2025</c:v>
                </c:pt>
                <c:pt idx="140">
                  <c:v>3/10/2025</c:v>
                </c:pt>
                <c:pt idx="141">
                  <c:v>1/10/2025</c:v>
                </c:pt>
                <c:pt idx="142">
                  <c:v>30-09-2025</c:v>
                </c:pt>
                <c:pt idx="143">
                  <c:v>29-09-2025</c:v>
                </c:pt>
                <c:pt idx="144">
                  <c:v>26-09-2025</c:v>
                </c:pt>
                <c:pt idx="145">
                  <c:v>25-09-2025</c:v>
                </c:pt>
                <c:pt idx="146">
                  <c:v>24-09-2025</c:v>
                </c:pt>
                <c:pt idx="147">
                  <c:v>23-09-2025</c:v>
                </c:pt>
                <c:pt idx="148">
                  <c:v>22-09-2025</c:v>
                </c:pt>
                <c:pt idx="149">
                  <c:v>19-09-2025</c:v>
                </c:pt>
                <c:pt idx="150">
                  <c:v>18-09-2025</c:v>
                </c:pt>
                <c:pt idx="151">
                  <c:v>17-09-2025</c:v>
                </c:pt>
                <c:pt idx="152">
                  <c:v>16-09-2025</c:v>
                </c:pt>
                <c:pt idx="153">
                  <c:v>15-09-2025</c:v>
                </c:pt>
                <c:pt idx="154">
                  <c:v>12/9/2025</c:v>
                </c:pt>
                <c:pt idx="155">
                  <c:v>11/9/2025</c:v>
                </c:pt>
                <c:pt idx="156">
                  <c:v>10/9/2025</c:v>
                </c:pt>
                <c:pt idx="157">
                  <c:v>9/9/2025</c:v>
                </c:pt>
                <c:pt idx="158">
                  <c:v>8/9/2025</c:v>
                </c:pt>
                <c:pt idx="159">
                  <c:v>5/9/2025</c:v>
                </c:pt>
                <c:pt idx="160">
                  <c:v>4/9/2025</c:v>
                </c:pt>
                <c:pt idx="161">
                  <c:v>3/9/2025</c:v>
                </c:pt>
                <c:pt idx="162">
                  <c:v>2/9/2025</c:v>
                </c:pt>
                <c:pt idx="163">
                  <c:v>1/9/2025</c:v>
                </c:pt>
                <c:pt idx="164">
                  <c:v>29-08-2025</c:v>
                </c:pt>
                <c:pt idx="165">
                  <c:v>28-08-2025</c:v>
                </c:pt>
                <c:pt idx="166">
                  <c:v>26-08-2025</c:v>
                </c:pt>
                <c:pt idx="167">
                  <c:v>25-08-2025</c:v>
                </c:pt>
                <c:pt idx="168">
                  <c:v>22-08-2025</c:v>
                </c:pt>
                <c:pt idx="169">
                  <c:v>21-08-2025</c:v>
                </c:pt>
                <c:pt idx="170">
                  <c:v>20-08-2025</c:v>
                </c:pt>
                <c:pt idx="171">
                  <c:v>19-08-2025</c:v>
                </c:pt>
                <c:pt idx="172">
                  <c:v>18-08-2025</c:v>
                </c:pt>
                <c:pt idx="173">
                  <c:v>14-08-2025</c:v>
                </c:pt>
                <c:pt idx="174">
                  <c:v>13-08-2025</c:v>
                </c:pt>
                <c:pt idx="175">
                  <c:v>12/8/2025</c:v>
                </c:pt>
                <c:pt idx="176">
                  <c:v>11/8/2025</c:v>
                </c:pt>
                <c:pt idx="177">
                  <c:v>8/8/2025</c:v>
                </c:pt>
                <c:pt idx="178">
                  <c:v>7/8/2025</c:v>
                </c:pt>
                <c:pt idx="179">
                  <c:v>6/8/2025</c:v>
                </c:pt>
                <c:pt idx="180">
                  <c:v>5/8/2025</c:v>
                </c:pt>
                <c:pt idx="181">
                  <c:v>4/8/2025</c:v>
                </c:pt>
                <c:pt idx="182">
                  <c:v>1/8/2025</c:v>
                </c:pt>
                <c:pt idx="183">
                  <c:v>31-07-2025</c:v>
                </c:pt>
                <c:pt idx="184">
                  <c:v>30-07-2025</c:v>
                </c:pt>
                <c:pt idx="185">
                  <c:v>29-07-2025</c:v>
                </c:pt>
                <c:pt idx="186">
                  <c:v>28-07-2025</c:v>
                </c:pt>
                <c:pt idx="187">
                  <c:v>25-07-2025</c:v>
                </c:pt>
                <c:pt idx="188">
                  <c:v>24-07-2025</c:v>
                </c:pt>
                <c:pt idx="189">
                  <c:v>23-07-2025</c:v>
                </c:pt>
                <c:pt idx="190">
                  <c:v>22-07-2025</c:v>
                </c:pt>
                <c:pt idx="191">
                  <c:v>21-07-2025</c:v>
                </c:pt>
                <c:pt idx="192">
                  <c:v>18-07-2025</c:v>
                </c:pt>
                <c:pt idx="193">
                  <c:v>17-07-2025</c:v>
                </c:pt>
                <c:pt idx="194">
                  <c:v>16-07-2025</c:v>
                </c:pt>
                <c:pt idx="195">
                  <c:v>15-07-2025</c:v>
                </c:pt>
                <c:pt idx="196">
                  <c:v>14-07-2025</c:v>
                </c:pt>
                <c:pt idx="197">
                  <c:v>11/7/2025</c:v>
                </c:pt>
                <c:pt idx="198">
                  <c:v>10/7/2025</c:v>
                </c:pt>
                <c:pt idx="199">
                  <c:v>9/7/2025</c:v>
                </c:pt>
                <c:pt idx="200">
                  <c:v>8/7/2025</c:v>
                </c:pt>
                <c:pt idx="201">
                  <c:v>7/7/2025</c:v>
                </c:pt>
                <c:pt idx="202">
                  <c:v>4/7/2025</c:v>
                </c:pt>
                <c:pt idx="203">
                  <c:v>3/7/2025</c:v>
                </c:pt>
                <c:pt idx="204">
                  <c:v>2/7/2025</c:v>
                </c:pt>
                <c:pt idx="205">
                  <c:v>1/7/2025</c:v>
                </c:pt>
                <c:pt idx="206">
                  <c:v>30-06-2025</c:v>
                </c:pt>
                <c:pt idx="207">
                  <c:v>27-06-2025</c:v>
                </c:pt>
                <c:pt idx="208">
                  <c:v>26-06-2025</c:v>
                </c:pt>
                <c:pt idx="209">
                  <c:v>25-06-2025</c:v>
                </c:pt>
                <c:pt idx="210">
                  <c:v>24-06-2025</c:v>
                </c:pt>
                <c:pt idx="211">
                  <c:v>23-06-2025</c:v>
                </c:pt>
                <c:pt idx="212">
                  <c:v>20-06-2025</c:v>
                </c:pt>
                <c:pt idx="213">
                  <c:v>19-06-2025</c:v>
                </c:pt>
                <c:pt idx="214">
                  <c:v>18-06-2025</c:v>
                </c:pt>
                <c:pt idx="215">
                  <c:v>17-06-2025</c:v>
                </c:pt>
                <c:pt idx="216">
                  <c:v>16-06-2025</c:v>
                </c:pt>
                <c:pt idx="217">
                  <c:v>13-06-2025</c:v>
                </c:pt>
                <c:pt idx="218">
                  <c:v>12/6/2025</c:v>
                </c:pt>
                <c:pt idx="219">
                  <c:v>11/6/2025</c:v>
                </c:pt>
                <c:pt idx="220">
                  <c:v>10/6/2025</c:v>
                </c:pt>
                <c:pt idx="221">
                  <c:v>9/6/2025</c:v>
                </c:pt>
                <c:pt idx="222">
                  <c:v>6/6/2025</c:v>
                </c:pt>
                <c:pt idx="223">
                  <c:v>5/6/2025</c:v>
                </c:pt>
                <c:pt idx="224">
                  <c:v>4/6/2025</c:v>
                </c:pt>
                <c:pt idx="225">
                  <c:v>3/6/2025</c:v>
                </c:pt>
                <c:pt idx="226">
                  <c:v>2/6/2025</c:v>
                </c:pt>
                <c:pt idx="227">
                  <c:v>30-05-2025</c:v>
                </c:pt>
                <c:pt idx="228">
                  <c:v>29-05-2025</c:v>
                </c:pt>
                <c:pt idx="229">
                  <c:v>28-05-2025</c:v>
                </c:pt>
                <c:pt idx="230">
                  <c:v>27-05-2025</c:v>
                </c:pt>
                <c:pt idx="231">
                  <c:v>26-05-2025</c:v>
                </c:pt>
                <c:pt idx="232">
                  <c:v>23-05-2025</c:v>
                </c:pt>
                <c:pt idx="233">
                  <c:v>22-05-2025</c:v>
                </c:pt>
                <c:pt idx="234">
                  <c:v>21-05-2025</c:v>
                </c:pt>
                <c:pt idx="235">
                  <c:v>20-05-2025</c:v>
                </c:pt>
                <c:pt idx="236">
                  <c:v>19-05-2025</c:v>
                </c:pt>
                <c:pt idx="237">
                  <c:v>16-05-2025</c:v>
                </c:pt>
                <c:pt idx="238">
                  <c:v>15-05-2025</c:v>
                </c:pt>
                <c:pt idx="239">
                  <c:v>14-05-2025</c:v>
                </c:pt>
                <c:pt idx="240">
                  <c:v>13-05-2025</c:v>
                </c:pt>
                <c:pt idx="241">
                  <c:v>12/5/2025</c:v>
                </c:pt>
                <c:pt idx="242">
                  <c:v>9/5/2025</c:v>
                </c:pt>
                <c:pt idx="243">
                  <c:v>8/5/2025</c:v>
                </c:pt>
                <c:pt idx="244">
                  <c:v>7/5/2025</c:v>
                </c:pt>
                <c:pt idx="245">
                  <c:v>6/5/2025</c:v>
                </c:pt>
                <c:pt idx="246">
                  <c:v>5/5/2025</c:v>
                </c:pt>
                <c:pt idx="247">
                  <c:v>2/5/2025</c:v>
                </c:pt>
                <c:pt idx="248">
                  <c:v>30-04-2025</c:v>
                </c:pt>
                <c:pt idx="249">
                  <c:v>29-04-2025</c:v>
                </c:pt>
                <c:pt idx="250">
                  <c:v>28-04-2025</c:v>
                </c:pt>
                <c:pt idx="251">
                  <c:v>25-04-2025</c:v>
                </c:pt>
                <c:pt idx="252">
                  <c:v>24-04-2025</c:v>
                </c:pt>
                <c:pt idx="253">
                  <c:v>23-04-2025</c:v>
                </c:pt>
                <c:pt idx="254">
                  <c:v>22-04-2025</c:v>
                </c:pt>
                <c:pt idx="255">
                  <c:v>21-04-2025</c:v>
                </c:pt>
                <c:pt idx="256">
                  <c:v>17-04-2025</c:v>
                </c:pt>
                <c:pt idx="257">
                  <c:v>16-04-2025</c:v>
                </c:pt>
                <c:pt idx="258">
                  <c:v>15-04-2025</c:v>
                </c:pt>
                <c:pt idx="259">
                  <c:v>11/4/2025</c:v>
                </c:pt>
                <c:pt idx="260">
                  <c:v>9/4/2025</c:v>
                </c:pt>
                <c:pt idx="261">
                  <c:v>8/4/2025</c:v>
                </c:pt>
                <c:pt idx="262">
                  <c:v>7/4/2025</c:v>
                </c:pt>
                <c:pt idx="263">
                  <c:v>4/4/2025</c:v>
                </c:pt>
                <c:pt idx="264">
                  <c:v>3/4/2025</c:v>
                </c:pt>
                <c:pt idx="265">
                  <c:v>2/4/2025</c:v>
                </c:pt>
                <c:pt idx="266">
                  <c:v>1/4/2025</c:v>
                </c:pt>
                <c:pt idx="267">
                  <c:v>28-03-2025</c:v>
                </c:pt>
                <c:pt idx="268">
                  <c:v>27-03-2025</c:v>
                </c:pt>
                <c:pt idx="269">
                  <c:v>26-03-2025</c:v>
                </c:pt>
                <c:pt idx="270">
                  <c:v>25-03-2025</c:v>
                </c:pt>
                <c:pt idx="271">
                  <c:v>24-03-2025</c:v>
                </c:pt>
                <c:pt idx="272">
                  <c:v>21-03-2025</c:v>
                </c:pt>
                <c:pt idx="273">
                  <c:v>20-03-2025</c:v>
                </c:pt>
                <c:pt idx="274">
                  <c:v>19-03-2025</c:v>
                </c:pt>
                <c:pt idx="275">
                  <c:v>18-03-2025</c:v>
                </c:pt>
                <c:pt idx="276">
                  <c:v>17-03-2025</c:v>
                </c:pt>
                <c:pt idx="277">
                  <c:v>13-03-2025</c:v>
                </c:pt>
                <c:pt idx="278">
                  <c:v>12/3/2025</c:v>
                </c:pt>
                <c:pt idx="279">
                  <c:v>11/3/2025</c:v>
                </c:pt>
                <c:pt idx="280">
                  <c:v>10/3/2025</c:v>
                </c:pt>
                <c:pt idx="281">
                  <c:v>7/3/2025</c:v>
                </c:pt>
                <c:pt idx="282">
                  <c:v>6/3/2025</c:v>
                </c:pt>
                <c:pt idx="283">
                  <c:v>5/3/2025</c:v>
                </c:pt>
                <c:pt idx="284">
                  <c:v>4/3/2025</c:v>
                </c:pt>
                <c:pt idx="285">
                  <c:v>3/3/2025</c:v>
                </c:pt>
                <c:pt idx="286">
                  <c:v>28-02-2025</c:v>
                </c:pt>
                <c:pt idx="287">
                  <c:v>27-02-2025</c:v>
                </c:pt>
                <c:pt idx="288">
                  <c:v>25-02-2025</c:v>
                </c:pt>
                <c:pt idx="289">
                  <c:v>24-02-2025</c:v>
                </c:pt>
                <c:pt idx="290">
                  <c:v>21-02-2025</c:v>
                </c:pt>
                <c:pt idx="291">
                  <c:v>20-02-2025</c:v>
                </c:pt>
                <c:pt idx="292">
                  <c:v>19-02-2025</c:v>
                </c:pt>
                <c:pt idx="293">
                  <c:v>18-02-2025</c:v>
                </c:pt>
                <c:pt idx="294">
                  <c:v>17-02-2025</c:v>
                </c:pt>
                <c:pt idx="295">
                  <c:v>14-02-2025</c:v>
                </c:pt>
                <c:pt idx="296">
                  <c:v>13-02-2025</c:v>
                </c:pt>
                <c:pt idx="297">
                  <c:v>12/2/2025</c:v>
                </c:pt>
                <c:pt idx="298">
                  <c:v>11/2/2025</c:v>
                </c:pt>
                <c:pt idx="299">
                  <c:v>10/2/2025</c:v>
                </c:pt>
                <c:pt idx="300">
                  <c:v>7/2/2025</c:v>
                </c:pt>
                <c:pt idx="301">
                  <c:v>6/2/2025</c:v>
                </c:pt>
                <c:pt idx="302">
                  <c:v>5/2/2025</c:v>
                </c:pt>
                <c:pt idx="303">
                  <c:v>4/2/2025</c:v>
                </c:pt>
                <c:pt idx="304">
                  <c:v>3/2/2025</c:v>
                </c:pt>
                <c:pt idx="305">
                  <c:v>1/2/2025</c:v>
                </c:pt>
                <c:pt idx="306">
                  <c:v>31-01-2025</c:v>
                </c:pt>
                <c:pt idx="307">
                  <c:v>30-01-2025</c:v>
                </c:pt>
                <c:pt idx="308">
                  <c:v>29-01-2025</c:v>
                </c:pt>
                <c:pt idx="309">
                  <c:v>28-01-2025</c:v>
                </c:pt>
                <c:pt idx="310">
                  <c:v>27-01-2025</c:v>
                </c:pt>
                <c:pt idx="311">
                  <c:v>24-01-2025</c:v>
                </c:pt>
                <c:pt idx="312">
                  <c:v>23-01-2025</c:v>
                </c:pt>
                <c:pt idx="313">
                  <c:v>22-01-2025</c:v>
                </c:pt>
                <c:pt idx="314">
                  <c:v>21-01-2025</c:v>
                </c:pt>
                <c:pt idx="315">
                  <c:v>20-01-2025</c:v>
                </c:pt>
                <c:pt idx="316">
                  <c:v>17-01-2025</c:v>
                </c:pt>
                <c:pt idx="317">
                  <c:v>16-01-2025</c:v>
                </c:pt>
                <c:pt idx="318">
                  <c:v>15-01-2025</c:v>
                </c:pt>
                <c:pt idx="319">
                  <c:v>14-01-2025</c:v>
                </c:pt>
                <c:pt idx="320">
                  <c:v>13-01-2025</c:v>
                </c:pt>
                <c:pt idx="321">
                  <c:v>10/1/2025</c:v>
                </c:pt>
                <c:pt idx="322">
                  <c:v>9/1/2025</c:v>
                </c:pt>
                <c:pt idx="323">
                  <c:v>8/1/2025</c:v>
                </c:pt>
                <c:pt idx="324">
                  <c:v>7/1/2025</c:v>
                </c:pt>
                <c:pt idx="325">
                  <c:v>6/1/2025</c:v>
                </c:pt>
                <c:pt idx="326">
                  <c:v>3/1/2025</c:v>
                </c:pt>
                <c:pt idx="327">
                  <c:v>2/1/2025</c:v>
                </c:pt>
                <c:pt idx="328">
                  <c:v>1/1/2025</c:v>
                </c:pt>
                <c:pt idx="329">
                  <c:v>31-12-2024</c:v>
                </c:pt>
                <c:pt idx="330">
                  <c:v>30-12-2024</c:v>
                </c:pt>
                <c:pt idx="331">
                  <c:v>27-12-2024</c:v>
                </c:pt>
                <c:pt idx="332">
                  <c:v>26-12-2024</c:v>
                </c:pt>
                <c:pt idx="333">
                  <c:v>24-12-2024</c:v>
                </c:pt>
                <c:pt idx="334">
                  <c:v>23-12-2024</c:v>
                </c:pt>
                <c:pt idx="335">
                  <c:v>20-12-2024</c:v>
                </c:pt>
                <c:pt idx="336">
                  <c:v>19-12-2024</c:v>
                </c:pt>
                <c:pt idx="337">
                  <c:v>18-12-2024</c:v>
                </c:pt>
                <c:pt idx="338">
                  <c:v>17-12-2024</c:v>
                </c:pt>
                <c:pt idx="339">
                  <c:v>16-12-2024</c:v>
                </c:pt>
                <c:pt idx="340">
                  <c:v>13-12-2024</c:v>
                </c:pt>
                <c:pt idx="341">
                  <c:v>12/12/2024</c:v>
                </c:pt>
                <c:pt idx="342">
                  <c:v>11/12/2024</c:v>
                </c:pt>
                <c:pt idx="343">
                  <c:v>10/12/2024</c:v>
                </c:pt>
                <c:pt idx="344">
                  <c:v>9/12/2024</c:v>
                </c:pt>
                <c:pt idx="345">
                  <c:v>6/12/2024</c:v>
                </c:pt>
                <c:pt idx="346">
                  <c:v>5/12/2024</c:v>
                </c:pt>
                <c:pt idx="347">
                  <c:v>4/12/2024</c:v>
                </c:pt>
                <c:pt idx="348">
                  <c:v>3/12/2024</c:v>
                </c:pt>
                <c:pt idx="349">
                  <c:v>2/12/2024</c:v>
                </c:pt>
                <c:pt idx="350">
                  <c:v>29-11-2024</c:v>
                </c:pt>
                <c:pt idx="351">
                  <c:v>28-11-2024</c:v>
                </c:pt>
                <c:pt idx="352">
                  <c:v>27-11-2024</c:v>
                </c:pt>
                <c:pt idx="353">
                  <c:v>26-11-2024</c:v>
                </c:pt>
                <c:pt idx="354">
                  <c:v>25-11-2024</c:v>
                </c:pt>
                <c:pt idx="355">
                  <c:v>22-11-2024</c:v>
                </c:pt>
                <c:pt idx="356">
                  <c:v>21-11-2024</c:v>
                </c:pt>
                <c:pt idx="357">
                  <c:v>19-11-2024</c:v>
                </c:pt>
                <c:pt idx="358">
                  <c:v>18-11-2024</c:v>
                </c:pt>
                <c:pt idx="359">
                  <c:v>14-11-2024</c:v>
                </c:pt>
                <c:pt idx="360">
                  <c:v>13-11-2024</c:v>
                </c:pt>
                <c:pt idx="361">
                  <c:v>12/11/2024</c:v>
                </c:pt>
                <c:pt idx="362">
                  <c:v>11/11/2024</c:v>
                </c:pt>
                <c:pt idx="363">
                  <c:v>8/11/2024</c:v>
                </c:pt>
                <c:pt idx="364">
                  <c:v>7/11/2024</c:v>
                </c:pt>
                <c:pt idx="365">
                  <c:v>6/11/2024</c:v>
                </c:pt>
                <c:pt idx="366">
                  <c:v>5/11/2024</c:v>
                </c:pt>
                <c:pt idx="367">
                  <c:v>4/11/2024</c:v>
                </c:pt>
                <c:pt idx="368">
                  <c:v>1/11/2024</c:v>
                </c:pt>
                <c:pt idx="369">
                  <c:v>31-10-2024</c:v>
                </c:pt>
                <c:pt idx="370">
                  <c:v>30-10-2024</c:v>
                </c:pt>
                <c:pt idx="371">
                  <c:v>29-10-2024</c:v>
                </c:pt>
                <c:pt idx="372">
                  <c:v>28-10-2024</c:v>
                </c:pt>
                <c:pt idx="373">
                  <c:v>25-10-2024</c:v>
                </c:pt>
                <c:pt idx="374">
                  <c:v>24-10-2024</c:v>
                </c:pt>
                <c:pt idx="375">
                  <c:v>23-10-2024</c:v>
                </c:pt>
                <c:pt idx="376">
                  <c:v>22-10-2024</c:v>
                </c:pt>
                <c:pt idx="377">
                  <c:v>21-10-2024</c:v>
                </c:pt>
                <c:pt idx="378">
                  <c:v>18-10-2024</c:v>
                </c:pt>
                <c:pt idx="379">
                  <c:v>17-10-2024</c:v>
                </c:pt>
                <c:pt idx="380">
                  <c:v>16-10-2024</c:v>
                </c:pt>
                <c:pt idx="381">
                  <c:v>15-10-2024</c:v>
                </c:pt>
                <c:pt idx="382">
                  <c:v>14-10-2024</c:v>
                </c:pt>
                <c:pt idx="383">
                  <c:v>11/10/2024</c:v>
                </c:pt>
                <c:pt idx="384">
                  <c:v>10/10/2024</c:v>
                </c:pt>
                <c:pt idx="385">
                  <c:v>9/10/2024</c:v>
                </c:pt>
                <c:pt idx="386">
                  <c:v>8/10/2024</c:v>
                </c:pt>
                <c:pt idx="387">
                  <c:v>7/10/2024</c:v>
                </c:pt>
                <c:pt idx="388">
                  <c:v>4/10/2024</c:v>
                </c:pt>
                <c:pt idx="389">
                  <c:v>3/10/2024</c:v>
                </c:pt>
                <c:pt idx="390">
                  <c:v>1/10/2024</c:v>
                </c:pt>
                <c:pt idx="391">
                  <c:v>30-09-2024</c:v>
                </c:pt>
                <c:pt idx="392">
                  <c:v>27-09-2024</c:v>
                </c:pt>
                <c:pt idx="393">
                  <c:v>26-09-2024</c:v>
                </c:pt>
                <c:pt idx="394">
                  <c:v>25-09-2024</c:v>
                </c:pt>
                <c:pt idx="395">
                  <c:v>24-09-2024</c:v>
                </c:pt>
                <c:pt idx="396">
                  <c:v>23-09-2024</c:v>
                </c:pt>
                <c:pt idx="397">
                  <c:v>20-09-2024</c:v>
                </c:pt>
                <c:pt idx="398">
                  <c:v>19-09-2024</c:v>
                </c:pt>
                <c:pt idx="399">
                  <c:v>18-09-2024</c:v>
                </c:pt>
                <c:pt idx="400">
                  <c:v>17-09-2024</c:v>
                </c:pt>
                <c:pt idx="401">
                  <c:v>16-09-2024</c:v>
                </c:pt>
                <c:pt idx="402">
                  <c:v>13-09-2024</c:v>
                </c:pt>
                <c:pt idx="403">
                  <c:v>12/9/2024</c:v>
                </c:pt>
                <c:pt idx="404">
                  <c:v>11/9/2024</c:v>
                </c:pt>
                <c:pt idx="405">
                  <c:v>10/9/2024</c:v>
                </c:pt>
                <c:pt idx="406">
                  <c:v>9/9/2024</c:v>
                </c:pt>
                <c:pt idx="407">
                  <c:v>6/9/2024</c:v>
                </c:pt>
                <c:pt idx="408">
                  <c:v>5/9/2024</c:v>
                </c:pt>
                <c:pt idx="409">
                  <c:v>4/9/2024</c:v>
                </c:pt>
                <c:pt idx="410">
                  <c:v>3/9/2024</c:v>
                </c:pt>
                <c:pt idx="411">
                  <c:v>2/9/2024</c:v>
                </c:pt>
                <c:pt idx="412">
                  <c:v>30-08-2024</c:v>
                </c:pt>
                <c:pt idx="413">
                  <c:v>29-08-2024</c:v>
                </c:pt>
                <c:pt idx="414">
                  <c:v>28-08-2024</c:v>
                </c:pt>
                <c:pt idx="415">
                  <c:v>27-08-2024</c:v>
                </c:pt>
                <c:pt idx="416">
                  <c:v>26-08-2024</c:v>
                </c:pt>
                <c:pt idx="417">
                  <c:v>23-08-2024</c:v>
                </c:pt>
                <c:pt idx="418">
                  <c:v>22-08-2024</c:v>
                </c:pt>
                <c:pt idx="419">
                  <c:v>21-08-2024</c:v>
                </c:pt>
                <c:pt idx="420">
                  <c:v>20-08-2024</c:v>
                </c:pt>
                <c:pt idx="421">
                  <c:v>19-08-2024</c:v>
                </c:pt>
                <c:pt idx="422">
                  <c:v>16-08-2024</c:v>
                </c:pt>
                <c:pt idx="423">
                  <c:v>14-08-2024</c:v>
                </c:pt>
                <c:pt idx="424">
                  <c:v>13-08-2024</c:v>
                </c:pt>
                <c:pt idx="425">
                  <c:v>12/8/2024</c:v>
                </c:pt>
                <c:pt idx="426">
                  <c:v>9/8/2024</c:v>
                </c:pt>
                <c:pt idx="427">
                  <c:v>8/8/2024</c:v>
                </c:pt>
                <c:pt idx="428">
                  <c:v>7/8/2024</c:v>
                </c:pt>
                <c:pt idx="429">
                  <c:v>6/8/2024</c:v>
                </c:pt>
                <c:pt idx="430">
                  <c:v>5/8/2024</c:v>
                </c:pt>
                <c:pt idx="431">
                  <c:v>2/8/2024</c:v>
                </c:pt>
                <c:pt idx="432">
                  <c:v>1/8/2024</c:v>
                </c:pt>
                <c:pt idx="433">
                  <c:v>31-07-2024</c:v>
                </c:pt>
                <c:pt idx="434">
                  <c:v>30-07-2024</c:v>
                </c:pt>
                <c:pt idx="435">
                  <c:v>29-07-2024</c:v>
                </c:pt>
                <c:pt idx="436">
                  <c:v>26-07-2024</c:v>
                </c:pt>
                <c:pt idx="437">
                  <c:v>25-07-2024</c:v>
                </c:pt>
                <c:pt idx="438">
                  <c:v>24-07-2024</c:v>
                </c:pt>
                <c:pt idx="439">
                  <c:v>23-07-2024</c:v>
                </c:pt>
                <c:pt idx="440">
                  <c:v>22-07-2024</c:v>
                </c:pt>
                <c:pt idx="441">
                  <c:v>19-07-2024</c:v>
                </c:pt>
                <c:pt idx="442">
                  <c:v>18-07-2024</c:v>
                </c:pt>
                <c:pt idx="443">
                  <c:v>16-07-2024</c:v>
                </c:pt>
                <c:pt idx="444">
                  <c:v>15-07-2024</c:v>
                </c:pt>
                <c:pt idx="445">
                  <c:v>12/7/2024</c:v>
                </c:pt>
                <c:pt idx="446">
                  <c:v>11/7/2024</c:v>
                </c:pt>
                <c:pt idx="447">
                  <c:v>10/7/2024</c:v>
                </c:pt>
                <c:pt idx="448">
                  <c:v>9/7/2024</c:v>
                </c:pt>
                <c:pt idx="449">
                  <c:v>8/7/2024</c:v>
                </c:pt>
                <c:pt idx="450">
                  <c:v>5/7/2024</c:v>
                </c:pt>
                <c:pt idx="451">
                  <c:v>4/7/2024</c:v>
                </c:pt>
                <c:pt idx="452">
                  <c:v>3/7/2024</c:v>
                </c:pt>
                <c:pt idx="453">
                  <c:v>2/7/2024</c:v>
                </c:pt>
                <c:pt idx="454">
                  <c:v>1/7/2024</c:v>
                </c:pt>
                <c:pt idx="455">
                  <c:v>28-06-2024</c:v>
                </c:pt>
                <c:pt idx="456">
                  <c:v>27-06-2024</c:v>
                </c:pt>
                <c:pt idx="457">
                  <c:v>26-06-2024</c:v>
                </c:pt>
                <c:pt idx="458">
                  <c:v>25-06-2024</c:v>
                </c:pt>
                <c:pt idx="459">
                  <c:v>24-06-2024</c:v>
                </c:pt>
                <c:pt idx="460">
                  <c:v>21-06-2024</c:v>
                </c:pt>
                <c:pt idx="461">
                  <c:v>20-06-2024</c:v>
                </c:pt>
                <c:pt idx="462">
                  <c:v>19-06-2024</c:v>
                </c:pt>
                <c:pt idx="463">
                  <c:v>18-06-2024</c:v>
                </c:pt>
                <c:pt idx="464">
                  <c:v>14-06-2024</c:v>
                </c:pt>
                <c:pt idx="465">
                  <c:v>13-06-2024</c:v>
                </c:pt>
                <c:pt idx="466">
                  <c:v>12/6/2024</c:v>
                </c:pt>
                <c:pt idx="467">
                  <c:v>11/6/2024</c:v>
                </c:pt>
                <c:pt idx="468">
                  <c:v>10/6/2024</c:v>
                </c:pt>
                <c:pt idx="469">
                  <c:v>7/6/2024</c:v>
                </c:pt>
                <c:pt idx="470">
                  <c:v>6/6/2024</c:v>
                </c:pt>
                <c:pt idx="471">
                  <c:v>5/6/2024</c:v>
                </c:pt>
                <c:pt idx="472">
                  <c:v>4/6/2024</c:v>
                </c:pt>
                <c:pt idx="473">
                  <c:v>3/6/2024</c:v>
                </c:pt>
                <c:pt idx="474">
                  <c:v>31-05-2024</c:v>
                </c:pt>
                <c:pt idx="475">
                  <c:v>30-05-2024</c:v>
                </c:pt>
                <c:pt idx="476">
                  <c:v>29-05-2024</c:v>
                </c:pt>
                <c:pt idx="477">
                  <c:v>28-05-2024</c:v>
                </c:pt>
                <c:pt idx="478">
                  <c:v>27-05-2024</c:v>
                </c:pt>
                <c:pt idx="479">
                  <c:v>24-05-2024</c:v>
                </c:pt>
                <c:pt idx="480">
                  <c:v>23-05-2024</c:v>
                </c:pt>
                <c:pt idx="481">
                  <c:v>22-05-2024</c:v>
                </c:pt>
                <c:pt idx="482">
                  <c:v>21-05-2024</c:v>
                </c:pt>
                <c:pt idx="483">
                  <c:v>18-05-2024</c:v>
                </c:pt>
                <c:pt idx="484">
                  <c:v>17-05-2024</c:v>
                </c:pt>
                <c:pt idx="485">
                  <c:v>16-05-2024</c:v>
                </c:pt>
                <c:pt idx="486">
                  <c:v>15-05-2024</c:v>
                </c:pt>
                <c:pt idx="487">
                  <c:v>14-05-2024</c:v>
                </c:pt>
                <c:pt idx="488">
                  <c:v>13-05-2024</c:v>
                </c:pt>
                <c:pt idx="489">
                  <c:v>10/5/2024</c:v>
                </c:pt>
                <c:pt idx="490">
                  <c:v>9/5/2024</c:v>
                </c:pt>
                <c:pt idx="491">
                  <c:v>8/5/2024</c:v>
                </c:pt>
                <c:pt idx="492">
                  <c:v>7/5/2024</c:v>
                </c:pt>
                <c:pt idx="493">
                  <c:v>6/5/2024</c:v>
                </c:pt>
                <c:pt idx="494">
                  <c:v>3/5/2024</c:v>
                </c:pt>
                <c:pt idx="495">
                  <c:v>2/5/2024</c:v>
                </c:pt>
                <c:pt idx="496">
                  <c:v>30-04-2024</c:v>
                </c:pt>
                <c:pt idx="497">
                  <c:v>29-04-2024</c:v>
                </c:pt>
                <c:pt idx="498">
                  <c:v>26-04-2024</c:v>
                </c:pt>
                <c:pt idx="499">
                  <c:v>25-04-2024</c:v>
                </c:pt>
                <c:pt idx="500">
                  <c:v>24-04-2024</c:v>
                </c:pt>
                <c:pt idx="501">
                  <c:v>23-04-2024</c:v>
                </c:pt>
                <c:pt idx="502">
                  <c:v>22-04-2024</c:v>
                </c:pt>
                <c:pt idx="503">
                  <c:v>19-04-2024</c:v>
                </c:pt>
                <c:pt idx="504">
                  <c:v>18-04-2024</c:v>
                </c:pt>
                <c:pt idx="505">
                  <c:v>16-04-2024</c:v>
                </c:pt>
                <c:pt idx="506">
                  <c:v>15-04-2024</c:v>
                </c:pt>
                <c:pt idx="507">
                  <c:v>12/4/2024</c:v>
                </c:pt>
                <c:pt idx="508">
                  <c:v>10/4/2024</c:v>
                </c:pt>
                <c:pt idx="509">
                  <c:v>9/4/2024</c:v>
                </c:pt>
                <c:pt idx="510">
                  <c:v>8/4/2024</c:v>
                </c:pt>
                <c:pt idx="511">
                  <c:v>5/4/2024</c:v>
                </c:pt>
                <c:pt idx="512">
                  <c:v>4/4/2024</c:v>
                </c:pt>
                <c:pt idx="513">
                  <c:v>3/4/2024</c:v>
                </c:pt>
                <c:pt idx="514">
                  <c:v>2/4/2024</c:v>
                </c:pt>
                <c:pt idx="515">
                  <c:v>1/4/2024</c:v>
                </c:pt>
                <c:pt idx="516">
                  <c:v>28-03-2024</c:v>
                </c:pt>
                <c:pt idx="517">
                  <c:v>27-03-2024</c:v>
                </c:pt>
                <c:pt idx="518">
                  <c:v>26-03-2024</c:v>
                </c:pt>
                <c:pt idx="519">
                  <c:v>22-03-2024</c:v>
                </c:pt>
                <c:pt idx="520">
                  <c:v>21-03-2024</c:v>
                </c:pt>
                <c:pt idx="521">
                  <c:v>20-03-2024</c:v>
                </c:pt>
                <c:pt idx="522">
                  <c:v>19-03-2024</c:v>
                </c:pt>
                <c:pt idx="523">
                  <c:v>18-03-2024</c:v>
                </c:pt>
                <c:pt idx="524">
                  <c:v>15-03-2024</c:v>
                </c:pt>
                <c:pt idx="525">
                  <c:v>14-03-2024</c:v>
                </c:pt>
                <c:pt idx="526">
                  <c:v>13-03-2024</c:v>
                </c:pt>
                <c:pt idx="527">
                  <c:v>12/3/2024</c:v>
                </c:pt>
                <c:pt idx="528">
                  <c:v>11/3/2024</c:v>
                </c:pt>
                <c:pt idx="529">
                  <c:v>7/3/2024</c:v>
                </c:pt>
                <c:pt idx="530">
                  <c:v>6/3/2024</c:v>
                </c:pt>
                <c:pt idx="531">
                  <c:v>5/3/2024</c:v>
                </c:pt>
                <c:pt idx="532">
                  <c:v>4/3/2024</c:v>
                </c:pt>
                <c:pt idx="533">
                  <c:v>2/3/2024</c:v>
                </c:pt>
                <c:pt idx="534">
                  <c:v>1/3/2024</c:v>
                </c:pt>
                <c:pt idx="535">
                  <c:v>29-02-2024</c:v>
                </c:pt>
                <c:pt idx="536">
                  <c:v>28-02-2024</c:v>
                </c:pt>
                <c:pt idx="537">
                  <c:v>27-02-2024</c:v>
                </c:pt>
                <c:pt idx="538">
                  <c:v>26-02-2024</c:v>
                </c:pt>
                <c:pt idx="539">
                  <c:v>23-02-2024</c:v>
                </c:pt>
                <c:pt idx="540">
                  <c:v>22-02-2024</c:v>
                </c:pt>
                <c:pt idx="541">
                  <c:v>21-02-2024</c:v>
                </c:pt>
                <c:pt idx="542">
                  <c:v>20-02-2024</c:v>
                </c:pt>
                <c:pt idx="543">
                  <c:v>19-02-2024</c:v>
                </c:pt>
                <c:pt idx="544">
                  <c:v>16-02-2024</c:v>
                </c:pt>
                <c:pt idx="545">
                  <c:v>15-02-2024</c:v>
                </c:pt>
                <c:pt idx="546">
                  <c:v>14-02-2024</c:v>
                </c:pt>
                <c:pt idx="547">
                  <c:v>13-02-2024</c:v>
                </c:pt>
                <c:pt idx="548">
                  <c:v>12/2/2024</c:v>
                </c:pt>
                <c:pt idx="549">
                  <c:v>9/2/2024</c:v>
                </c:pt>
                <c:pt idx="550">
                  <c:v>8/2/2024</c:v>
                </c:pt>
                <c:pt idx="551">
                  <c:v>7/2/2024</c:v>
                </c:pt>
                <c:pt idx="552">
                  <c:v>6/2/2024</c:v>
                </c:pt>
                <c:pt idx="553">
                  <c:v>5/2/2024</c:v>
                </c:pt>
                <c:pt idx="554">
                  <c:v>2/2/2024</c:v>
                </c:pt>
                <c:pt idx="555">
                  <c:v>1/2/2024</c:v>
                </c:pt>
                <c:pt idx="556">
                  <c:v>31-01-2024</c:v>
                </c:pt>
                <c:pt idx="557">
                  <c:v>30-01-2024</c:v>
                </c:pt>
                <c:pt idx="558">
                  <c:v>29-01-2024</c:v>
                </c:pt>
                <c:pt idx="559">
                  <c:v>25-01-2024</c:v>
                </c:pt>
                <c:pt idx="560">
                  <c:v>24-01-2024</c:v>
                </c:pt>
                <c:pt idx="561">
                  <c:v>23-01-2024</c:v>
                </c:pt>
                <c:pt idx="562">
                  <c:v>20-01-2024</c:v>
                </c:pt>
                <c:pt idx="563">
                  <c:v>19-01-2024</c:v>
                </c:pt>
                <c:pt idx="564">
                  <c:v>18-01-2024</c:v>
                </c:pt>
                <c:pt idx="565">
                  <c:v>17-01-2024</c:v>
                </c:pt>
                <c:pt idx="566">
                  <c:v>16-01-2024</c:v>
                </c:pt>
                <c:pt idx="567">
                  <c:v>15-01-2024</c:v>
                </c:pt>
                <c:pt idx="568">
                  <c:v>12/1/2024</c:v>
                </c:pt>
                <c:pt idx="569">
                  <c:v>11/1/2024</c:v>
                </c:pt>
                <c:pt idx="570">
                  <c:v>10/1/2024</c:v>
                </c:pt>
                <c:pt idx="571">
                  <c:v>9/1/2024</c:v>
                </c:pt>
                <c:pt idx="572">
                  <c:v>8/1/2024</c:v>
                </c:pt>
                <c:pt idx="573">
                  <c:v>5/1/2024</c:v>
                </c:pt>
                <c:pt idx="574">
                  <c:v>4/1/2024</c:v>
                </c:pt>
                <c:pt idx="575">
                  <c:v>3/1/2024</c:v>
                </c:pt>
                <c:pt idx="576">
                  <c:v>2/1/2024</c:v>
                </c:pt>
                <c:pt idx="577">
                  <c:v>1/1/2024</c:v>
                </c:pt>
                <c:pt idx="578">
                  <c:v>29-12-2023</c:v>
                </c:pt>
                <c:pt idx="579">
                  <c:v>28-12-2023</c:v>
                </c:pt>
                <c:pt idx="580">
                  <c:v>27-12-2023</c:v>
                </c:pt>
                <c:pt idx="581">
                  <c:v>26-12-2023</c:v>
                </c:pt>
                <c:pt idx="582">
                  <c:v>22-12-2023</c:v>
                </c:pt>
                <c:pt idx="583">
                  <c:v>21-12-2023</c:v>
                </c:pt>
                <c:pt idx="584">
                  <c:v>20-12-2023</c:v>
                </c:pt>
                <c:pt idx="585">
                  <c:v>19-12-2023</c:v>
                </c:pt>
                <c:pt idx="586">
                  <c:v>18-12-2023</c:v>
                </c:pt>
                <c:pt idx="587">
                  <c:v>15-12-2023</c:v>
                </c:pt>
                <c:pt idx="588">
                  <c:v>14-12-2023</c:v>
                </c:pt>
                <c:pt idx="589">
                  <c:v>13-12-2023</c:v>
                </c:pt>
                <c:pt idx="590">
                  <c:v>12/12/2023</c:v>
                </c:pt>
                <c:pt idx="591">
                  <c:v>11/12/2023</c:v>
                </c:pt>
                <c:pt idx="592">
                  <c:v>8/12/2023</c:v>
                </c:pt>
                <c:pt idx="593">
                  <c:v>7/12/2023</c:v>
                </c:pt>
                <c:pt idx="594">
                  <c:v>6/12/2023</c:v>
                </c:pt>
                <c:pt idx="595">
                  <c:v>5/12/2023</c:v>
                </c:pt>
                <c:pt idx="596">
                  <c:v>4/12/2023</c:v>
                </c:pt>
                <c:pt idx="597">
                  <c:v>1/12/2023</c:v>
                </c:pt>
                <c:pt idx="598">
                  <c:v>30-11-2023</c:v>
                </c:pt>
                <c:pt idx="599">
                  <c:v>29-11-2023</c:v>
                </c:pt>
                <c:pt idx="600">
                  <c:v>28-11-2023</c:v>
                </c:pt>
                <c:pt idx="601">
                  <c:v>24-11-2023</c:v>
                </c:pt>
                <c:pt idx="602">
                  <c:v>23-11-2023</c:v>
                </c:pt>
                <c:pt idx="603">
                  <c:v>22-11-2023</c:v>
                </c:pt>
                <c:pt idx="604">
                  <c:v>21-11-2023</c:v>
                </c:pt>
                <c:pt idx="605">
                  <c:v>20-11-2023</c:v>
                </c:pt>
                <c:pt idx="606">
                  <c:v>17-11-2023</c:v>
                </c:pt>
                <c:pt idx="607">
                  <c:v>16-11-2023</c:v>
                </c:pt>
                <c:pt idx="608">
                  <c:v>15-11-2023</c:v>
                </c:pt>
                <c:pt idx="609">
                  <c:v>13-11-2023</c:v>
                </c:pt>
                <c:pt idx="610">
                  <c:v>12/11/2023</c:v>
                </c:pt>
                <c:pt idx="611">
                  <c:v>10/11/2023</c:v>
                </c:pt>
                <c:pt idx="612">
                  <c:v>9/11/2023</c:v>
                </c:pt>
                <c:pt idx="613">
                  <c:v>8/11/2023</c:v>
                </c:pt>
                <c:pt idx="614">
                  <c:v>7/11/2023</c:v>
                </c:pt>
                <c:pt idx="615">
                  <c:v>6/11/2023</c:v>
                </c:pt>
                <c:pt idx="616">
                  <c:v>3/11/2023</c:v>
                </c:pt>
                <c:pt idx="617">
                  <c:v>2/11/2023</c:v>
                </c:pt>
                <c:pt idx="618">
                  <c:v>1/11/2023</c:v>
                </c:pt>
                <c:pt idx="619">
                  <c:v>31-10-2023</c:v>
                </c:pt>
                <c:pt idx="620">
                  <c:v>30-10-2023</c:v>
                </c:pt>
                <c:pt idx="621">
                  <c:v>27-10-2023</c:v>
                </c:pt>
                <c:pt idx="622">
                  <c:v>26-10-2023</c:v>
                </c:pt>
                <c:pt idx="623">
                  <c:v>25-10-2023</c:v>
                </c:pt>
                <c:pt idx="624">
                  <c:v>23-10-2023</c:v>
                </c:pt>
                <c:pt idx="625">
                  <c:v>20-10-2023</c:v>
                </c:pt>
                <c:pt idx="626">
                  <c:v>19-10-2023</c:v>
                </c:pt>
                <c:pt idx="627">
                  <c:v>18-10-2023</c:v>
                </c:pt>
                <c:pt idx="628">
                  <c:v>17-10-2023</c:v>
                </c:pt>
                <c:pt idx="629">
                  <c:v>16-10-2023</c:v>
                </c:pt>
                <c:pt idx="630">
                  <c:v>13-10-2023</c:v>
                </c:pt>
                <c:pt idx="631">
                  <c:v>12/10/2023</c:v>
                </c:pt>
                <c:pt idx="632">
                  <c:v>11/10/2023</c:v>
                </c:pt>
                <c:pt idx="633">
                  <c:v>10/10/2023</c:v>
                </c:pt>
                <c:pt idx="634">
                  <c:v>9/10/2023</c:v>
                </c:pt>
                <c:pt idx="635">
                  <c:v>6/10/2023</c:v>
                </c:pt>
                <c:pt idx="636">
                  <c:v>5/10/2023</c:v>
                </c:pt>
                <c:pt idx="637">
                  <c:v>4/10/2023</c:v>
                </c:pt>
                <c:pt idx="638">
                  <c:v>3/10/2023</c:v>
                </c:pt>
                <c:pt idx="639">
                  <c:v>29-09-2023</c:v>
                </c:pt>
                <c:pt idx="640">
                  <c:v>28-09-2023</c:v>
                </c:pt>
                <c:pt idx="641">
                  <c:v>27-09-2023</c:v>
                </c:pt>
                <c:pt idx="642">
                  <c:v>26-09-2023</c:v>
                </c:pt>
                <c:pt idx="643">
                  <c:v>25-09-2023</c:v>
                </c:pt>
                <c:pt idx="644">
                  <c:v>22-09-2023</c:v>
                </c:pt>
                <c:pt idx="645">
                  <c:v>21-09-2023</c:v>
                </c:pt>
                <c:pt idx="646">
                  <c:v>20-09-2023</c:v>
                </c:pt>
                <c:pt idx="647">
                  <c:v>18-09-2023</c:v>
                </c:pt>
                <c:pt idx="648">
                  <c:v>15-09-2023</c:v>
                </c:pt>
                <c:pt idx="649">
                  <c:v>14-09-2023</c:v>
                </c:pt>
                <c:pt idx="650">
                  <c:v>13-09-2023</c:v>
                </c:pt>
                <c:pt idx="651">
                  <c:v>12/9/2023</c:v>
                </c:pt>
                <c:pt idx="652">
                  <c:v>11/9/2023</c:v>
                </c:pt>
                <c:pt idx="653">
                  <c:v>8/9/2023</c:v>
                </c:pt>
                <c:pt idx="654">
                  <c:v>7/9/2023</c:v>
                </c:pt>
                <c:pt idx="655">
                  <c:v>6/9/2023</c:v>
                </c:pt>
                <c:pt idx="656">
                  <c:v>5/9/2023</c:v>
                </c:pt>
                <c:pt idx="657">
                  <c:v>4/9/2023</c:v>
                </c:pt>
                <c:pt idx="658">
                  <c:v>1/9/2023</c:v>
                </c:pt>
                <c:pt idx="659">
                  <c:v>31-08-2023</c:v>
                </c:pt>
                <c:pt idx="660">
                  <c:v>30-08-2023</c:v>
                </c:pt>
                <c:pt idx="661">
                  <c:v>29-08-2023</c:v>
                </c:pt>
                <c:pt idx="662">
                  <c:v>28-08-2023</c:v>
                </c:pt>
                <c:pt idx="663">
                  <c:v>25-08-2023</c:v>
                </c:pt>
                <c:pt idx="664">
                  <c:v>24-08-2023</c:v>
                </c:pt>
                <c:pt idx="665">
                  <c:v>23-08-2023</c:v>
                </c:pt>
                <c:pt idx="666">
                  <c:v>22-08-2023</c:v>
                </c:pt>
                <c:pt idx="667">
                  <c:v>21-08-2023</c:v>
                </c:pt>
                <c:pt idx="668">
                  <c:v>18-08-2023</c:v>
                </c:pt>
                <c:pt idx="669">
                  <c:v>17-08-2023</c:v>
                </c:pt>
                <c:pt idx="670">
                  <c:v>16-08-2023</c:v>
                </c:pt>
                <c:pt idx="671">
                  <c:v>14-08-2023</c:v>
                </c:pt>
                <c:pt idx="672">
                  <c:v>11/8/2023</c:v>
                </c:pt>
                <c:pt idx="673">
                  <c:v>10/8/2023</c:v>
                </c:pt>
                <c:pt idx="674">
                  <c:v>9/8/2023</c:v>
                </c:pt>
                <c:pt idx="675">
                  <c:v>8/8/2023</c:v>
                </c:pt>
                <c:pt idx="676">
                  <c:v>7/8/2023</c:v>
                </c:pt>
                <c:pt idx="677">
                  <c:v>4/8/2023</c:v>
                </c:pt>
                <c:pt idx="678">
                  <c:v>3/8/2023</c:v>
                </c:pt>
                <c:pt idx="679">
                  <c:v>2/8/2023</c:v>
                </c:pt>
                <c:pt idx="680">
                  <c:v>1/8/2023</c:v>
                </c:pt>
                <c:pt idx="681">
                  <c:v>31-07-2023</c:v>
                </c:pt>
                <c:pt idx="682">
                  <c:v>28-07-2023</c:v>
                </c:pt>
                <c:pt idx="683">
                  <c:v>27-07-2023</c:v>
                </c:pt>
                <c:pt idx="684">
                  <c:v>26-07-2023</c:v>
                </c:pt>
                <c:pt idx="685">
                  <c:v>25-07-2023</c:v>
                </c:pt>
                <c:pt idx="686">
                  <c:v>24-07-2023</c:v>
                </c:pt>
                <c:pt idx="687">
                  <c:v>21-07-2023</c:v>
                </c:pt>
                <c:pt idx="688">
                  <c:v>20-07-2023</c:v>
                </c:pt>
                <c:pt idx="689">
                  <c:v>19-07-2023</c:v>
                </c:pt>
                <c:pt idx="690">
                  <c:v>18-07-2023</c:v>
                </c:pt>
                <c:pt idx="691">
                  <c:v>17-07-2023</c:v>
                </c:pt>
                <c:pt idx="692">
                  <c:v>14-07-2023</c:v>
                </c:pt>
                <c:pt idx="693">
                  <c:v>13-07-2023</c:v>
                </c:pt>
                <c:pt idx="694">
                  <c:v>12/7/2023</c:v>
                </c:pt>
                <c:pt idx="695">
                  <c:v>11/7/2023</c:v>
                </c:pt>
                <c:pt idx="696">
                  <c:v>10/7/2023</c:v>
                </c:pt>
                <c:pt idx="697">
                  <c:v>7/7/2023</c:v>
                </c:pt>
                <c:pt idx="698">
                  <c:v>6/7/2023</c:v>
                </c:pt>
                <c:pt idx="699">
                  <c:v>5/7/2023</c:v>
                </c:pt>
                <c:pt idx="700">
                  <c:v>4/7/2023</c:v>
                </c:pt>
                <c:pt idx="701">
                  <c:v>3/7/2023</c:v>
                </c:pt>
                <c:pt idx="702">
                  <c:v>30-06-2023</c:v>
                </c:pt>
                <c:pt idx="703">
                  <c:v>28-06-2023</c:v>
                </c:pt>
                <c:pt idx="704">
                  <c:v>27-06-2023</c:v>
                </c:pt>
                <c:pt idx="705">
                  <c:v>26-06-2023</c:v>
                </c:pt>
                <c:pt idx="706">
                  <c:v>23-06-2023</c:v>
                </c:pt>
                <c:pt idx="707">
                  <c:v>22-06-2023</c:v>
                </c:pt>
                <c:pt idx="708">
                  <c:v>21-06-2023</c:v>
                </c:pt>
                <c:pt idx="709">
                  <c:v>20-06-2023</c:v>
                </c:pt>
                <c:pt idx="710">
                  <c:v>19-06-2023</c:v>
                </c:pt>
                <c:pt idx="711">
                  <c:v>16-06-2023</c:v>
                </c:pt>
                <c:pt idx="712">
                  <c:v>15-06-2023</c:v>
                </c:pt>
                <c:pt idx="713">
                  <c:v>14-06-2023</c:v>
                </c:pt>
                <c:pt idx="714">
                  <c:v>13-06-2023</c:v>
                </c:pt>
                <c:pt idx="715">
                  <c:v>12/6/2023</c:v>
                </c:pt>
                <c:pt idx="716">
                  <c:v>9/6/2023</c:v>
                </c:pt>
                <c:pt idx="717">
                  <c:v>8/6/2023</c:v>
                </c:pt>
                <c:pt idx="718">
                  <c:v>7/6/2023</c:v>
                </c:pt>
                <c:pt idx="719">
                  <c:v>6/6/2023</c:v>
                </c:pt>
                <c:pt idx="720">
                  <c:v>5/6/2023</c:v>
                </c:pt>
                <c:pt idx="721">
                  <c:v>2/6/2023</c:v>
                </c:pt>
                <c:pt idx="722">
                  <c:v>1/6/2023</c:v>
                </c:pt>
                <c:pt idx="723">
                  <c:v>31-05-2023</c:v>
                </c:pt>
                <c:pt idx="724">
                  <c:v>30-05-2023</c:v>
                </c:pt>
                <c:pt idx="725">
                  <c:v>29-05-2023</c:v>
                </c:pt>
                <c:pt idx="726">
                  <c:v>26-05-2023</c:v>
                </c:pt>
                <c:pt idx="727">
                  <c:v>25-05-2023</c:v>
                </c:pt>
                <c:pt idx="728">
                  <c:v>24-05-2023</c:v>
                </c:pt>
                <c:pt idx="729">
                  <c:v>23-05-2023</c:v>
                </c:pt>
                <c:pt idx="730">
                  <c:v>22-05-2023</c:v>
                </c:pt>
                <c:pt idx="731">
                  <c:v>19-05-2023</c:v>
                </c:pt>
                <c:pt idx="732">
                  <c:v>18-05-2023</c:v>
                </c:pt>
                <c:pt idx="733">
                  <c:v>17-05-2023</c:v>
                </c:pt>
                <c:pt idx="734">
                  <c:v>16-05-2023</c:v>
                </c:pt>
                <c:pt idx="735">
                  <c:v>15-05-2023</c:v>
                </c:pt>
                <c:pt idx="736">
                  <c:v>12/5/2023</c:v>
                </c:pt>
                <c:pt idx="737">
                  <c:v>11/5/2023</c:v>
                </c:pt>
                <c:pt idx="738">
                  <c:v>10/5/2023</c:v>
                </c:pt>
                <c:pt idx="739">
                  <c:v>9/5/2023</c:v>
                </c:pt>
                <c:pt idx="740">
                  <c:v>8/5/2023</c:v>
                </c:pt>
                <c:pt idx="741">
                  <c:v>5/5/2023</c:v>
                </c:pt>
                <c:pt idx="742">
                  <c:v>4/5/2023</c:v>
                </c:pt>
                <c:pt idx="743">
                  <c:v>3/5/2023</c:v>
                </c:pt>
                <c:pt idx="744">
                  <c:v>2/5/2023</c:v>
                </c:pt>
                <c:pt idx="745">
                  <c:v>28-04-2023</c:v>
                </c:pt>
                <c:pt idx="746">
                  <c:v>27-04-2023</c:v>
                </c:pt>
                <c:pt idx="747">
                  <c:v>26-04-2023</c:v>
                </c:pt>
                <c:pt idx="748">
                  <c:v>25-04-2023</c:v>
                </c:pt>
                <c:pt idx="749">
                  <c:v>24-04-2023</c:v>
                </c:pt>
                <c:pt idx="750">
                  <c:v>21-04-2023</c:v>
                </c:pt>
                <c:pt idx="751">
                  <c:v>20-04-2023</c:v>
                </c:pt>
                <c:pt idx="752">
                  <c:v>19-04-2023</c:v>
                </c:pt>
                <c:pt idx="753">
                  <c:v>18-04-2023</c:v>
                </c:pt>
                <c:pt idx="754">
                  <c:v>17-04-2023</c:v>
                </c:pt>
                <c:pt idx="755">
                  <c:v>13-04-2023</c:v>
                </c:pt>
                <c:pt idx="756">
                  <c:v>12/4/2023</c:v>
                </c:pt>
                <c:pt idx="757">
                  <c:v>11/4/2023</c:v>
                </c:pt>
                <c:pt idx="758">
                  <c:v>10/4/2023</c:v>
                </c:pt>
                <c:pt idx="759">
                  <c:v>6/4/2023</c:v>
                </c:pt>
                <c:pt idx="760">
                  <c:v>5/4/2023</c:v>
                </c:pt>
                <c:pt idx="761">
                  <c:v>3/4/2023</c:v>
                </c:pt>
                <c:pt idx="762">
                  <c:v>31-03-2023</c:v>
                </c:pt>
                <c:pt idx="763">
                  <c:v>29-03-2023</c:v>
                </c:pt>
                <c:pt idx="764">
                  <c:v>28-03-2023</c:v>
                </c:pt>
                <c:pt idx="765">
                  <c:v>27-03-2023</c:v>
                </c:pt>
                <c:pt idx="766">
                  <c:v>24-03-2023</c:v>
                </c:pt>
                <c:pt idx="767">
                  <c:v>23-03-2023</c:v>
                </c:pt>
                <c:pt idx="768">
                  <c:v>22-03-2023</c:v>
                </c:pt>
                <c:pt idx="769">
                  <c:v>21-03-2023</c:v>
                </c:pt>
                <c:pt idx="770">
                  <c:v>20-03-2023</c:v>
                </c:pt>
                <c:pt idx="771">
                  <c:v>17-03-2023</c:v>
                </c:pt>
                <c:pt idx="772">
                  <c:v>16-03-2023</c:v>
                </c:pt>
                <c:pt idx="773">
                  <c:v>15-03-2023</c:v>
                </c:pt>
                <c:pt idx="774">
                  <c:v>14-03-2023</c:v>
                </c:pt>
                <c:pt idx="775">
                  <c:v>13-03-2023</c:v>
                </c:pt>
                <c:pt idx="776">
                  <c:v>10/3/2023</c:v>
                </c:pt>
                <c:pt idx="777">
                  <c:v>9/3/2023</c:v>
                </c:pt>
                <c:pt idx="778">
                  <c:v>8/3/2023</c:v>
                </c:pt>
                <c:pt idx="779">
                  <c:v>6/3/2023</c:v>
                </c:pt>
                <c:pt idx="780">
                  <c:v>3/3/2023</c:v>
                </c:pt>
                <c:pt idx="781">
                  <c:v>2/3/2023</c:v>
                </c:pt>
                <c:pt idx="782">
                  <c:v>1/3/2023</c:v>
                </c:pt>
                <c:pt idx="783">
                  <c:v>28-02-2023</c:v>
                </c:pt>
                <c:pt idx="784">
                  <c:v>27-02-2023</c:v>
                </c:pt>
                <c:pt idx="785">
                  <c:v>24-02-2023</c:v>
                </c:pt>
                <c:pt idx="786">
                  <c:v>23-02-2023</c:v>
                </c:pt>
                <c:pt idx="787">
                  <c:v>22-02-2023</c:v>
                </c:pt>
                <c:pt idx="788">
                  <c:v>21-02-2023</c:v>
                </c:pt>
                <c:pt idx="789">
                  <c:v>20-02-2023</c:v>
                </c:pt>
                <c:pt idx="790">
                  <c:v>17-02-2023</c:v>
                </c:pt>
                <c:pt idx="791">
                  <c:v>16-02-2023</c:v>
                </c:pt>
                <c:pt idx="792">
                  <c:v>15-02-2023</c:v>
                </c:pt>
                <c:pt idx="793">
                  <c:v>14-02-2023</c:v>
                </c:pt>
                <c:pt idx="794">
                  <c:v>13-02-2023</c:v>
                </c:pt>
                <c:pt idx="795">
                  <c:v>10/2/2023</c:v>
                </c:pt>
                <c:pt idx="796">
                  <c:v>9/2/2023</c:v>
                </c:pt>
                <c:pt idx="797">
                  <c:v>8/2/2023</c:v>
                </c:pt>
                <c:pt idx="798">
                  <c:v>7/2/2023</c:v>
                </c:pt>
                <c:pt idx="799">
                  <c:v>6/2/2023</c:v>
                </c:pt>
                <c:pt idx="800">
                  <c:v>3/2/2023</c:v>
                </c:pt>
                <c:pt idx="801">
                  <c:v>2/2/2023</c:v>
                </c:pt>
                <c:pt idx="802">
                  <c:v>1/2/2023</c:v>
                </c:pt>
                <c:pt idx="803">
                  <c:v>31-01-2023</c:v>
                </c:pt>
                <c:pt idx="804">
                  <c:v>30-01-2023</c:v>
                </c:pt>
                <c:pt idx="805">
                  <c:v>27-01-2023</c:v>
                </c:pt>
                <c:pt idx="806">
                  <c:v>25-01-2023</c:v>
                </c:pt>
                <c:pt idx="807">
                  <c:v>24-01-2023</c:v>
                </c:pt>
                <c:pt idx="808">
                  <c:v>23-01-2023</c:v>
                </c:pt>
                <c:pt idx="809">
                  <c:v>20-01-2023</c:v>
                </c:pt>
                <c:pt idx="810">
                  <c:v>19-01-2023</c:v>
                </c:pt>
                <c:pt idx="811">
                  <c:v>18-01-2023</c:v>
                </c:pt>
                <c:pt idx="812">
                  <c:v>17-01-2023</c:v>
                </c:pt>
                <c:pt idx="813">
                  <c:v>16-01-2023</c:v>
                </c:pt>
                <c:pt idx="814">
                  <c:v>13-01-2023</c:v>
                </c:pt>
                <c:pt idx="815">
                  <c:v>12/1/2023</c:v>
                </c:pt>
                <c:pt idx="816">
                  <c:v>11/1/2023</c:v>
                </c:pt>
                <c:pt idx="817">
                  <c:v>10/1/2023</c:v>
                </c:pt>
                <c:pt idx="818">
                  <c:v>9/1/2023</c:v>
                </c:pt>
                <c:pt idx="819">
                  <c:v>6/1/2023</c:v>
                </c:pt>
                <c:pt idx="820">
                  <c:v>5/1/2023</c:v>
                </c:pt>
                <c:pt idx="821">
                  <c:v>4/1/2023</c:v>
                </c:pt>
                <c:pt idx="822">
                  <c:v>3/1/2023</c:v>
                </c:pt>
                <c:pt idx="823">
                  <c:v>2/1/2023</c:v>
                </c:pt>
                <c:pt idx="824">
                  <c:v>30-12-2022</c:v>
                </c:pt>
                <c:pt idx="825">
                  <c:v>29-12-2022</c:v>
                </c:pt>
                <c:pt idx="826">
                  <c:v>28-12-2022</c:v>
                </c:pt>
                <c:pt idx="827">
                  <c:v>27-12-2022</c:v>
                </c:pt>
                <c:pt idx="828">
                  <c:v>26-12-2022</c:v>
                </c:pt>
                <c:pt idx="829">
                  <c:v>23-12-2022</c:v>
                </c:pt>
                <c:pt idx="830">
                  <c:v>22-12-2022</c:v>
                </c:pt>
                <c:pt idx="831">
                  <c:v>21-12-2022</c:v>
                </c:pt>
                <c:pt idx="832">
                  <c:v>20-12-2022</c:v>
                </c:pt>
                <c:pt idx="833">
                  <c:v>19-12-2022</c:v>
                </c:pt>
                <c:pt idx="834">
                  <c:v>16-12-2022</c:v>
                </c:pt>
                <c:pt idx="835">
                  <c:v>15-12-2022</c:v>
                </c:pt>
                <c:pt idx="836">
                  <c:v>14-12-2022</c:v>
                </c:pt>
                <c:pt idx="837">
                  <c:v>13-12-2022</c:v>
                </c:pt>
                <c:pt idx="838">
                  <c:v>12/12/2022</c:v>
                </c:pt>
                <c:pt idx="839">
                  <c:v>9/12/2022</c:v>
                </c:pt>
                <c:pt idx="840">
                  <c:v>8/12/2022</c:v>
                </c:pt>
                <c:pt idx="841">
                  <c:v>7/12/2022</c:v>
                </c:pt>
                <c:pt idx="842">
                  <c:v>6/12/2022</c:v>
                </c:pt>
                <c:pt idx="843">
                  <c:v>5/12/2022</c:v>
                </c:pt>
                <c:pt idx="844">
                  <c:v>2/12/2022</c:v>
                </c:pt>
                <c:pt idx="845">
                  <c:v>1/12/2022</c:v>
                </c:pt>
                <c:pt idx="846">
                  <c:v>30-11-2022</c:v>
                </c:pt>
                <c:pt idx="847">
                  <c:v>29-11-2022</c:v>
                </c:pt>
                <c:pt idx="848">
                  <c:v>28-11-2022</c:v>
                </c:pt>
                <c:pt idx="849">
                  <c:v>25-11-2022</c:v>
                </c:pt>
                <c:pt idx="850">
                  <c:v>24-11-2022</c:v>
                </c:pt>
                <c:pt idx="851">
                  <c:v>23-11-2022</c:v>
                </c:pt>
                <c:pt idx="852">
                  <c:v>22-11-2022</c:v>
                </c:pt>
                <c:pt idx="853">
                  <c:v>21-11-2022</c:v>
                </c:pt>
                <c:pt idx="854">
                  <c:v>18-11-2022</c:v>
                </c:pt>
                <c:pt idx="855">
                  <c:v>17-11-2022</c:v>
                </c:pt>
                <c:pt idx="856">
                  <c:v>16-11-2022</c:v>
                </c:pt>
                <c:pt idx="857">
                  <c:v>15-11-2022</c:v>
                </c:pt>
                <c:pt idx="858">
                  <c:v>14-11-2022</c:v>
                </c:pt>
                <c:pt idx="859">
                  <c:v>11/11/2022</c:v>
                </c:pt>
                <c:pt idx="860">
                  <c:v>10/11/2022</c:v>
                </c:pt>
                <c:pt idx="861">
                  <c:v>9/11/2022</c:v>
                </c:pt>
                <c:pt idx="862">
                  <c:v>7/11/2022</c:v>
                </c:pt>
                <c:pt idx="863">
                  <c:v>4/11/2022</c:v>
                </c:pt>
                <c:pt idx="864">
                  <c:v>3/11/2022</c:v>
                </c:pt>
                <c:pt idx="865">
                  <c:v>2/11/2022</c:v>
                </c:pt>
                <c:pt idx="866">
                  <c:v>1/11/2022</c:v>
                </c:pt>
                <c:pt idx="867">
                  <c:v>31-10-2022</c:v>
                </c:pt>
                <c:pt idx="868">
                  <c:v>28-10-2022</c:v>
                </c:pt>
                <c:pt idx="869">
                  <c:v>27-10-2022</c:v>
                </c:pt>
                <c:pt idx="870">
                  <c:v>25-10-2022</c:v>
                </c:pt>
                <c:pt idx="871">
                  <c:v>24-10-2022</c:v>
                </c:pt>
                <c:pt idx="872">
                  <c:v>21-10-2022</c:v>
                </c:pt>
                <c:pt idx="873">
                  <c:v>20-10-2022</c:v>
                </c:pt>
                <c:pt idx="874">
                  <c:v>19-10-2022</c:v>
                </c:pt>
                <c:pt idx="875">
                  <c:v>18-10-2022</c:v>
                </c:pt>
                <c:pt idx="876">
                  <c:v>17-10-2022</c:v>
                </c:pt>
                <c:pt idx="877">
                  <c:v>14-10-2022</c:v>
                </c:pt>
                <c:pt idx="878">
                  <c:v>13-10-2022</c:v>
                </c:pt>
                <c:pt idx="879">
                  <c:v>12/10/2022</c:v>
                </c:pt>
                <c:pt idx="880">
                  <c:v>11/10/2022</c:v>
                </c:pt>
                <c:pt idx="881">
                  <c:v>10/10/2022</c:v>
                </c:pt>
                <c:pt idx="882">
                  <c:v>7/10/2022</c:v>
                </c:pt>
                <c:pt idx="883">
                  <c:v>6/10/2022</c:v>
                </c:pt>
                <c:pt idx="884">
                  <c:v>4/10/2022</c:v>
                </c:pt>
                <c:pt idx="885">
                  <c:v>3/10/2022</c:v>
                </c:pt>
                <c:pt idx="886">
                  <c:v>30-09-2022</c:v>
                </c:pt>
                <c:pt idx="887">
                  <c:v>29-09-2022</c:v>
                </c:pt>
                <c:pt idx="888">
                  <c:v>28-09-2022</c:v>
                </c:pt>
                <c:pt idx="889">
                  <c:v>27-09-2022</c:v>
                </c:pt>
                <c:pt idx="890">
                  <c:v>26-09-2022</c:v>
                </c:pt>
                <c:pt idx="891">
                  <c:v>23-09-2022</c:v>
                </c:pt>
                <c:pt idx="892">
                  <c:v>22-09-2022</c:v>
                </c:pt>
                <c:pt idx="893">
                  <c:v>21-09-2022</c:v>
                </c:pt>
                <c:pt idx="894">
                  <c:v>20-09-2022</c:v>
                </c:pt>
                <c:pt idx="895">
                  <c:v>19-09-2022</c:v>
                </c:pt>
                <c:pt idx="896">
                  <c:v>16-09-2022</c:v>
                </c:pt>
                <c:pt idx="897">
                  <c:v>15-09-2022</c:v>
                </c:pt>
                <c:pt idx="898">
                  <c:v>14-09-2022</c:v>
                </c:pt>
                <c:pt idx="899">
                  <c:v>13-09-2022</c:v>
                </c:pt>
                <c:pt idx="900">
                  <c:v>12/9/2022</c:v>
                </c:pt>
                <c:pt idx="901">
                  <c:v>9/9/2022</c:v>
                </c:pt>
                <c:pt idx="902">
                  <c:v>8/9/2022</c:v>
                </c:pt>
                <c:pt idx="903">
                  <c:v>7/9/2022</c:v>
                </c:pt>
                <c:pt idx="904">
                  <c:v>6/9/2022</c:v>
                </c:pt>
                <c:pt idx="905">
                  <c:v>5/9/2022</c:v>
                </c:pt>
                <c:pt idx="906">
                  <c:v>2/9/2022</c:v>
                </c:pt>
                <c:pt idx="907">
                  <c:v>1/9/2022</c:v>
                </c:pt>
                <c:pt idx="908">
                  <c:v>30-08-2022</c:v>
                </c:pt>
                <c:pt idx="909">
                  <c:v>29-08-2022</c:v>
                </c:pt>
                <c:pt idx="910">
                  <c:v>26-08-2022</c:v>
                </c:pt>
                <c:pt idx="911">
                  <c:v>25-08-2022</c:v>
                </c:pt>
                <c:pt idx="912">
                  <c:v>24-08-2022</c:v>
                </c:pt>
                <c:pt idx="913">
                  <c:v>23-08-2022</c:v>
                </c:pt>
                <c:pt idx="914">
                  <c:v>22-08-2022</c:v>
                </c:pt>
                <c:pt idx="915">
                  <c:v>19-08-2022</c:v>
                </c:pt>
                <c:pt idx="916">
                  <c:v>18-08-2022</c:v>
                </c:pt>
                <c:pt idx="917">
                  <c:v>17-08-2022</c:v>
                </c:pt>
                <c:pt idx="918">
                  <c:v>16-08-2022</c:v>
                </c:pt>
                <c:pt idx="919">
                  <c:v>12/8/2022</c:v>
                </c:pt>
                <c:pt idx="920">
                  <c:v>11/8/2022</c:v>
                </c:pt>
                <c:pt idx="921">
                  <c:v>10/8/2022</c:v>
                </c:pt>
                <c:pt idx="922">
                  <c:v>8/8/2022</c:v>
                </c:pt>
                <c:pt idx="923">
                  <c:v>5/8/2022</c:v>
                </c:pt>
                <c:pt idx="924">
                  <c:v>4/8/2022</c:v>
                </c:pt>
                <c:pt idx="925">
                  <c:v>3/8/2022</c:v>
                </c:pt>
                <c:pt idx="926">
                  <c:v>2/8/2022</c:v>
                </c:pt>
                <c:pt idx="927">
                  <c:v>1/8/2022</c:v>
                </c:pt>
                <c:pt idx="928">
                  <c:v>29-07-2022</c:v>
                </c:pt>
                <c:pt idx="929">
                  <c:v>28-07-2022</c:v>
                </c:pt>
                <c:pt idx="930">
                  <c:v>27-07-2022</c:v>
                </c:pt>
                <c:pt idx="931">
                  <c:v>26-07-2022</c:v>
                </c:pt>
                <c:pt idx="932">
                  <c:v>25-07-2022</c:v>
                </c:pt>
                <c:pt idx="933">
                  <c:v>22-07-2022</c:v>
                </c:pt>
                <c:pt idx="934">
                  <c:v>21-07-2022</c:v>
                </c:pt>
                <c:pt idx="935">
                  <c:v>20-07-2022</c:v>
                </c:pt>
                <c:pt idx="936">
                  <c:v>19-07-2022</c:v>
                </c:pt>
                <c:pt idx="937">
                  <c:v>18-07-2022</c:v>
                </c:pt>
                <c:pt idx="938">
                  <c:v>15-07-2022</c:v>
                </c:pt>
                <c:pt idx="939">
                  <c:v>14-07-2022</c:v>
                </c:pt>
                <c:pt idx="940">
                  <c:v>13-07-2022</c:v>
                </c:pt>
                <c:pt idx="941">
                  <c:v>12/7/2022</c:v>
                </c:pt>
                <c:pt idx="942">
                  <c:v>11/7/2022</c:v>
                </c:pt>
                <c:pt idx="943">
                  <c:v>8/7/2022</c:v>
                </c:pt>
                <c:pt idx="944">
                  <c:v>7/7/2022</c:v>
                </c:pt>
                <c:pt idx="945">
                  <c:v>6/7/2022</c:v>
                </c:pt>
                <c:pt idx="946">
                  <c:v>5/7/2022</c:v>
                </c:pt>
                <c:pt idx="947">
                  <c:v>4/7/2022</c:v>
                </c:pt>
                <c:pt idx="948">
                  <c:v>1/7/2022</c:v>
                </c:pt>
                <c:pt idx="949">
                  <c:v>30-06-2022</c:v>
                </c:pt>
                <c:pt idx="950">
                  <c:v>29-06-2022</c:v>
                </c:pt>
                <c:pt idx="951">
                  <c:v>28-06-2022</c:v>
                </c:pt>
                <c:pt idx="952">
                  <c:v>27-06-2022</c:v>
                </c:pt>
                <c:pt idx="953">
                  <c:v>24-06-2022</c:v>
                </c:pt>
                <c:pt idx="954">
                  <c:v>23-06-2022</c:v>
                </c:pt>
                <c:pt idx="955">
                  <c:v>22-06-2022</c:v>
                </c:pt>
                <c:pt idx="956">
                  <c:v>21-06-2022</c:v>
                </c:pt>
                <c:pt idx="957">
                  <c:v>20-06-2022</c:v>
                </c:pt>
                <c:pt idx="958">
                  <c:v>17-06-2022</c:v>
                </c:pt>
                <c:pt idx="959">
                  <c:v>16-06-2022</c:v>
                </c:pt>
                <c:pt idx="960">
                  <c:v>15-06-2022</c:v>
                </c:pt>
                <c:pt idx="961">
                  <c:v>14-06-2022</c:v>
                </c:pt>
                <c:pt idx="962">
                  <c:v>13-06-2022</c:v>
                </c:pt>
                <c:pt idx="963">
                  <c:v>10/6/2022</c:v>
                </c:pt>
                <c:pt idx="964">
                  <c:v>9/6/2022</c:v>
                </c:pt>
                <c:pt idx="965">
                  <c:v>8/6/2022</c:v>
                </c:pt>
                <c:pt idx="966">
                  <c:v>7/6/2022</c:v>
                </c:pt>
                <c:pt idx="967">
                  <c:v>6/6/2022</c:v>
                </c:pt>
                <c:pt idx="968">
                  <c:v>3/6/2022</c:v>
                </c:pt>
                <c:pt idx="969">
                  <c:v>2/6/2022</c:v>
                </c:pt>
                <c:pt idx="970">
                  <c:v>1/6/2022</c:v>
                </c:pt>
                <c:pt idx="971">
                  <c:v>31-05-2022</c:v>
                </c:pt>
                <c:pt idx="972">
                  <c:v>30-05-2022</c:v>
                </c:pt>
                <c:pt idx="973">
                  <c:v>27-05-2022</c:v>
                </c:pt>
                <c:pt idx="974">
                  <c:v>26-05-2022</c:v>
                </c:pt>
                <c:pt idx="975">
                  <c:v>25-05-2022</c:v>
                </c:pt>
                <c:pt idx="976">
                  <c:v>24-05-2022</c:v>
                </c:pt>
                <c:pt idx="977">
                  <c:v>23-05-2022</c:v>
                </c:pt>
                <c:pt idx="978">
                  <c:v>20-05-2022</c:v>
                </c:pt>
                <c:pt idx="979">
                  <c:v>19-05-2022</c:v>
                </c:pt>
                <c:pt idx="980">
                  <c:v>18-05-2022</c:v>
                </c:pt>
                <c:pt idx="981">
                  <c:v>17-05-2022</c:v>
                </c:pt>
                <c:pt idx="982">
                  <c:v>16-05-2022</c:v>
                </c:pt>
                <c:pt idx="983">
                  <c:v>13-05-2022</c:v>
                </c:pt>
                <c:pt idx="984">
                  <c:v>12/5/2022</c:v>
                </c:pt>
                <c:pt idx="985">
                  <c:v>11/5/2022</c:v>
                </c:pt>
                <c:pt idx="986">
                  <c:v>10/5/2022</c:v>
                </c:pt>
                <c:pt idx="987">
                  <c:v>9/5/2022</c:v>
                </c:pt>
                <c:pt idx="988">
                  <c:v>6/5/2022</c:v>
                </c:pt>
                <c:pt idx="989">
                  <c:v>5/5/2022</c:v>
                </c:pt>
                <c:pt idx="990">
                  <c:v>4/5/2022</c:v>
                </c:pt>
                <c:pt idx="991">
                  <c:v>2/5/2022</c:v>
                </c:pt>
                <c:pt idx="992">
                  <c:v>29-04-2022</c:v>
                </c:pt>
                <c:pt idx="993">
                  <c:v>28-04-2022</c:v>
                </c:pt>
                <c:pt idx="994">
                  <c:v>27-04-2022</c:v>
                </c:pt>
                <c:pt idx="995">
                  <c:v>26-04-2022</c:v>
                </c:pt>
                <c:pt idx="996">
                  <c:v>25-04-2022</c:v>
                </c:pt>
                <c:pt idx="997">
                  <c:v>22-04-2022</c:v>
                </c:pt>
                <c:pt idx="998">
                  <c:v>21-04-2022</c:v>
                </c:pt>
                <c:pt idx="999">
                  <c:v>20-04-2022</c:v>
                </c:pt>
                <c:pt idx="1000">
                  <c:v>19-04-2022</c:v>
                </c:pt>
                <c:pt idx="1001">
                  <c:v>18-04-2022</c:v>
                </c:pt>
                <c:pt idx="1002">
                  <c:v>13-04-2022</c:v>
                </c:pt>
                <c:pt idx="1003">
                  <c:v>12/4/2022</c:v>
                </c:pt>
                <c:pt idx="1004">
                  <c:v>11/4/2022</c:v>
                </c:pt>
                <c:pt idx="1005">
                  <c:v>8/4/2022</c:v>
                </c:pt>
                <c:pt idx="1006">
                  <c:v>7/4/2022</c:v>
                </c:pt>
                <c:pt idx="1007">
                  <c:v>6/4/2022</c:v>
                </c:pt>
                <c:pt idx="1008">
                  <c:v>5/4/2022</c:v>
                </c:pt>
                <c:pt idx="1009">
                  <c:v>4/4/2022</c:v>
                </c:pt>
                <c:pt idx="1010">
                  <c:v>1/4/2022</c:v>
                </c:pt>
                <c:pt idx="1011">
                  <c:v>31-03-2022</c:v>
                </c:pt>
                <c:pt idx="1012">
                  <c:v>30-03-2022</c:v>
                </c:pt>
                <c:pt idx="1013">
                  <c:v>29-03-2022</c:v>
                </c:pt>
                <c:pt idx="1014">
                  <c:v>28-03-2022</c:v>
                </c:pt>
                <c:pt idx="1015">
                  <c:v>25-03-2022</c:v>
                </c:pt>
                <c:pt idx="1016">
                  <c:v>24-03-2022</c:v>
                </c:pt>
                <c:pt idx="1017">
                  <c:v>23-03-2022</c:v>
                </c:pt>
                <c:pt idx="1018">
                  <c:v>22-03-2022</c:v>
                </c:pt>
                <c:pt idx="1019">
                  <c:v>21-03-2022</c:v>
                </c:pt>
                <c:pt idx="1020">
                  <c:v>17-03-2022</c:v>
                </c:pt>
                <c:pt idx="1021">
                  <c:v>16-03-2022</c:v>
                </c:pt>
                <c:pt idx="1022">
                  <c:v>15-03-2022</c:v>
                </c:pt>
                <c:pt idx="1023">
                  <c:v>14-03-2022</c:v>
                </c:pt>
                <c:pt idx="1024">
                  <c:v>11/3/2022</c:v>
                </c:pt>
                <c:pt idx="1025">
                  <c:v>10/3/2022</c:v>
                </c:pt>
                <c:pt idx="1026">
                  <c:v>9/3/2022</c:v>
                </c:pt>
                <c:pt idx="1027">
                  <c:v>8/3/2022</c:v>
                </c:pt>
                <c:pt idx="1028">
                  <c:v>7/3/2022</c:v>
                </c:pt>
                <c:pt idx="1029">
                  <c:v>4/3/2022</c:v>
                </c:pt>
                <c:pt idx="1030">
                  <c:v>3/3/2022</c:v>
                </c:pt>
                <c:pt idx="1031">
                  <c:v>2/3/2022</c:v>
                </c:pt>
                <c:pt idx="1032">
                  <c:v>28-02-2022</c:v>
                </c:pt>
                <c:pt idx="1033">
                  <c:v>25-02-2022</c:v>
                </c:pt>
                <c:pt idx="1034">
                  <c:v>24-02-2022</c:v>
                </c:pt>
                <c:pt idx="1035">
                  <c:v>23-02-2022</c:v>
                </c:pt>
                <c:pt idx="1036">
                  <c:v>22-02-2022</c:v>
                </c:pt>
                <c:pt idx="1037">
                  <c:v>21-02-2022</c:v>
                </c:pt>
                <c:pt idx="1038">
                  <c:v>18-02-2022</c:v>
                </c:pt>
                <c:pt idx="1039">
                  <c:v>17-02-2022</c:v>
                </c:pt>
                <c:pt idx="1040">
                  <c:v>16-02-2022</c:v>
                </c:pt>
                <c:pt idx="1041">
                  <c:v>15-02-2022</c:v>
                </c:pt>
                <c:pt idx="1042">
                  <c:v>14-02-2022</c:v>
                </c:pt>
                <c:pt idx="1043">
                  <c:v>11/2/2022</c:v>
                </c:pt>
                <c:pt idx="1044">
                  <c:v>10/2/2022</c:v>
                </c:pt>
                <c:pt idx="1045">
                  <c:v>9/2/2022</c:v>
                </c:pt>
                <c:pt idx="1046">
                  <c:v>8/2/2022</c:v>
                </c:pt>
                <c:pt idx="1047">
                  <c:v>7/2/2022</c:v>
                </c:pt>
                <c:pt idx="1048">
                  <c:v>4/2/2022</c:v>
                </c:pt>
                <c:pt idx="1049">
                  <c:v>3/2/2022</c:v>
                </c:pt>
                <c:pt idx="1050">
                  <c:v>2/2/2022</c:v>
                </c:pt>
                <c:pt idx="1051">
                  <c:v>1/2/2022</c:v>
                </c:pt>
                <c:pt idx="1052">
                  <c:v>31-01-2022</c:v>
                </c:pt>
                <c:pt idx="1053">
                  <c:v>28-01-2022</c:v>
                </c:pt>
                <c:pt idx="1054">
                  <c:v>27-01-2022</c:v>
                </c:pt>
                <c:pt idx="1055">
                  <c:v>25-01-2022</c:v>
                </c:pt>
                <c:pt idx="1056">
                  <c:v>24-01-2022</c:v>
                </c:pt>
                <c:pt idx="1057">
                  <c:v>21-01-2022</c:v>
                </c:pt>
                <c:pt idx="1058">
                  <c:v>20-01-2022</c:v>
                </c:pt>
                <c:pt idx="1059">
                  <c:v>19-01-2022</c:v>
                </c:pt>
                <c:pt idx="1060">
                  <c:v>18-01-2022</c:v>
                </c:pt>
                <c:pt idx="1061">
                  <c:v>17-01-2022</c:v>
                </c:pt>
                <c:pt idx="1062">
                  <c:v>14-01-2022</c:v>
                </c:pt>
                <c:pt idx="1063">
                  <c:v>13-01-2022</c:v>
                </c:pt>
                <c:pt idx="1064">
                  <c:v>12/1/2022</c:v>
                </c:pt>
                <c:pt idx="1065">
                  <c:v>11/1/2022</c:v>
                </c:pt>
                <c:pt idx="1066">
                  <c:v>10/1/2022</c:v>
                </c:pt>
                <c:pt idx="1067">
                  <c:v>7/1/2022</c:v>
                </c:pt>
                <c:pt idx="1068">
                  <c:v>6/1/2022</c:v>
                </c:pt>
                <c:pt idx="1069">
                  <c:v>5/1/2022</c:v>
                </c:pt>
                <c:pt idx="1070">
                  <c:v>4/1/2022</c:v>
                </c:pt>
                <c:pt idx="1071">
                  <c:v>3/1/2022</c:v>
                </c:pt>
                <c:pt idx="1072">
                  <c:v>31-12-2021</c:v>
                </c:pt>
                <c:pt idx="1073">
                  <c:v>30-12-2021</c:v>
                </c:pt>
                <c:pt idx="1074">
                  <c:v>29-12-2021</c:v>
                </c:pt>
                <c:pt idx="1075">
                  <c:v>28-12-2021</c:v>
                </c:pt>
                <c:pt idx="1076">
                  <c:v>27-12-2021</c:v>
                </c:pt>
                <c:pt idx="1077">
                  <c:v>24-12-2021</c:v>
                </c:pt>
                <c:pt idx="1078">
                  <c:v>23-12-2021</c:v>
                </c:pt>
                <c:pt idx="1079">
                  <c:v>22-12-2021</c:v>
                </c:pt>
                <c:pt idx="1080">
                  <c:v>21-12-2021</c:v>
                </c:pt>
                <c:pt idx="1081">
                  <c:v>20-12-2021</c:v>
                </c:pt>
                <c:pt idx="1082">
                  <c:v>17-12-2021</c:v>
                </c:pt>
                <c:pt idx="1083">
                  <c:v>16-12-2021</c:v>
                </c:pt>
                <c:pt idx="1084">
                  <c:v>15-12-2021</c:v>
                </c:pt>
                <c:pt idx="1085">
                  <c:v>14-12-2021</c:v>
                </c:pt>
                <c:pt idx="1086">
                  <c:v>13-12-2021</c:v>
                </c:pt>
                <c:pt idx="1087">
                  <c:v>10/12/2021</c:v>
                </c:pt>
                <c:pt idx="1088">
                  <c:v>9/12/2021</c:v>
                </c:pt>
                <c:pt idx="1089">
                  <c:v>8/12/2021</c:v>
                </c:pt>
                <c:pt idx="1090">
                  <c:v>7/12/2021</c:v>
                </c:pt>
                <c:pt idx="1091">
                  <c:v>6/12/2021</c:v>
                </c:pt>
                <c:pt idx="1092">
                  <c:v>3/12/2021</c:v>
                </c:pt>
                <c:pt idx="1093">
                  <c:v>2/12/2021</c:v>
                </c:pt>
                <c:pt idx="1094">
                  <c:v>1/12/2021</c:v>
                </c:pt>
                <c:pt idx="1095">
                  <c:v>30-11-2021</c:v>
                </c:pt>
                <c:pt idx="1096">
                  <c:v>29-11-2021</c:v>
                </c:pt>
                <c:pt idx="1097">
                  <c:v>26-11-2021</c:v>
                </c:pt>
                <c:pt idx="1098">
                  <c:v>25-11-2021</c:v>
                </c:pt>
                <c:pt idx="1099">
                  <c:v>24-11-2021</c:v>
                </c:pt>
                <c:pt idx="1100">
                  <c:v>23-11-2021</c:v>
                </c:pt>
                <c:pt idx="1101">
                  <c:v>22-11-2021</c:v>
                </c:pt>
                <c:pt idx="1102">
                  <c:v>18-11-2021</c:v>
                </c:pt>
                <c:pt idx="1103">
                  <c:v>17-11-2021</c:v>
                </c:pt>
                <c:pt idx="1104">
                  <c:v>16-11-2021</c:v>
                </c:pt>
                <c:pt idx="1105">
                  <c:v>15-11-2021</c:v>
                </c:pt>
                <c:pt idx="1106">
                  <c:v>12/11/2021</c:v>
                </c:pt>
                <c:pt idx="1107">
                  <c:v>11/11/2021</c:v>
                </c:pt>
                <c:pt idx="1108">
                  <c:v>10/11/2021</c:v>
                </c:pt>
                <c:pt idx="1109">
                  <c:v>9/11/2021</c:v>
                </c:pt>
                <c:pt idx="1110">
                  <c:v>8/11/2021</c:v>
                </c:pt>
                <c:pt idx="1111">
                  <c:v>4/11/2021</c:v>
                </c:pt>
                <c:pt idx="1112">
                  <c:v>3/11/2021</c:v>
                </c:pt>
                <c:pt idx="1113">
                  <c:v>2/11/2021</c:v>
                </c:pt>
                <c:pt idx="1114">
                  <c:v>1/11/2021</c:v>
                </c:pt>
                <c:pt idx="1115">
                  <c:v>29-10-2021</c:v>
                </c:pt>
                <c:pt idx="1116">
                  <c:v>28-10-2021</c:v>
                </c:pt>
                <c:pt idx="1117">
                  <c:v>27-10-2021</c:v>
                </c:pt>
                <c:pt idx="1118">
                  <c:v>26-10-2021</c:v>
                </c:pt>
                <c:pt idx="1119">
                  <c:v>25-10-2021</c:v>
                </c:pt>
                <c:pt idx="1120">
                  <c:v>22-10-2021</c:v>
                </c:pt>
                <c:pt idx="1121">
                  <c:v>21-10-2021</c:v>
                </c:pt>
                <c:pt idx="1122">
                  <c:v>20-10-2021</c:v>
                </c:pt>
                <c:pt idx="1123">
                  <c:v>19-10-2021</c:v>
                </c:pt>
                <c:pt idx="1124">
                  <c:v>18-10-2021</c:v>
                </c:pt>
                <c:pt idx="1125">
                  <c:v>14-10-2021</c:v>
                </c:pt>
                <c:pt idx="1126">
                  <c:v>13-10-2021</c:v>
                </c:pt>
                <c:pt idx="1127">
                  <c:v>12/10/2021</c:v>
                </c:pt>
                <c:pt idx="1128">
                  <c:v>11/10/2021</c:v>
                </c:pt>
                <c:pt idx="1129">
                  <c:v>8/10/2021</c:v>
                </c:pt>
                <c:pt idx="1130">
                  <c:v>7/10/2021</c:v>
                </c:pt>
                <c:pt idx="1131">
                  <c:v>6/10/2021</c:v>
                </c:pt>
                <c:pt idx="1132">
                  <c:v>5/10/2021</c:v>
                </c:pt>
                <c:pt idx="1133">
                  <c:v>4/10/2021</c:v>
                </c:pt>
                <c:pt idx="1134">
                  <c:v>1/10/2021</c:v>
                </c:pt>
                <c:pt idx="1135">
                  <c:v>30-09-2021</c:v>
                </c:pt>
                <c:pt idx="1136">
                  <c:v>29-09-2021</c:v>
                </c:pt>
                <c:pt idx="1137">
                  <c:v>28-09-2021</c:v>
                </c:pt>
                <c:pt idx="1138">
                  <c:v>27-09-2021</c:v>
                </c:pt>
                <c:pt idx="1139">
                  <c:v>24-09-2021</c:v>
                </c:pt>
                <c:pt idx="1140">
                  <c:v>23-09-2021</c:v>
                </c:pt>
                <c:pt idx="1141">
                  <c:v>22-09-2021</c:v>
                </c:pt>
                <c:pt idx="1142">
                  <c:v>21-09-2021</c:v>
                </c:pt>
                <c:pt idx="1143">
                  <c:v>20-09-2021</c:v>
                </c:pt>
                <c:pt idx="1144">
                  <c:v>17-09-2021</c:v>
                </c:pt>
                <c:pt idx="1145">
                  <c:v>16-09-2021</c:v>
                </c:pt>
                <c:pt idx="1146">
                  <c:v>15-09-2021</c:v>
                </c:pt>
                <c:pt idx="1147">
                  <c:v>14-09-2021</c:v>
                </c:pt>
                <c:pt idx="1148">
                  <c:v>13-09-2021</c:v>
                </c:pt>
                <c:pt idx="1149">
                  <c:v>9/9/2021</c:v>
                </c:pt>
                <c:pt idx="1150">
                  <c:v>8/9/2021</c:v>
                </c:pt>
                <c:pt idx="1151">
                  <c:v>7/9/2021</c:v>
                </c:pt>
                <c:pt idx="1152">
                  <c:v>6/9/2021</c:v>
                </c:pt>
                <c:pt idx="1153">
                  <c:v>3/9/2021</c:v>
                </c:pt>
                <c:pt idx="1154">
                  <c:v>2/9/2021</c:v>
                </c:pt>
                <c:pt idx="1155">
                  <c:v>1/9/2021</c:v>
                </c:pt>
                <c:pt idx="1156">
                  <c:v>31-08-2021</c:v>
                </c:pt>
                <c:pt idx="1157">
                  <c:v>30-08-2021</c:v>
                </c:pt>
                <c:pt idx="1158">
                  <c:v>27-08-2021</c:v>
                </c:pt>
                <c:pt idx="1159">
                  <c:v>26-08-2021</c:v>
                </c:pt>
                <c:pt idx="1160">
                  <c:v>25-08-2021</c:v>
                </c:pt>
                <c:pt idx="1161">
                  <c:v>24-08-2021</c:v>
                </c:pt>
                <c:pt idx="1162">
                  <c:v>23-08-2021</c:v>
                </c:pt>
                <c:pt idx="1163">
                  <c:v>20-08-2021</c:v>
                </c:pt>
                <c:pt idx="1164">
                  <c:v>18-08-2021</c:v>
                </c:pt>
                <c:pt idx="1165">
                  <c:v>17-08-2021</c:v>
                </c:pt>
                <c:pt idx="1166">
                  <c:v>16-08-2021</c:v>
                </c:pt>
                <c:pt idx="1167">
                  <c:v>13-08-2021</c:v>
                </c:pt>
                <c:pt idx="1168">
                  <c:v>12/8/2021</c:v>
                </c:pt>
                <c:pt idx="1169">
                  <c:v>11/8/2021</c:v>
                </c:pt>
                <c:pt idx="1170">
                  <c:v>10/8/2021</c:v>
                </c:pt>
                <c:pt idx="1171">
                  <c:v>9/8/2021</c:v>
                </c:pt>
                <c:pt idx="1172">
                  <c:v>6/8/2021</c:v>
                </c:pt>
                <c:pt idx="1173">
                  <c:v>5/8/2021</c:v>
                </c:pt>
                <c:pt idx="1174">
                  <c:v>4/8/2021</c:v>
                </c:pt>
                <c:pt idx="1175">
                  <c:v>3/8/2021</c:v>
                </c:pt>
                <c:pt idx="1176">
                  <c:v>2/8/2021</c:v>
                </c:pt>
                <c:pt idx="1177">
                  <c:v>30-07-2021</c:v>
                </c:pt>
                <c:pt idx="1178">
                  <c:v>29-07-2021</c:v>
                </c:pt>
                <c:pt idx="1179">
                  <c:v>28-07-2021</c:v>
                </c:pt>
                <c:pt idx="1180">
                  <c:v>27-07-2021</c:v>
                </c:pt>
                <c:pt idx="1181">
                  <c:v>26-07-2021</c:v>
                </c:pt>
                <c:pt idx="1182">
                  <c:v>23-07-2021</c:v>
                </c:pt>
                <c:pt idx="1183">
                  <c:v>22-07-2021</c:v>
                </c:pt>
                <c:pt idx="1184">
                  <c:v>20-07-2021</c:v>
                </c:pt>
                <c:pt idx="1185">
                  <c:v>19-07-2021</c:v>
                </c:pt>
                <c:pt idx="1186">
                  <c:v>16-07-2021</c:v>
                </c:pt>
                <c:pt idx="1187">
                  <c:v>15-07-2021</c:v>
                </c:pt>
                <c:pt idx="1188">
                  <c:v>14-07-2021</c:v>
                </c:pt>
                <c:pt idx="1189">
                  <c:v>13-07-2021</c:v>
                </c:pt>
                <c:pt idx="1190">
                  <c:v>12/7/2021</c:v>
                </c:pt>
                <c:pt idx="1191">
                  <c:v>9/7/2021</c:v>
                </c:pt>
                <c:pt idx="1192">
                  <c:v>8/7/2021</c:v>
                </c:pt>
                <c:pt idx="1193">
                  <c:v>7/7/2021</c:v>
                </c:pt>
                <c:pt idx="1194">
                  <c:v>6/7/2021</c:v>
                </c:pt>
                <c:pt idx="1195">
                  <c:v>5/7/2021</c:v>
                </c:pt>
                <c:pt idx="1196">
                  <c:v>2/7/2021</c:v>
                </c:pt>
                <c:pt idx="1197">
                  <c:v>1/7/2021</c:v>
                </c:pt>
                <c:pt idx="1198">
                  <c:v>30-06-2021</c:v>
                </c:pt>
                <c:pt idx="1199">
                  <c:v>29-06-2021</c:v>
                </c:pt>
                <c:pt idx="1200">
                  <c:v>28-06-2021</c:v>
                </c:pt>
                <c:pt idx="1201">
                  <c:v>25-06-2021</c:v>
                </c:pt>
                <c:pt idx="1202">
                  <c:v>24-06-2021</c:v>
                </c:pt>
                <c:pt idx="1203">
                  <c:v>23-06-2021</c:v>
                </c:pt>
                <c:pt idx="1204">
                  <c:v>22-06-2021</c:v>
                </c:pt>
                <c:pt idx="1205">
                  <c:v>21-06-2021</c:v>
                </c:pt>
                <c:pt idx="1206">
                  <c:v>18-06-2021</c:v>
                </c:pt>
                <c:pt idx="1207">
                  <c:v>17-06-2021</c:v>
                </c:pt>
                <c:pt idx="1208">
                  <c:v>16-06-2021</c:v>
                </c:pt>
                <c:pt idx="1209">
                  <c:v>15-06-2021</c:v>
                </c:pt>
                <c:pt idx="1210">
                  <c:v>14-06-2021</c:v>
                </c:pt>
                <c:pt idx="1211">
                  <c:v>11/6/2021</c:v>
                </c:pt>
                <c:pt idx="1212">
                  <c:v>10/6/2021</c:v>
                </c:pt>
                <c:pt idx="1213">
                  <c:v>9/6/2021</c:v>
                </c:pt>
                <c:pt idx="1214">
                  <c:v>8/6/2021</c:v>
                </c:pt>
                <c:pt idx="1215">
                  <c:v>7/6/2021</c:v>
                </c:pt>
                <c:pt idx="1216">
                  <c:v>4/6/2021</c:v>
                </c:pt>
                <c:pt idx="1217">
                  <c:v>3/6/2021</c:v>
                </c:pt>
                <c:pt idx="1218">
                  <c:v>2/6/2021</c:v>
                </c:pt>
                <c:pt idx="1219">
                  <c:v>1/6/2021</c:v>
                </c:pt>
                <c:pt idx="1220">
                  <c:v>31-05-2021</c:v>
                </c:pt>
                <c:pt idx="1221">
                  <c:v>28-05-2021</c:v>
                </c:pt>
                <c:pt idx="1222">
                  <c:v>27-05-2021</c:v>
                </c:pt>
                <c:pt idx="1223">
                  <c:v>26-05-2021</c:v>
                </c:pt>
                <c:pt idx="1224">
                  <c:v>25-05-2021</c:v>
                </c:pt>
                <c:pt idx="1225">
                  <c:v>24-05-2021</c:v>
                </c:pt>
                <c:pt idx="1226">
                  <c:v>21-05-2021</c:v>
                </c:pt>
                <c:pt idx="1227">
                  <c:v>20-05-2021</c:v>
                </c:pt>
                <c:pt idx="1228">
                  <c:v>19-05-2021</c:v>
                </c:pt>
                <c:pt idx="1229">
                  <c:v>18-05-2021</c:v>
                </c:pt>
                <c:pt idx="1230">
                  <c:v>17-05-2021</c:v>
                </c:pt>
                <c:pt idx="1231">
                  <c:v>14-05-2021</c:v>
                </c:pt>
                <c:pt idx="1232">
                  <c:v>12/5/2021</c:v>
                </c:pt>
                <c:pt idx="1233">
                  <c:v>11/5/2021</c:v>
                </c:pt>
                <c:pt idx="1234">
                  <c:v>10/5/2021</c:v>
                </c:pt>
                <c:pt idx="1235">
                  <c:v>7/5/2021</c:v>
                </c:pt>
                <c:pt idx="1236">
                  <c:v>6/5/2021</c:v>
                </c:pt>
                <c:pt idx="1237">
                  <c:v>5/5/2021</c:v>
                </c:pt>
                <c:pt idx="1238">
                  <c:v>4/5/2021</c:v>
                </c:pt>
                <c:pt idx="1239">
                  <c:v>3/5/2021</c:v>
                </c:pt>
                <c:pt idx="1240">
                  <c:v>30-04-2021</c:v>
                </c:pt>
              </c:strCache>
            </c:strRef>
          </c:cat>
          <c:val>
            <c:numRef>
              <c:f>'Share Price'!$D$2:$D$1242</c:f>
              <c:numCache>
                <c:formatCode>General</c:formatCode>
                <c:ptCount val="1241"/>
                <c:pt idx="0">
                  <c:v>11.54</c:v>
                </c:pt>
                <c:pt idx="1">
                  <c:v>31.2</c:v>
                </c:pt>
                <c:pt idx="2">
                  <c:v>12.91</c:v>
                </c:pt>
                <c:pt idx="3">
                  <c:v>14.38</c:v>
                </c:pt>
                <c:pt idx="4">
                  <c:v>17.010000000000002</c:v>
                </c:pt>
                <c:pt idx="5">
                  <c:v>10.7</c:v>
                </c:pt>
                <c:pt idx="6">
                  <c:v>24.5</c:v>
                </c:pt>
                <c:pt idx="7">
                  <c:v>24.41</c:v>
                </c:pt>
                <c:pt idx="8">
                  <c:v>13.54</c:v>
                </c:pt>
                <c:pt idx="9">
                  <c:v>35.11</c:v>
                </c:pt>
                <c:pt idx="10">
                  <c:v>16.510000000000002</c:v>
                </c:pt>
                <c:pt idx="11">
                  <c:v>18.7</c:v>
                </c:pt>
                <c:pt idx="12">
                  <c:v>16.52</c:v>
                </c:pt>
                <c:pt idx="13">
                  <c:v>17.739999999999998</c:v>
                </c:pt>
                <c:pt idx="14">
                  <c:v>17.690000000000001</c:v>
                </c:pt>
                <c:pt idx="15">
                  <c:v>22.31</c:v>
                </c:pt>
                <c:pt idx="16">
                  <c:v>26.96</c:v>
                </c:pt>
                <c:pt idx="17">
                  <c:v>18.05</c:v>
                </c:pt>
                <c:pt idx="18">
                  <c:v>18.079999999999998</c:v>
                </c:pt>
                <c:pt idx="19">
                  <c:v>18.600000000000001</c:v>
                </c:pt>
                <c:pt idx="20">
                  <c:v>24.59</c:v>
                </c:pt>
                <c:pt idx="21">
                  <c:v>22.18</c:v>
                </c:pt>
                <c:pt idx="22">
                  <c:v>26.18</c:v>
                </c:pt>
                <c:pt idx="23">
                  <c:v>33.340000000000003</c:v>
                </c:pt>
                <c:pt idx="24">
                  <c:v>31.79</c:v>
                </c:pt>
                <c:pt idx="25">
                  <c:v>58.68</c:v>
                </c:pt>
                <c:pt idx="26">
                  <c:v>17.850000000000001</c:v>
                </c:pt>
                <c:pt idx="27">
                  <c:v>16.7</c:v>
                </c:pt>
                <c:pt idx="28">
                  <c:v>25.65</c:v>
                </c:pt>
                <c:pt idx="29">
                  <c:v>37.47</c:v>
                </c:pt>
                <c:pt idx="30">
                  <c:v>25.66</c:v>
                </c:pt>
                <c:pt idx="31">
                  <c:v>23.32</c:v>
                </c:pt>
                <c:pt idx="32">
                  <c:v>14.84</c:v>
                </c:pt>
                <c:pt idx="33">
                  <c:v>18.350000000000001</c:v>
                </c:pt>
                <c:pt idx="34">
                  <c:v>14.08</c:v>
                </c:pt>
                <c:pt idx="35">
                  <c:v>21.29</c:v>
                </c:pt>
                <c:pt idx="36">
                  <c:v>19.940000000000001</c:v>
                </c:pt>
                <c:pt idx="37">
                  <c:v>24.17</c:v>
                </c:pt>
                <c:pt idx="38">
                  <c:v>22.19</c:v>
                </c:pt>
                <c:pt idx="39">
                  <c:v>13.89</c:v>
                </c:pt>
                <c:pt idx="40">
                  <c:v>11.27</c:v>
                </c:pt>
                <c:pt idx="41">
                  <c:v>13.49</c:v>
                </c:pt>
                <c:pt idx="42">
                  <c:v>13.14</c:v>
                </c:pt>
                <c:pt idx="43">
                  <c:v>13.49</c:v>
                </c:pt>
                <c:pt idx="44">
                  <c:v>11.28</c:v>
                </c:pt>
                <c:pt idx="45">
                  <c:v>19.91</c:v>
                </c:pt>
                <c:pt idx="46">
                  <c:v>35.47</c:v>
                </c:pt>
                <c:pt idx="47">
                  <c:v>39.36</c:v>
                </c:pt>
                <c:pt idx="48">
                  <c:v>11.69</c:v>
                </c:pt>
                <c:pt idx="49">
                  <c:v>8.73</c:v>
                </c:pt>
                <c:pt idx="50">
                  <c:v>13.29</c:v>
                </c:pt>
                <c:pt idx="51">
                  <c:v>24.84</c:v>
                </c:pt>
                <c:pt idx="52">
                  <c:v>11.49</c:v>
                </c:pt>
                <c:pt idx="53">
                  <c:v>20.059999999999999</c:v>
                </c:pt>
                <c:pt idx="54">
                  <c:v>68.06</c:v>
                </c:pt>
                <c:pt idx="55">
                  <c:v>15.82</c:v>
                </c:pt>
                <c:pt idx="56">
                  <c:v>11.2</c:v>
                </c:pt>
                <c:pt idx="57">
                  <c:v>33.17</c:v>
                </c:pt>
                <c:pt idx="58">
                  <c:v>35.229999999999997</c:v>
                </c:pt>
                <c:pt idx="59">
                  <c:v>33.28</c:v>
                </c:pt>
                <c:pt idx="60">
                  <c:v>41.98</c:v>
                </c:pt>
                <c:pt idx="61">
                  <c:v>17.72</c:v>
                </c:pt>
                <c:pt idx="62">
                  <c:v>28.4</c:v>
                </c:pt>
                <c:pt idx="63">
                  <c:v>47.85</c:v>
                </c:pt>
                <c:pt idx="64">
                  <c:v>11.95</c:v>
                </c:pt>
                <c:pt idx="65">
                  <c:v>18.62</c:v>
                </c:pt>
                <c:pt idx="66">
                  <c:v>14.18</c:v>
                </c:pt>
                <c:pt idx="67">
                  <c:v>18.77</c:v>
                </c:pt>
                <c:pt idx="68">
                  <c:v>15.51</c:v>
                </c:pt>
                <c:pt idx="69">
                  <c:v>30.53</c:v>
                </c:pt>
                <c:pt idx="70">
                  <c:v>14.91</c:v>
                </c:pt>
                <c:pt idx="71">
                  <c:v>24.92</c:v>
                </c:pt>
                <c:pt idx="72">
                  <c:v>16.16</c:v>
                </c:pt>
                <c:pt idx="73">
                  <c:v>35.19</c:v>
                </c:pt>
                <c:pt idx="74">
                  <c:v>36.71</c:v>
                </c:pt>
                <c:pt idx="75">
                  <c:v>29.44</c:v>
                </c:pt>
                <c:pt idx="76">
                  <c:v>72.58</c:v>
                </c:pt>
                <c:pt idx="77">
                  <c:v>48.36</c:v>
                </c:pt>
                <c:pt idx="78">
                  <c:v>118.79</c:v>
                </c:pt>
                <c:pt idx="79">
                  <c:v>282.63</c:v>
                </c:pt>
                <c:pt idx="80">
                  <c:v>9.9499999999999993</c:v>
                </c:pt>
                <c:pt idx="81">
                  <c:v>12.34</c:v>
                </c:pt>
                <c:pt idx="82">
                  <c:v>6.65</c:v>
                </c:pt>
                <c:pt idx="83">
                  <c:v>3.15</c:v>
                </c:pt>
                <c:pt idx="84">
                  <c:v>5.78</c:v>
                </c:pt>
                <c:pt idx="85">
                  <c:v>10.08</c:v>
                </c:pt>
                <c:pt idx="86">
                  <c:v>6.85</c:v>
                </c:pt>
                <c:pt idx="87">
                  <c:v>10.65</c:v>
                </c:pt>
                <c:pt idx="88">
                  <c:v>7.23</c:v>
                </c:pt>
                <c:pt idx="89">
                  <c:v>8.09</c:v>
                </c:pt>
                <c:pt idx="90">
                  <c:v>12.35</c:v>
                </c:pt>
                <c:pt idx="91">
                  <c:v>7.76</c:v>
                </c:pt>
                <c:pt idx="92">
                  <c:v>12.41</c:v>
                </c:pt>
                <c:pt idx="93">
                  <c:v>6.98</c:v>
                </c:pt>
                <c:pt idx="94">
                  <c:v>6.97</c:v>
                </c:pt>
                <c:pt idx="95">
                  <c:v>9.43</c:v>
                </c:pt>
                <c:pt idx="96">
                  <c:v>6.06</c:v>
                </c:pt>
                <c:pt idx="97">
                  <c:v>4.42</c:v>
                </c:pt>
                <c:pt idx="98">
                  <c:v>8.06</c:v>
                </c:pt>
                <c:pt idx="99">
                  <c:v>10.77</c:v>
                </c:pt>
                <c:pt idx="100">
                  <c:v>8.09</c:v>
                </c:pt>
                <c:pt idx="101">
                  <c:v>13.44</c:v>
                </c:pt>
                <c:pt idx="102">
                  <c:v>6.88</c:v>
                </c:pt>
                <c:pt idx="103">
                  <c:v>8.68</c:v>
                </c:pt>
                <c:pt idx="104">
                  <c:v>11.44</c:v>
                </c:pt>
                <c:pt idx="105">
                  <c:v>8.1999999999999993</c:v>
                </c:pt>
                <c:pt idx="106">
                  <c:v>11.04</c:v>
                </c:pt>
                <c:pt idx="107">
                  <c:v>5.81</c:v>
                </c:pt>
                <c:pt idx="108">
                  <c:v>6.69</c:v>
                </c:pt>
                <c:pt idx="109">
                  <c:v>7.88</c:v>
                </c:pt>
                <c:pt idx="110">
                  <c:v>7.66</c:v>
                </c:pt>
                <c:pt idx="111">
                  <c:v>7.86</c:v>
                </c:pt>
                <c:pt idx="112">
                  <c:v>64.02</c:v>
                </c:pt>
                <c:pt idx="113">
                  <c:v>6.62</c:v>
                </c:pt>
                <c:pt idx="114">
                  <c:v>7.99</c:v>
                </c:pt>
                <c:pt idx="115">
                  <c:v>12.01</c:v>
                </c:pt>
                <c:pt idx="116">
                  <c:v>6.65</c:v>
                </c:pt>
                <c:pt idx="117">
                  <c:v>8.41</c:v>
                </c:pt>
                <c:pt idx="118">
                  <c:v>10.1</c:v>
                </c:pt>
                <c:pt idx="119">
                  <c:v>10.09</c:v>
                </c:pt>
                <c:pt idx="120">
                  <c:v>7.64</c:v>
                </c:pt>
                <c:pt idx="121">
                  <c:v>18.600000000000001</c:v>
                </c:pt>
                <c:pt idx="122">
                  <c:v>12.94</c:v>
                </c:pt>
                <c:pt idx="123">
                  <c:v>11.47</c:v>
                </c:pt>
                <c:pt idx="124">
                  <c:v>17.16</c:v>
                </c:pt>
                <c:pt idx="125">
                  <c:v>11.6</c:v>
                </c:pt>
                <c:pt idx="126">
                  <c:v>14.94</c:v>
                </c:pt>
                <c:pt idx="127">
                  <c:v>24.31</c:v>
                </c:pt>
                <c:pt idx="128">
                  <c:v>1.1399999999999999</c:v>
                </c:pt>
                <c:pt idx="129">
                  <c:v>13.08</c:v>
                </c:pt>
                <c:pt idx="130">
                  <c:v>21.07</c:v>
                </c:pt>
                <c:pt idx="131">
                  <c:v>22.96</c:v>
                </c:pt>
                <c:pt idx="132">
                  <c:v>16.04</c:v>
                </c:pt>
                <c:pt idx="133">
                  <c:v>10.29</c:v>
                </c:pt>
                <c:pt idx="134">
                  <c:v>9.51</c:v>
                </c:pt>
                <c:pt idx="135">
                  <c:v>15.09</c:v>
                </c:pt>
                <c:pt idx="136">
                  <c:v>15.66</c:v>
                </c:pt>
                <c:pt idx="137">
                  <c:v>8.4</c:v>
                </c:pt>
                <c:pt idx="138">
                  <c:v>12.3</c:v>
                </c:pt>
                <c:pt idx="139">
                  <c:v>13.99</c:v>
                </c:pt>
                <c:pt idx="140">
                  <c:v>16.989999999999998</c:v>
                </c:pt>
                <c:pt idx="141">
                  <c:v>17.64</c:v>
                </c:pt>
                <c:pt idx="142">
                  <c:v>9.4700000000000006</c:v>
                </c:pt>
                <c:pt idx="143">
                  <c:v>19.72</c:v>
                </c:pt>
                <c:pt idx="144">
                  <c:v>14.41</c:v>
                </c:pt>
                <c:pt idx="145">
                  <c:v>22.01</c:v>
                </c:pt>
                <c:pt idx="146">
                  <c:v>12.38</c:v>
                </c:pt>
                <c:pt idx="147">
                  <c:v>14.94</c:v>
                </c:pt>
                <c:pt idx="148">
                  <c:v>8.93</c:v>
                </c:pt>
                <c:pt idx="149">
                  <c:v>19.510000000000002</c:v>
                </c:pt>
                <c:pt idx="150">
                  <c:v>15.65</c:v>
                </c:pt>
                <c:pt idx="151">
                  <c:v>14.11</c:v>
                </c:pt>
                <c:pt idx="152">
                  <c:v>8.24</c:v>
                </c:pt>
                <c:pt idx="153">
                  <c:v>5.71</c:v>
                </c:pt>
                <c:pt idx="154">
                  <c:v>7.8</c:v>
                </c:pt>
                <c:pt idx="155">
                  <c:v>8.27</c:v>
                </c:pt>
                <c:pt idx="156">
                  <c:v>9.25</c:v>
                </c:pt>
                <c:pt idx="157">
                  <c:v>8.83</c:v>
                </c:pt>
                <c:pt idx="158">
                  <c:v>7.42</c:v>
                </c:pt>
                <c:pt idx="159">
                  <c:v>16</c:v>
                </c:pt>
                <c:pt idx="160">
                  <c:v>27.27</c:v>
                </c:pt>
                <c:pt idx="161">
                  <c:v>12.94</c:v>
                </c:pt>
                <c:pt idx="162">
                  <c:v>19.809999999999999</c:v>
                </c:pt>
                <c:pt idx="163">
                  <c:v>12.27</c:v>
                </c:pt>
                <c:pt idx="164">
                  <c:v>25.26</c:v>
                </c:pt>
                <c:pt idx="165">
                  <c:v>12.47</c:v>
                </c:pt>
                <c:pt idx="166">
                  <c:v>13.72</c:v>
                </c:pt>
                <c:pt idx="167">
                  <c:v>10.44</c:v>
                </c:pt>
                <c:pt idx="168">
                  <c:v>13.09</c:v>
                </c:pt>
                <c:pt idx="169">
                  <c:v>15.03</c:v>
                </c:pt>
                <c:pt idx="170">
                  <c:v>18.190000000000001</c:v>
                </c:pt>
                <c:pt idx="171">
                  <c:v>16.68</c:v>
                </c:pt>
                <c:pt idx="172">
                  <c:v>30.95</c:v>
                </c:pt>
                <c:pt idx="173">
                  <c:v>9.58</c:v>
                </c:pt>
                <c:pt idx="174">
                  <c:v>10.87</c:v>
                </c:pt>
                <c:pt idx="175">
                  <c:v>13.64</c:v>
                </c:pt>
                <c:pt idx="176">
                  <c:v>8.51</c:v>
                </c:pt>
                <c:pt idx="177">
                  <c:v>9.81</c:v>
                </c:pt>
                <c:pt idx="178">
                  <c:v>11.51</c:v>
                </c:pt>
                <c:pt idx="179">
                  <c:v>9.08</c:v>
                </c:pt>
                <c:pt idx="180">
                  <c:v>8.5</c:v>
                </c:pt>
                <c:pt idx="181">
                  <c:v>18.350000000000001</c:v>
                </c:pt>
                <c:pt idx="182">
                  <c:v>14.32</c:v>
                </c:pt>
                <c:pt idx="183">
                  <c:v>19.36</c:v>
                </c:pt>
                <c:pt idx="184">
                  <c:v>10.92</c:v>
                </c:pt>
                <c:pt idx="185">
                  <c:v>6.81</c:v>
                </c:pt>
                <c:pt idx="186">
                  <c:v>8.1199999999999992</c:v>
                </c:pt>
                <c:pt idx="187">
                  <c:v>5.82</c:v>
                </c:pt>
                <c:pt idx="188">
                  <c:v>9.01</c:v>
                </c:pt>
                <c:pt idx="189">
                  <c:v>12.2</c:v>
                </c:pt>
                <c:pt idx="190">
                  <c:v>9.8699999999999992</c:v>
                </c:pt>
                <c:pt idx="191">
                  <c:v>4.82</c:v>
                </c:pt>
                <c:pt idx="192">
                  <c:v>6.73</c:v>
                </c:pt>
                <c:pt idx="193">
                  <c:v>7.24</c:v>
                </c:pt>
                <c:pt idx="194">
                  <c:v>9.7799999999999994</c:v>
                </c:pt>
                <c:pt idx="195">
                  <c:v>8.5299999999999994</c:v>
                </c:pt>
                <c:pt idx="196">
                  <c:v>6.9</c:v>
                </c:pt>
                <c:pt idx="197">
                  <c:v>8.58</c:v>
                </c:pt>
                <c:pt idx="198">
                  <c:v>6.22</c:v>
                </c:pt>
                <c:pt idx="199">
                  <c:v>9.93</c:v>
                </c:pt>
                <c:pt idx="200">
                  <c:v>6.81</c:v>
                </c:pt>
                <c:pt idx="201">
                  <c:v>6.85</c:v>
                </c:pt>
                <c:pt idx="202">
                  <c:v>8.26</c:v>
                </c:pt>
                <c:pt idx="203">
                  <c:v>14.19</c:v>
                </c:pt>
                <c:pt idx="204">
                  <c:v>15.99</c:v>
                </c:pt>
                <c:pt idx="205">
                  <c:v>13.67</c:v>
                </c:pt>
                <c:pt idx="206">
                  <c:v>12.32</c:v>
                </c:pt>
                <c:pt idx="207">
                  <c:v>21.41</c:v>
                </c:pt>
                <c:pt idx="208">
                  <c:v>13.7</c:v>
                </c:pt>
                <c:pt idx="209">
                  <c:v>9.9499999999999993</c:v>
                </c:pt>
                <c:pt idx="210">
                  <c:v>16.690000000000001</c:v>
                </c:pt>
                <c:pt idx="211">
                  <c:v>14.84</c:v>
                </c:pt>
                <c:pt idx="212">
                  <c:v>13.2</c:v>
                </c:pt>
                <c:pt idx="213">
                  <c:v>12.6</c:v>
                </c:pt>
                <c:pt idx="214">
                  <c:v>8.0399999999999991</c:v>
                </c:pt>
                <c:pt idx="215">
                  <c:v>9.0299999999999994</c:v>
                </c:pt>
                <c:pt idx="216">
                  <c:v>7.01</c:v>
                </c:pt>
                <c:pt idx="217">
                  <c:v>17.87</c:v>
                </c:pt>
                <c:pt idx="218">
                  <c:v>18.510000000000002</c:v>
                </c:pt>
                <c:pt idx="219">
                  <c:v>20.79</c:v>
                </c:pt>
                <c:pt idx="220">
                  <c:v>13.04</c:v>
                </c:pt>
                <c:pt idx="221">
                  <c:v>10.47</c:v>
                </c:pt>
                <c:pt idx="222">
                  <c:v>8.77</c:v>
                </c:pt>
                <c:pt idx="223">
                  <c:v>13.21</c:v>
                </c:pt>
                <c:pt idx="224">
                  <c:v>12.6</c:v>
                </c:pt>
                <c:pt idx="225">
                  <c:v>13.22</c:v>
                </c:pt>
                <c:pt idx="226">
                  <c:v>14.97</c:v>
                </c:pt>
                <c:pt idx="227">
                  <c:v>30.66</c:v>
                </c:pt>
                <c:pt idx="228">
                  <c:v>21.48</c:v>
                </c:pt>
                <c:pt idx="229">
                  <c:v>431.85</c:v>
                </c:pt>
                <c:pt idx="230">
                  <c:v>26.99</c:v>
                </c:pt>
                <c:pt idx="231">
                  <c:v>13.11</c:v>
                </c:pt>
                <c:pt idx="232">
                  <c:v>18.54</c:v>
                </c:pt>
                <c:pt idx="233">
                  <c:v>19.45</c:v>
                </c:pt>
                <c:pt idx="234">
                  <c:v>5.78</c:v>
                </c:pt>
                <c:pt idx="235">
                  <c:v>9.8699999999999992</c:v>
                </c:pt>
                <c:pt idx="236">
                  <c:v>7.54</c:v>
                </c:pt>
                <c:pt idx="237">
                  <c:v>16.399999999999999</c:v>
                </c:pt>
                <c:pt idx="238">
                  <c:v>24.26</c:v>
                </c:pt>
                <c:pt idx="239">
                  <c:v>9.56</c:v>
                </c:pt>
                <c:pt idx="240">
                  <c:v>14.98</c:v>
                </c:pt>
                <c:pt idx="241">
                  <c:v>8.0299999999999994</c:v>
                </c:pt>
                <c:pt idx="242">
                  <c:v>8.23</c:v>
                </c:pt>
                <c:pt idx="243">
                  <c:v>19.940000000000001</c:v>
                </c:pt>
                <c:pt idx="244">
                  <c:v>9.7100000000000009</c:v>
                </c:pt>
                <c:pt idx="245">
                  <c:v>15.03</c:v>
                </c:pt>
                <c:pt idx="246">
                  <c:v>11.53</c:v>
                </c:pt>
                <c:pt idx="247">
                  <c:v>12.77</c:v>
                </c:pt>
                <c:pt idx="248">
                  <c:v>10.029999999999999</c:v>
                </c:pt>
                <c:pt idx="249">
                  <c:v>11.19</c:v>
                </c:pt>
                <c:pt idx="250">
                  <c:v>6.29</c:v>
                </c:pt>
                <c:pt idx="251">
                  <c:v>22.94</c:v>
                </c:pt>
                <c:pt idx="252">
                  <c:v>26.06</c:v>
                </c:pt>
                <c:pt idx="253">
                  <c:v>19.57</c:v>
                </c:pt>
                <c:pt idx="254">
                  <c:v>32.03</c:v>
                </c:pt>
                <c:pt idx="255">
                  <c:v>27.39</c:v>
                </c:pt>
                <c:pt idx="256">
                  <c:v>22.41</c:v>
                </c:pt>
                <c:pt idx="257">
                  <c:v>13.03</c:v>
                </c:pt>
                <c:pt idx="258">
                  <c:v>11.69</c:v>
                </c:pt>
                <c:pt idx="259">
                  <c:v>8.94</c:v>
                </c:pt>
                <c:pt idx="260">
                  <c:v>21.79</c:v>
                </c:pt>
                <c:pt idx="261">
                  <c:v>18.600000000000001</c:v>
                </c:pt>
                <c:pt idx="262">
                  <c:v>26.76</c:v>
                </c:pt>
                <c:pt idx="263">
                  <c:v>18.63</c:v>
                </c:pt>
                <c:pt idx="264">
                  <c:v>7.06</c:v>
                </c:pt>
                <c:pt idx="265">
                  <c:v>8</c:v>
                </c:pt>
                <c:pt idx="266">
                  <c:v>15.21</c:v>
                </c:pt>
                <c:pt idx="267">
                  <c:v>12.98</c:v>
                </c:pt>
                <c:pt idx="268">
                  <c:v>18.64</c:v>
                </c:pt>
                <c:pt idx="269">
                  <c:v>13.89</c:v>
                </c:pt>
                <c:pt idx="270">
                  <c:v>20.34</c:v>
                </c:pt>
                <c:pt idx="271">
                  <c:v>14.36</c:v>
                </c:pt>
                <c:pt idx="272">
                  <c:v>25.3</c:v>
                </c:pt>
                <c:pt idx="273">
                  <c:v>16.989999999999998</c:v>
                </c:pt>
                <c:pt idx="274">
                  <c:v>12.83</c:v>
                </c:pt>
                <c:pt idx="275">
                  <c:v>13.86</c:v>
                </c:pt>
                <c:pt idx="276">
                  <c:v>5.26</c:v>
                </c:pt>
                <c:pt idx="277">
                  <c:v>8.1999999999999993</c:v>
                </c:pt>
                <c:pt idx="278">
                  <c:v>13.84</c:v>
                </c:pt>
                <c:pt idx="279">
                  <c:v>11.1</c:v>
                </c:pt>
                <c:pt idx="280">
                  <c:v>9.7899999999999991</c:v>
                </c:pt>
                <c:pt idx="281">
                  <c:v>11.18</c:v>
                </c:pt>
                <c:pt idx="282">
                  <c:v>17.87</c:v>
                </c:pt>
                <c:pt idx="283">
                  <c:v>15.67</c:v>
                </c:pt>
                <c:pt idx="284">
                  <c:v>13.4</c:v>
                </c:pt>
                <c:pt idx="285">
                  <c:v>10.7</c:v>
                </c:pt>
                <c:pt idx="286">
                  <c:v>31.95</c:v>
                </c:pt>
                <c:pt idx="287">
                  <c:v>19.05</c:v>
                </c:pt>
                <c:pt idx="288">
                  <c:v>15.76</c:v>
                </c:pt>
                <c:pt idx="289">
                  <c:v>7.04</c:v>
                </c:pt>
                <c:pt idx="290">
                  <c:v>8.24</c:v>
                </c:pt>
                <c:pt idx="291">
                  <c:v>15.36</c:v>
                </c:pt>
                <c:pt idx="292">
                  <c:v>7.08</c:v>
                </c:pt>
                <c:pt idx="293">
                  <c:v>13</c:v>
                </c:pt>
                <c:pt idx="294">
                  <c:v>11.98</c:v>
                </c:pt>
                <c:pt idx="295">
                  <c:v>14.12</c:v>
                </c:pt>
                <c:pt idx="296">
                  <c:v>12.99</c:v>
                </c:pt>
                <c:pt idx="297">
                  <c:v>13.88</c:v>
                </c:pt>
                <c:pt idx="298">
                  <c:v>14.29</c:v>
                </c:pt>
                <c:pt idx="299">
                  <c:v>12.23</c:v>
                </c:pt>
                <c:pt idx="300">
                  <c:v>18.88</c:v>
                </c:pt>
                <c:pt idx="301">
                  <c:v>17.47</c:v>
                </c:pt>
                <c:pt idx="302">
                  <c:v>12.84</c:v>
                </c:pt>
                <c:pt idx="303">
                  <c:v>18.920000000000002</c:v>
                </c:pt>
                <c:pt idx="304">
                  <c:v>16.989999999999998</c:v>
                </c:pt>
                <c:pt idx="305">
                  <c:v>30.39</c:v>
                </c:pt>
                <c:pt idx="306">
                  <c:v>13.55</c:v>
                </c:pt>
                <c:pt idx="307">
                  <c:v>22.5</c:v>
                </c:pt>
                <c:pt idx="308">
                  <c:v>15.16</c:v>
                </c:pt>
                <c:pt idx="309">
                  <c:v>20.81</c:v>
                </c:pt>
                <c:pt idx="310">
                  <c:v>10.48</c:v>
                </c:pt>
                <c:pt idx="311">
                  <c:v>9.67</c:v>
                </c:pt>
                <c:pt idx="312">
                  <c:v>8.89</c:v>
                </c:pt>
                <c:pt idx="313">
                  <c:v>9.6199999999999992</c:v>
                </c:pt>
                <c:pt idx="314">
                  <c:v>15.69</c:v>
                </c:pt>
                <c:pt idx="315">
                  <c:v>8.74</c:v>
                </c:pt>
                <c:pt idx="316">
                  <c:v>11.27</c:v>
                </c:pt>
                <c:pt idx="317">
                  <c:v>15.77</c:v>
                </c:pt>
                <c:pt idx="318">
                  <c:v>9.7899999999999991</c:v>
                </c:pt>
                <c:pt idx="319">
                  <c:v>18.05</c:v>
                </c:pt>
                <c:pt idx="320">
                  <c:v>17.8</c:v>
                </c:pt>
                <c:pt idx="321">
                  <c:v>9.15</c:v>
                </c:pt>
                <c:pt idx="322">
                  <c:v>19.73</c:v>
                </c:pt>
                <c:pt idx="323">
                  <c:v>13.48</c:v>
                </c:pt>
                <c:pt idx="324">
                  <c:v>14.29</c:v>
                </c:pt>
                <c:pt idx="325">
                  <c:v>22.01</c:v>
                </c:pt>
                <c:pt idx="326">
                  <c:v>37.07</c:v>
                </c:pt>
                <c:pt idx="327">
                  <c:v>26.12</c:v>
                </c:pt>
                <c:pt idx="328">
                  <c:v>18.23</c:v>
                </c:pt>
                <c:pt idx="329">
                  <c:v>13.28</c:v>
                </c:pt>
                <c:pt idx="330">
                  <c:v>13.07</c:v>
                </c:pt>
                <c:pt idx="331">
                  <c:v>16.28</c:v>
                </c:pt>
                <c:pt idx="332">
                  <c:v>8.85</c:v>
                </c:pt>
                <c:pt idx="333">
                  <c:v>11.56</c:v>
                </c:pt>
                <c:pt idx="334">
                  <c:v>18.84</c:v>
                </c:pt>
                <c:pt idx="335">
                  <c:v>19.48</c:v>
                </c:pt>
                <c:pt idx="336">
                  <c:v>14.6</c:v>
                </c:pt>
                <c:pt idx="337">
                  <c:v>12.37</c:v>
                </c:pt>
                <c:pt idx="338">
                  <c:v>19.84</c:v>
                </c:pt>
                <c:pt idx="339">
                  <c:v>9.01</c:v>
                </c:pt>
                <c:pt idx="340">
                  <c:v>31.75</c:v>
                </c:pt>
                <c:pt idx="341">
                  <c:v>12.88</c:v>
                </c:pt>
                <c:pt idx="342">
                  <c:v>6.75</c:v>
                </c:pt>
                <c:pt idx="343">
                  <c:v>8.82</c:v>
                </c:pt>
                <c:pt idx="344">
                  <c:v>11.7</c:v>
                </c:pt>
                <c:pt idx="345">
                  <c:v>7.55</c:v>
                </c:pt>
                <c:pt idx="346">
                  <c:v>26.42</c:v>
                </c:pt>
                <c:pt idx="347">
                  <c:v>13.44</c:v>
                </c:pt>
                <c:pt idx="348">
                  <c:v>22.22</c:v>
                </c:pt>
                <c:pt idx="349">
                  <c:v>5.48</c:v>
                </c:pt>
                <c:pt idx="350">
                  <c:v>8.35</c:v>
                </c:pt>
                <c:pt idx="351">
                  <c:v>14.41</c:v>
                </c:pt>
                <c:pt idx="352">
                  <c:v>7.07</c:v>
                </c:pt>
                <c:pt idx="353">
                  <c:v>6.54</c:v>
                </c:pt>
                <c:pt idx="354">
                  <c:v>13.89</c:v>
                </c:pt>
                <c:pt idx="355">
                  <c:v>19.46</c:v>
                </c:pt>
                <c:pt idx="356">
                  <c:v>19.559999999999999</c:v>
                </c:pt>
                <c:pt idx="357">
                  <c:v>6.86</c:v>
                </c:pt>
                <c:pt idx="358">
                  <c:v>8.14</c:v>
                </c:pt>
                <c:pt idx="359">
                  <c:v>11.64</c:v>
                </c:pt>
                <c:pt idx="360">
                  <c:v>11.12</c:v>
                </c:pt>
                <c:pt idx="361">
                  <c:v>5.04</c:v>
                </c:pt>
                <c:pt idx="362">
                  <c:v>5.49</c:v>
                </c:pt>
                <c:pt idx="363">
                  <c:v>6.09</c:v>
                </c:pt>
                <c:pt idx="364">
                  <c:v>8.92</c:v>
                </c:pt>
                <c:pt idx="365">
                  <c:v>11.31</c:v>
                </c:pt>
                <c:pt idx="366">
                  <c:v>7.33</c:v>
                </c:pt>
                <c:pt idx="367">
                  <c:v>8.43</c:v>
                </c:pt>
                <c:pt idx="368">
                  <c:v>1.46</c:v>
                </c:pt>
                <c:pt idx="369">
                  <c:v>7.81</c:v>
                </c:pt>
                <c:pt idx="370">
                  <c:v>6.39</c:v>
                </c:pt>
                <c:pt idx="371">
                  <c:v>6.87</c:v>
                </c:pt>
                <c:pt idx="372">
                  <c:v>8.61</c:v>
                </c:pt>
                <c:pt idx="373">
                  <c:v>30.96</c:v>
                </c:pt>
                <c:pt idx="374">
                  <c:v>13.09</c:v>
                </c:pt>
                <c:pt idx="375">
                  <c:v>10.16</c:v>
                </c:pt>
                <c:pt idx="376">
                  <c:v>12.3</c:v>
                </c:pt>
                <c:pt idx="377">
                  <c:v>7.4</c:v>
                </c:pt>
                <c:pt idx="378">
                  <c:v>21.78</c:v>
                </c:pt>
                <c:pt idx="379">
                  <c:v>7.39</c:v>
                </c:pt>
                <c:pt idx="380">
                  <c:v>6.68</c:v>
                </c:pt>
                <c:pt idx="381">
                  <c:v>8.0399999999999991</c:v>
                </c:pt>
                <c:pt idx="382">
                  <c:v>6.71</c:v>
                </c:pt>
                <c:pt idx="383">
                  <c:v>14.39</c:v>
                </c:pt>
                <c:pt idx="384">
                  <c:v>12.8</c:v>
                </c:pt>
                <c:pt idx="385">
                  <c:v>23.95</c:v>
                </c:pt>
                <c:pt idx="386">
                  <c:v>9.5</c:v>
                </c:pt>
                <c:pt idx="387">
                  <c:v>16.48</c:v>
                </c:pt>
                <c:pt idx="388">
                  <c:v>18.23</c:v>
                </c:pt>
                <c:pt idx="389">
                  <c:v>15.87</c:v>
                </c:pt>
                <c:pt idx="390">
                  <c:v>5.09</c:v>
                </c:pt>
                <c:pt idx="391">
                  <c:v>10.53</c:v>
                </c:pt>
                <c:pt idx="392">
                  <c:v>17.25</c:v>
                </c:pt>
                <c:pt idx="393">
                  <c:v>15.49</c:v>
                </c:pt>
                <c:pt idx="394">
                  <c:v>8.48</c:v>
                </c:pt>
                <c:pt idx="395">
                  <c:v>6.76</c:v>
                </c:pt>
                <c:pt idx="396">
                  <c:v>7.8</c:v>
                </c:pt>
                <c:pt idx="397">
                  <c:v>23.81</c:v>
                </c:pt>
                <c:pt idx="398">
                  <c:v>13.93</c:v>
                </c:pt>
                <c:pt idx="399">
                  <c:v>5.43</c:v>
                </c:pt>
                <c:pt idx="400">
                  <c:v>10.49</c:v>
                </c:pt>
                <c:pt idx="401">
                  <c:v>7.53</c:v>
                </c:pt>
                <c:pt idx="402">
                  <c:v>8.83</c:v>
                </c:pt>
                <c:pt idx="403">
                  <c:v>18.38</c:v>
                </c:pt>
                <c:pt idx="404">
                  <c:v>14.92</c:v>
                </c:pt>
                <c:pt idx="405">
                  <c:v>10.91</c:v>
                </c:pt>
                <c:pt idx="406">
                  <c:v>13.74</c:v>
                </c:pt>
                <c:pt idx="407">
                  <c:v>13.72</c:v>
                </c:pt>
                <c:pt idx="408">
                  <c:v>10.9</c:v>
                </c:pt>
                <c:pt idx="409">
                  <c:v>8.41</c:v>
                </c:pt>
                <c:pt idx="410">
                  <c:v>12.02</c:v>
                </c:pt>
                <c:pt idx="411">
                  <c:v>15.89</c:v>
                </c:pt>
                <c:pt idx="412">
                  <c:v>14.95</c:v>
                </c:pt>
                <c:pt idx="413">
                  <c:v>18.670000000000002</c:v>
                </c:pt>
                <c:pt idx="414">
                  <c:v>7.78</c:v>
                </c:pt>
                <c:pt idx="415">
                  <c:v>7.95</c:v>
                </c:pt>
                <c:pt idx="416">
                  <c:v>7.83</c:v>
                </c:pt>
                <c:pt idx="417">
                  <c:v>7.89</c:v>
                </c:pt>
                <c:pt idx="418">
                  <c:v>8.36</c:v>
                </c:pt>
                <c:pt idx="419">
                  <c:v>8.4700000000000006</c:v>
                </c:pt>
                <c:pt idx="420">
                  <c:v>6.63</c:v>
                </c:pt>
                <c:pt idx="421">
                  <c:v>10.199999999999999</c:v>
                </c:pt>
                <c:pt idx="422">
                  <c:v>13.14</c:v>
                </c:pt>
                <c:pt idx="423">
                  <c:v>9.25</c:v>
                </c:pt>
                <c:pt idx="424">
                  <c:v>7.76</c:v>
                </c:pt>
                <c:pt idx="425">
                  <c:v>9.08</c:v>
                </c:pt>
                <c:pt idx="426">
                  <c:v>9.1999999999999993</c:v>
                </c:pt>
                <c:pt idx="427">
                  <c:v>20.56</c:v>
                </c:pt>
                <c:pt idx="428">
                  <c:v>10.9</c:v>
                </c:pt>
                <c:pt idx="429">
                  <c:v>13.72</c:v>
                </c:pt>
                <c:pt idx="430">
                  <c:v>24.09</c:v>
                </c:pt>
                <c:pt idx="431">
                  <c:v>21.32</c:v>
                </c:pt>
                <c:pt idx="432">
                  <c:v>11.67</c:v>
                </c:pt>
                <c:pt idx="433">
                  <c:v>11.54</c:v>
                </c:pt>
                <c:pt idx="434">
                  <c:v>13.38</c:v>
                </c:pt>
                <c:pt idx="435">
                  <c:v>12.5</c:v>
                </c:pt>
                <c:pt idx="436">
                  <c:v>20.74</c:v>
                </c:pt>
                <c:pt idx="437">
                  <c:v>17.88</c:v>
                </c:pt>
                <c:pt idx="438">
                  <c:v>42.07</c:v>
                </c:pt>
                <c:pt idx="439">
                  <c:v>54.04</c:v>
                </c:pt>
                <c:pt idx="440">
                  <c:v>18.07</c:v>
                </c:pt>
                <c:pt idx="441">
                  <c:v>24.98</c:v>
                </c:pt>
                <c:pt idx="442">
                  <c:v>21.09</c:v>
                </c:pt>
                <c:pt idx="443">
                  <c:v>13</c:v>
                </c:pt>
                <c:pt idx="444">
                  <c:v>16.25</c:v>
                </c:pt>
                <c:pt idx="445">
                  <c:v>18.96</c:v>
                </c:pt>
                <c:pt idx="446">
                  <c:v>18.829999999999998</c:v>
                </c:pt>
                <c:pt idx="447">
                  <c:v>11.62</c:v>
                </c:pt>
                <c:pt idx="448">
                  <c:v>26.47</c:v>
                </c:pt>
                <c:pt idx="449">
                  <c:v>20.52</c:v>
                </c:pt>
                <c:pt idx="450">
                  <c:v>12.93</c:v>
                </c:pt>
                <c:pt idx="451">
                  <c:v>9.1300000000000008</c:v>
                </c:pt>
                <c:pt idx="452">
                  <c:v>7.16</c:v>
                </c:pt>
                <c:pt idx="453">
                  <c:v>10.76</c:v>
                </c:pt>
                <c:pt idx="454">
                  <c:v>12.89</c:v>
                </c:pt>
                <c:pt idx="455">
                  <c:v>17.87</c:v>
                </c:pt>
                <c:pt idx="456">
                  <c:v>37.01</c:v>
                </c:pt>
                <c:pt idx="457">
                  <c:v>11.08</c:v>
                </c:pt>
                <c:pt idx="458">
                  <c:v>10.26</c:v>
                </c:pt>
                <c:pt idx="459">
                  <c:v>9.36</c:v>
                </c:pt>
                <c:pt idx="460">
                  <c:v>25.21</c:v>
                </c:pt>
                <c:pt idx="461">
                  <c:v>14.59</c:v>
                </c:pt>
                <c:pt idx="462">
                  <c:v>10.91</c:v>
                </c:pt>
                <c:pt idx="463">
                  <c:v>14.1</c:v>
                </c:pt>
                <c:pt idx="464">
                  <c:v>9.2200000000000006</c:v>
                </c:pt>
                <c:pt idx="465">
                  <c:v>9.2799999999999994</c:v>
                </c:pt>
                <c:pt idx="466">
                  <c:v>10.35</c:v>
                </c:pt>
                <c:pt idx="467">
                  <c:v>12.67</c:v>
                </c:pt>
                <c:pt idx="468">
                  <c:v>11.43</c:v>
                </c:pt>
                <c:pt idx="469">
                  <c:v>28.45</c:v>
                </c:pt>
                <c:pt idx="470">
                  <c:v>31.12</c:v>
                </c:pt>
                <c:pt idx="471">
                  <c:v>27.15</c:v>
                </c:pt>
                <c:pt idx="472">
                  <c:v>46.02</c:v>
                </c:pt>
                <c:pt idx="473">
                  <c:v>15.52</c:v>
                </c:pt>
                <c:pt idx="474">
                  <c:v>28.21</c:v>
                </c:pt>
                <c:pt idx="475">
                  <c:v>20.52</c:v>
                </c:pt>
                <c:pt idx="476">
                  <c:v>10.43</c:v>
                </c:pt>
                <c:pt idx="477">
                  <c:v>9.31</c:v>
                </c:pt>
                <c:pt idx="478">
                  <c:v>11.83</c:v>
                </c:pt>
                <c:pt idx="479">
                  <c:v>12.76</c:v>
                </c:pt>
                <c:pt idx="480">
                  <c:v>26.23</c:v>
                </c:pt>
                <c:pt idx="481">
                  <c:v>10.63</c:v>
                </c:pt>
                <c:pt idx="482">
                  <c:v>10.76</c:v>
                </c:pt>
                <c:pt idx="483">
                  <c:v>0</c:v>
                </c:pt>
                <c:pt idx="484">
                  <c:v>11.45</c:v>
                </c:pt>
                <c:pt idx="485">
                  <c:v>23.03</c:v>
                </c:pt>
                <c:pt idx="486">
                  <c:v>7.57</c:v>
                </c:pt>
                <c:pt idx="487">
                  <c:v>11</c:v>
                </c:pt>
                <c:pt idx="488">
                  <c:v>7.3</c:v>
                </c:pt>
                <c:pt idx="489">
                  <c:v>13.99</c:v>
                </c:pt>
                <c:pt idx="490">
                  <c:v>23.41</c:v>
                </c:pt>
                <c:pt idx="491">
                  <c:v>10.51</c:v>
                </c:pt>
                <c:pt idx="492">
                  <c:v>25.97</c:v>
                </c:pt>
                <c:pt idx="493">
                  <c:v>10.36</c:v>
                </c:pt>
                <c:pt idx="494">
                  <c:v>22.9</c:v>
                </c:pt>
                <c:pt idx="495">
                  <c:v>23.23</c:v>
                </c:pt>
                <c:pt idx="496">
                  <c:v>12.06</c:v>
                </c:pt>
                <c:pt idx="497">
                  <c:v>11.63</c:v>
                </c:pt>
                <c:pt idx="498">
                  <c:v>14.77</c:v>
                </c:pt>
                <c:pt idx="499">
                  <c:v>29.21</c:v>
                </c:pt>
                <c:pt idx="500">
                  <c:v>5.85</c:v>
                </c:pt>
                <c:pt idx="501">
                  <c:v>12.02</c:v>
                </c:pt>
                <c:pt idx="502">
                  <c:v>7.11</c:v>
                </c:pt>
                <c:pt idx="503">
                  <c:v>16.579999999999998</c:v>
                </c:pt>
                <c:pt idx="504">
                  <c:v>21.31</c:v>
                </c:pt>
                <c:pt idx="505">
                  <c:v>9.9700000000000006</c:v>
                </c:pt>
                <c:pt idx="506">
                  <c:v>8.75</c:v>
                </c:pt>
                <c:pt idx="507">
                  <c:v>18.09</c:v>
                </c:pt>
                <c:pt idx="508">
                  <c:v>14.01</c:v>
                </c:pt>
                <c:pt idx="509">
                  <c:v>6.71</c:v>
                </c:pt>
                <c:pt idx="510">
                  <c:v>8.52</c:v>
                </c:pt>
                <c:pt idx="511">
                  <c:v>16.149999999999999</c:v>
                </c:pt>
                <c:pt idx="512">
                  <c:v>18.36</c:v>
                </c:pt>
                <c:pt idx="513">
                  <c:v>12.66</c:v>
                </c:pt>
                <c:pt idx="514">
                  <c:v>8.85</c:v>
                </c:pt>
                <c:pt idx="515">
                  <c:v>9.3800000000000008</c:v>
                </c:pt>
                <c:pt idx="516">
                  <c:v>27.93</c:v>
                </c:pt>
                <c:pt idx="517">
                  <c:v>12.23</c:v>
                </c:pt>
                <c:pt idx="518">
                  <c:v>10.27</c:v>
                </c:pt>
                <c:pt idx="519">
                  <c:v>38.86</c:v>
                </c:pt>
                <c:pt idx="520">
                  <c:v>19.23</c:v>
                </c:pt>
                <c:pt idx="521">
                  <c:v>19.61</c:v>
                </c:pt>
                <c:pt idx="522">
                  <c:v>20.99</c:v>
                </c:pt>
                <c:pt idx="523">
                  <c:v>15.93</c:v>
                </c:pt>
                <c:pt idx="524">
                  <c:v>73.25</c:v>
                </c:pt>
                <c:pt idx="525">
                  <c:v>30.76</c:v>
                </c:pt>
                <c:pt idx="526">
                  <c:v>101.61</c:v>
                </c:pt>
                <c:pt idx="527">
                  <c:v>34.880000000000003</c:v>
                </c:pt>
                <c:pt idx="528">
                  <c:v>17.62</c:v>
                </c:pt>
                <c:pt idx="529">
                  <c:v>23.02</c:v>
                </c:pt>
                <c:pt idx="530">
                  <c:v>11.11</c:v>
                </c:pt>
                <c:pt idx="531">
                  <c:v>9.73</c:v>
                </c:pt>
                <c:pt idx="532">
                  <c:v>6.84</c:v>
                </c:pt>
                <c:pt idx="533">
                  <c:v>0</c:v>
                </c:pt>
                <c:pt idx="534">
                  <c:v>12.4</c:v>
                </c:pt>
                <c:pt idx="535">
                  <c:v>14.9</c:v>
                </c:pt>
                <c:pt idx="536">
                  <c:v>8.6199999999999992</c:v>
                </c:pt>
                <c:pt idx="537">
                  <c:v>7.78</c:v>
                </c:pt>
                <c:pt idx="538">
                  <c:v>7.98</c:v>
                </c:pt>
                <c:pt idx="539">
                  <c:v>11.15</c:v>
                </c:pt>
                <c:pt idx="540">
                  <c:v>18.600000000000001</c:v>
                </c:pt>
                <c:pt idx="541">
                  <c:v>19.41</c:v>
                </c:pt>
                <c:pt idx="542">
                  <c:v>14.08</c:v>
                </c:pt>
                <c:pt idx="543">
                  <c:v>16.95</c:v>
                </c:pt>
                <c:pt idx="544">
                  <c:v>37.520000000000003</c:v>
                </c:pt>
                <c:pt idx="545">
                  <c:v>20.38</c:v>
                </c:pt>
                <c:pt idx="546">
                  <c:v>12.15</c:v>
                </c:pt>
                <c:pt idx="547">
                  <c:v>15.61</c:v>
                </c:pt>
                <c:pt idx="548">
                  <c:v>10.91</c:v>
                </c:pt>
                <c:pt idx="549">
                  <c:v>32.28</c:v>
                </c:pt>
                <c:pt idx="550">
                  <c:v>48.18</c:v>
                </c:pt>
                <c:pt idx="551">
                  <c:v>12.88</c:v>
                </c:pt>
                <c:pt idx="552">
                  <c:v>18.760000000000002</c:v>
                </c:pt>
                <c:pt idx="553">
                  <c:v>12.04</c:v>
                </c:pt>
                <c:pt idx="554">
                  <c:v>17.16</c:v>
                </c:pt>
                <c:pt idx="555">
                  <c:v>19.170000000000002</c:v>
                </c:pt>
                <c:pt idx="556">
                  <c:v>19.88</c:v>
                </c:pt>
                <c:pt idx="557">
                  <c:v>43.51</c:v>
                </c:pt>
                <c:pt idx="558">
                  <c:v>17.87</c:v>
                </c:pt>
                <c:pt idx="559">
                  <c:v>19.68</c:v>
                </c:pt>
                <c:pt idx="560">
                  <c:v>21.63</c:v>
                </c:pt>
                <c:pt idx="561">
                  <c:v>8.4</c:v>
                </c:pt>
                <c:pt idx="562">
                  <c:v>3.3</c:v>
                </c:pt>
                <c:pt idx="563">
                  <c:v>12.2</c:v>
                </c:pt>
                <c:pt idx="564">
                  <c:v>9.14</c:v>
                </c:pt>
                <c:pt idx="565">
                  <c:v>11.11</c:v>
                </c:pt>
                <c:pt idx="566">
                  <c:v>12.07</c:v>
                </c:pt>
                <c:pt idx="567">
                  <c:v>6.9</c:v>
                </c:pt>
                <c:pt idx="568">
                  <c:v>9.35</c:v>
                </c:pt>
                <c:pt idx="569">
                  <c:v>6.53</c:v>
                </c:pt>
                <c:pt idx="570">
                  <c:v>5.9</c:v>
                </c:pt>
                <c:pt idx="571">
                  <c:v>5.7</c:v>
                </c:pt>
                <c:pt idx="572">
                  <c:v>8</c:v>
                </c:pt>
                <c:pt idx="573">
                  <c:v>9.2100000000000009</c:v>
                </c:pt>
                <c:pt idx="574">
                  <c:v>11.79</c:v>
                </c:pt>
                <c:pt idx="575">
                  <c:v>24.04</c:v>
                </c:pt>
                <c:pt idx="576">
                  <c:v>10.52</c:v>
                </c:pt>
                <c:pt idx="577">
                  <c:v>9.35</c:v>
                </c:pt>
                <c:pt idx="578">
                  <c:v>12.89</c:v>
                </c:pt>
                <c:pt idx="579">
                  <c:v>20.7</c:v>
                </c:pt>
                <c:pt idx="580">
                  <c:v>7.54</c:v>
                </c:pt>
                <c:pt idx="581">
                  <c:v>5.87</c:v>
                </c:pt>
                <c:pt idx="582">
                  <c:v>11.03</c:v>
                </c:pt>
                <c:pt idx="583">
                  <c:v>11.15</c:v>
                </c:pt>
                <c:pt idx="584">
                  <c:v>10.37</c:v>
                </c:pt>
                <c:pt idx="585">
                  <c:v>10.27</c:v>
                </c:pt>
                <c:pt idx="586">
                  <c:v>12.03</c:v>
                </c:pt>
                <c:pt idx="587">
                  <c:v>15.79</c:v>
                </c:pt>
                <c:pt idx="588">
                  <c:v>14.37</c:v>
                </c:pt>
                <c:pt idx="589">
                  <c:v>11.28</c:v>
                </c:pt>
                <c:pt idx="590">
                  <c:v>10.16</c:v>
                </c:pt>
                <c:pt idx="591">
                  <c:v>6.6</c:v>
                </c:pt>
                <c:pt idx="592">
                  <c:v>18.670000000000002</c:v>
                </c:pt>
                <c:pt idx="593">
                  <c:v>11.31</c:v>
                </c:pt>
                <c:pt idx="594">
                  <c:v>20.420000000000002</c:v>
                </c:pt>
                <c:pt idx="595">
                  <c:v>12.14</c:v>
                </c:pt>
                <c:pt idx="596">
                  <c:v>12.8</c:v>
                </c:pt>
                <c:pt idx="597">
                  <c:v>19.34</c:v>
                </c:pt>
                <c:pt idx="598">
                  <c:v>15.13</c:v>
                </c:pt>
                <c:pt idx="599">
                  <c:v>13.79</c:v>
                </c:pt>
                <c:pt idx="600">
                  <c:v>8.75</c:v>
                </c:pt>
                <c:pt idx="601">
                  <c:v>6.82</c:v>
                </c:pt>
                <c:pt idx="602">
                  <c:v>6.37</c:v>
                </c:pt>
                <c:pt idx="603">
                  <c:v>4.8899999999999997</c:v>
                </c:pt>
                <c:pt idx="604">
                  <c:v>6</c:v>
                </c:pt>
                <c:pt idx="605">
                  <c:v>4.34</c:v>
                </c:pt>
                <c:pt idx="606">
                  <c:v>6.66</c:v>
                </c:pt>
                <c:pt idx="607">
                  <c:v>10.86</c:v>
                </c:pt>
                <c:pt idx="608">
                  <c:v>7.44</c:v>
                </c:pt>
                <c:pt idx="609">
                  <c:v>3.74</c:v>
                </c:pt>
                <c:pt idx="610">
                  <c:v>1.18</c:v>
                </c:pt>
                <c:pt idx="611">
                  <c:v>4.08</c:v>
                </c:pt>
                <c:pt idx="612">
                  <c:v>7.79</c:v>
                </c:pt>
                <c:pt idx="613">
                  <c:v>6.98</c:v>
                </c:pt>
                <c:pt idx="614">
                  <c:v>5.12</c:v>
                </c:pt>
                <c:pt idx="615">
                  <c:v>7.31</c:v>
                </c:pt>
                <c:pt idx="616">
                  <c:v>13.8</c:v>
                </c:pt>
                <c:pt idx="617">
                  <c:v>8.15</c:v>
                </c:pt>
                <c:pt idx="618">
                  <c:v>7.99</c:v>
                </c:pt>
                <c:pt idx="619">
                  <c:v>8.6199999999999992</c:v>
                </c:pt>
                <c:pt idx="620">
                  <c:v>7.62</c:v>
                </c:pt>
                <c:pt idx="621">
                  <c:v>13.13</c:v>
                </c:pt>
                <c:pt idx="622">
                  <c:v>18.8</c:v>
                </c:pt>
                <c:pt idx="623">
                  <c:v>10.89</c:v>
                </c:pt>
                <c:pt idx="624">
                  <c:v>7.28</c:v>
                </c:pt>
                <c:pt idx="625">
                  <c:v>13.02</c:v>
                </c:pt>
                <c:pt idx="626">
                  <c:v>9.4700000000000006</c:v>
                </c:pt>
                <c:pt idx="627">
                  <c:v>6.89</c:v>
                </c:pt>
                <c:pt idx="628">
                  <c:v>6.94</c:v>
                </c:pt>
                <c:pt idx="629">
                  <c:v>4.21</c:v>
                </c:pt>
                <c:pt idx="630">
                  <c:v>7.63</c:v>
                </c:pt>
                <c:pt idx="631">
                  <c:v>11.77</c:v>
                </c:pt>
                <c:pt idx="632">
                  <c:v>7.65</c:v>
                </c:pt>
                <c:pt idx="633">
                  <c:v>5.01</c:v>
                </c:pt>
                <c:pt idx="634">
                  <c:v>5.61</c:v>
                </c:pt>
                <c:pt idx="635">
                  <c:v>8.42</c:v>
                </c:pt>
                <c:pt idx="636">
                  <c:v>10.029999999999999</c:v>
                </c:pt>
                <c:pt idx="637">
                  <c:v>13.4</c:v>
                </c:pt>
                <c:pt idx="638">
                  <c:v>7.48</c:v>
                </c:pt>
                <c:pt idx="639">
                  <c:v>8.16</c:v>
                </c:pt>
                <c:pt idx="640">
                  <c:v>10.220000000000001</c:v>
                </c:pt>
                <c:pt idx="641">
                  <c:v>10.49</c:v>
                </c:pt>
                <c:pt idx="642">
                  <c:v>5.33</c:v>
                </c:pt>
                <c:pt idx="643">
                  <c:v>5.78</c:v>
                </c:pt>
                <c:pt idx="644">
                  <c:v>7.51</c:v>
                </c:pt>
                <c:pt idx="645">
                  <c:v>10.72</c:v>
                </c:pt>
                <c:pt idx="646">
                  <c:v>9.9600000000000009</c:v>
                </c:pt>
                <c:pt idx="647">
                  <c:v>8.1999999999999993</c:v>
                </c:pt>
                <c:pt idx="648">
                  <c:v>15.08</c:v>
                </c:pt>
                <c:pt idx="649">
                  <c:v>14.43</c:v>
                </c:pt>
                <c:pt idx="650">
                  <c:v>11.81</c:v>
                </c:pt>
                <c:pt idx="651">
                  <c:v>14.41</c:v>
                </c:pt>
                <c:pt idx="652">
                  <c:v>9.32</c:v>
                </c:pt>
                <c:pt idx="653">
                  <c:v>9.94</c:v>
                </c:pt>
                <c:pt idx="654">
                  <c:v>8.09</c:v>
                </c:pt>
                <c:pt idx="655">
                  <c:v>12.86</c:v>
                </c:pt>
                <c:pt idx="656">
                  <c:v>8.3800000000000008</c:v>
                </c:pt>
                <c:pt idx="657">
                  <c:v>13.6</c:v>
                </c:pt>
                <c:pt idx="658">
                  <c:v>11.44</c:v>
                </c:pt>
                <c:pt idx="659">
                  <c:v>19.899999999999999</c:v>
                </c:pt>
                <c:pt idx="660">
                  <c:v>7.36</c:v>
                </c:pt>
                <c:pt idx="661">
                  <c:v>9.48</c:v>
                </c:pt>
                <c:pt idx="662">
                  <c:v>6.91</c:v>
                </c:pt>
                <c:pt idx="663">
                  <c:v>9.27</c:v>
                </c:pt>
                <c:pt idx="664">
                  <c:v>6.09</c:v>
                </c:pt>
                <c:pt idx="665">
                  <c:v>8.4499999999999993</c:v>
                </c:pt>
                <c:pt idx="666">
                  <c:v>9.85</c:v>
                </c:pt>
                <c:pt idx="667">
                  <c:v>9.57</c:v>
                </c:pt>
                <c:pt idx="668">
                  <c:v>19.32</c:v>
                </c:pt>
                <c:pt idx="669">
                  <c:v>16.27</c:v>
                </c:pt>
                <c:pt idx="670">
                  <c:v>14.92</c:v>
                </c:pt>
                <c:pt idx="671">
                  <c:v>7.56</c:v>
                </c:pt>
                <c:pt idx="672">
                  <c:v>11.58</c:v>
                </c:pt>
                <c:pt idx="673">
                  <c:v>13.19</c:v>
                </c:pt>
                <c:pt idx="674">
                  <c:v>9.76</c:v>
                </c:pt>
                <c:pt idx="675">
                  <c:v>6.39</c:v>
                </c:pt>
                <c:pt idx="676">
                  <c:v>9.16</c:v>
                </c:pt>
                <c:pt idx="677">
                  <c:v>6.83</c:v>
                </c:pt>
                <c:pt idx="678">
                  <c:v>10.62</c:v>
                </c:pt>
                <c:pt idx="679">
                  <c:v>10.32</c:v>
                </c:pt>
                <c:pt idx="680">
                  <c:v>6.44</c:v>
                </c:pt>
                <c:pt idx="681">
                  <c:v>8.19</c:v>
                </c:pt>
                <c:pt idx="682">
                  <c:v>9.98</c:v>
                </c:pt>
                <c:pt idx="683">
                  <c:v>13.99</c:v>
                </c:pt>
                <c:pt idx="684">
                  <c:v>18.14</c:v>
                </c:pt>
                <c:pt idx="685">
                  <c:v>43.53</c:v>
                </c:pt>
                <c:pt idx="686">
                  <c:v>38.979999999999997</c:v>
                </c:pt>
                <c:pt idx="687">
                  <c:v>13.97</c:v>
                </c:pt>
                <c:pt idx="688">
                  <c:v>20.25</c:v>
                </c:pt>
                <c:pt idx="689">
                  <c:v>13.87</c:v>
                </c:pt>
                <c:pt idx="690">
                  <c:v>5.35</c:v>
                </c:pt>
                <c:pt idx="691">
                  <c:v>6.09</c:v>
                </c:pt>
                <c:pt idx="692">
                  <c:v>5.08</c:v>
                </c:pt>
                <c:pt idx="693">
                  <c:v>7.91</c:v>
                </c:pt>
                <c:pt idx="694">
                  <c:v>12.34</c:v>
                </c:pt>
                <c:pt idx="695">
                  <c:v>8.4600000000000009</c:v>
                </c:pt>
                <c:pt idx="696">
                  <c:v>6.52</c:v>
                </c:pt>
                <c:pt idx="697">
                  <c:v>7.32</c:v>
                </c:pt>
                <c:pt idx="698">
                  <c:v>9.4700000000000006</c:v>
                </c:pt>
                <c:pt idx="699">
                  <c:v>16.25</c:v>
                </c:pt>
                <c:pt idx="700">
                  <c:v>7.73</c:v>
                </c:pt>
                <c:pt idx="701">
                  <c:v>10.7</c:v>
                </c:pt>
                <c:pt idx="702">
                  <c:v>9.11</c:v>
                </c:pt>
                <c:pt idx="703">
                  <c:v>12.08</c:v>
                </c:pt>
                <c:pt idx="704">
                  <c:v>4.87</c:v>
                </c:pt>
                <c:pt idx="705">
                  <c:v>5.48</c:v>
                </c:pt>
                <c:pt idx="706">
                  <c:v>6.09</c:v>
                </c:pt>
                <c:pt idx="707">
                  <c:v>6.64</c:v>
                </c:pt>
                <c:pt idx="708">
                  <c:v>6.06</c:v>
                </c:pt>
                <c:pt idx="709">
                  <c:v>4.47</c:v>
                </c:pt>
                <c:pt idx="710">
                  <c:v>4.1900000000000004</c:v>
                </c:pt>
                <c:pt idx="711">
                  <c:v>11.73</c:v>
                </c:pt>
                <c:pt idx="712">
                  <c:v>7.5</c:v>
                </c:pt>
                <c:pt idx="713">
                  <c:v>8.6999999999999993</c:v>
                </c:pt>
                <c:pt idx="714">
                  <c:v>16.11</c:v>
                </c:pt>
                <c:pt idx="715">
                  <c:v>8.7200000000000006</c:v>
                </c:pt>
                <c:pt idx="716">
                  <c:v>7.06</c:v>
                </c:pt>
                <c:pt idx="717">
                  <c:v>7.02</c:v>
                </c:pt>
                <c:pt idx="718">
                  <c:v>7.54</c:v>
                </c:pt>
                <c:pt idx="719">
                  <c:v>6.45</c:v>
                </c:pt>
                <c:pt idx="720">
                  <c:v>7.15</c:v>
                </c:pt>
                <c:pt idx="721">
                  <c:v>9.1999999999999993</c:v>
                </c:pt>
                <c:pt idx="722">
                  <c:v>8.8000000000000007</c:v>
                </c:pt>
                <c:pt idx="723">
                  <c:v>14.27</c:v>
                </c:pt>
                <c:pt idx="724">
                  <c:v>18.899999999999999</c:v>
                </c:pt>
                <c:pt idx="725">
                  <c:v>19.829999999999998</c:v>
                </c:pt>
                <c:pt idx="726">
                  <c:v>13</c:v>
                </c:pt>
                <c:pt idx="727">
                  <c:v>18.2</c:v>
                </c:pt>
                <c:pt idx="728">
                  <c:v>11.48</c:v>
                </c:pt>
                <c:pt idx="729">
                  <c:v>8.73</c:v>
                </c:pt>
                <c:pt idx="730">
                  <c:v>15.42</c:v>
                </c:pt>
                <c:pt idx="731">
                  <c:v>25.77</c:v>
                </c:pt>
                <c:pt idx="732">
                  <c:v>24</c:v>
                </c:pt>
                <c:pt idx="733">
                  <c:v>9.48</c:v>
                </c:pt>
                <c:pt idx="734">
                  <c:v>7.99</c:v>
                </c:pt>
                <c:pt idx="735">
                  <c:v>9.15</c:v>
                </c:pt>
                <c:pt idx="736">
                  <c:v>11.14</c:v>
                </c:pt>
                <c:pt idx="737">
                  <c:v>15.98</c:v>
                </c:pt>
                <c:pt idx="738">
                  <c:v>9.75</c:v>
                </c:pt>
                <c:pt idx="739">
                  <c:v>9.99</c:v>
                </c:pt>
                <c:pt idx="740">
                  <c:v>7.24</c:v>
                </c:pt>
                <c:pt idx="741">
                  <c:v>12.41</c:v>
                </c:pt>
                <c:pt idx="742">
                  <c:v>7.98</c:v>
                </c:pt>
                <c:pt idx="743">
                  <c:v>7.33</c:v>
                </c:pt>
                <c:pt idx="744">
                  <c:v>10.25</c:v>
                </c:pt>
                <c:pt idx="745">
                  <c:v>12.72</c:v>
                </c:pt>
                <c:pt idx="746">
                  <c:v>12.61</c:v>
                </c:pt>
                <c:pt idx="747">
                  <c:v>7.62</c:v>
                </c:pt>
                <c:pt idx="748">
                  <c:v>8.84</c:v>
                </c:pt>
                <c:pt idx="749">
                  <c:v>5.98</c:v>
                </c:pt>
                <c:pt idx="750">
                  <c:v>14.25</c:v>
                </c:pt>
                <c:pt idx="751">
                  <c:v>6.67</c:v>
                </c:pt>
                <c:pt idx="752">
                  <c:v>9.74</c:v>
                </c:pt>
                <c:pt idx="753">
                  <c:v>9.49</c:v>
                </c:pt>
                <c:pt idx="754">
                  <c:v>11.04</c:v>
                </c:pt>
                <c:pt idx="755">
                  <c:v>6.06</c:v>
                </c:pt>
                <c:pt idx="756">
                  <c:v>9.75</c:v>
                </c:pt>
                <c:pt idx="757">
                  <c:v>18.239999999999998</c:v>
                </c:pt>
                <c:pt idx="758">
                  <c:v>6.78</c:v>
                </c:pt>
                <c:pt idx="759">
                  <c:v>12.9</c:v>
                </c:pt>
                <c:pt idx="760">
                  <c:v>11.61</c:v>
                </c:pt>
                <c:pt idx="761">
                  <c:v>7.06</c:v>
                </c:pt>
                <c:pt idx="762">
                  <c:v>9.51</c:v>
                </c:pt>
                <c:pt idx="763">
                  <c:v>10.16</c:v>
                </c:pt>
                <c:pt idx="764">
                  <c:v>9.17</c:v>
                </c:pt>
                <c:pt idx="765">
                  <c:v>10.82</c:v>
                </c:pt>
                <c:pt idx="766">
                  <c:v>9.93</c:v>
                </c:pt>
                <c:pt idx="767">
                  <c:v>9.75</c:v>
                </c:pt>
                <c:pt idx="768">
                  <c:v>4.7699999999999996</c:v>
                </c:pt>
                <c:pt idx="769">
                  <c:v>11.61</c:v>
                </c:pt>
                <c:pt idx="770">
                  <c:v>10.119999999999999</c:v>
                </c:pt>
                <c:pt idx="771">
                  <c:v>48.9</c:v>
                </c:pt>
                <c:pt idx="772">
                  <c:v>15.71</c:v>
                </c:pt>
                <c:pt idx="773">
                  <c:v>8.42</c:v>
                </c:pt>
                <c:pt idx="774">
                  <c:v>10.23</c:v>
                </c:pt>
                <c:pt idx="775">
                  <c:v>8.7899999999999991</c:v>
                </c:pt>
                <c:pt idx="776">
                  <c:v>8.36</c:v>
                </c:pt>
                <c:pt idx="777">
                  <c:v>9.6300000000000008</c:v>
                </c:pt>
                <c:pt idx="778">
                  <c:v>8.92</c:v>
                </c:pt>
                <c:pt idx="779">
                  <c:v>10.71</c:v>
                </c:pt>
                <c:pt idx="780">
                  <c:v>8.18</c:v>
                </c:pt>
                <c:pt idx="781">
                  <c:v>5.0199999999999996</c:v>
                </c:pt>
                <c:pt idx="782">
                  <c:v>7.77</c:v>
                </c:pt>
                <c:pt idx="783">
                  <c:v>16.37</c:v>
                </c:pt>
                <c:pt idx="784">
                  <c:v>8.14</c:v>
                </c:pt>
                <c:pt idx="785">
                  <c:v>12.91</c:v>
                </c:pt>
                <c:pt idx="786">
                  <c:v>18.829999999999998</c:v>
                </c:pt>
                <c:pt idx="787">
                  <c:v>8.9600000000000009</c:v>
                </c:pt>
                <c:pt idx="788">
                  <c:v>8.26</c:v>
                </c:pt>
                <c:pt idx="789">
                  <c:v>7.8</c:v>
                </c:pt>
                <c:pt idx="790">
                  <c:v>7.67</c:v>
                </c:pt>
                <c:pt idx="791">
                  <c:v>9.7799999999999994</c:v>
                </c:pt>
                <c:pt idx="792">
                  <c:v>12.21</c:v>
                </c:pt>
                <c:pt idx="793">
                  <c:v>29.13</c:v>
                </c:pt>
                <c:pt idx="794">
                  <c:v>9.9</c:v>
                </c:pt>
                <c:pt idx="795">
                  <c:v>10.28</c:v>
                </c:pt>
                <c:pt idx="796">
                  <c:v>11.86</c:v>
                </c:pt>
                <c:pt idx="797">
                  <c:v>10.42</c:v>
                </c:pt>
                <c:pt idx="798">
                  <c:v>20.64</c:v>
                </c:pt>
                <c:pt idx="799">
                  <c:v>25.79</c:v>
                </c:pt>
                <c:pt idx="800">
                  <c:v>22.3</c:v>
                </c:pt>
                <c:pt idx="801">
                  <c:v>55.75</c:v>
                </c:pt>
                <c:pt idx="802">
                  <c:v>64.52</c:v>
                </c:pt>
                <c:pt idx="803">
                  <c:v>17.13</c:v>
                </c:pt>
                <c:pt idx="804">
                  <c:v>14.09</c:v>
                </c:pt>
                <c:pt idx="805">
                  <c:v>21.04</c:v>
                </c:pt>
                <c:pt idx="806">
                  <c:v>12.5</c:v>
                </c:pt>
                <c:pt idx="807">
                  <c:v>12.3</c:v>
                </c:pt>
                <c:pt idx="808">
                  <c:v>7.12</c:v>
                </c:pt>
                <c:pt idx="809">
                  <c:v>13.1</c:v>
                </c:pt>
                <c:pt idx="810">
                  <c:v>8.35</c:v>
                </c:pt>
                <c:pt idx="811">
                  <c:v>12.56</c:v>
                </c:pt>
                <c:pt idx="812">
                  <c:v>13.71</c:v>
                </c:pt>
                <c:pt idx="813">
                  <c:v>8.25</c:v>
                </c:pt>
                <c:pt idx="814">
                  <c:v>14.41</c:v>
                </c:pt>
                <c:pt idx="815">
                  <c:v>6.64</c:v>
                </c:pt>
                <c:pt idx="816">
                  <c:v>4.58</c:v>
                </c:pt>
                <c:pt idx="817">
                  <c:v>6.95</c:v>
                </c:pt>
                <c:pt idx="818">
                  <c:v>10.62</c:v>
                </c:pt>
                <c:pt idx="819">
                  <c:v>8.2799999999999994</c:v>
                </c:pt>
                <c:pt idx="820">
                  <c:v>8.17</c:v>
                </c:pt>
                <c:pt idx="821">
                  <c:v>6.69</c:v>
                </c:pt>
                <c:pt idx="822">
                  <c:v>6</c:v>
                </c:pt>
                <c:pt idx="823">
                  <c:v>5.95</c:v>
                </c:pt>
                <c:pt idx="824">
                  <c:v>6.96</c:v>
                </c:pt>
                <c:pt idx="825">
                  <c:v>8.11</c:v>
                </c:pt>
                <c:pt idx="826">
                  <c:v>7.74</c:v>
                </c:pt>
                <c:pt idx="827">
                  <c:v>6.73</c:v>
                </c:pt>
                <c:pt idx="828">
                  <c:v>9.57</c:v>
                </c:pt>
                <c:pt idx="829">
                  <c:v>10.07</c:v>
                </c:pt>
                <c:pt idx="830">
                  <c:v>6.58</c:v>
                </c:pt>
                <c:pt idx="831">
                  <c:v>7.05</c:v>
                </c:pt>
                <c:pt idx="832">
                  <c:v>5.48</c:v>
                </c:pt>
                <c:pt idx="833">
                  <c:v>7.81</c:v>
                </c:pt>
                <c:pt idx="834">
                  <c:v>12.43</c:v>
                </c:pt>
                <c:pt idx="835">
                  <c:v>8.15</c:v>
                </c:pt>
                <c:pt idx="836">
                  <c:v>7.38</c:v>
                </c:pt>
                <c:pt idx="837">
                  <c:v>10.69</c:v>
                </c:pt>
                <c:pt idx="838">
                  <c:v>11.21</c:v>
                </c:pt>
                <c:pt idx="839">
                  <c:v>8.1300000000000008</c:v>
                </c:pt>
                <c:pt idx="840">
                  <c:v>6.2</c:v>
                </c:pt>
                <c:pt idx="841">
                  <c:v>9.81</c:v>
                </c:pt>
                <c:pt idx="842">
                  <c:v>6.33</c:v>
                </c:pt>
                <c:pt idx="843">
                  <c:v>9.7200000000000006</c:v>
                </c:pt>
                <c:pt idx="844">
                  <c:v>8.39</c:v>
                </c:pt>
                <c:pt idx="845">
                  <c:v>16.63</c:v>
                </c:pt>
                <c:pt idx="846">
                  <c:v>22.56</c:v>
                </c:pt>
                <c:pt idx="847">
                  <c:v>10.19</c:v>
                </c:pt>
                <c:pt idx="848">
                  <c:v>9.9</c:v>
                </c:pt>
                <c:pt idx="849">
                  <c:v>6.93</c:v>
                </c:pt>
                <c:pt idx="850">
                  <c:v>8.14</c:v>
                </c:pt>
                <c:pt idx="851">
                  <c:v>7.77</c:v>
                </c:pt>
                <c:pt idx="852">
                  <c:v>6.5</c:v>
                </c:pt>
                <c:pt idx="853">
                  <c:v>9.1999999999999993</c:v>
                </c:pt>
                <c:pt idx="854">
                  <c:v>7.84</c:v>
                </c:pt>
                <c:pt idx="855">
                  <c:v>9.99</c:v>
                </c:pt>
                <c:pt idx="856">
                  <c:v>7.6</c:v>
                </c:pt>
                <c:pt idx="857">
                  <c:v>15.45</c:v>
                </c:pt>
                <c:pt idx="858">
                  <c:v>17.64</c:v>
                </c:pt>
                <c:pt idx="859">
                  <c:v>10.95</c:v>
                </c:pt>
                <c:pt idx="860">
                  <c:v>19.329999999999998</c:v>
                </c:pt>
                <c:pt idx="861">
                  <c:v>20.61</c:v>
                </c:pt>
                <c:pt idx="862">
                  <c:v>10.050000000000001</c:v>
                </c:pt>
                <c:pt idx="863">
                  <c:v>8.39</c:v>
                </c:pt>
                <c:pt idx="864">
                  <c:v>10.74</c:v>
                </c:pt>
                <c:pt idx="865">
                  <c:v>16.78</c:v>
                </c:pt>
                <c:pt idx="866">
                  <c:v>19.670000000000002</c:v>
                </c:pt>
                <c:pt idx="867">
                  <c:v>13.83</c:v>
                </c:pt>
                <c:pt idx="868">
                  <c:v>13.07</c:v>
                </c:pt>
                <c:pt idx="869">
                  <c:v>18.559999999999999</c:v>
                </c:pt>
                <c:pt idx="870">
                  <c:v>17.239999999999998</c:v>
                </c:pt>
                <c:pt idx="871">
                  <c:v>3.17</c:v>
                </c:pt>
                <c:pt idx="872">
                  <c:v>27.37</c:v>
                </c:pt>
                <c:pt idx="873">
                  <c:v>18.47</c:v>
                </c:pt>
                <c:pt idx="874">
                  <c:v>16.3</c:v>
                </c:pt>
                <c:pt idx="875">
                  <c:v>20.89</c:v>
                </c:pt>
                <c:pt idx="876">
                  <c:v>6.93</c:v>
                </c:pt>
                <c:pt idx="877">
                  <c:v>6.42</c:v>
                </c:pt>
                <c:pt idx="878">
                  <c:v>7.27</c:v>
                </c:pt>
                <c:pt idx="879">
                  <c:v>10.34</c:v>
                </c:pt>
                <c:pt idx="880">
                  <c:v>10.61</c:v>
                </c:pt>
                <c:pt idx="881">
                  <c:v>9.39</c:v>
                </c:pt>
                <c:pt idx="882">
                  <c:v>10.51</c:v>
                </c:pt>
                <c:pt idx="883">
                  <c:v>22.24</c:v>
                </c:pt>
                <c:pt idx="884">
                  <c:v>8.8000000000000007</c:v>
                </c:pt>
                <c:pt idx="885">
                  <c:v>9.11</c:v>
                </c:pt>
                <c:pt idx="886">
                  <c:v>12.43</c:v>
                </c:pt>
                <c:pt idx="887">
                  <c:v>18.28</c:v>
                </c:pt>
                <c:pt idx="888">
                  <c:v>15.55</c:v>
                </c:pt>
                <c:pt idx="889">
                  <c:v>9.99</c:v>
                </c:pt>
                <c:pt idx="890">
                  <c:v>16.21</c:v>
                </c:pt>
                <c:pt idx="891">
                  <c:v>22.84</c:v>
                </c:pt>
                <c:pt idx="892">
                  <c:v>24.18</c:v>
                </c:pt>
                <c:pt idx="893">
                  <c:v>20.99</c:v>
                </c:pt>
                <c:pt idx="894">
                  <c:v>9.5299999999999994</c:v>
                </c:pt>
                <c:pt idx="895">
                  <c:v>14.37</c:v>
                </c:pt>
                <c:pt idx="896">
                  <c:v>12.49</c:v>
                </c:pt>
                <c:pt idx="897">
                  <c:v>8.42</c:v>
                </c:pt>
                <c:pt idx="898">
                  <c:v>12.27</c:v>
                </c:pt>
                <c:pt idx="899">
                  <c:v>10.52</c:v>
                </c:pt>
                <c:pt idx="900">
                  <c:v>8.7100000000000009</c:v>
                </c:pt>
                <c:pt idx="901">
                  <c:v>9.41</c:v>
                </c:pt>
                <c:pt idx="902">
                  <c:v>10.91</c:v>
                </c:pt>
                <c:pt idx="903">
                  <c:v>8.09</c:v>
                </c:pt>
                <c:pt idx="904">
                  <c:v>11.97</c:v>
                </c:pt>
                <c:pt idx="905">
                  <c:v>17.47</c:v>
                </c:pt>
                <c:pt idx="906">
                  <c:v>25.76</c:v>
                </c:pt>
                <c:pt idx="907">
                  <c:v>13.25</c:v>
                </c:pt>
                <c:pt idx="908">
                  <c:v>17.829999999999998</c:v>
                </c:pt>
                <c:pt idx="909">
                  <c:v>11.36</c:v>
                </c:pt>
                <c:pt idx="910">
                  <c:v>6.96</c:v>
                </c:pt>
                <c:pt idx="911">
                  <c:v>7.76</c:v>
                </c:pt>
                <c:pt idx="912">
                  <c:v>11.35</c:v>
                </c:pt>
                <c:pt idx="913">
                  <c:v>9.34</c:v>
                </c:pt>
                <c:pt idx="914">
                  <c:v>11.36</c:v>
                </c:pt>
                <c:pt idx="915">
                  <c:v>10.42</c:v>
                </c:pt>
                <c:pt idx="916">
                  <c:v>9.8800000000000008</c:v>
                </c:pt>
                <c:pt idx="917">
                  <c:v>7.98</c:v>
                </c:pt>
                <c:pt idx="918">
                  <c:v>8.61</c:v>
                </c:pt>
                <c:pt idx="919">
                  <c:v>6.42</c:v>
                </c:pt>
                <c:pt idx="920">
                  <c:v>10.89</c:v>
                </c:pt>
                <c:pt idx="921">
                  <c:v>8.92</c:v>
                </c:pt>
                <c:pt idx="922">
                  <c:v>8.31</c:v>
                </c:pt>
                <c:pt idx="923">
                  <c:v>10.09</c:v>
                </c:pt>
                <c:pt idx="924">
                  <c:v>15.9</c:v>
                </c:pt>
                <c:pt idx="925">
                  <c:v>17.7</c:v>
                </c:pt>
                <c:pt idx="926">
                  <c:v>38.979999999999997</c:v>
                </c:pt>
                <c:pt idx="927">
                  <c:v>15.89</c:v>
                </c:pt>
                <c:pt idx="928">
                  <c:v>16.93</c:v>
                </c:pt>
                <c:pt idx="929">
                  <c:v>10.84</c:v>
                </c:pt>
                <c:pt idx="930">
                  <c:v>9.35</c:v>
                </c:pt>
                <c:pt idx="931">
                  <c:v>9.74</c:v>
                </c:pt>
                <c:pt idx="932">
                  <c:v>10.64</c:v>
                </c:pt>
                <c:pt idx="933">
                  <c:v>9.9700000000000006</c:v>
                </c:pt>
                <c:pt idx="934">
                  <c:v>16.04</c:v>
                </c:pt>
                <c:pt idx="935">
                  <c:v>15.79</c:v>
                </c:pt>
                <c:pt idx="936">
                  <c:v>9.19</c:v>
                </c:pt>
                <c:pt idx="937">
                  <c:v>11.32</c:v>
                </c:pt>
                <c:pt idx="938">
                  <c:v>11.03</c:v>
                </c:pt>
                <c:pt idx="939">
                  <c:v>13.41</c:v>
                </c:pt>
                <c:pt idx="940">
                  <c:v>9.2799999999999994</c:v>
                </c:pt>
                <c:pt idx="941">
                  <c:v>14.07</c:v>
                </c:pt>
                <c:pt idx="942">
                  <c:v>12.35</c:v>
                </c:pt>
                <c:pt idx="943">
                  <c:v>11.11</c:v>
                </c:pt>
                <c:pt idx="944">
                  <c:v>13.79</c:v>
                </c:pt>
                <c:pt idx="945">
                  <c:v>18.29</c:v>
                </c:pt>
                <c:pt idx="946">
                  <c:v>18.57</c:v>
                </c:pt>
                <c:pt idx="947">
                  <c:v>39.880000000000003</c:v>
                </c:pt>
                <c:pt idx="948">
                  <c:v>35.17</c:v>
                </c:pt>
                <c:pt idx="949">
                  <c:v>19.260000000000002</c:v>
                </c:pt>
                <c:pt idx="950">
                  <c:v>16.02</c:v>
                </c:pt>
                <c:pt idx="951">
                  <c:v>11.24</c:v>
                </c:pt>
                <c:pt idx="952">
                  <c:v>8.17</c:v>
                </c:pt>
                <c:pt idx="953">
                  <c:v>7.01</c:v>
                </c:pt>
                <c:pt idx="954">
                  <c:v>9.07</c:v>
                </c:pt>
                <c:pt idx="955">
                  <c:v>11.32</c:v>
                </c:pt>
                <c:pt idx="956">
                  <c:v>13.88</c:v>
                </c:pt>
                <c:pt idx="957">
                  <c:v>17.079999999999998</c:v>
                </c:pt>
                <c:pt idx="958">
                  <c:v>16.649999999999999</c:v>
                </c:pt>
                <c:pt idx="959">
                  <c:v>14.29</c:v>
                </c:pt>
                <c:pt idx="960">
                  <c:v>5.0599999999999996</c:v>
                </c:pt>
                <c:pt idx="961">
                  <c:v>7.42</c:v>
                </c:pt>
                <c:pt idx="962">
                  <c:v>11.09</c:v>
                </c:pt>
                <c:pt idx="963">
                  <c:v>8.3699999999999992</c:v>
                </c:pt>
                <c:pt idx="964">
                  <c:v>9.86</c:v>
                </c:pt>
                <c:pt idx="965">
                  <c:v>14.36</c:v>
                </c:pt>
                <c:pt idx="966">
                  <c:v>10.83</c:v>
                </c:pt>
                <c:pt idx="967">
                  <c:v>10.93</c:v>
                </c:pt>
                <c:pt idx="968">
                  <c:v>12.49</c:v>
                </c:pt>
                <c:pt idx="969">
                  <c:v>14.24</c:v>
                </c:pt>
                <c:pt idx="970">
                  <c:v>14.7</c:v>
                </c:pt>
                <c:pt idx="971">
                  <c:v>23.21</c:v>
                </c:pt>
                <c:pt idx="972">
                  <c:v>11.82</c:v>
                </c:pt>
                <c:pt idx="973">
                  <c:v>13.47</c:v>
                </c:pt>
                <c:pt idx="974">
                  <c:v>18.420000000000002</c:v>
                </c:pt>
                <c:pt idx="975">
                  <c:v>15.29</c:v>
                </c:pt>
                <c:pt idx="976">
                  <c:v>15.55</c:v>
                </c:pt>
                <c:pt idx="977">
                  <c:v>21.7</c:v>
                </c:pt>
                <c:pt idx="978">
                  <c:v>32.369999999999997</c:v>
                </c:pt>
                <c:pt idx="979">
                  <c:v>78.290000000000006</c:v>
                </c:pt>
                <c:pt idx="980">
                  <c:v>20.2</c:v>
                </c:pt>
                <c:pt idx="981">
                  <c:v>17.8</c:v>
                </c:pt>
                <c:pt idx="982">
                  <c:v>8.19</c:v>
                </c:pt>
                <c:pt idx="983">
                  <c:v>11.92</c:v>
                </c:pt>
                <c:pt idx="984">
                  <c:v>20.04</c:v>
                </c:pt>
                <c:pt idx="985">
                  <c:v>17.34</c:v>
                </c:pt>
                <c:pt idx="986">
                  <c:v>18.03</c:v>
                </c:pt>
                <c:pt idx="987">
                  <c:v>21.4</c:v>
                </c:pt>
                <c:pt idx="988">
                  <c:v>34.49</c:v>
                </c:pt>
                <c:pt idx="989">
                  <c:v>17.93</c:v>
                </c:pt>
                <c:pt idx="990">
                  <c:v>25.95</c:v>
                </c:pt>
                <c:pt idx="991">
                  <c:v>18.97</c:v>
                </c:pt>
                <c:pt idx="992">
                  <c:v>20.420000000000002</c:v>
                </c:pt>
                <c:pt idx="993">
                  <c:v>27.92</c:v>
                </c:pt>
                <c:pt idx="994">
                  <c:v>16.579999999999998</c:v>
                </c:pt>
                <c:pt idx="995">
                  <c:v>20.54</c:v>
                </c:pt>
                <c:pt idx="996">
                  <c:v>24.21</c:v>
                </c:pt>
                <c:pt idx="997">
                  <c:v>15.67</c:v>
                </c:pt>
                <c:pt idx="998">
                  <c:v>23.41</c:v>
                </c:pt>
                <c:pt idx="999">
                  <c:v>24.51</c:v>
                </c:pt>
                <c:pt idx="1000">
                  <c:v>23.38</c:v>
                </c:pt>
                <c:pt idx="1001">
                  <c:v>24.4</c:v>
                </c:pt>
                <c:pt idx="1002">
                  <c:v>21.41</c:v>
                </c:pt>
                <c:pt idx="1003">
                  <c:v>23.55</c:v>
                </c:pt>
                <c:pt idx="1004">
                  <c:v>46.15</c:v>
                </c:pt>
                <c:pt idx="1005">
                  <c:v>37.83</c:v>
                </c:pt>
                <c:pt idx="1006">
                  <c:v>16.059999999999999</c:v>
                </c:pt>
                <c:pt idx="1007">
                  <c:v>19.600000000000001</c:v>
                </c:pt>
                <c:pt idx="1008">
                  <c:v>27.18</c:v>
                </c:pt>
                <c:pt idx="1009">
                  <c:v>15.91</c:v>
                </c:pt>
                <c:pt idx="1010">
                  <c:v>14.31</c:v>
                </c:pt>
                <c:pt idx="1011">
                  <c:v>25.66</c:v>
                </c:pt>
                <c:pt idx="1012">
                  <c:v>17.600000000000001</c:v>
                </c:pt>
                <c:pt idx="1013">
                  <c:v>18.12</c:v>
                </c:pt>
                <c:pt idx="1014">
                  <c:v>24.92</c:v>
                </c:pt>
                <c:pt idx="1015">
                  <c:v>29.28</c:v>
                </c:pt>
                <c:pt idx="1016">
                  <c:v>38.24</c:v>
                </c:pt>
                <c:pt idx="1017">
                  <c:v>40.49</c:v>
                </c:pt>
                <c:pt idx="1018">
                  <c:v>36.950000000000003</c:v>
                </c:pt>
                <c:pt idx="1019">
                  <c:v>27.98</c:v>
                </c:pt>
                <c:pt idx="1020">
                  <c:v>34.22</c:v>
                </c:pt>
                <c:pt idx="1021">
                  <c:v>21.63</c:v>
                </c:pt>
                <c:pt idx="1022">
                  <c:v>33</c:v>
                </c:pt>
                <c:pt idx="1023">
                  <c:v>35.11</c:v>
                </c:pt>
                <c:pt idx="1024">
                  <c:v>41.7</c:v>
                </c:pt>
                <c:pt idx="1025">
                  <c:v>36.130000000000003</c:v>
                </c:pt>
                <c:pt idx="1026">
                  <c:v>42.29</c:v>
                </c:pt>
                <c:pt idx="1027">
                  <c:v>36.04</c:v>
                </c:pt>
                <c:pt idx="1028">
                  <c:v>45.26</c:v>
                </c:pt>
                <c:pt idx="1029">
                  <c:v>66.84</c:v>
                </c:pt>
                <c:pt idx="1030">
                  <c:v>28.53</c:v>
                </c:pt>
                <c:pt idx="1031">
                  <c:v>19.3</c:v>
                </c:pt>
                <c:pt idx="1032">
                  <c:v>20.03</c:v>
                </c:pt>
                <c:pt idx="1033">
                  <c:v>23.63</c:v>
                </c:pt>
                <c:pt idx="1034">
                  <c:v>41.34</c:v>
                </c:pt>
                <c:pt idx="1035">
                  <c:v>11.01</c:v>
                </c:pt>
                <c:pt idx="1036">
                  <c:v>25.75</c:v>
                </c:pt>
                <c:pt idx="1037">
                  <c:v>16.13</c:v>
                </c:pt>
                <c:pt idx="1038">
                  <c:v>8.67</c:v>
                </c:pt>
                <c:pt idx="1039">
                  <c:v>14.02</c:v>
                </c:pt>
                <c:pt idx="1040">
                  <c:v>11.23</c:v>
                </c:pt>
                <c:pt idx="1041">
                  <c:v>12.88</c:v>
                </c:pt>
                <c:pt idx="1042">
                  <c:v>22.75</c:v>
                </c:pt>
                <c:pt idx="1043">
                  <c:v>18.100000000000001</c:v>
                </c:pt>
                <c:pt idx="1044">
                  <c:v>19.559999999999999</c:v>
                </c:pt>
                <c:pt idx="1045">
                  <c:v>11.89</c:v>
                </c:pt>
                <c:pt idx="1046">
                  <c:v>16.2</c:v>
                </c:pt>
                <c:pt idx="1047">
                  <c:v>24.17</c:v>
                </c:pt>
                <c:pt idx="1048">
                  <c:v>56.71</c:v>
                </c:pt>
                <c:pt idx="1049">
                  <c:v>27.85</c:v>
                </c:pt>
                <c:pt idx="1050">
                  <c:v>41.13</c:v>
                </c:pt>
                <c:pt idx="1051">
                  <c:v>43.21</c:v>
                </c:pt>
                <c:pt idx="1052">
                  <c:v>15.04</c:v>
                </c:pt>
                <c:pt idx="1053">
                  <c:v>15.28</c:v>
                </c:pt>
                <c:pt idx="1054">
                  <c:v>23.15</c:v>
                </c:pt>
                <c:pt idx="1055">
                  <c:v>18.32</c:v>
                </c:pt>
                <c:pt idx="1056">
                  <c:v>17.350000000000001</c:v>
                </c:pt>
                <c:pt idx="1057">
                  <c:v>16.59</c:v>
                </c:pt>
                <c:pt idx="1058">
                  <c:v>17.329999999999998</c:v>
                </c:pt>
                <c:pt idx="1059">
                  <c:v>11.47</c:v>
                </c:pt>
                <c:pt idx="1060">
                  <c:v>14.39</c:v>
                </c:pt>
                <c:pt idx="1061">
                  <c:v>12.32</c:v>
                </c:pt>
                <c:pt idx="1062">
                  <c:v>10.57</c:v>
                </c:pt>
                <c:pt idx="1063">
                  <c:v>11.5</c:v>
                </c:pt>
                <c:pt idx="1064">
                  <c:v>13.16</c:v>
                </c:pt>
                <c:pt idx="1065">
                  <c:v>8.02</c:v>
                </c:pt>
                <c:pt idx="1066">
                  <c:v>15.84</c:v>
                </c:pt>
                <c:pt idx="1067">
                  <c:v>8.86</c:v>
                </c:pt>
                <c:pt idx="1068">
                  <c:v>8.9499999999999993</c:v>
                </c:pt>
                <c:pt idx="1069">
                  <c:v>11.23</c:v>
                </c:pt>
                <c:pt idx="1070">
                  <c:v>9.0500000000000007</c:v>
                </c:pt>
                <c:pt idx="1071">
                  <c:v>7.77</c:v>
                </c:pt>
                <c:pt idx="1072">
                  <c:v>7.58</c:v>
                </c:pt>
                <c:pt idx="1073">
                  <c:v>9.74</c:v>
                </c:pt>
                <c:pt idx="1074">
                  <c:v>11.48</c:v>
                </c:pt>
                <c:pt idx="1075">
                  <c:v>11.57</c:v>
                </c:pt>
                <c:pt idx="1076">
                  <c:v>8.15</c:v>
                </c:pt>
                <c:pt idx="1077">
                  <c:v>16.579999999999998</c:v>
                </c:pt>
                <c:pt idx="1078">
                  <c:v>22.21</c:v>
                </c:pt>
                <c:pt idx="1079">
                  <c:v>17.239999999999998</c:v>
                </c:pt>
                <c:pt idx="1080">
                  <c:v>19.399999999999999</c:v>
                </c:pt>
                <c:pt idx="1081">
                  <c:v>37.340000000000003</c:v>
                </c:pt>
                <c:pt idx="1082">
                  <c:v>29.68</c:v>
                </c:pt>
                <c:pt idx="1083">
                  <c:v>24.2</c:v>
                </c:pt>
                <c:pt idx="1084">
                  <c:v>34.65</c:v>
                </c:pt>
                <c:pt idx="1085">
                  <c:v>37.51</c:v>
                </c:pt>
                <c:pt idx="1086">
                  <c:v>22.05</c:v>
                </c:pt>
                <c:pt idx="1087">
                  <c:v>35.159999999999997</c:v>
                </c:pt>
                <c:pt idx="1088">
                  <c:v>38.24</c:v>
                </c:pt>
                <c:pt idx="1089">
                  <c:v>9.86</c:v>
                </c:pt>
                <c:pt idx="1090">
                  <c:v>8.9</c:v>
                </c:pt>
                <c:pt idx="1091">
                  <c:v>13.14</c:v>
                </c:pt>
                <c:pt idx="1092">
                  <c:v>13.79</c:v>
                </c:pt>
                <c:pt idx="1093">
                  <c:v>15.9</c:v>
                </c:pt>
                <c:pt idx="1094">
                  <c:v>13</c:v>
                </c:pt>
                <c:pt idx="1095">
                  <c:v>23.5</c:v>
                </c:pt>
                <c:pt idx="1096">
                  <c:v>22.13</c:v>
                </c:pt>
                <c:pt idx="1097">
                  <c:v>27.03</c:v>
                </c:pt>
                <c:pt idx="1098">
                  <c:v>23.9</c:v>
                </c:pt>
                <c:pt idx="1099">
                  <c:v>14.14</c:v>
                </c:pt>
                <c:pt idx="1100">
                  <c:v>13.43</c:v>
                </c:pt>
                <c:pt idx="1101">
                  <c:v>22.57</c:v>
                </c:pt>
                <c:pt idx="1102">
                  <c:v>20.23</c:v>
                </c:pt>
                <c:pt idx="1103">
                  <c:v>46.7</c:v>
                </c:pt>
                <c:pt idx="1104">
                  <c:v>14.68</c:v>
                </c:pt>
                <c:pt idx="1105">
                  <c:v>38.76</c:v>
                </c:pt>
                <c:pt idx="1106">
                  <c:v>11.86</c:v>
                </c:pt>
                <c:pt idx="1107">
                  <c:v>8.1300000000000008</c:v>
                </c:pt>
                <c:pt idx="1108">
                  <c:v>13.43</c:v>
                </c:pt>
                <c:pt idx="1109">
                  <c:v>11.52</c:v>
                </c:pt>
                <c:pt idx="1110">
                  <c:v>20.27</c:v>
                </c:pt>
                <c:pt idx="1111">
                  <c:v>7.02</c:v>
                </c:pt>
                <c:pt idx="1112">
                  <c:v>17.84</c:v>
                </c:pt>
                <c:pt idx="1113">
                  <c:v>14.34</c:v>
                </c:pt>
                <c:pt idx="1114">
                  <c:v>23.2</c:v>
                </c:pt>
                <c:pt idx="1115">
                  <c:v>26.64</c:v>
                </c:pt>
                <c:pt idx="1116">
                  <c:v>46.28</c:v>
                </c:pt>
                <c:pt idx="1117">
                  <c:v>25.91</c:v>
                </c:pt>
                <c:pt idx="1118">
                  <c:v>18.93</c:v>
                </c:pt>
                <c:pt idx="1119">
                  <c:v>22.33</c:v>
                </c:pt>
                <c:pt idx="1120">
                  <c:v>35.54</c:v>
                </c:pt>
                <c:pt idx="1121">
                  <c:v>22.52</c:v>
                </c:pt>
                <c:pt idx="1122">
                  <c:v>47.82</c:v>
                </c:pt>
                <c:pt idx="1123">
                  <c:v>59.06</c:v>
                </c:pt>
                <c:pt idx="1124">
                  <c:v>60.29</c:v>
                </c:pt>
                <c:pt idx="1125">
                  <c:v>85.41</c:v>
                </c:pt>
                <c:pt idx="1126">
                  <c:v>50.16</c:v>
                </c:pt>
                <c:pt idx="1127">
                  <c:v>29.22</c:v>
                </c:pt>
                <c:pt idx="1128">
                  <c:v>21.18</c:v>
                </c:pt>
                <c:pt idx="1129">
                  <c:v>9.74</c:v>
                </c:pt>
                <c:pt idx="1130">
                  <c:v>10.37</c:v>
                </c:pt>
                <c:pt idx="1131">
                  <c:v>17.510000000000002</c:v>
                </c:pt>
                <c:pt idx="1132">
                  <c:v>9.2200000000000006</c:v>
                </c:pt>
                <c:pt idx="1133">
                  <c:v>10.69</c:v>
                </c:pt>
                <c:pt idx="1134">
                  <c:v>15.96</c:v>
                </c:pt>
                <c:pt idx="1135">
                  <c:v>16.36</c:v>
                </c:pt>
                <c:pt idx="1136">
                  <c:v>15.45</c:v>
                </c:pt>
                <c:pt idx="1137">
                  <c:v>15.71</c:v>
                </c:pt>
                <c:pt idx="1138">
                  <c:v>22.89</c:v>
                </c:pt>
                <c:pt idx="1139">
                  <c:v>24.82</c:v>
                </c:pt>
                <c:pt idx="1140">
                  <c:v>21.79</c:v>
                </c:pt>
                <c:pt idx="1141">
                  <c:v>52.62</c:v>
                </c:pt>
                <c:pt idx="1142">
                  <c:v>56.67</c:v>
                </c:pt>
                <c:pt idx="1143">
                  <c:v>70.39</c:v>
                </c:pt>
                <c:pt idx="1144">
                  <c:v>79.5</c:v>
                </c:pt>
                <c:pt idx="1145">
                  <c:v>149.24</c:v>
                </c:pt>
                <c:pt idx="1146">
                  <c:v>20.25</c:v>
                </c:pt>
                <c:pt idx="1147">
                  <c:v>19.62</c:v>
                </c:pt>
                <c:pt idx="1148">
                  <c:v>16.04</c:v>
                </c:pt>
                <c:pt idx="1149">
                  <c:v>19.05</c:v>
                </c:pt>
                <c:pt idx="1150">
                  <c:v>17.23</c:v>
                </c:pt>
                <c:pt idx="1151">
                  <c:v>37.49</c:v>
                </c:pt>
                <c:pt idx="1152">
                  <c:v>10.63</c:v>
                </c:pt>
                <c:pt idx="1153">
                  <c:v>10.23</c:v>
                </c:pt>
                <c:pt idx="1154">
                  <c:v>14.32</c:v>
                </c:pt>
                <c:pt idx="1155">
                  <c:v>16.239999999999998</c:v>
                </c:pt>
                <c:pt idx="1156">
                  <c:v>25.81</c:v>
                </c:pt>
                <c:pt idx="1157">
                  <c:v>12.08</c:v>
                </c:pt>
                <c:pt idx="1158">
                  <c:v>10.48</c:v>
                </c:pt>
                <c:pt idx="1159">
                  <c:v>14.84</c:v>
                </c:pt>
                <c:pt idx="1160">
                  <c:v>10.59</c:v>
                </c:pt>
                <c:pt idx="1161">
                  <c:v>12.49</c:v>
                </c:pt>
                <c:pt idx="1162">
                  <c:v>9.94</c:v>
                </c:pt>
                <c:pt idx="1163">
                  <c:v>19.420000000000002</c:v>
                </c:pt>
                <c:pt idx="1164">
                  <c:v>10.74</c:v>
                </c:pt>
                <c:pt idx="1165">
                  <c:v>7.86</c:v>
                </c:pt>
                <c:pt idx="1166">
                  <c:v>11.19</c:v>
                </c:pt>
                <c:pt idx="1167">
                  <c:v>18.850000000000001</c:v>
                </c:pt>
                <c:pt idx="1168">
                  <c:v>27.69</c:v>
                </c:pt>
                <c:pt idx="1169">
                  <c:v>15.42</c:v>
                </c:pt>
                <c:pt idx="1170">
                  <c:v>18.16</c:v>
                </c:pt>
                <c:pt idx="1171">
                  <c:v>20.36</c:v>
                </c:pt>
                <c:pt idx="1172">
                  <c:v>23.58</c:v>
                </c:pt>
                <c:pt idx="1173">
                  <c:v>47.18</c:v>
                </c:pt>
                <c:pt idx="1174">
                  <c:v>11</c:v>
                </c:pt>
                <c:pt idx="1175">
                  <c:v>18.47</c:v>
                </c:pt>
                <c:pt idx="1176">
                  <c:v>9.67</c:v>
                </c:pt>
                <c:pt idx="1177">
                  <c:v>14.94</c:v>
                </c:pt>
                <c:pt idx="1178">
                  <c:v>15.6</c:v>
                </c:pt>
                <c:pt idx="1179">
                  <c:v>14.74</c:v>
                </c:pt>
                <c:pt idx="1180">
                  <c:v>24.44</c:v>
                </c:pt>
                <c:pt idx="1181">
                  <c:v>47.26</c:v>
                </c:pt>
                <c:pt idx="1182">
                  <c:v>44.53</c:v>
                </c:pt>
                <c:pt idx="1183">
                  <c:v>18.309999999999999</c:v>
                </c:pt>
                <c:pt idx="1184">
                  <c:v>23.66</c:v>
                </c:pt>
                <c:pt idx="1185">
                  <c:v>16.46</c:v>
                </c:pt>
                <c:pt idx="1186">
                  <c:v>29.02</c:v>
                </c:pt>
                <c:pt idx="1187">
                  <c:v>28.85</c:v>
                </c:pt>
                <c:pt idx="1188">
                  <c:v>20.48</c:v>
                </c:pt>
                <c:pt idx="1189">
                  <c:v>10.83</c:v>
                </c:pt>
                <c:pt idx="1190">
                  <c:v>13.09</c:v>
                </c:pt>
                <c:pt idx="1191">
                  <c:v>11.83</c:v>
                </c:pt>
                <c:pt idx="1192">
                  <c:v>20.93</c:v>
                </c:pt>
                <c:pt idx="1193">
                  <c:v>17.88</c:v>
                </c:pt>
                <c:pt idx="1194">
                  <c:v>11.09</c:v>
                </c:pt>
                <c:pt idx="1195">
                  <c:v>10.25</c:v>
                </c:pt>
                <c:pt idx="1196">
                  <c:v>12.7</c:v>
                </c:pt>
                <c:pt idx="1197">
                  <c:v>10.19</c:v>
                </c:pt>
                <c:pt idx="1198">
                  <c:v>15.94</c:v>
                </c:pt>
                <c:pt idx="1199">
                  <c:v>13.33</c:v>
                </c:pt>
                <c:pt idx="1200">
                  <c:v>14.63</c:v>
                </c:pt>
                <c:pt idx="1201">
                  <c:v>13.88</c:v>
                </c:pt>
                <c:pt idx="1202">
                  <c:v>22.44</c:v>
                </c:pt>
                <c:pt idx="1203">
                  <c:v>12.58</c:v>
                </c:pt>
                <c:pt idx="1204">
                  <c:v>18.04</c:v>
                </c:pt>
                <c:pt idx="1205">
                  <c:v>19.07</c:v>
                </c:pt>
                <c:pt idx="1206">
                  <c:v>23.57</c:v>
                </c:pt>
                <c:pt idx="1207">
                  <c:v>21.48</c:v>
                </c:pt>
                <c:pt idx="1208">
                  <c:v>20.100000000000001</c:v>
                </c:pt>
                <c:pt idx="1209">
                  <c:v>14.85</c:v>
                </c:pt>
                <c:pt idx="1210">
                  <c:v>17.68</c:v>
                </c:pt>
                <c:pt idx="1211">
                  <c:v>21.42</c:v>
                </c:pt>
                <c:pt idx="1212">
                  <c:v>30.72</c:v>
                </c:pt>
                <c:pt idx="1213">
                  <c:v>24.89</c:v>
                </c:pt>
                <c:pt idx="1214">
                  <c:v>21.26</c:v>
                </c:pt>
                <c:pt idx="1215">
                  <c:v>31.43</c:v>
                </c:pt>
                <c:pt idx="1216">
                  <c:v>30.13</c:v>
                </c:pt>
                <c:pt idx="1217">
                  <c:v>46.66</c:v>
                </c:pt>
                <c:pt idx="1218">
                  <c:v>96.65</c:v>
                </c:pt>
                <c:pt idx="1219">
                  <c:v>38.76</c:v>
                </c:pt>
                <c:pt idx="1220">
                  <c:v>73.040000000000006</c:v>
                </c:pt>
                <c:pt idx="1221">
                  <c:v>25.6</c:v>
                </c:pt>
                <c:pt idx="1222">
                  <c:v>47.55</c:v>
                </c:pt>
                <c:pt idx="1223">
                  <c:v>17.579999999999998</c:v>
                </c:pt>
                <c:pt idx="1224">
                  <c:v>25.33</c:v>
                </c:pt>
                <c:pt idx="1225">
                  <c:v>28.87</c:v>
                </c:pt>
                <c:pt idx="1226">
                  <c:v>22.64</c:v>
                </c:pt>
                <c:pt idx="1227">
                  <c:v>20.88</c:v>
                </c:pt>
                <c:pt idx="1228">
                  <c:v>24.41</c:v>
                </c:pt>
                <c:pt idx="1229">
                  <c:v>30.48</c:v>
                </c:pt>
                <c:pt idx="1230">
                  <c:v>38</c:v>
                </c:pt>
                <c:pt idx="1231">
                  <c:v>61.65</c:v>
                </c:pt>
                <c:pt idx="1232">
                  <c:v>16.54</c:v>
                </c:pt>
                <c:pt idx="1233">
                  <c:v>13.75</c:v>
                </c:pt>
                <c:pt idx="1234">
                  <c:v>16.3</c:v>
                </c:pt>
                <c:pt idx="1235">
                  <c:v>19.46</c:v>
                </c:pt>
                <c:pt idx="1236">
                  <c:v>14.32</c:v>
                </c:pt>
                <c:pt idx="1237">
                  <c:v>13.86</c:v>
                </c:pt>
                <c:pt idx="1238">
                  <c:v>18.260000000000002</c:v>
                </c:pt>
                <c:pt idx="1239">
                  <c:v>20.61</c:v>
                </c:pt>
                <c:pt idx="1240">
                  <c:v>16.5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B4-4217-B0DE-09AD80C2B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2781920"/>
        <c:axId val="1292774240"/>
      </c:barChart>
      <c:catAx>
        <c:axId val="1292781920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774240"/>
        <c:crosses val="autoZero"/>
        <c:auto val="1"/>
        <c:lblAlgn val="ctr"/>
        <c:lblOffset val="100"/>
        <c:noMultiLvlLbl val="0"/>
      </c:catAx>
      <c:valAx>
        <c:axId val="1292774240"/>
        <c:scaling>
          <c:orientation val="minMax"/>
          <c:max val="450"/>
          <c:min val="0"/>
        </c:scaling>
        <c:delete val="0"/>
        <c:axPos val="l"/>
        <c:numFmt formatCode="0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781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924315658720716"/>
          <c:y val="7.434604587470045E-2"/>
          <c:w val="0.73734197718954964"/>
          <c:h val="0.8808879150975693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3A2-4068-B945-095BA3749E8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3A2-4068-B945-095BA3749E8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3A2-4068-B945-095BA3749E8E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3A2-4068-B945-095BA3749E8E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3A2-4068-B945-095BA3749E8E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3A2-4068-B945-095BA3749E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'Share Price'!$G$48:$G$50</c:f>
              <c:strCache>
                <c:ptCount val="3"/>
                <c:pt idx="0">
                  <c:v>FII</c:v>
                </c:pt>
                <c:pt idx="1">
                  <c:v>DII</c:v>
                </c:pt>
                <c:pt idx="2">
                  <c:v>Public &amp; Government</c:v>
                </c:pt>
              </c:strCache>
            </c:strRef>
          </c:cat>
          <c:val>
            <c:numRef>
              <c:f>'Share Price'!$H$48:$H$50</c:f>
              <c:numCache>
                <c:formatCode>0.00%</c:formatCode>
                <c:ptCount val="3"/>
                <c:pt idx="0">
                  <c:v>0.3483</c:v>
                </c:pt>
                <c:pt idx="1">
                  <c:v>0.49149999999999999</c:v>
                </c:pt>
                <c:pt idx="2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A2-4068-B945-095BA3749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9943776"/>
        <c:axId val="1149962016"/>
      </c:barChart>
      <c:catAx>
        <c:axId val="1149943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962016"/>
        <c:crosses val="autoZero"/>
        <c:auto val="1"/>
        <c:lblAlgn val="ctr"/>
        <c:lblOffset val="100"/>
        <c:noMultiLvlLbl val="0"/>
      </c:catAx>
      <c:valAx>
        <c:axId val="1149962016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14994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'Share Price'!$B$1</c:f>
              <c:strCache>
                <c:ptCount val="1"/>
                <c:pt idx="0">
                  <c:v>Adj Price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strRef>
              <c:f>'Share Price'!$A$2:$A$1242</c:f>
              <c:strCache>
                <c:ptCount val="1241"/>
                <c:pt idx="0">
                  <c:v>30-04-2026</c:v>
                </c:pt>
                <c:pt idx="1">
                  <c:v>29-04-2026</c:v>
                </c:pt>
                <c:pt idx="2">
                  <c:v>28-04-2026</c:v>
                </c:pt>
                <c:pt idx="3">
                  <c:v>27-04-2026</c:v>
                </c:pt>
                <c:pt idx="4">
                  <c:v>24-04-2026</c:v>
                </c:pt>
                <c:pt idx="5">
                  <c:v>23-04-2026</c:v>
                </c:pt>
                <c:pt idx="6">
                  <c:v>22-04-2026</c:v>
                </c:pt>
                <c:pt idx="7">
                  <c:v>21-04-2026</c:v>
                </c:pt>
                <c:pt idx="8">
                  <c:v>20-04-2026</c:v>
                </c:pt>
                <c:pt idx="9">
                  <c:v>17-04-2026</c:v>
                </c:pt>
                <c:pt idx="10">
                  <c:v>16-04-2026</c:v>
                </c:pt>
                <c:pt idx="11">
                  <c:v>15-04-2026</c:v>
                </c:pt>
                <c:pt idx="12">
                  <c:v>13-04-2026</c:v>
                </c:pt>
                <c:pt idx="13">
                  <c:v>10/4/2026</c:v>
                </c:pt>
                <c:pt idx="14">
                  <c:v>9/4/2026</c:v>
                </c:pt>
                <c:pt idx="15">
                  <c:v>8/4/2026</c:v>
                </c:pt>
                <c:pt idx="16">
                  <c:v>7/4/2026</c:v>
                </c:pt>
                <c:pt idx="17">
                  <c:v>6/4/2026</c:v>
                </c:pt>
                <c:pt idx="18">
                  <c:v>2/4/2026</c:v>
                </c:pt>
                <c:pt idx="19">
                  <c:v>1/4/2026</c:v>
                </c:pt>
                <c:pt idx="20">
                  <c:v>30-03-2026</c:v>
                </c:pt>
                <c:pt idx="21">
                  <c:v>27-03-2026</c:v>
                </c:pt>
                <c:pt idx="22">
                  <c:v>25-03-2026</c:v>
                </c:pt>
                <c:pt idx="23">
                  <c:v>24-03-2026</c:v>
                </c:pt>
                <c:pt idx="24">
                  <c:v>23-03-2026</c:v>
                </c:pt>
                <c:pt idx="25">
                  <c:v>20-03-2026</c:v>
                </c:pt>
                <c:pt idx="26">
                  <c:v>19-03-2026</c:v>
                </c:pt>
                <c:pt idx="27">
                  <c:v>18-03-2026</c:v>
                </c:pt>
                <c:pt idx="28">
                  <c:v>17-03-2026</c:v>
                </c:pt>
                <c:pt idx="29">
                  <c:v>16-03-2026</c:v>
                </c:pt>
                <c:pt idx="30">
                  <c:v>13-03-2026</c:v>
                </c:pt>
                <c:pt idx="31">
                  <c:v>12/3/2026</c:v>
                </c:pt>
                <c:pt idx="32">
                  <c:v>11/3/2026</c:v>
                </c:pt>
                <c:pt idx="33">
                  <c:v>10/3/2026</c:v>
                </c:pt>
                <c:pt idx="34">
                  <c:v>9/3/2026</c:v>
                </c:pt>
                <c:pt idx="35">
                  <c:v>6/3/2026</c:v>
                </c:pt>
                <c:pt idx="36">
                  <c:v>5/3/2026</c:v>
                </c:pt>
                <c:pt idx="37">
                  <c:v>4/3/2026</c:v>
                </c:pt>
                <c:pt idx="38">
                  <c:v>2/3/2026</c:v>
                </c:pt>
                <c:pt idx="39">
                  <c:v>27-02-2026</c:v>
                </c:pt>
                <c:pt idx="40">
                  <c:v>26-02-2026</c:v>
                </c:pt>
                <c:pt idx="41">
                  <c:v>25-02-2026</c:v>
                </c:pt>
                <c:pt idx="42">
                  <c:v>24-02-2026</c:v>
                </c:pt>
                <c:pt idx="43">
                  <c:v>23-02-2026</c:v>
                </c:pt>
                <c:pt idx="44">
                  <c:v>20-02-2026</c:v>
                </c:pt>
                <c:pt idx="45">
                  <c:v>19-02-2026</c:v>
                </c:pt>
                <c:pt idx="46">
                  <c:v>18-02-2026</c:v>
                </c:pt>
                <c:pt idx="47">
                  <c:v>17-02-2026</c:v>
                </c:pt>
                <c:pt idx="48">
                  <c:v>16-02-2026</c:v>
                </c:pt>
                <c:pt idx="49">
                  <c:v>13-02-2026</c:v>
                </c:pt>
                <c:pt idx="50">
                  <c:v>12/2/2026</c:v>
                </c:pt>
                <c:pt idx="51">
                  <c:v>11/2/2026</c:v>
                </c:pt>
                <c:pt idx="52">
                  <c:v>10/2/2026</c:v>
                </c:pt>
                <c:pt idx="53">
                  <c:v>9/2/2026</c:v>
                </c:pt>
                <c:pt idx="54">
                  <c:v>6/2/2026</c:v>
                </c:pt>
                <c:pt idx="55">
                  <c:v>5/2/2026</c:v>
                </c:pt>
                <c:pt idx="56">
                  <c:v>4/2/2026</c:v>
                </c:pt>
                <c:pt idx="57">
                  <c:v>3/2/2026</c:v>
                </c:pt>
                <c:pt idx="58">
                  <c:v>2/2/2026</c:v>
                </c:pt>
                <c:pt idx="59">
                  <c:v>1/2/2026</c:v>
                </c:pt>
                <c:pt idx="60">
                  <c:v>30-01-2026</c:v>
                </c:pt>
                <c:pt idx="61">
                  <c:v>29-01-2026</c:v>
                </c:pt>
                <c:pt idx="62">
                  <c:v>28-01-2026</c:v>
                </c:pt>
                <c:pt idx="63">
                  <c:v>27-01-2026</c:v>
                </c:pt>
                <c:pt idx="64">
                  <c:v>23-01-2026</c:v>
                </c:pt>
                <c:pt idx="65">
                  <c:v>22-01-2026</c:v>
                </c:pt>
                <c:pt idx="66">
                  <c:v>21-01-2026</c:v>
                </c:pt>
                <c:pt idx="67">
                  <c:v>20-01-2026</c:v>
                </c:pt>
                <c:pt idx="68">
                  <c:v>19-01-2026</c:v>
                </c:pt>
                <c:pt idx="69">
                  <c:v>16-01-2026</c:v>
                </c:pt>
                <c:pt idx="70">
                  <c:v>14-01-2026</c:v>
                </c:pt>
                <c:pt idx="71">
                  <c:v>13-01-2026</c:v>
                </c:pt>
                <c:pt idx="72">
                  <c:v>12/1/2026</c:v>
                </c:pt>
                <c:pt idx="73">
                  <c:v>9/1/2026</c:v>
                </c:pt>
                <c:pt idx="74">
                  <c:v>8/1/2026</c:v>
                </c:pt>
                <c:pt idx="75">
                  <c:v>7/1/2026</c:v>
                </c:pt>
                <c:pt idx="76">
                  <c:v>6/1/2026</c:v>
                </c:pt>
                <c:pt idx="77">
                  <c:v>5/1/2026</c:v>
                </c:pt>
                <c:pt idx="78">
                  <c:v>2/1/2026</c:v>
                </c:pt>
                <c:pt idx="79">
                  <c:v>1/1/2026</c:v>
                </c:pt>
                <c:pt idx="80">
                  <c:v>31-12-2025</c:v>
                </c:pt>
                <c:pt idx="81">
                  <c:v>30-12-2025</c:v>
                </c:pt>
                <c:pt idx="82">
                  <c:v>29-12-2025</c:v>
                </c:pt>
                <c:pt idx="83">
                  <c:v>26-12-2025</c:v>
                </c:pt>
                <c:pt idx="84">
                  <c:v>24-12-2025</c:v>
                </c:pt>
                <c:pt idx="85">
                  <c:v>23-12-2025</c:v>
                </c:pt>
                <c:pt idx="86">
                  <c:v>22-12-2025</c:v>
                </c:pt>
                <c:pt idx="87">
                  <c:v>19-12-2025</c:v>
                </c:pt>
                <c:pt idx="88">
                  <c:v>18-12-2025</c:v>
                </c:pt>
                <c:pt idx="89">
                  <c:v>17-12-2025</c:v>
                </c:pt>
                <c:pt idx="90">
                  <c:v>16-12-2025</c:v>
                </c:pt>
                <c:pt idx="91">
                  <c:v>15-12-2025</c:v>
                </c:pt>
                <c:pt idx="92">
                  <c:v>12/12/2025</c:v>
                </c:pt>
                <c:pt idx="93">
                  <c:v>11/12/2025</c:v>
                </c:pt>
                <c:pt idx="94">
                  <c:v>10/12/2025</c:v>
                </c:pt>
                <c:pt idx="95">
                  <c:v>9/12/2025</c:v>
                </c:pt>
                <c:pt idx="96">
                  <c:v>8/12/2025</c:v>
                </c:pt>
                <c:pt idx="97">
                  <c:v>5/12/2025</c:v>
                </c:pt>
                <c:pt idx="98">
                  <c:v>4/12/2025</c:v>
                </c:pt>
                <c:pt idx="99">
                  <c:v>3/12/2025</c:v>
                </c:pt>
                <c:pt idx="100">
                  <c:v>2/12/2025</c:v>
                </c:pt>
                <c:pt idx="101">
                  <c:v>1/12/2025</c:v>
                </c:pt>
                <c:pt idx="102">
                  <c:v>28-11-2025</c:v>
                </c:pt>
                <c:pt idx="103">
                  <c:v>27-11-2025</c:v>
                </c:pt>
                <c:pt idx="104">
                  <c:v>26-11-2025</c:v>
                </c:pt>
                <c:pt idx="105">
                  <c:v>25-11-2025</c:v>
                </c:pt>
                <c:pt idx="106">
                  <c:v>24-11-2025</c:v>
                </c:pt>
                <c:pt idx="107">
                  <c:v>21-11-2025</c:v>
                </c:pt>
                <c:pt idx="108">
                  <c:v>20-11-2025</c:v>
                </c:pt>
                <c:pt idx="109">
                  <c:v>19-11-2025</c:v>
                </c:pt>
                <c:pt idx="110">
                  <c:v>18-11-2025</c:v>
                </c:pt>
                <c:pt idx="111">
                  <c:v>17-11-2025</c:v>
                </c:pt>
                <c:pt idx="112">
                  <c:v>14-11-2025</c:v>
                </c:pt>
                <c:pt idx="113">
                  <c:v>13-11-2025</c:v>
                </c:pt>
                <c:pt idx="114">
                  <c:v>12/11/2025</c:v>
                </c:pt>
                <c:pt idx="115">
                  <c:v>11/11/2025</c:v>
                </c:pt>
                <c:pt idx="116">
                  <c:v>10/11/2025</c:v>
                </c:pt>
                <c:pt idx="117">
                  <c:v>7/11/2025</c:v>
                </c:pt>
                <c:pt idx="118">
                  <c:v>6/11/2025</c:v>
                </c:pt>
                <c:pt idx="119">
                  <c:v>4/11/2025</c:v>
                </c:pt>
                <c:pt idx="120">
                  <c:v>3/11/2025</c:v>
                </c:pt>
                <c:pt idx="121">
                  <c:v>31-10-2025</c:v>
                </c:pt>
                <c:pt idx="122">
                  <c:v>30-10-2025</c:v>
                </c:pt>
                <c:pt idx="123">
                  <c:v>29-10-2025</c:v>
                </c:pt>
                <c:pt idx="124">
                  <c:v>28-10-2025</c:v>
                </c:pt>
                <c:pt idx="125">
                  <c:v>27-10-2025</c:v>
                </c:pt>
                <c:pt idx="126">
                  <c:v>24-10-2025</c:v>
                </c:pt>
                <c:pt idx="127">
                  <c:v>23-10-2025</c:v>
                </c:pt>
                <c:pt idx="128">
                  <c:v>21-10-2025</c:v>
                </c:pt>
                <c:pt idx="129">
                  <c:v>20-10-2025</c:v>
                </c:pt>
                <c:pt idx="130">
                  <c:v>17-10-2025</c:v>
                </c:pt>
                <c:pt idx="131">
                  <c:v>16-10-2025</c:v>
                </c:pt>
                <c:pt idx="132">
                  <c:v>15-10-2025</c:v>
                </c:pt>
                <c:pt idx="133">
                  <c:v>14-10-2025</c:v>
                </c:pt>
                <c:pt idx="134">
                  <c:v>13-10-2025</c:v>
                </c:pt>
                <c:pt idx="135">
                  <c:v>10/10/2025</c:v>
                </c:pt>
                <c:pt idx="136">
                  <c:v>9/10/2025</c:v>
                </c:pt>
                <c:pt idx="137">
                  <c:v>8/10/2025</c:v>
                </c:pt>
                <c:pt idx="138">
                  <c:v>7/10/2025</c:v>
                </c:pt>
                <c:pt idx="139">
                  <c:v>6/10/2025</c:v>
                </c:pt>
                <c:pt idx="140">
                  <c:v>3/10/2025</c:v>
                </c:pt>
                <c:pt idx="141">
                  <c:v>1/10/2025</c:v>
                </c:pt>
                <c:pt idx="142">
                  <c:v>30-09-2025</c:v>
                </c:pt>
                <c:pt idx="143">
                  <c:v>29-09-2025</c:v>
                </c:pt>
                <c:pt idx="144">
                  <c:v>26-09-2025</c:v>
                </c:pt>
                <c:pt idx="145">
                  <c:v>25-09-2025</c:v>
                </c:pt>
                <c:pt idx="146">
                  <c:v>24-09-2025</c:v>
                </c:pt>
                <c:pt idx="147">
                  <c:v>23-09-2025</c:v>
                </c:pt>
                <c:pt idx="148">
                  <c:v>22-09-2025</c:v>
                </c:pt>
                <c:pt idx="149">
                  <c:v>19-09-2025</c:v>
                </c:pt>
                <c:pt idx="150">
                  <c:v>18-09-2025</c:v>
                </c:pt>
                <c:pt idx="151">
                  <c:v>17-09-2025</c:v>
                </c:pt>
                <c:pt idx="152">
                  <c:v>16-09-2025</c:v>
                </c:pt>
                <c:pt idx="153">
                  <c:v>15-09-2025</c:v>
                </c:pt>
                <c:pt idx="154">
                  <c:v>12/9/2025</c:v>
                </c:pt>
                <c:pt idx="155">
                  <c:v>11/9/2025</c:v>
                </c:pt>
                <c:pt idx="156">
                  <c:v>10/9/2025</c:v>
                </c:pt>
                <c:pt idx="157">
                  <c:v>9/9/2025</c:v>
                </c:pt>
                <c:pt idx="158">
                  <c:v>8/9/2025</c:v>
                </c:pt>
                <c:pt idx="159">
                  <c:v>5/9/2025</c:v>
                </c:pt>
                <c:pt idx="160">
                  <c:v>4/9/2025</c:v>
                </c:pt>
                <c:pt idx="161">
                  <c:v>3/9/2025</c:v>
                </c:pt>
                <c:pt idx="162">
                  <c:v>2/9/2025</c:v>
                </c:pt>
                <c:pt idx="163">
                  <c:v>1/9/2025</c:v>
                </c:pt>
                <c:pt idx="164">
                  <c:v>29-08-2025</c:v>
                </c:pt>
                <c:pt idx="165">
                  <c:v>28-08-2025</c:v>
                </c:pt>
                <c:pt idx="166">
                  <c:v>26-08-2025</c:v>
                </c:pt>
                <c:pt idx="167">
                  <c:v>25-08-2025</c:v>
                </c:pt>
                <c:pt idx="168">
                  <c:v>22-08-2025</c:v>
                </c:pt>
                <c:pt idx="169">
                  <c:v>21-08-2025</c:v>
                </c:pt>
                <c:pt idx="170">
                  <c:v>20-08-2025</c:v>
                </c:pt>
                <c:pt idx="171">
                  <c:v>19-08-2025</c:v>
                </c:pt>
                <c:pt idx="172">
                  <c:v>18-08-2025</c:v>
                </c:pt>
                <c:pt idx="173">
                  <c:v>14-08-2025</c:v>
                </c:pt>
                <c:pt idx="174">
                  <c:v>13-08-2025</c:v>
                </c:pt>
                <c:pt idx="175">
                  <c:v>12/8/2025</c:v>
                </c:pt>
                <c:pt idx="176">
                  <c:v>11/8/2025</c:v>
                </c:pt>
                <c:pt idx="177">
                  <c:v>8/8/2025</c:v>
                </c:pt>
                <c:pt idx="178">
                  <c:v>7/8/2025</c:v>
                </c:pt>
                <c:pt idx="179">
                  <c:v>6/8/2025</c:v>
                </c:pt>
                <c:pt idx="180">
                  <c:v>5/8/2025</c:v>
                </c:pt>
                <c:pt idx="181">
                  <c:v>4/8/2025</c:v>
                </c:pt>
                <c:pt idx="182">
                  <c:v>1/8/2025</c:v>
                </c:pt>
                <c:pt idx="183">
                  <c:v>31-07-2025</c:v>
                </c:pt>
                <c:pt idx="184">
                  <c:v>30-07-2025</c:v>
                </c:pt>
                <c:pt idx="185">
                  <c:v>29-07-2025</c:v>
                </c:pt>
                <c:pt idx="186">
                  <c:v>28-07-2025</c:v>
                </c:pt>
                <c:pt idx="187">
                  <c:v>25-07-2025</c:v>
                </c:pt>
                <c:pt idx="188">
                  <c:v>24-07-2025</c:v>
                </c:pt>
                <c:pt idx="189">
                  <c:v>23-07-2025</c:v>
                </c:pt>
                <c:pt idx="190">
                  <c:v>22-07-2025</c:v>
                </c:pt>
                <c:pt idx="191">
                  <c:v>21-07-2025</c:v>
                </c:pt>
                <c:pt idx="192">
                  <c:v>18-07-2025</c:v>
                </c:pt>
                <c:pt idx="193">
                  <c:v>17-07-2025</c:v>
                </c:pt>
                <c:pt idx="194">
                  <c:v>16-07-2025</c:v>
                </c:pt>
                <c:pt idx="195">
                  <c:v>15-07-2025</c:v>
                </c:pt>
                <c:pt idx="196">
                  <c:v>14-07-2025</c:v>
                </c:pt>
                <c:pt idx="197">
                  <c:v>11/7/2025</c:v>
                </c:pt>
                <c:pt idx="198">
                  <c:v>10/7/2025</c:v>
                </c:pt>
                <c:pt idx="199">
                  <c:v>9/7/2025</c:v>
                </c:pt>
                <c:pt idx="200">
                  <c:v>8/7/2025</c:v>
                </c:pt>
                <c:pt idx="201">
                  <c:v>7/7/2025</c:v>
                </c:pt>
                <c:pt idx="202">
                  <c:v>4/7/2025</c:v>
                </c:pt>
                <c:pt idx="203">
                  <c:v>3/7/2025</c:v>
                </c:pt>
                <c:pt idx="204">
                  <c:v>2/7/2025</c:v>
                </c:pt>
                <c:pt idx="205">
                  <c:v>1/7/2025</c:v>
                </c:pt>
                <c:pt idx="206">
                  <c:v>30-06-2025</c:v>
                </c:pt>
                <c:pt idx="207">
                  <c:v>27-06-2025</c:v>
                </c:pt>
                <c:pt idx="208">
                  <c:v>26-06-2025</c:v>
                </c:pt>
                <c:pt idx="209">
                  <c:v>25-06-2025</c:v>
                </c:pt>
                <c:pt idx="210">
                  <c:v>24-06-2025</c:v>
                </c:pt>
                <c:pt idx="211">
                  <c:v>23-06-2025</c:v>
                </c:pt>
                <c:pt idx="212">
                  <c:v>20-06-2025</c:v>
                </c:pt>
                <c:pt idx="213">
                  <c:v>19-06-2025</c:v>
                </c:pt>
                <c:pt idx="214">
                  <c:v>18-06-2025</c:v>
                </c:pt>
                <c:pt idx="215">
                  <c:v>17-06-2025</c:v>
                </c:pt>
                <c:pt idx="216">
                  <c:v>16-06-2025</c:v>
                </c:pt>
                <c:pt idx="217">
                  <c:v>13-06-2025</c:v>
                </c:pt>
                <c:pt idx="218">
                  <c:v>12/6/2025</c:v>
                </c:pt>
                <c:pt idx="219">
                  <c:v>11/6/2025</c:v>
                </c:pt>
                <c:pt idx="220">
                  <c:v>10/6/2025</c:v>
                </c:pt>
                <c:pt idx="221">
                  <c:v>9/6/2025</c:v>
                </c:pt>
                <c:pt idx="222">
                  <c:v>6/6/2025</c:v>
                </c:pt>
                <c:pt idx="223">
                  <c:v>5/6/2025</c:v>
                </c:pt>
                <c:pt idx="224">
                  <c:v>4/6/2025</c:v>
                </c:pt>
                <c:pt idx="225">
                  <c:v>3/6/2025</c:v>
                </c:pt>
                <c:pt idx="226">
                  <c:v>2/6/2025</c:v>
                </c:pt>
                <c:pt idx="227">
                  <c:v>30-05-2025</c:v>
                </c:pt>
                <c:pt idx="228">
                  <c:v>29-05-2025</c:v>
                </c:pt>
                <c:pt idx="229">
                  <c:v>28-05-2025</c:v>
                </c:pt>
                <c:pt idx="230">
                  <c:v>27-05-2025</c:v>
                </c:pt>
                <c:pt idx="231">
                  <c:v>26-05-2025</c:v>
                </c:pt>
                <c:pt idx="232">
                  <c:v>23-05-2025</c:v>
                </c:pt>
                <c:pt idx="233">
                  <c:v>22-05-2025</c:v>
                </c:pt>
                <c:pt idx="234">
                  <c:v>21-05-2025</c:v>
                </c:pt>
                <c:pt idx="235">
                  <c:v>20-05-2025</c:v>
                </c:pt>
                <c:pt idx="236">
                  <c:v>19-05-2025</c:v>
                </c:pt>
                <c:pt idx="237">
                  <c:v>16-05-2025</c:v>
                </c:pt>
                <c:pt idx="238">
                  <c:v>15-05-2025</c:v>
                </c:pt>
                <c:pt idx="239">
                  <c:v>14-05-2025</c:v>
                </c:pt>
                <c:pt idx="240">
                  <c:v>13-05-2025</c:v>
                </c:pt>
                <c:pt idx="241">
                  <c:v>12/5/2025</c:v>
                </c:pt>
                <c:pt idx="242">
                  <c:v>9/5/2025</c:v>
                </c:pt>
                <c:pt idx="243">
                  <c:v>8/5/2025</c:v>
                </c:pt>
                <c:pt idx="244">
                  <c:v>7/5/2025</c:v>
                </c:pt>
                <c:pt idx="245">
                  <c:v>6/5/2025</c:v>
                </c:pt>
                <c:pt idx="246">
                  <c:v>5/5/2025</c:v>
                </c:pt>
                <c:pt idx="247">
                  <c:v>2/5/2025</c:v>
                </c:pt>
                <c:pt idx="248">
                  <c:v>30-04-2025</c:v>
                </c:pt>
                <c:pt idx="249">
                  <c:v>29-04-2025</c:v>
                </c:pt>
                <c:pt idx="250">
                  <c:v>28-04-2025</c:v>
                </c:pt>
                <c:pt idx="251">
                  <c:v>25-04-2025</c:v>
                </c:pt>
                <c:pt idx="252">
                  <c:v>24-04-2025</c:v>
                </c:pt>
                <c:pt idx="253">
                  <c:v>23-04-2025</c:v>
                </c:pt>
                <c:pt idx="254">
                  <c:v>22-04-2025</c:v>
                </c:pt>
                <c:pt idx="255">
                  <c:v>21-04-2025</c:v>
                </c:pt>
                <c:pt idx="256">
                  <c:v>17-04-2025</c:v>
                </c:pt>
                <c:pt idx="257">
                  <c:v>16-04-2025</c:v>
                </c:pt>
                <c:pt idx="258">
                  <c:v>15-04-2025</c:v>
                </c:pt>
                <c:pt idx="259">
                  <c:v>11/4/2025</c:v>
                </c:pt>
                <c:pt idx="260">
                  <c:v>9/4/2025</c:v>
                </c:pt>
                <c:pt idx="261">
                  <c:v>8/4/2025</c:v>
                </c:pt>
                <c:pt idx="262">
                  <c:v>7/4/2025</c:v>
                </c:pt>
                <c:pt idx="263">
                  <c:v>4/4/2025</c:v>
                </c:pt>
                <c:pt idx="264">
                  <c:v>3/4/2025</c:v>
                </c:pt>
                <c:pt idx="265">
                  <c:v>2/4/2025</c:v>
                </c:pt>
                <c:pt idx="266">
                  <c:v>1/4/2025</c:v>
                </c:pt>
                <c:pt idx="267">
                  <c:v>28-03-2025</c:v>
                </c:pt>
                <c:pt idx="268">
                  <c:v>27-03-2025</c:v>
                </c:pt>
                <c:pt idx="269">
                  <c:v>26-03-2025</c:v>
                </c:pt>
                <c:pt idx="270">
                  <c:v>25-03-2025</c:v>
                </c:pt>
                <c:pt idx="271">
                  <c:v>24-03-2025</c:v>
                </c:pt>
                <c:pt idx="272">
                  <c:v>21-03-2025</c:v>
                </c:pt>
                <c:pt idx="273">
                  <c:v>20-03-2025</c:v>
                </c:pt>
                <c:pt idx="274">
                  <c:v>19-03-2025</c:v>
                </c:pt>
                <c:pt idx="275">
                  <c:v>18-03-2025</c:v>
                </c:pt>
                <c:pt idx="276">
                  <c:v>17-03-2025</c:v>
                </c:pt>
                <c:pt idx="277">
                  <c:v>13-03-2025</c:v>
                </c:pt>
                <c:pt idx="278">
                  <c:v>12/3/2025</c:v>
                </c:pt>
                <c:pt idx="279">
                  <c:v>11/3/2025</c:v>
                </c:pt>
                <c:pt idx="280">
                  <c:v>10/3/2025</c:v>
                </c:pt>
                <c:pt idx="281">
                  <c:v>7/3/2025</c:v>
                </c:pt>
                <c:pt idx="282">
                  <c:v>6/3/2025</c:v>
                </c:pt>
                <c:pt idx="283">
                  <c:v>5/3/2025</c:v>
                </c:pt>
                <c:pt idx="284">
                  <c:v>4/3/2025</c:v>
                </c:pt>
                <c:pt idx="285">
                  <c:v>3/3/2025</c:v>
                </c:pt>
                <c:pt idx="286">
                  <c:v>28-02-2025</c:v>
                </c:pt>
                <c:pt idx="287">
                  <c:v>27-02-2025</c:v>
                </c:pt>
                <c:pt idx="288">
                  <c:v>25-02-2025</c:v>
                </c:pt>
                <c:pt idx="289">
                  <c:v>24-02-2025</c:v>
                </c:pt>
                <c:pt idx="290">
                  <c:v>21-02-2025</c:v>
                </c:pt>
                <c:pt idx="291">
                  <c:v>20-02-2025</c:v>
                </c:pt>
                <c:pt idx="292">
                  <c:v>19-02-2025</c:v>
                </c:pt>
                <c:pt idx="293">
                  <c:v>18-02-2025</c:v>
                </c:pt>
                <c:pt idx="294">
                  <c:v>17-02-2025</c:v>
                </c:pt>
                <c:pt idx="295">
                  <c:v>14-02-2025</c:v>
                </c:pt>
                <c:pt idx="296">
                  <c:v>13-02-2025</c:v>
                </c:pt>
                <c:pt idx="297">
                  <c:v>12/2/2025</c:v>
                </c:pt>
                <c:pt idx="298">
                  <c:v>11/2/2025</c:v>
                </c:pt>
                <c:pt idx="299">
                  <c:v>10/2/2025</c:v>
                </c:pt>
                <c:pt idx="300">
                  <c:v>7/2/2025</c:v>
                </c:pt>
                <c:pt idx="301">
                  <c:v>6/2/2025</c:v>
                </c:pt>
                <c:pt idx="302">
                  <c:v>5/2/2025</c:v>
                </c:pt>
                <c:pt idx="303">
                  <c:v>4/2/2025</c:v>
                </c:pt>
                <c:pt idx="304">
                  <c:v>3/2/2025</c:v>
                </c:pt>
                <c:pt idx="305">
                  <c:v>1/2/2025</c:v>
                </c:pt>
                <c:pt idx="306">
                  <c:v>31-01-2025</c:v>
                </c:pt>
                <c:pt idx="307">
                  <c:v>30-01-2025</c:v>
                </c:pt>
                <c:pt idx="308">
                  <c:v>29-01-2025</c:v>
                </c:pt>
                <c:pt idx="309">
                  <c:v>28-01-2025</c:v>
                </c:pt>
                <c:pt idx="310">
                  <c:v>27-01-2025</c:v>
                </c:pt>
                <c:pt idx="311">
                  <c:v>24-01-2025</c:v>
                </c:pt>
                <c:pt idx="312">
                  <c:v>23-01-2025</c:v>
                </c:pt>
                <c:pt idx="313">
                  <c:v>22-01-2025</c:v>
                </c:pt>
                <c:pt idx="314">
                  <c:v>21-01-2025</c:v>
                </c:pt>
                <c:pt idx="315">
                  <c:v>20-01-2025</c:v>
                </c:pt>
                <c:pt idx="316">
                  <c:v>17-01-2025</c:v>
                </c:pt>
                <c:pt idx="317">
                  <c:v>16-01-2025</c:v>
                </c:pt>
                <c:pt idx="318">
                  <c:v>15-01-2025</c:v>
                </c:pt>
                <c:pt idx="319">
                  <c:v>14-01-2025</c:v>
                </c:pt>
                <c:pt idx="320">
                  <c:v>13-01-2025</c:v>
                </c:pt>
                <c:pt idx="321">
                  <c:v>10/1/2025</c:v>
                </c:pt>
                <c:pt idx="322">
                  <c:v>9/1/2025</c:v>
                </c:pt>
                <c:pt idx="323">
                  <c:v>8/1/2025</c:v>
                </c:pt>
                <c:pt idx="324">
                  <c:v>7/1/2025</c:v>
                </c:pt>
                <c:pt idx="325">
                  <c:v>6/1/2025</c:v>
                </c:pt>
                <c:pt idx="326">
                  <c:v>3/1/2025</c:v>
                </c:pt>
                <c:pt idx="327">
                  <c:v>2/1/2025</c:v>
                </c:pt>
                <c:pt idx="328">
                  <c:v>1/1/2025</c:v>
                </c:pt>
                <c:pt idx="329">
                  <c:v>31-12-2024</c:v>
                </c:pt>
                <c:pt idx="330">
                  <c:v>30-12-2024</c:v>
                </c:pt>
                <c:pt idx="331">
                  <c:v>27-12-2024</c:v>
                </c:pt>
                <c:pt idx="332">
                  <c:v>26-12-2024</c:v>
                </c:pt>
                <c:pt idx="333">
                  <c:v>24-12-2024</c:v>
                </c:pt>
                <c:pt idx="334">
                  <c:v>23-12-2024</c:v>
                </c:pt>
                <c:pt idx="335">
                  <c:v>20-12-2024</c:v>
                </c:pt>
                <c:pt idx="336">
                  <c:v>19-12-2024</c:v>
                </c:pt>
                <c:pt idx="337">
                  <c:v>18-12-2024</c:v>
                </c:pt>
                <c:pt idx="338">
                  <c:v>17-12-2024</c:v>
                </c:pt>
                <c:pt idx="339">
                  <c:v>16-12-2024</c:v>
                </c:pt>
                <c:pt idx="340">
                  <c:v>13-12-2024</c:v>
                </c:pt>
                <c:pt idx="341">
                  <c:v>12/12/2024</c:v>
                </c:pt>
                <c:pt idx="342">
                  <c:v>11/12/2024</c:v>
                </c:pt>
                <c:pt idx="343">
                  <c:v>10/12/2024</c:v>
                </c:pt>
                <c:pt idx="344">
                  <c:v>9/12/2024</c:v>
                </c:pt>
                <c:pt idx="345">
                  <c:v>6/12/2024</c:v>
                </c:pt>
                <c:pt idx="346">
                  <c:v>5/12/2024</c:v>
                </c:pt>
                <c:pt idx="347">
                  <c:v>4/12/2024</c:v>
                </c:pt>
                <c:pt idx="348">
                  <c:v>3/12/2024</c:v>
                </c:pt>
                <c:pt idx="349">
                  <c:v>2/12/2024</c:v>
                </c:pt>
                <c:pt idx="350">
                  <c:v>29-11-2024</c:v>
                </c:pt>
                <c:pt idx="351">
                  <c:v>28-11-2024</c:v>
                </c:pt>
                <c:pt idx="352">
                  <c:v>27-11-2024</c:v>
                </c:pt>
                <c:pt idx="353">
                  <c:v>26-11-2024</c:v>
                </c:pt>
                <c:pt idx="354">
                  <c:v>25-11-2024</c:v>
                </c:pt>
                <c:pt idx="355">
                  <c:v>22-11-2024</c:v>
                </c:pt>
                <c:pt idx="356">
                  <c:v>21-11-2024</c:v>
                </c:pt>
                <c:pt idx="357">
                  <c:v>19-11-2024</c:v>
                </c:pt>
                <c:pt idx="358">
                  <c:v>18-11-2024</c:v>
                </c:pt>
                <c:pt idx="359">
                  <c:v>14-11-2024</c:v>
                </c:pt>
                <c:pt idx="360">
                  <c:v>13-11-2024</c:v>
                </c:pt>
                <c:pt idx="361">
                  <c:v>12/11/2024</c:v>
                </c:pt>
                <c:pt idx="362">
                  <c:v>11/11/2024</c:v>
                </c:pt>
                <c:pt idx="363">
                  <c:v>8/11/2024</c:v>
                </c:pt>
                <c:pt idx="364">
                  <c:v>7/11/2024</c:v>
                </c:pt>
                <c:pt idx="365">
                  <c:v>6/11/2024</c:v>
                </c:pt>
                <c:pt idx="366">
                  <c:v>5/11/2024</c:v>
                </c:pt>
                <c:pt idx="367">
                  <c:v>4/11/2024</c:v>
                </c:pt>
                <c:pt idx="368">
                  <c:v>1/11/2024</c:v>
                </c:pt>
                <c:pt idx="369">
                  <c:v>31-10-2024</c:v>
                </c:pt>
                <c:pt idx="370">
                  <c:v>30-10-2024</c:v>
                </c:pt>
                <c:pt idx="371">
                  <c:v>29-10-2024</c:v>
                </c:pt>
                <c:pt idx="372">
                  <c:v>28-10-2024</c:v>
                </c:pt>
                <c:pt idx="373">
                  <c:v>25-10-2024</c:v>
                </c:pt>
                <c:pt idx="374">
                  <c:v>24-10-2024</c:v>
                </c:pt>
                <c:pt idx="375">
                  <c:v>23-10-2024</c:v>
                </c:pt>
                <c:pt idx="376">
                  <c:v>22-10-2024</c:v>
                </c:pt>
                <c:pt idx="377">
                  <c:v>21-10-2024</c:v>
                </c:pt>
                <c:pt idx="378">
                  <c:v>18-10-2024</c:v>
                </c:pt>
                <c:pt idx="379">
                  <c:v>17-10-2024</c:v>
                </c:pt>
                <c:pt idx="380">
                  <c:v>16-10-2024</c:v>
                </c:pt>
                <c:pt idx="381">
                  <c:v>15-10-2024</c:v>
                </c:pt>
                <c:pt idx="382">
                  <c:v>14-10-2024</c:v>
                </c:pt>
                <c:pt idx="383">
                  <c:v>11/10/2024</c:v>
                </c:pt>
                <c:pt idx="384">
                  <c:v>10/10/2024</c:v>
                </c:pt>
                <c:pt idx="385">
                  <c:v>9/10/2024</c:v>
                </c:pt>
                <c:pt idx="386">
                  <c:v>8/10/2024</c:v>
                </c:pt>
                <c:pt idx="387">
                  <c:v>7/10/2024</c:v>
                </c:pt>
                <c:pt idx="388">
                  <c:v>4/10/2024</c:v>
                </c:pt>
                <c:pt idx="389">
                  <c:v>3/10/2024</c:v>
                </c:pt>
                <c:pt idx="390">
                  <c:v>1/10/2024</c:v>
                </c:pt>
                <c:pt idx="391">
                  <c:v>30-09-2024</c:v>
                </c:pt>
                <c:pt idx="392">
                  <c:v>27-09-2024</c:v>
                </c:pt>
                <c:pt idx="393">
                  <c:v>26-09-2024</c:v>
                </c:pt>
                <c:pt idx="394">
                  <c:v>25-09-2024</c:v>
                </c:pt>
                <c:pt idx="395">
                  <c:v>24-09-2024</c:v>
                </c:pt>
                <c:pt idx="396">
                  <c:v>23-09-2024</c:v>
                </c:pt>
                <c:pt idx="397">
                  <c:v>20-09-2024</c:v>
                </c:pt>
                <c:pt idx="398">
                  <c:v>19-09-2024</c:v>
                </c:pt>
                <c:pt idx="399">
                  <c:v>18-09-2024</c:v>
                </c:pt>
                <c:pt idx="400">
                  <c:v>17-09-2024</c:v>
                </c:pt>
                <c:pt idx="401">
                  <c:v>16-09-2024</c:v>
                </c:pt>
                <c:pt idx="402">
                  <c:v>13-09-2024</c:v>
                </c:pt>
                <c:pt idx="403">
                  <c:v>12/9/2024</c:v>
                </c:pt>
                <c:pt idx="404">
                  <c:v>11/9/2024</c:v>
                </c:pt>
                <c:pt idx="405">
                  <c:v>10/9/2024</c:v>
                </c:pt>
                <c:pt idx="406">
                  <c:v>9/9/2024</c:v>
                </c:pt>
                <c:pt idx="407">
                  <c:v>6/9/2024</c:v>
                </c:pt>
                <c:pt idx="408">
                  <c:v>5/9/2024</c:v>
                </c:pt>
                <c:pt idx="409">
                  <c:v>4/9/2024</c:v>
                </c:pt>
                <c:pt idx="410">
                  <c:v>3/9/2024</c:v>
                </c:pt>
                <c:pt idx="411">
                  <c:v>2/9/2024</c:v>
                </c:pt>
                <c:pt idx="412">
                  <c:v>30-08-2024</c:v>
                </c:pt>
                <c:pt idx="413">
                  <c:v>29-08-2024</c:v>
                </c:pt>
                <c:pt idx="414">
                  <c:v>28-08-2024</c:v>
                </c:pt>
                <c:pt idx="415">
                  <c:v>27-08-2024</c:v>
                </c:pt>
                <c:pt idx="416">
                  <c:v>26-08-2024</c:v>
                </c:pt>
                <c:pt idx="417">
                  <c:v>23-08-2024</c:v>
                </c:pt>
                <c:pt idx="418">
                  <c:v>22-08-2024</c:v>
                </c:pt>
                <c:pt idx="419">
                  <c:v>21-08-2024</c:v>
                </c:pt>
                <c:pt idx="420">
                  <c:v>20-08-2024</c:v>
                </c:pt>
                <c:pt idx="421">
                  <c:v>19-08-2024</c:v>
                </c:pt>
                <c:pt idx="422">
                  <c:v>16-08-2024</c:v>
                </c:pt>
                <c:pt idx="423">
                  <c:v>14-08-2024</c:v>
                </c:pt>
                <c:pt idx="424">
                  <c:v>13-08-2024</c:v>
                </c:pt>
                <c:pt idx="425">
                  <c:v>12/8/2024</c:v>
                </c:pt>
                <c:pt idx="426">
                  <c:v>9/8/2024</c:v>
                </c:pt>
                <c:pt idx="427">
                  <c:v>8/8/2024</c:v>
                </c:pt>
                <c:pt idx="428">
                  <c:v>7/8/2024</c:v>
                </c:pt>
                <c:pt idx="429">
                  <c:v>6/8/2024</c:v>
                </c:pt>
                <c:pt idx="430">
                  <c:v>5/8/2024</c:v>
                </c:pt>
                <c:pt idx="431">
                  <c:v>2/8/2024</c:v>
                </c:pt>
                <c:pt idx="432">
                  <c:v>1/8/2024</c:v>
                </c:pt>
                <c:pt idx="433">
                  <c:v>31-07-2024</c:v>
                </c:pt>
                <c:pt idx="434">
                  <c:v>30-07-2024</c:v>
                </c:pt>
                <c:pt idx="435">
                  <c:v>29-07-2024</c:v>
                </c:pt>
                <c:pt idx="436">
                  <c:v>26-07-2024</c:v>
                </c:pt>
                <c:pt idx="437">
                  <c:v>25-07-2024</c:v>
                </c:pt>
                <c:pt idx="438">
                  <c:v>24-07-2024</c:v>
                </c:pt>
                <c:pt idx="439">
                  <c:v>23-07-2024</c:v>
                </c:pt>
                <c:pt idx="440">
                  <c:v>22-07-2024</c:v>
                </c:pt>
                <c:pt idx="441">
                  <c:v>19-07-2024</c:v>
                </c:pt>
                <c:pt idx="442">
                  <c:v>18-07-2024</c:v>
                </c:pt>
                <c:pt idx="443">
                  <c:v>16-07-2024</c:v>
                </c:pt>
                <c:pt idx="444">
                  <c:v>15-07-2024</c:v>
                </c:pt>
                <c:pt idx="445">
                  <c:v>12/7/2024</c:v>
                </c:pt>
                <c:pt idx="446">
                  <c:v>11/7/2024</c:v>
                </c:pt>
                <c:pt idx="447">
                  <c:v>10/7/2024</c:v>
                </c:pt>
                <c:pt idx="448">
                  <c:v>9/7/2024</c:v>
                </c:pt>
                <c:pt idx="449">
                  <c:v>8/7/2024</c:v>
                </c:pt>
                <c:pt idx="450">
                  <c:v>5/7/2024</c:v>
                </c:pt>
                <c:pt idx="451">
                  <c:v>4/7/2024</c:v>
                </c:pt>
                <c:pt idx="452">
                  <c:v>3/7/2024</c:v>
                </c:pt>
                <c:pt idx="453">
                  <c:v>2/7/2024</c:v>
                </c:pt>
                <c:pt idx="454">
                  <c:v>1/7/2024</c:v>
                </c:pt>
                <c:pt idx="455">
                  <c:v>28-06-2024</c:v>
                </c:pt>
                <c:pt idx="456">
                  <c:v>27-06-2024</c:v>
                </c:pt>
                <c:pt idx="457">
                  <c:v>26-06-2024</c:v>
                </c:pt>
                <c:pt idx="458">
                  <c:v>25-06-2024</c:v>
                </c:pt>
                <c:pt idx="459">
                  <c:v>24-06-2024</c:v>
                </c:pt>
                <c:pt idx="460">
                  <c:v>21-06-2024</c:v>
                </c:pt>
                <c:pt idx="461">
                  <c:v>20-06-2024</c:v>
                </c:pt>
                <c:pt idx="462">
                  <c:v>19-06-2024</c:v>
                </c:pt>
                <c:pt idx="463">
                  <c:v>18-06-2024</c:v>
                </c:pt>
                <c:pt idx="464">
                  <c:v>14-06-2024</c:v>
                </c:pt>
                <c:pt idx="465">
                  <c:v>13-06-2024</c:v>
                </c:pt>
                <c:pt idx="466">
                  <c:v>12/6/2024</c:v>
                </c:pt>
                <c:pt idx="467">
                  <c:v>11/6/2024</c:v>
                </c:pt>
                <c:pt idx="468">
                  <c:v>10/6/2024</c:v>
                </c:pt>
                <c:pt idx="469">
                  <c:v>7/6/2024</c:v>
                </c:pt>
                <c:pt idx="470">
                  <c:v>6/6/2024</c:v>
                </c:pt>
                <c:pt idx="471">
                  <c:v>5/6/2024</c:v>
                </c:pt>
                <c:pt idx="472">
                  <c:v>4/6/2024</c:v>
                </c:pt>
                <c:pt idx="473">
                  <c:v>3/6/2024</c:v>
                </c:pt>
                <c:pt idx="474">
                  <c:v>31-05-2024</c:v>
                </c:pt>
                <c:pt idx="475">
                  <c:v>30-05-2024</c:v>
                </c:pt>
                <c:pt idx="476">
                  <c:v>29-05-2024</c:v>
                </c:pt>
                <c:pt idx="477">
                  <c:v>28-05-2024</c:v>
                </c:pt>
                <c:pt idx="478">
                  <c:v>27-05-2024</c:v>
                </c:pt>
                <c:pt idx="479">
                  <c:v>24-05-2024</c:v>
                </c:pt>
                <c:pt idx="480">
                  <c:v>23-05-2024</c:v>
                </c:pt>
                <c:pt idx="481">
                  <c:v>22-05-2024</c:v>
                </c:pt>
                <c:pt idx="482">
                  <c:v>21-05-2024</c:v>
                </c:pt>
                <c:pt idx="483">
                  <c:v>18-05-2024</c:v>
                </c:pt>
                <c:pt idx="484">
                  <c:v>17-05-2024</c:v>
                </c:pt>
                <c:pt idx="485">
                  <c:v>16-05-2024</c:v>
                </c:pt>
                <c:pt idx="486">
                  <c:v>15-05-2024</c:v>
                </c:pt>
                <c:pt idx="487">
                  <c:v>14-05-2024</c:v>
                </c:pt>
                <c:pt idx="488">
                  <c:v>13-05-2024</c:v>
                </c:pt>
                <c:pt idx="489">
                  <c:v>10/5/2024</c:v>
                </c:pt>
                <c:pt idx="490">
                  <c:v>9/5/2024</c:v>
                </c:pt>
                <c:pt idx="491">
                  <c:v>8/5/2024</c:v>
                </c:pt>
                <c:pt idx="492">
                  <c:v>7/5/2024</c:v>
                </c:pt>
                <c:pt idx="493">
                  <c:v>6/5/2024</c:v>
                </c:pt>
                <c:pt idx="494">
                  <c:v>3/5/2024</c:v>
                </c:pt>
                <c:pt idx="495">
                  <c:v>2/5/2024</c:v>
                </c:pt>
                <c:pt idx="496">
                  <c:v>30-04-2024</c:v>
                </c:pt>
                <c:pt idx="497">
                  <c:v>29-04-2024</c:v>
                </c:pt>
                <c:pt idx="498">
                  <c:v>26-04-2024</c:v>
                </c:pt>
                <c:pt idx="499">
                  <c:v>25-04-2024</c:v>
                </c:pt>
                <c:pt idx="500">
                  <c:v>24-04-2024</c:v>
                </c:pt>
                <c:pt idx="501">
                  <c:v>23-04-2024</c:v>
                </c:pt>
                <c:pt idx="502">
                  <c:v>22-04-2024</c:v>
                </c:pt>
                <c:pt idx="503">
                  <c:v>19-04-2024</c:v>
                </c:pt>
                <c:pt idx="504">
                  <c:v>18-04-2024</c:v>
                </c:pt>
                <c:pt idx="505">
                  <c:v>16-04-2024</c:v>
                </c:pt>
                <c:pt idx="506">
                  <c:v>15-04-2024</c:v>
                </c:pt>
                <c:pt idx="507">
                  <c:v>12/4/2024</c:v>
                </c:pt>
                <c:pt idx="508">
                  <c:v>10/4/2024</c:v>
                </c:pt>
                <c:pt idx="509">
                  <c:v>9/4/2024</c:v>
                </c:pt>
                <c:pt idx="510">
                  <c:v>8/4/2024</c:v>
                </c:pt>
                <c:pt idx="511">
                  <c:v>5/4/2024</c:v>
                </c:pt>
                <c:pt idx="512">
                  <c:v>4/4/2024</c:v>
                </c:pt>
                <c:pt idx="513">
                  <c:v>3/4/2024</c:v>
                </c:pt>
                <c:pt idx="514">
                  <c:v>2/4/2024</c:v>
                </c:pt>
                <c:pt idx="515">
                  <c:v>1/4/2024</c:v>
                </c:pt>
                <c:pt idx="516">
                  <c:v>28-03-2024</c:v>
                </c:pt>
                <c:pt idx="517">
                  <c:v>27-03-2024</c:v>
                </c:pt>
                <c:pt idx="518">
                  <c:v>26-03-2024</c:v>
                </c:pt>
                <c:pt idx="519">
                  <c:v>22-03-2024</c:v>
                </c:pt>
                <c:pt idx="520">
                  <c:v>21-03-2024</c:v>
                </c:pt>
                <c:pt idx="521">
                  <c:v>20-03-2024</c:v>
                </c:pt>
                <c:pt idx="522">
                  <c:v>19-03-2024</c:v>
                </c:pt>
                <c:pt idx="523">
                  <c:v>18-03-2024</c:v>
                </c:pt>
                <c:pt idx="524">
                  <c:v>15-03-2024</c:v>
                </c:pt>
                <c:pt idx="525">
                  <c:v>14-03-2024</c:v>
                </c:pt>
                <c:pt idx="526">
                  <c:v>13-03-2024</c:v>
                </c:pt>
                <c:pt idx="527">
                  <c:v>12/3/2024</c:v>
                </c:pt>
                <c:pt idx="528">
                  <c:v>11/3/2024</c:v>
                </c:pt>
                <c:pt idx="529">
                  <c:v>7/3/2024</c:v>
                </c:pt>
                <c:pt idx="530">
                  <c:v>6/3/2024</c:v>
                </c:pt>
                <c:pt idx="531">
                  <c:v>5/3/2024</c:v>
                </c:pt>
                <c:pt idx="532">
                  <c:v>4/3/2024</c:v>
                </c:pt>
                <c:pt idx="533">
                  <c:v>2/3/2024</c:v>
                </c:pt>
                <c:pt idx="534">
                  <c:v>1/3/2024</c:v>
                </c:pt>
                <c:pt idx="535">
                  <c:v>29-02-2024</c:v>
                </c:pt>
                <c:pt idx="536">
                  <c:v>28-02-2024</c:v>
                </c:pt>
                <c:pt idx="537">
                  <c:v>27-02-2024</c:v>
                </c:pt>
                <c:pt idx="538">
                  <c:v>26-02-2024</c:v>
                </c:pt>
                <c:pt idx="539">
                  <c:v>23-02-2024</c:v>
                </c:pt>
                <c:pt idx="540">
                  <c:v>22-02-2024</c:v>
                </c:pt>
                <c:pt idx="541">
                  <c:v>21-02-2024</c:v>
                </c:pt>
                <c:pt idx="542">
                  <c:v>20-02-2024</c:v>
                </c:pt>
                <c:pt idx="543">
                  <c:v>19-02-2024</c:v>
                </c:pt>
                <c:pt idx="544">
                  <c:v>16-02-2024</c:v>
                </c:pt>
                <c:pt idx="545">
                  <c:v>15-02-2024</c:v>
                </c:pt>
                <c:pt idx="546">
                  <c:v>14-02-2024</c:v>
                </c:pt>
                <c:pt idx="547">
                  <c:v>13-02-2024</c:v>
                </c:pt>
                <c:pt idx="548">
                  <c:v>12/2/2024</c:v>
                </c:pt>
                <c:pt idx="549">
                  <c:v>9/2/2024</c:v>
                </c:pt>
                <c:pt idx="550">
                  <c:v>8/2/2024</c:v>
                </c:pt>
                <c:pt idx="551">
                  <c:v>7/2/2024</c:v>
                </c:pt>
                <c:pt idx="552">
                  <c:v>6/2/2024</c:v>
                </c:pt>
                <c:pt idx="553">
                  <c:v>5/2/2024</c:v>
                </c:pt>
                <c:pt idx="554">
                  <c:v>2/2/2024</c:v>
                </c:pt>
                <c:pt idx="555">
                  <c:v>1/2/2024</c:v>
                </c:pt>
                <c:pt idx="556">
                  <c:v>31-01-2024</c:v>
                </c:pt>
                <c:pt idx="557">
                  <c:v>30-01-2024</c:v>
                </c:pt>
                <c:pt idx="558">
                  <c:v>29-01-2024</c:v>
                </c:pt>
                <c:pt idx="559">
                  <c:v>25-01-2024</c:v>
                </c:pt>
                <c:pt idx="560">
                  <c:v>24-01-2024</c:v>
                </c:pt>
                <c:pt idx="561">
                  <c:v>23-01-2024</c:v>
                </c:pt>
                <c:pt idx="562">
                  <c:v>20-01-2024</c:v>
                </c:pt>
                <c:pt idx="563">
                  <c:v>19-01-2024</c:v>
                </c:pt>
                <c:pt idx="564">
                  <c:v>18-01-2024</c:v>
                </c:pt>
                <c:pt idx="565">
                  <c:v>17-01-2024</c:v>
                </c:pt>
                <c:pt idx="566">
                  <c:v>16-01-2024</c:v>
                </c:pt>
                <c:pt idx="567">
                  <c:v>15-01-2024</c:v>
                </c:pt>
                <c:pt idx="568">
                  <c:v>12/1/2024</c:v>
                </c:pt>
                <c:pt idx="569">
                  <c:v>11/1/2024</c:v>
                </c:pt>
                <c:pt idx="570">
                  <c:v>10/1/2024</c:v>
                </c:pt>
                <c:pt idx="571">
                  <c:v>9/1/2024</c:v>
                </c:pt>
                <c:pt idx="572">
                  <c:v>8/1/2024</c:v>
                </c:pt>
                <c:pt idx="573">
                  <c:v>5/1/2024</c:v>
                </c:pt>
                <c:pt idx="574">
                  <c:v>4/1/2024</c:v>
                </c:pt>
                <c:pt idx="575">
                  <c:v>3/1/2024</c:v>
                </c:pt>
                <c:pt idx="576">
                  <c:v>2/1/2024</c:v>
                </c:pt>
                <c:pt idx="577">
                  <c:v>1/1/2024</c:v>
                </c:pt>
                <c:pt idx="578">
                  <c:v>29-12-2023</c:v>
                </c:pt>
                <c:pt idx="579">
                  <c:v>28-12-2023</c:v>
                </c:pt>
                <c:pt idx="580">
                  <c:v>27-12-2023</c:v>
                </c:pt>
                <c:pt idx="581">
                  <c:v>26-12-2023</c:v>
                </c:pt>
                <c:pt idx="582">
                  <c:v>22-12-2023</c:v>
                </c:pt>
                <c:pt idx="583">
                  <c:v>21-12-2023</c:v>
                </c:pt>
                <c:pt idx="584">
                  <c:v>20-12-2023</c:v>
                </c:pt>
                <c:pt idx="585">
                  <c:v>19-12-2023</c:v>
                </c:pt>
                <c:pt idx="586">
                  <c:v>18-12-2023</c:v>
                </c:pt>
                <c:pt idx="587">
                  <c:v>15-12-2023</c:v>
                </c:pt>
                <c:pt idx="588">
                  <c:v>14-12-2023</c:v>
                </c:pt>
                <c:pt idx="589">
                  <c:v>13-12-2023</c:v>
                </c:pt>
                <c:pt idx="590">
                  <c:v>12/12/2023</c:v>
                </c:pt>
                <c:pt idx="591">
                  <c:v>11/12/2023</c:v>
                </c:pt>
                <c:pt idx="592">
                  <c:v>8/12/2023</c:v>
                </c:pt>
                <c:pt idx="593">
                  <c:v>7/12/2023</c:v>
                </c:pt>
                <c:pt idx="594">
                  <c:v>6/12/2023</c:v>
                </c:pt>
                <c:pt idx="595">
                  <c:v>5/12/2023</c:v>
                </c:pt>
                <c:pt idx="596">
                  <c:v>4/12/2023</c:v>
                </c:pt>
                <c:pt idx="597">
                  <c:v>1/12/2023</c:v>
                </c:pt>
                <c:pt idx="598">
                  <c:v>30-11-2023</c:v>
                </c:pt>
                <c:pt idx="599">
                  <c:v>29-11-2023</c:v>
                </c:pt>
                <c:pt idx="600">
                  <c:v>28-11-2023</c:v>
                </c:pt>
                <c:pt idx="601">
                  <c:v>24-11-2023</c:v>
                </c:pt>
                <c:pt idx="602">
                  <c:v>23-11-2023</c:v>
                </c:pt>
                <c:pt idx="603">
                  <c:v>22-11-2023</c:v>
                </c:pt>
                <c:pt idx="604">
                  <c:v>21-11-2023</c:v>
                </c:pt>
                <c:pt idx="605">
                  <c:v>20-11-2023</c:v>
                </c:pt>
                <c:pt idx="606">
                  <c:v>17-11-2023</c:v>
                </c:pt>
                <c:pt idx="607">
                  <c:v>16-11-2023</c:v>
                </c:pt>
                <c:pt idx="608">
                  <c:v>15-11-2023</c:v>
                </c:pt>
                <c:pt idx="609">
                  <c:v>13-11-2023</c:v>
                </c:pt>
                <c:pt idx="610">
                  <c:v>12/11/2023</c:v>
                </c:pt>
                <c:pt idx="611">
                  <c:v>10/11/2023</c:v>
                </c:pt>
                <c:pt idx="612">
                  <c:v>9/11/2023</c:v>
                </c:pt>
                <c:pt idx="613">
                  <c:v>8/11/2023</c:v>
                </c:pt>
                <c:pt idx="614">
                  <c:v>7/11/2023</c:v>
                </c:pt>
                <c:pt idx="615">
                  <c:v>6/11/2023</c:v>
                </c:pt>
                <c:pt idx="616">
                  <c:v>3/11/2023</c:v>
                </c:pt>
                <c:pt idx="617">
                  <c:v>2/11/2023</c:v>
                </c:pt>
                <c:pt idx="618">
                  <c:v>1/11/2023</c:v>
                </c:pt>
                <c:pt idx="619">
                  <c:v>31-10-2023</c:v>
                </c:pt>
                <c:pt idx="620">
                  <c:v>30-10-2023</c:v>
                </c:pt>
                <c:pt idx="621">
                  <c:v>27-10-2023</c:v>
                </c:pt>
                <c:pt idx="622">
                  <c:v>26-10-2023</c:v>
                </c:pt>
                <c:pt idx="623">
                  <c:v>25-10-2023</c:v>
                </c:pt>
                <c:pt idx="624">
                  <c:v>23-10-2023</c:v>
                </c:pt>
                <c:pt idx="625">
                  <c:v>20-10-2023</c:v>
                </c:pt>
                <c:pt idx="626">
                  <c:v>19-10-2023</c:v>
                </c:pt>
                <c:pt idx="627">
                  <c:v>18-10-2023</c:v>
                </c:pt>
                <c:pt idx="628">
                  <c:v>17-10-2023</c:v>
                </c:pt>
                <c:pt idx="629">
                  <c:v>16-10-2023</c:v>
                </c:pt>
                <c:pt idx="630">
                  <c:v>13-10-2023</c:v>
                </c:pt>
                <c:pt idx="631">
                  <c:v>12/10/2023</c:v>
                </c:pt>
                <c:pt idx="632">
                  <c:v>11/10/2023</c:v>
                </c:pt>
                <c:pt idx="633">
                  <c:v>10/10/2023</c:v>
                </c:pt>
                <c:pt idx="634">
                  <c:v>9/10/2023</c:v>
                </c:pt>
                <c:pt idx="635">
                  <c:v>6/10/2023</c:v>
                </c:pt>
                <c:pt idx="636">
                  <c:v>5/10/2023</c:v>
                </c:pt>
                <c:pt idx="637">
                  <c:v>4/10/2023</c:v>
                </c:pt>
                <c:pt idx="638">
                  <c:v>3/10/2023</c:v>
                </c:pt>
                <c:pt idx="639">
                  <c:v>29-09-2023</c:v>
                </c:pt>
                <c:pt idx="640">
                  <c:v>28-09-2023</c:v>
                </c:pt>
                <c:pt idx="641">
                  <c:v>27-09-2023</c:v>
                </c:pt>
                <c:pt idx="642">
                  <c:v>26-09-2023</c:v>
                </c:pt>
                <c:pt idx="643">
                  <c:v>25-09-2023</c:v>
                </c:pt>
                <c:pt idx="644">
                  <c:v>22-09-2023</c:v>
                </c:pt>
                <c:pt idx="645">
                  <c:v>21-09-2023</c:v>
                </c:pt>
                <c:pt idx="646">
                  <c:v>20-09-2023</c:v>
                </c:pt>
                <c:pt idx="647">
                  <c:v>18-09-2023</c:v>
                </c:pt>
                <c:pt idx="648">
                  <c:v>15-09-2023</c:v>
                </c:pt>
                <c:pt idx="649">
                  <c:v>14-09-2023</c:v>
                </c:pt>
                <c:pt idx="650">
                  <c:v>13-09-2023</c:v>
                </c:pt>
                <c:pt idx="651">
                  <c:v>12/9/2023</c:v>
                </c:pt>
                <c:pt idx="652">
                  <c:v>11/9/2023</c:v>
                </c:pt>
                <c:pt idx="653">
                  <c:v>8/9/2023</c:v>
                </c:pt>
                <c:pt idx="654">
                  <c:v>7/9/2023</c:v>
                </c:pt>
                <c:pt idx="655">
                  <c:v>6/9/2023</c:v>
                </c:pt>
                <c:pt idx="656">
                  <c:v>5/9/2023</c:v>
                </c:pt>
                <c:pt idx="657">
                  <c:v>4/9/2023</c:v>
                </c:pt>
                <c:pt idx="658">
                  <c:v>1/9/2023</c:v>
                </c:pt>
                <c:pt idx="659">
                  <c:v>31-08-2023</c:v>
                </c:pt>
                <c:pt idx="660">
                  <c:v>30-08-2023</c:v>
                </c:pt>
                <c:pt idx="661">
                  <c:v>29-08-2023</c:v>
                </c:pt>
                <c:pt idx="662">
                  <c:v>28-08-2023</c:v>
                </c:pt>
                <c:pt idx="663">
                  <c:v>25-08-2023</c:v>
                </c:pt>
                <c:pt idx="664">
                  <c:v>24-08-2023</c:v>
                </c:pt>
                <c:pt idx="665">
                  <c:v>23-08-2023</c:v>
                </c:pt>
                <c:pt idx="666">
                  <c:v>22-08-2023</c:v>
                </c:pt>
                <c:pt idx="667">
                  <c:v>21-08-2023</c:v>
                </c:pt>
                <c:pt idx="668">
                  <c:v>18-08-2023</c:v>
                </c:pt>
                <c:pt idx="669">
                  <c:v>17-08-2023</c:v>
                </c:pt>
                <c:pt idx="670">
                  <c:v>16-08-2023</c:v>
                </c:pt>
                <c:pt idx="671">
                  <c:v>14-08-2023</c:v>
                </c:pt>
                <c:pt idx="672">
                  <c:v>11/8/2023</c:v>
                </c:pt>
                <c:pt idx="673">
                  <c:v>10/8/2023</c:v>
                </c:pt>
                <c:pt idx="674">
                  <c:v>9/8/2023</c:v>
                </c:pt>
                <c:pt idx="675">
                  <c:v>8/8/2023</c:v>
                </c:pt>
                <c:pt idx="676">
                  <c:v>7/8/2023</c:v>
                </c:pt>
                <c:pt idx="677">
                  <c:v>4/8/2023</c:v>
                </c:pt>
                <c:pt idx="678">
                  <c:v>3/8/2023</c:v>
                </c:pt>
                <c:pt idx="679">
                  <c:v>2/8/2023</c:v>
                </c:pt>
                <c:pt idx="680">
                  <c:v>1/8/2023</c:v>
                </c:pt>
                <c:pt idx="681">
                  <c:v>31-07-2023</c:v>
                </c:pt>
                <c:pt idx="682">
                  <c:v>28-07-2023</c:v>
                </c:pt>
                <c:pt idx="683">
                  <c:v>27-07-2023</c:v>
                </c:pt>
                <c:pt idx="684">
                  <c:v>26-07-2023</c:v>
                </c:pt>
                <c:pt idx="685">
                  <c:v>25-07-2023</c:v>
                </c:pt>
                <c:pt idx="686">
                  <c:v>24-07-2023</c:v>
                </c:pt>
                <c:pt idx="687">
                  <c:v>21-07-2023</c:v>
                </c:pt>
                <c:pt idx="688">
                  <c:v>20-07-2023</c:v>
                </c:pt>
                <c:pt idx="689">
                  <c:v>19-07-2023</c:v>
                </c:pt>
                <c:pt idx="690">
                  <c:v>18-07-2023</c:v>
                </c:pt>
                <c:pt idx="691">
                  <c:v>17-07-2023</c:v>
                </c:pt>
                <c:pt idx="692">
                  <c:v>14-07-2023</c:v>
                </c:pt>
                <c:pt idx="693">
                  <c:v>13-07-2023</c:v>
                </c:pt>
                <c:pt idx="694">
                  <c:v>12/7/2023</c:v>
                </c:pt>
                <c:pt idx="695">
                  <c:v>11/7/2023</c:v>
                </c:pt>
                <c:pt idx="696">
                  <c:v>10/7/2023</c:v>
                </c:pt>
                <c:pt idx="697">
                  <c:v>7/7/2023</c:v>
                </c:pt>
                <c:pt idx="698">
                  <c:v>6/7/2023</c:v>
                </c:pt>
                <c:pt idx="699">
                  <c:v>5/7/2023</c:v>
                </c:pt>
                <c:pt idx="700">
                  <c:v>4/7/2023</c:v>
                </c:pt>
                <c:pt idx="701">
                  <c:v>3/7/2023</c:v>
                </c:pt>
                <c:pt idx="702">
                  <c:v>30-06-2023</c:v>
                </c:pt>
                <c:pt idx="703">
                  <c:v>28-06-2023</c:v>
                </c:pt>
                <c:pt idx="704">
                  <c:v>27-06-2023</c:v>
                </c:pt>
                <c:pt idx="705">
                  <c:v>26-06-2023</c:v>
                </c:pt>
                <c:pt idx="706">
                  <c:v>23-06-2023</c:v>
                </c:pt>
                <c:pt idx="707">
                  <c:v>22-06-2023</c:v>
                </c:pt>
                <c:pt idx="708">
                  <c:v>21-06-2023</c:v>
                </c:pt>
                <c:pt idx="709">
                  <c:v>20-06-2023</c:v>
                </c:pt>
                <c:pt idx="710">
                  <c:v>19-06-2023</c:v>
                </c:pt>
                <c:pt idx="711">
                  <c:v>16-06-2023</c:v>
                </c:pt>
                <c:pt idx="712">
                  <c:v>15-06-2023</c:v>
                </c:pt>
                <c:pt idx="713">
                  <c:v>14-06-2023</c:v>
                </c:pt>
                <c:pt idx="714">
                  <c:v>13-06-2023</c:v>
                </c:pt>
                <c:pt idx="715">
                  <c:v>12/6/2023</c:v>
                </c:pt>
                <c:pt idx="716">
                  <c:v>9/6/2023</c:v>
                </c:pt>
                <c:pt idx="717">
                  <c:v>8/6/2023</c:v>
                </c:pt>
                <c:pt idx="718">
                  <c:v>7/6/2023</c:v>
                </c:pt>
                <c:pt idx="719">
                  <c:v>6/6/2023</c:v>
                </c:pt>
                <c:pt idx="720">
                  <c:v>5/6/2023</c:v>
                </c:pt>
                <c:pt idx="721">
                  <c:v>2/6/2023</c:v>
                </c:pt>
                <c:pt idx="722">
                  <c:v>1/6/2023</c:v>
                </c:pt>
                <c:pt idx="723">
                  <c:v>31-05-2023</c:v>
                </c:pt>
                <c:pt idx="724">
                  <c:v>30-05-2023</c:v>
                </c:pt>
                <c:pt idx="725">
                  <c:v>29-05-2023</c:v>
                </c:pt>
                <c:pt idx="726">
                  <c:v>26-05-2023</c:v>
                </c:pt>
                <c:pt idx="727">
                  <c:v>25-05-2023</c:v>
                </c:pt>
                <c:pt idx="728">
                  <c:v>24-05-2023</c:v>
                </c:pt>
                <c:pt idx="729">
                  <c:v>23-05-2023</c:v>
                </c:pt>
                <c:pt idx="730">
                  <c:v>22-05-2023</c:v>
                </c:pt>
                <c:pt idx="731">
                  <c:v>19-05-2023</c:v>
                </c:pt>
                <c:pt idx="732">
                  <c:v>18-05-2023</c:v>
                </c:pt>
                <c:pt idx="733">
                  <c:v>17-05-2023</c:v>
                </c:pt>
                <c:pt idx="734">
                  <c:v>16-05-2023</c:v>
                </c:pt>
                <c:pt idx="735">
                  <c:v>15-05-2023</c:v>
                </c:pt>
                <c:pt idx="736">
                  <c:v>12/5/2023</c:v>
                </c:pt>
                <c:pt idx="737">
                  <c:v>11/5/2023</c:v>
                </c:pt>
                <c:pt idx="738">
                  <c:v>10/5/2023</c:v>
                </c:pt>
                <c:pt idx="739">
                  <c:v>9/5/2023</c:v>
                </c:pt>
                <c:pt idx="740">
                  <c:v>8/5/2023</c:v>
                </c:pt>
                <c:pt idx="741">
                  <c:v>5/5/2023</c:v>
                </c:pt>
                <c:pt idx="742">
                  <c:v>4/5/2023</c:v>
                </c:pt>
                <c:pt idx="743">
                  <c:v>3/5/2023</c:v>
                </c:pt>
                <c:pt idx="744">
                  <c:v>2/5/2023</c:v>
                </c:pt>
                <c:pt idx="745">
                  <c:v>28-04-2023</c:v>
                </c:pt>
                <c:pt idx="746">
                  <c:v>27-04-2023</c:v>
                </c:pt>
                <c:pt idx="747">
                  <c:v>26-04-2023</c:v>
                </c:pt>
                <c:pt idx="748">
                  <c:v>25-04-2023</c:v>
                </c:pt>
                <c:pt idx="749">
                  <c:v>24-04-2023</c:v>
                </c:pt>
                <c:pt idx="750">
                  <c:v>21-04-2023</c:v>
                </c:pt>
                <c:pt idx="751">
                  <c:v>20-04-2023</c:v>
                </c:pt>
                <c:pt idx="752">
                  <c:v>19-04-2023</c:v>
                </c:pt>
                <c:pt idx="753">
                  <c:v>18-04-2023</c:v>
                </c:pt>
                <c:pt idx="754">
                  <c:v>17-04-2023</c:v>
                </c:pt>
                <c:pt idx="755">
                  <c:v>13-04-2023</c:v>
                </c:pt>
                <c:pt idx="756">
                  <c:v>12/4/2023</c:v>
                </c:pt>
                <c:pt idx="757">
                  <c:v>11/4/2023</c:v>
                </c:pt>
                <c:pt idx="758">
                  <c:v>10/4/2023</c:v>
                </c:pt>
                <c:pt idx="759">
                  <c:v>6/4/2023</c:v>
                </c:pt>
                <c:pt idx="760">
                  <c:v>5/4/2023</c:v>
                </c:pt>
                <c:pt idx="761">
                  <c:v>3/4/2023</c:v>
                </c:pt>
                <c:pt idx="762">
                  <c:v>31-03-2023</c:v>
                </c:pt>
                <c:pt idx="763">
                  <c:v>29-03-2023</c:v>
                </c:pt>
                <c:pt idx="764">
                  <c:v>28-03-2023</c:v>
                </c:pt>
                <c:pt idx="765">
                  <c:v>27-03-2023</c:v>
                </c:pt>
                <c:pt idx="766">
                  <c:v>24-03-2023</c:v>
                </c:pt>
                <c:pt idx="767">
                  <c:v>23-03-2023</c:v>
                </c:pt>
                <c:pt idx="768">
                  <c:v>22-03-2023</c:v>
                </c:pt>
                <c:pt idx="769">
                  <c:v>21-03-2023</c:v>
                </c:pt>
                <c:pt idx="770">
                  <c:v>20-03-2023</c:v>
                </c:pt>
                <c:pt idx="771">
                  <c:v>17-03-2023</c:v>
                </c:pt>
                <c:pt idx="772">
                  <c:v>16-03-2023</c:v>
                </c:pt>
                <c:pt idx="773">
                  <c:v>15-03-2023</c:v>
                </c:pt>
                <c:pt idx="774">
                  <c:v>14-03-2023</c:v>
                </c:pt>
                <c:pt idx="775">
                  <c:v>13-03-2023</c:v>
                </c:pt>
                <c:pt idx="776">
                  <c:v>10/3/2023</c:v>
                </c:pt>
                <c:pt idx="777">
                  <c:v>9/3/2023</c:v>
                </c:pt>
                <c:pt idx="778">
                  <c:v>8/3/2023</c:v>
                </c:pt>
                <c:pt idx="779">
                  <c:v>6/3/2023</c:v>
                </c:pt>
                <c:pt idx="780">
                  <c:v>3/3/2023</c:v>
                </c:pt>
                <c:pt idx="781">
                  <c:v>2/3/2023</c:v>
                </c:pt>
                <c:pt idx="782">
                  <c:v>1/3/2023</c:v>
                </c:pt>
                <c:pt idx="783">
                  <c:v>28-02-2023</c:v>
                </c:pt>
                <c:pt idx="784">
                  <c:v>27-02-2023</c:v>
                </c:pt>
                <c:pt idx="785">
                  <c:v>24-02-2023</c:v>
                </c:pt>
                <c:pt idx="786">
                  <c:v>23-02-2023</c:v>
                </c:pt>
                <c:pt idx="787">
                  <c:v>22-02-2023</c:v>
                </c:pt>
                <c:pt idx="788">
                  <c:v>21-02-2023</c:v>
                </c:pt>
                <c:pt idx="789">
                  <c:v>20-02-2023</c:v>
                </c:pt>
                <c:pt idx="790">
                  <c:v>17-02-2023</c:v>
                </c:pt>
                <c:pt idx="791">
                  <c:v>16-02-2023</c:v>
                </c:pt>
                <c:pt idx="792">
                  <c:v>15-02-2023</c:v>
                </c:pt>
                <c:pt idx="793">
                  <c:v>14-02-2023</c:v>
                </c:pt>
                <c:pt idx="794">
                  <c:v>13-02-2023</c:v>
                </c:pt>
                <c:pt idx="795">
                  <c:v>10/2/2023</c:v>
                </c:pt>
                <c:pt idx="796">
                  <c:v>9/2/2023</c:v>
                </c:pt>
                <c:pt idx="797">
                  <c:v>8/2/2023</c:v>
                </c:pt>
                <c:pt idx="798">
                  <c:v>7/2/2023</c:v>
                </c:pt>
                <c:pt idx="799">
                  <c:v>6/2/2023</c:v>
                </c:pt>
                <c:pt idx="800">
                  <c:v>3/2/2023</c:v>
                </c:pt>
                <c:pt idx="801">
                  <c:v>2/2/2023</c:v>
                </c:pt>
                <c:pt idx="802">
                  <c:v>1/2/2023</c:v>
                </c:pt>
                <c:pt idx="803">
                  <c:v>31-01-2023</c:v>
                </c:pt>
                <c:pt idx="804">
                  <c:v>30-01-2023</c:v>
                </c:pt>
                <c:pt idx="805">
                  <c:v>27-01-2023</c:v>
                </c:pt>
                <c:pt idx="806">
                  <c:v>25-01-2023</c:v>
                </c:pt>
                <c:pt idx="807">
                  <c:v>24-01-2023</c:v>
                </c:pt>
                <c:pt idx="808">
                  <c:v>23-01-2023</c:v>
                </c:pt>
                <c:pt idx="809">
                  <c:v>20-01-2023</c:v>
                </c:pt>
                <c:pt idx="810">
                  <c:v>19-01-2023</c:v>
                </c:pt>
                <c:pt idx="811">
                  <c:v>18-01-2023</c:v>
                </c:pt>
                <c:pt idx="812">
                  <c:v>17-01-2023</c:v>
                </c:pt>
                <c:pt idx="813">
                  <c:v>16-01-2023</c:v>
                </c:pt>
                <c:pt idx="814">
                  <c:v>13-01-2023</c:v>
                </c:pt>
                <c:pt idx="815">
                  <c:v>12/1/2023</c:v>
                </c:pt>
                <c:pt idx="816">
                  <c:v>11/1/2023</c:v>
                </c:pt>
                <c:pt idx="817">
                  <c:v>10/1/2023</c:v>
                </c:pt>
                <c:pt idx="818">
                  <c:v>9/1/2023</c:v>
                </c:pt>
                <c:pt idx="819">
                  <c:v>6/1/2023</c:v>
                </c:pt>
                <c:pt idx="820">
                  <c:v>5/1/2023</c:v>
                </c:pt>
                <c:pt idx="821">
                  <c:v>4/1/2023</c:v>
                </c:pt>
                <c:pt idx="822">
                  <c:v>3/1/2023</c:v>
                </c:pt>
                <c:pt idx="823">
                  <c:v>2/1/2023</c:v>
                </c:pt>
                <c:pt idx="824">
                  <c:v>30-12-2022</c:v>
                </c:pt>
                <c:pt idx="825">
                  <c:v>29-12-2022</c:v>
                </c:pt>
                <c:pt idx="826">
                  <c:v>28-12-2022</c:v>
                </c:pt>
                <c:pt idx="827">
                  <c:v>27-12-2022</c:v>
                </c:pt>
                <c:pt idx="828">
                  <c:v>26-12-2022</c:v>
                </c:pt>
                <c:pt idx="829">
                  <c:v>23-12-2022</c:v>
                </c:pt>
                <c:pt idx="830">
                  <c:v>22-12-2022</c:v>
                </c:pt>
                <c:pt idx="831">
                  <c:v>21-12-2022</c:v>
                </c:pt>
                <c:pt idx="832">
                  <c:v>20-12-2022</c:v>
                </c:pt>
                <c:pt idx="833">
                  <c:v>19-12-2022</c:v>
                </c:pt>
                <c:pt idx="834">
                  <c:v>16-12-2022</c:v>
                </c:pt>
                <c:pt idx="835">
                  <c:v>15-12-2022</c:v>
                </c:pt>
                <c:pt idx="836">
                  <c:v>14-12-2022</c:v>
                </c:pt>
                <c:pt idx="837">
                  <c:v>13-12-2022</c:v>
                </c:pt>
                <c:pt idx="838">
                  <c:v>12/12/2022</c:v>
                </c:pt>
                <c:pt idx="839">
                  <c:v>9/12/2022</c:v>
                </c:pt>
                <c:pt idx="840">
                  <c:v>8/12/2022</c:v>
                </c:pt>
                <c:pt idx="841">
                  <c:v>7/12/2022</c:v>
                </c:pt>
                <c:pt idx="842">
                  <c:v>6/12/2022</c:v>
                </c:pt>
                <c:pt idx="843">
                  <c:v>5/12/2022</c:v>
                </c:pt>
                <c:pt idx="844">
                  <c:v>2/12/2022</c:v>
                </c:pt>
                <c:pt idx="845">
                  <c:v>1/12/2022</c:v>
                </c:pt>
                <c:pt idx="846">
                  <c:v>30-11-2022</c:v>
                </c:pt>
                <c:pt idx="847">
                  <c:v>29-11-2022</c:v>
                </c:pt>
                <c:pt idx="848">
                  <c:v>28-11-2022</c:v>
                </c:pt>
                <c:pt idx="849">
                  <c:v>25-11-2022</c:v>
                </c:pt>
                <c:pt idx="850">
                  <c:v>24-11-2022</c:v>
                </c:pt>
                <c:pt idx="851">
                  <c:v>23-11-2022</c:v>
                </c:pt>
                <c:pt idx="852">
                  <c:v>22-11-2022</c:v>
                </c:pt>
                <c:pt idx="853">
                  <c:v>21-11-2022</c:v>
                </c:pt>
                <c:pt idx="854">
                  <c:v>18-11-2022</c:v>
                </c:pt>
                <c:pt idx="855">
                  <c:v>17-11-2022</c:v>
                </c:pt>
                <c:pt idx="856">
                  <c:v>16-11-2022</c:v>
                </c:pt>
                <c:pt idx="857">
                  <c:v>15-11-2022</c:v>
                </c:pt>
                <c:pt idx="858">
                  <c:v>14-11-2022</c:v>
                </c:pt>
                <c:pt idx="859">
                  <c:v>11/11/2022</c:v>
                </c:pt>
                <c:pt idx="860">
                  <c:v>10/11/2022</c:v>
                </c:pt>
                <c:pt idx="861">
                  <c:v>9/11/2022</c:v>
                </c:pt>
                <c:pt idx="862">
                  <c:v>7/11/2022</c:v>
                </c:pt>
                <c:pt idx="863">
                  <c:v>4/11/2022</c:v>
                </c:pt>
                <c:pt idx="864">
                  <c:v>3/11/2022</c:v>
                </c:pt>
                <c:pt idx="865">
                  <c:v>2/11/2022</c:v>
                </c:pt>
                <c:pt idx="866">
                  <c:v>1/11/2022</c:v>
                </c:pt>
                <c:pt idx="867">
                  <c:v>31-10-2022</c:v>
                </c:pt>
                <c:pt idx="868">
                  <c:v>28-10-2022</c:v>
                </c:pt>
                <c:pt idx="869">
                  <c:v>27-10-2022</c:v>
                </c:pt>
                <c:pt idx="870">
                  <c:v>25-10-2022</c:v>
                </c:pt>
                <c:pt idx="871">
                  <c:v>24-10-2022</c:v>
                </c:pt>
                <c:pt idx="872">
                  <c:v>21-10-2022</c:v>
                </c:pt>
                <c:pt idx="873">
                  <c:v>20-10-2022</c:v>
                </c:pt>
                <c:pt idx="874">
                  <c:v>19-10-2022</c:v>
                </c:pt>
                <c:pt idx="875">
                  <c:v>18-10-2022</c:v>
                </c:pt>
                <c:pt idx="876">
                  <c:v>17-10-2022</c:v>
                </c:pt>
                <c:pt idx="877">
                  <c:v>14-10-2022</c:v>
                </c:pt>
                <c:pt idx="878">
                  <c:v>13-10-2022</c:v>
                </c:pt>
                <c:pt idx="879">
                  <c:v>12/10/2022</c:v>
                </c:pt>
                <c:pt idx="880">
                  <c:v>11/10/2022</c:v>
                </c:pt>
                <c:pt idx="881">
                  <c:v>10/10/2022</c:v>
                </c:pt>
                <c:pt idx="882">
                  <c:v>7/10/2022</c:v>
                </c:pt>
                <c:pt idx="883">
                  <c:v>6/10/2022</c:v>
                </c:pt>
                <c:pt idx="884">
                  <c:v>4/10/2022</c:v>
                </c:pt>
                <c:pt idx="885">
                  <c:v>3/10/2022</c:v>
                </c:pt>
                <c:pt idx="886">
                  <c:v>30-09-2022</c:v>
                </c:pt>
                <c:pt idx="887">
                  <c:v>29-09-2022</c:v>
                </c:pt>
                <c:pt idx="888">
                  <c:v>28-09-2022</c:v>
                </c:pt>
                <c:pt idx="889">
                  <c:v>27-09-2022</c:v>
                </c:pt>
                <c:pt idx="890">
                  <c:v>26-09-2022</c:v>
                </c:pt>
                <c:pt idx="891">
                  <c:v>23-09-2022</c:v>
                </c:pt>
                <c:pt idx="892">
                  <c:v>22-09-2022</c:v>
                </c:pt>
                <c:pt idx="893">
                  <c:v>21-09-2022</c:v>
                </c:pt>
                <c:pt idx="894">
                  <c:v>20-09-2022</c:v>
                </c:pt>
                <c:pt idx="895">
                  <c:v>19-09-2022</c:v>
                </c:pt>
                <c:pt idx="896">
                  <c:v>16-09-2022</c:v>
                </c:pt>
                <c:pt idx="897">
                  <c:v>15-09-2022</c:v>
                </c:pt>
                <c:pt idx="898">
                  <c:v>14-09-2022</c:v>
                </c:pt>
                <c:pt idx="899">
                  <c:v>13-09-2022</c:v>
                </c:pt>
                <c:pt idx="900">
                  <c:v>12/9/2022</c:v>
                </c:pt>
                <c:pt idx="901">
                  <c:v>9/9/2022</c:v>
                </c:pt>
                <c:pt idx="902">
                  <c:v>8/9/2022</c:v>
                </c:pt>
                <c:pt idx="903">
                  <c:v>7/9/2022</c:v>
                </c:pt>
                <c:pt idx="904">
                  <c:v>6/9/2022</c:v>
                </c:pt>
                <c:pt idx="905">
                  <c:v>5/9/2022</c:v>
                </c:pt>
                <c:pt idx="906">
                  <c:v>2/9/2022</c:v>
                </c:pt>
                <c:pt idx="907">
                  <c:v>1/9/2022</c:v>
                </c:pt>
                <c:pt idx="908">
                  <c:v>30-08-2022</c:v>
                </c:pt>
                <c:pt idx="909">
                  <c:v>29-08-2022</c:v>
                </c:pt>
                <c:pt idx="910">
                  <c:v>26-08-2022</c:v>
                </c:pt>
                <c:pt idx="911">
                  <c:v>25-08-2022</c:v>
                </c:pt>
                <c:pt idx="912">
                  <c:v>24-08-2022</c:v>
                </c:pt>
                <c:pt idx="913">
                  <c:v>23-08-2022</c:v>
                </c:pt>
                <c:pt idx="914">
                  <c:v>22-08-2022</c:v>
                </c:pt>
                <c:pt idx="915">
                  <c:v>19-08-2022</c:v>
                </c:pt>
                <c:pt idx="916">
                  <c:v>18-08-2022</c:v>
                </c:pt>
                <c:pt idx="917">
                  <c:v>17-08-2022</c:v>
                </c:pt>
                <c:pt idx="918">
                  <c:v>16-08-2022</c:v>
                </c:pt>
                <c:pt idx="919">
                  <c:v>12/8/2022</c:v>
                </c:pt>
                <c:pt idx="920">
                  <c:v>11/8/2022</c:v>
                </c:pt>
                <c:pt idx="921">
                  <c:v>10/8/2022</c:v>
                </c:pt>
                <c:pt idx="922">
                  <c:v>8/8/2022</c:v>
                </c:pt>
                <c:pt idx="923">
                  <c:v>5/8/2022</c:v>
                </c:pt>
                <c:pt idx="924">
                  <c:v>4/8/2022</c:v>
                </c:pt>
                <c:pt idx="925">
                  <c:v>3/8/2022</c:v>
                </c:pt>
                <c:pt idx="926">
                  <c:v>2/8/2022</c:v>
                </c:pt>
                <c:pt idx="927">
                  <c:v>1/8/2022</c:v>
                </c:pt>
                <c:pt idx="928">
                  <c:v>29-07-2022</c:v>
                </c:pt>
                <c:pt idx="929">
                  <c:v>28-07-2022</c:v>
                </c:pt>
                <c:pt idx="930">
                  <c:v>27-07-2022</c:v>
                </c:pt>
                <c:pt idx="931">
                  <c:v>26-07-2022</c:v>
                </c:pt>
                <c:pt idx="932">
                  <c:v>25-07-2022</c:v>
                </c:pt>
                <c:pt idx="933">
                  <c:v>22-07-2022</c:v>
                </c:pt>
                <c:pt idx="934">
                  <c:v>21-07-2022</c:v>
                </c:pt>
                <c:pt idx="935">
                  <c:v>20-07-2022</c:v>
                </c:pt>
                <c:pt idx="936">
                  <c:v>19-07-2022</c:v>
                </c:pt>
                <c:pt idx="937">
                  <c:v>18-07-2022</c:v>
                </c:pt>
                <c:pt idx="938">
                  <c:v>15-07-2022</c:v>
                </c:pt>
                <c:pt idx="939">
                  <c:v>14-07-2022</c:v>
                </c:pt>
                <c:pt idx="940">
                  <c:v>13-07-2022</c:v>
                </c:pt>
                <c:pt idx="941">
                  <c:v>12/7/2022</c:v>
                </c:pt>
                <c:pt idx="942">
                  <c:v>11/7/2022</c:v>
                </c:pt>
                <c:pt idx="943">
                  <c:v>8/7/2022</c:v>
                </c:pt>
                <c:pt idx="944">
                  <c:v>7/7/2022</c:v>
                </c:pt>
                <c:pt idx="945">
                  <c:v>6/7/2022</c:v>
                </c:pt>
                <c:pt idx="946">
                  <c:v>5/7/2022</c:v>
                </c:pt>
                <c:pt idx="947">
                  <c:v>4/7/2022</c:v>
                </c:pt>
                <c:pt idx="948">
                  <c:v>1/7/2022</c:v>
                </c:pt>
                <c:pt idx="949">
                  <c:v>30-06-2022</c:v>
                </c:pt>
                <c:pt idx="950">
                  <c:v>29-06-2022</c:v>
                </c:pt>
                <c:pt idx="951">
                  <c:v>28-06-2022</c:v>
                </c:pt>
                <c:pt idx="952">
                  <c:v>27-06-2022</c:v>
                </c:pt>
                <c:pt idx="953">
                  <c:v>24-06-2022</c:v>
                </c:pt>
                <c:pt idx="954">
                  <c:v>23-06-2022</c:v>
                </c:pt>
                <c:pt idx="955">
                  <c:v>22-06-2022</c:v>
                </c:pt>
                <c:pt idx="956">
                  <c:v>21-06-2022</c:v>
                </c:pt>
                <c:pt idx="957">
                  <c:v>20-06-2022</c:v>
                </c:pt>
                <c:pt idx="958">
                  <c:v>17-06-2022</c:v>
                </c:pt>
                <c:pt idx="959">
                  <c:v>16-06-2022</c:v>
                </c:pt>
                <c:pt idx="960">
                  <c:v>15-06-2022</c:v>
                </c:pt>
                <c:pt idx="961">
                  <c:v>14-06-2022</c:v>
                </c:pt>
                <c:pt idx="962">
                  <c:v>13-06-2022</c:v>
                </c:pt>
                <c:pt idx="963">
                  <c:v>10/6/2022</c:v>
                </c:pt>
                <c:pt idx="964">
                  <c:v>9/6/2022</c:v>
                </c:pt>
                <c:pt idx="965">
                  <c:v>8/6/2022</c:v>
                </c:pt>
                <c:pt idx="966">
                  <c:v>7/6/2022</c:v>
                </c:pt>
                <c:pt idx="967">
                  <c:v>6/6/2022</c:v>
                </c:pt>
                <c:pt idx="968">
                  <c:v>3/6/2022</c:v>
                </c:pt>
                <c:pt idx="969">
                  <c:v>2/6/2022</c:v>
                </c:pt>
                <c:pt idx="970">
                  <c:v>1/6/2022</c:v>
                </c:pt>
                <c:pt idx="971">
                  <c:v>31-05-2022</c:v>
                </c:pt>
                <c:pt idx="972">
                  <c:v>30-05-2022</c:v>
                </c:pt>
                <c:pt idx="973">
                  <c:v>27-05-2022</c:v>
                </c:pt>
                <c:pt idx="974">
                  <c:v>26-05-2022</c:v>
                </c:pt>
                <c:pt idx="975">
                  <c:v>25-05-2022</c:v>
                </c:pt>
                <c:pt idx="976">
                  <c:v>24-05-2022</c:v>
                </c:pt>
                <c:pt idx="977">
                  <c:v>23-05-2022</c:v>
                </c:pt>
                <c:pt idx="978">
                  <c:v>20-05-2022</c:v>
                </c:pt>
                <c:pt idx="979">
                  <c:v>19-05-2022</c:v>
                </c:pt>
                <c:pt idx="980">
                  <c:v>18-05-2022</c:v>
                </c:pt>
                <c:pt idx="981">
                  <c:v>17-05-2022</c:v>
                </c:pt>
                <c:pt idx="982">
                  <c:v>16-05-2022</c:v>
                </c:pt>
                <c:pt idx="983">
                  <c:v>13-05-2022</c:v>
                </c:pt>
                <c:pt idx="984">
                  <c:v>12/5/2022</c:v>
                </c:pt>
                <c:pt idx="985">
                  <c:v>11/5/2022</c:v>
                </c:pt>
                <c:pt idx="986">
                  <c:v>10/5/2022</c:v>
                </c:pt>
                <c:pt idx="987">
                  <c:v>9/5/2022</c:v>
                </c:pt>
                <c:pt idx="988">
                  <c:v>6/5/2022</c:v>
                </c:pt>
                <c:pt idx="989">
                  <c:v>5/5/2022</c:v>
                </c:pt>
                <c:pt idx="990">
                  <c:v>4/5/2022</c:v>
                </c:pt>
                <c:pt idx="991">
                  <c:v>2/5/2022</c:v>
                </c:pt>
                <c:pt idx="992">
                  <c:v>29-04-2022</c:v>
                </c:pt>
                <c:pt idx="993">
                  <c:v>28-04-2022</c:v>
                </c:pt>
                <c:pt idx="994">
                  <c:v>27-04-2022</c:v>
                </c:pt>
                <c:pt idx="995">
                  <c:v>26-04-2022</c:v>
                </c:pt>
                <c:pt idx="996">
                  <c:v>25-04-2022</c:v>
                </c:pt>
                <c:pt idx="997">
                  <c:v>22-04-2022</c:v>
                </c:pt>
                <c:pt idx="998">
                  <c:v>21-04-2022</c:v>
                </c:pt>
                <c:pt idx="999">
                  <c:v>20-04-2022</c:v>
                </c:pt>
                <c:pt idx="1000">
                  <c:v>19-04-2022</c:v>
                </c:pt>
                <c:pt idx="1001">
                  <c:v>18-04-2022</c:v>
                </c:pt>
                <c:pt idx="1002">
                  <c:v>13-04-2022</c:v>
                </c:pt>
                <c:pt idx="1003">
                  <c:v>12/4/2022</c:v>
                </c:pt>
                <c:pt idx="1004">
                  <c:v>11/4/2022</c:v>
                </c:pt>
                <c:pt idx="1005">
                  <c:v>8/4/2022</c:v>
                </c:pt>
                <c:pt idx="1006">
                  <c:v>7/4/2022</c:v>
                </c:pt>
                <c:pt idx="1007">
                  <c:v>6/4/2022</c:v>
                </c:pt>
                <c:pt idx="1008">
                  <c:v>5/4/2022</c:v>
                </c:pt>
                <c:pt idx="1009">
                  <c:v>4/4/2022</c:v>
                </c:pt>
                <c:pt idx="1010">
                  <c:v>1/4/2022</c:v>
                </c:pt>
                <c:pt idx="1011">
                  <c:v>31-03-2022</c:v>
                </c:pt>
                <c:pt idx="1012">
                  <c:v>30-03-2022</c:v>
                </c:pt>
                <c:pt idx="1013">
                  <c:v>29-03-2022</c:v>
                </c:pt>
                <c:pt idx="1014">
                  <c:v>28-03-2022</c:v>
                </c:pt>
                <c:pt idx="1015">
                  <c:v>25-03-2022</c:v>
                </c:pt>
                <c:pt idx="1016">
                  <c:v>24-03-2022</c:v>
                </c:pt>
                <c:pt idx="1017">
                  <c:v>23-03-2022</c:v>
                </c:pt>
                <c:pt idx="1018">
                  <c:v>22-03-2022</c:v>
                </c:pt>
                <c:pt idx="1019">
                  <c:v>21-03-2022</c:v>
                </c:pt>
                <c:pt idx="1020">
                  <c:v>17-03-2022</c:v>
                </c:pt>
                <c:pt idx="1021">
                  <c:v>16-03-2022</c:v>
                </c:pt>
                <c:pt idx="1022">
                  <c:v>15-03-2022</c:v>
                </c:pt>
                <c:pt idx="1023">
                  <c:v>14-03-2022</c:v>
                </c:pt>
                <c:pt idx="1024">
                  <c:v>11/3/2022</c:v>
                </c:pt>
                <c:pt idx="1025">
                  <c:v>10/3/2022</c:v>
                </c:pt>
                <c:pt idx="1026">
                  <c:v>9/3/2022</c:v>
                </c:pt>
                <c:pt idx="1027">
                  <c:v>8/3/2022</c:v>
                </c:pt>
                <c:pt idx="1028">
                  <c:v>7/3/2022</c:v>
                </c:pt>
                <c:pt idx="1029">
                  <c:v>4/3/2022</c:v>
                </c:pt>
                <c:pt idx="1030">
                  <c:v>3/3/2022</c:v>
                </c:pt>
                <c:pt idx="1031">
                  <c:v>2/3/2022</c:v>
                </c:pt>
                <c:pt idx="1032">
                  <c:v>28-02-2022</c:v>
                </c:pt>
                <c:pt idx="1033">
                  <c:v>25-02-2022</c:v>
                </c:pt>
                <c:pt idx="1034">
                  <c:v>24-02-2022</c:v>
                </c:pt>
                <c:pt idx="1035">
                  <c:v>23-02-2022</c:v>
                </c:pt>
                <c:pt idx="1036">
                  <c:v>22-02-2022</c:v>
                </c:pt>
                <c:pt idx="1037">
                  <c:v>21-02-2022</c:v>
                </c:pt>
                <c:pt idx="1038">
                  <c:v>18-02-2022</c:v>
                </c:pt>
                <c:pt idx="1039">
                  <c:v>17-02-2022</c:v>
                </c:pt>
                <c:pt idx="1040">
                  <c:v>16-02-2022</c:v>
                </c:pt>
                <c:pt idx="1041">
                  <c:v>15-02-2022</c:v>
                </c:pt>
                <c:pt idx="1042">
                  <c:v>14-02-2022</c:v>
                </c:pt>
                <c:pt idx="1043">
                  <c:v>11/2/2022</c:v>
                </c:pt>
                <c:pt idx="1044">
                  <c:v>10/2/2022</c:v>
                </c:pt>
                <c:pt idx="1045">
                  <c:v>9/2/2022</c:v>
                </c:pt>
                <c:pt idx="1046">
                  <c:v>8/2/2022</c:v>
                </c:pt>
                <c:pt idx="1047">
                  <c:v>7/2/2022</c:v>
                </c:pt>
                <c:pt idx="1048">
                  <c:v>4/2/2022</c:v>
                </c:pt>
                <c:pt idx="1049">
                  <c:v>3/2/2022</c:v>
                </c:pt>
                <c:pt idx="1050">
                  <c:v>2/2/2022</c:v>
                </c:pt>
                <c:pt idx="1051">
                  <c:v>1/2/2022</c:v>
                </c:pt>
                <c:pt idx="1052">
                  <c:v>31-01-2022</c:v>
                </c:pt>
                <c:pt idx="1053">
                  <c:v>28-01-2022</c:v>
                </c:pt>
                <c:pt idx="1054">
                  <c:v>27-01-2022</c:v>
                </c:pt>
                <c:pt idx="1055">
                  <c:v>25-01-2022</c:v>
                </c:pt>
                <c:pt idx="1056">
                  <c:v>24-01-2022</c:v>
                </c:pt>
                <c:pt idx="1057">
                  <c:v>21-01-2022</c:v>
                </c:pt>
                <c:pt idx="1058">
                  <c:v>20-01-2022</c:v>
                </c:pt>
                <c:pt idx="1059">
                  <c:v>19-01-2022</c:v>
                </c:pt>
                <c:pt idx="1060">
                  <c:v>18-01-2022</c:v>
                </c:pt>
                <c:pt idx="1061">
                  <c:v>17-01-2022</c:v>
                </c:pt>
                <c:pt idx="1062">
                  <c:v>14-01-2022</c:v>
                </c:pt>
                <c:pt idx="1063">
                  <c:v>13-01-2022</c:v>
                </c:pt>
                <c:pt idx="1064">
                  <c:v>12/1/2022</c:v>
                </c:pt>
                <c:pt idx="1065">
                  <c:v>11/1/2022</c:v>
                </c:pt>
                <c:pt idx="1066">
                  <c:v>10/1/2022</c:v>
                </c:pt>
                <c:pt idx="1067">
                  <c:v>7/1/2022</c:v>
                </c:pt>
                <c:pt idx="1068">
                  <c:v>6/1/2022</c:v>
                </c:pt>
                <c:pt idx="1069">
                  <c:v>5/1/2022</c:v>
                </c:pt>
                <c:pt idx="1070">
                  <c:v>4/1/2022</c:v>
                </c:pt>
                <c:pt idx="1071">
                  <c:v>3/1/2022</c:v>
                </c:pt>
                <c:pt idx="1072">
                  <c:v>31-12-2021</c:v>
                </c:pt>
                <c:pt idx="1073">
                  <c:v>30-12-2021</c:v>
                </c:pt>
                <c:pt idx="1074">
                  <c:v>29-12-2021</c:v>
                </c:pt>
                <c:pt idx="1075">
                  <c:v>28-12-2021</c:v>
                </c:pt>
                <c:pt idx="1076">
                  <c:v>27-12-2021</c:v>
                </c:pt>
                <c:pt idx="1077">
                  <c:v>24-12-2021</c:v>
                </c:pt>
                <c:pt idx="1078">
                  <c:v>23-12-2021</c:v>
                </c:pt>
                <c:pt idx="1079">
                  <c:v>22-12-2021</c:v>
                </c:pt>
                <c:pt idx="1080">
                  <c:v>21-12-2021</c:v>
                </c:pt>
                <c:pt idx="1081">
                  <c:v>20-12-2021</c:v>
                </c:pt>
                <c:pt idx="1082">
                  <c:v>17-12-2021</c:v>
                </c:pt>
                <c:pt idx="1083">
                  <c:v>16-12-2021</c:v>
                </c:pt>
                <c:pt idx="1084">
                  <c:v>15-12-2021</c:v>
                </c:pt>
                <c:pt idx="1085">
                  <c:v>14-12-2021</c:v>
                </c:pt>
                <c:pt idx="1086">
                  <c:v>13-12-2021</c:v>
                </c:pt>
                <c:pt idx="1087">
                  <c:v>10/12/2021</c:v>
                </c:pt>
                <c:pt idx="1088">
                  <c:v>9/12/2021</c:v>
                </c:pt>
                <c:pt idx="1089">
                  <c:v>8/12/2021</c:v>
                </c:pt>
                <c:pt idx="1090">
                  <c:v>7/12/2021</c:v>
                </c:pt>
                <c:pt idx="1091">
                  <c:v>6/12/2021</c:v>
                </c:pt>
                <c:pt idx="1092">
                  <c:v>3/12/2021</c:v>
                </c:pt>
                <c:pt idx="1093">
                  <c:v>2/12/2021</c:v>
                </c:pt>
                <c:pt idx="1094">
                  <c:v>1/12/2021</c:v>
                </c:pt>
                <c:pt idx="1095">
                  <c:v>30-11-2021</c:v>
                </c:pt>
                <c:pt idx="1096">
                  <c:v>29-11-2021</c:v>
                </c:pt>
                <c:pt idx="1097">
                  <c:v>26-11-2021</c:v>
                </c:pt>
                <c:pt idx="1098">
                  <c:v>25-11-2021</c:v>
                </c:pt>
                <c:pt idx="1099">
                  <c:v>24-11-2021</c:v>
                </c:pt>
                <c:pt idx="1100">
                  <c:v>23-11-2021</c:v>
                </c:pt>
                <c:pt idx="1101">
                  <c:v>22-11-2021</c:v>
                </c:pt>
                <c:pt idx="1102">
                  <c:v>18-11-2021</c:v>
                </c:pt>
                <c:pt idx="1103">
                  <c:v>17-11-2021</c:v>
                </c:pt>
                <c:pt idx="1104">
                  <c:v>16-11-2021</c:v>
                </c:pt>
                <c:pt idx="1105">
                  <c:v>15-11-2021</c:v>
                </c:pt>
                <c:pt idx="1106">
                  <c:v>12/11/2021</c:v>
                </c:pt>
                <c:pt idx="1107">
                  <c:v>11/11/2021</c:v>
                </c:pt>
                <c:pt idx="1108">
                  <c:v>10/11/2021</c:v>
                </c:pt>
                <c:pt idx="1109">
                  <c:v>9/11/2021</c:v>
                </c:pt>
                <c:pt idx="1110">
                  <c:v>8/11/2021</c:v>
                </c:pt>
                <c:pt idx="1111">
                  <c:v>4/11/2021</c:v>
                </c:pt>
                <c:pt idx="1112">
                  <c:v>3/11/2021</c:v>
                </c:pt>
                <c:pt idx="1113">
                  <c:v>2/11/2021</c:v>
                </c:pt>
                <c:pt idx="1114">
                  <c:v>1/11/2021</c:v>
                </c:pt>
                <c:pt idx="1115">
                  <c:v>29-10-2021</c:v>
                </c:pt>
                <c:pt idx="1116">
                  <c:v>28-10-2021</c:v>
                </c:pt>
                <c:pt idx="1117">
                  <c:v>27-10-2021</c:v>
                </c:pt>
                <c:pt idx="1118">
                  <c:v>26-10-2021</c:v>
                </c:pt>
                <c:pt idx="1119">
                  <c:v>25-10-2021</c:v>
                </c:pt>
                <c:pt idx="1120">
                  <c:v>22-10-2021</c:v>
                </c:pt>
                <c:pt idx="1121">
                  <c:v>21-10-2021</c:v>
                </c:pt>
                <c:pt idx="1122">
                  <c:v>20-10-2021</c:v>
                </c:pt>
                <c:pt idx="1123">
                  <c:v>19-10-2021</c:v>
                </c:pt>
                <c:pt idx="1124">
                  <c:v>18-10-2021</c:v>
                </c:pt>
                <c:pt idx="1125">
                  <c:v>14-10-2021</c:v>
                </c:pt>
                <c:pt idx="1126">
                  <c:v>13-10-2021</c:v>
                </c:pt>
                <c:pt idx="1127">
                  <c:v>12/10/2021</c:v>
                </c:pt>
                <c:pt idx="1128">
                  <c:v>11/10/2021</c:v>
                </c:pt>
                <c:pt idx="1129">
                  <c:v>8/10/2021</c:v>
                </c:pt>
                <c:pt idx="1130">
                  <c:v>7/10/2021</c:v>
                </c:pt>
                <c:pt idx="1131">
                  <c:v>6/10/2021</c:v>
                </c:pt>
                <c:pt idx="1132">
                  <c:v>5/10/2021</c:v>
                </c:pt>
                <c:pt idx="1133">
                  <c:v>4/10/2021</c:v>
                </c:pt>
                <c:pt idx="1134">
                  <c:v>1/10/2021</c:v>
                </c:pt>
                <c:pt idx="1135">
                  <c:v>30-09-2021</c:v>
                </c:pt>
                <c:pt idx="1136">
                  <c:v>29-09-2021</c:v>
                </c:pt>
                <c:pt idx="1137">
                  <c:v>28-09-2021</c:v>
                </c:pt>
                <c:pt idx="1138">
                  <c:v>27-09-2021</c:v>
                </c:pt>
                <c:pt idx="1139">
                  <c:v>24-09-2021</c:v>
                </c:pt>
                <c:pt idx="1140">
                  <c:v>23-09-2021</c:v>
                </c:pt>
                <c:pt idx="1141">
                  <c:v>22-09-2021</c:v>
                </c:pt>
                <c:pt idx="1142">
                  <c:v>21-09-2021</c:v>
                </c:pt>
                <c:pt idx="1143">
                  <c:v>20-09-2021</c:v>
                </c:pt>
                <c:pt idx="1144">
                  <c:v>17-09-2021</c:v>
                </c:pt>
                <c:pt idx="1145">
                  <c:v>16-09-2021</c:v>
                </c:pt>
                <c:pt idx="1146">
                  <c:v>15-09-2021</c:v>
                </c:pt>
                <c:pt idx="1147">
                  <c:v>14-09-2021</c:v>
                </c:pt>
                <c:pt idx="1148">
                  <c:v>13-09-2021</c:v>
                </c:pt>
                <c:pt idx="1149">
                  <c:v>9/9/2021</c:v>
                </c:pt>
                <c:pt idx="1150">
                  <c:v>8/9/2021</c:v>
                </c:pt>
                <c:pt idx="1151">
                  <c:v>7/9/2021</c:v>
                </c:pt>
                <c:pt idx="1152">
                  <c:v>6/9/2021</c:v>
                </c:pt>
                <c:pt idx="1153">
                  <c:v>3/9/2021</c:v>
                </c:pt>
                <c:pt idx="1154">
                  <c:v>2/9/2021</c:v>
                </c:pt>
                <c:pt idx="1155">
                  <c:v>1/9/2021</c:v>
                </c:pt>
                <c:pt idx="1156">
                  <c:v>31-08-2021</c:v>
                </c:pt>
                <c:pt idx="1157">
                  <c:v>30-08-2021</c:v>
                </c:pt>
                <c:pt idx="1158">
                  <c:v>27-08-2021</c:v>
                </c:pt>
                <c:pt idx="1159">
                  <c:v>26-08-2021</c:v>
                </c:pt>
                <c:pt idx="1160">
                  <c:v>25-08-2021</c:v>
                </c:pt>
                <c:pt idx="1161">
                  <c:v>24-08-2021</c:v>
                </c:pt>
                <c:pt idx="1162">
                  <c:v>23-08-2021</c:v>
                </c:pt>
                <c:pt idx="1163">
                  <c:v>20-08-2021</c:v>
                </c:pt>
                <c:pt idx="1164">
                  <c:v>18-08-2021</c:v>
                </c:pt>
                <c:pt idx="1165">
                  <c:v>17-08-2021</c:v>
                </c:pt>
                <c:pt idx="1166">
                  <c:v>16-08-2021</c:v>
                </c:pt>
                <c:pt idx="1167">
                  <c:v>13-08-2021</c:v>
                </c:pt>
                <c:pt idx="1168">
                  <c:v>12/8/2021</c:v>
                </c:pt>
                <c:pt idx="1169">
                  <c:v>11/8/2021</c:v>
                </c:pt>
                <c:pt idx="1170">
                  <c:v>10/8/2021</c:v>
                </c:pt>
                <c:pt idx="1171">
                  <c:v>9/8/2021</c:v>
                </c:pt>
                <c:pt idx="1172">
                  <c:v>6/8/2021</c:v>
                </c:pt>
                <c:pt idx="1173">
                  <c:v>5/8/2021</c:v>
                </c:pt>
                <c:pt idx="1174">
                  <c:v>4/8/2021</c:v>
                </c:pt>
                <c:pt idx="1175">
                  <c:v>3/8/2021</c:v>
                </c:pt>
                <c:pt idx="1176">
                  <c:v>2/8/2021</c:v>
                </c:pt>
                <c:pt idx="1177">
                  <c:v>30-07-2021</c:v>
                </c:pt>
                <c:pt idx="1178">
                  <c:v>29-07-2021</c:v>
                </c:pt>
                <c:pt idx="1179">
                  <c:v>28-07-2021</c:v>
                </c:pt>
                <c:pt idx="1180">
                  <c:v>27-07-2021</c:v>
                </c:pt>
                <c:pt idx="1181">
                  <c:v>26-07-2021</c:v>
                </c:pt>
                <c:pt idx="1182">
                  <c:v>23-07-2021</c:v>
                </c:pt>
                <c:pt idx="1183">
                  <c:v>22-07-2021</c:v>
                </c:pt>
                <c:pt idx="1184">
                  <c:v>20-07-2021</c:v>
                </c:pt>
                <c:pt idx="1185">
                  <c:v>19-07-2021</c:v>
                </c:pt>
                <c:pt idx="1186">
                  <c:v>16-07-2021</c:v>
                </c:pt>
                <c:pt idx="1187">
                  <c:v>15-07-2021</c:v>
                </c:pt>
                <c:pt idx="1188">
                  <c:v>14-07-2021</c:v>
                </c:pt>
                <c:pt idx="1189">
                  <c:v>13-07-2021</c:v>
                </c:pt>
                <c:pt idx="1190">
                  <c:v>12/7/2021</c:v>
                </c:pt>
                <c:pt idx="1191">
                  <c:v>9/7/2021</c:v>
                </c:pt>
                <c:pt idx="1192">
                  <c:v>8/7/2021</c:v>
                </c:pt>
                <c:pt idx="1193">
                  <c:v>7/7/2021</c:v>
                </c:pt>
                <c:pt idx="1194">
                  <c:v>6/7/2021</c:v>
                </c:pt>
                <c:pt idx="1195">
                  <c:v>5/7/2021</c:v>
                </c:pt>
                <c:pt idx="1196">
                  <c:v>2/7/2021</c:v>
                </c:pt>
                <c:pt idx="1197">
                  <c:v>1/7/2021</c:v>
                </c:pt>
                <c:pt idx="1198">
                  <c:v>30-06-2021</c:v>
                </c:pt>
                <c:pt idx="1199">
                  <c:v>29-06-2021</c:v>
                </c:pt>
                <c:pt idx="1200">
                  <c:v>28-06-2021</c:v>
                </c:pt>
                <c:pt idx="1201">
                  <c:v>25-06-2021</c:v>
                </c:pt>
                <c:pt idx="1202">
                  <c:v>24-06-2021</c:v>
                </c:pt>
                <c:pt idx="1203">
                  <c:v>23-06-2021</c:v>
                </c:pt>
                <c:pt idx="1204">
                  <c:v>22-06-2021</c:v>
                </c:pt>
                <c:pt idx="1205">
                  <c:v>21-06-2021</c:v>
                </c:pt>
                <c:pt idx="1206">
                  <c:v>18-06-2021</c:v>
                </c:pt>
                <c:pt idx="1207">
                  <c:v>17-06-2021</c:v>
                </c:pt>
                <c:pt idx="1208">
                  <c:v>16-06-2021</c:v>
                </c:pt>
                <c:pt idx="1209">
                  <c:v>15-06-2021</c:v>
                </c:pt>
                <c:pt idx="1210">
                  <c:v>14-06-2021</c:v>
                </c:pt>
                <c:pt idx="1211">
                  <c:v>11/6/2021</c:v>
                </c:pt>
                <c:pt idx="1212">
                  <c:v>10/6/2021</c:v>
                </c:pt>
                <c:pt idx="1213">
                  <c:v>9/6/2021</c:v>
                </c:pt>
                <c:pt idx="1214">
                  <c:v>8/6/2021</c:v>
                </c:pt>
                <c:pt idx="1215">
                  <c:v>7/6/2021</c:v>
                </c:pt>
                <c:pt idx="1216">
                  <c:v>4/6/2021</c:v>
                </c:pt>
                <c:pt idx="1217">
                  <c:v>3/6/2021</c:v>
                </c:pt>
                <c:pt idx="1218">
                  <c:v>2/6/2021</c:v>
                </c:pt>
                <c:pt idx="1219">
                  <c:v>1/6/2021</c:v>
                </c:pt>
                <c:pt idx="1220">
                  <c:v>31-05-2021</c:v>
                </c:pt>
                <c:pt idx="1221">
                  <c:v>28-05-2021</c:v>
                </c:pt>
                <c:pt idx="1222">
                  <c:v>27-05-2021</c:v>
                </c:pt>
                <c:pt idx="1223">
                  <c:v>26-05-2021</c:v>
                </c:pt>
                <c:pt idx="1224">
                  <c:v>25-05-2021</c:v>
                </c:pt>
                <c:pt idx="1225">
                  <c:v>24-05-2021</c:v>
                </c:pt>
                <c:pt idx="1226">
                  <c:v>21-05-2021</c:v>
                </c:pt>
                <c:pt idx="1227">
                  <c:v>20-05-2021</c:v>
                </c:pt>
                <c:pt idx="1228">
                  <c:v>19-05-2021</c:v>
                </c:pt>
                <c:pt idx="1229">
                  <c:v>18-05-2021</c:v>
                </c:pt>
                <c:pt idx="1230">
                  <c:v>17-05-2021</c:v>
                </c:pt>
                <c:pt idx="1231">
                  <c:v>14-05-2021</c:v>
                </c:pt>
                <c:pt idx="1232">
                  <c:v>12/5/2021</c:v>
                </c:pt>
                <c:pt idx="1233">
                  <c:v>11/5/2021</c:v>
                </c:pt>
                <c:pt idx="1234">
                  <c:v>10/5/2021</c:v>
                </c:pt>
                <c:pt idx="1235">
                  <c:v>7/5/2021</c:v>
                </c:pt>
                <c:pt idx="1236">
                  <c:v>6/5/2021</c:v>
                </c:pt>
                <c:pt idx="1237">
                  <c:v>5/5/2021</c:v>
                </c:pt>
                <c:pt idx="1238">
                  <c:v>4/5/2021</c:v>
                </c:pt>
                <c:pt idx="1239">
                  <c:v>3/5/2021</c:v>
                </c:pt>
                <c:pt idx="1240">
                  <c:v>30-04-2021</c:v>
                </c:pt>
              </c:strCache>
            </c:strRef>
          </c:cat>
          <c:val>
            <c:numRef>
              <c:f>'Share Price'!$B$2:$B$1242</c:f>
              <c:numCache>
                <c:formatCode>General</c:formatCode>
                <c:ptCount val="1241"/>
                <c:pt idx="0">
                  <c:v>314.89999999999998</c:v>
                </c:pt>
                <c:pt idx="1">
                  <c:v>316.25</c:v>
                </c:pt>
                <c:pt idx="2">
                  <c:v>304.45</c:v>
                </c:pt>
                <c:pt idx="3">
                  <c:v>303.85000000000002</c:v>
                </c:pt>
                <c:pt idx="4">
                  <c:v>301.60000000000002</c:v>
                </c:pt>
                <c:pt idx="5">
                  <c:v>305.3</c:v>
                </c:pt>
                <c:pt idx="6">
                  <c:v>305.5</c:v>
                </c:pt>
                <c:pt idx="7">
                  <c:v>309.64999999999998</c:v>
                </c:pt>
                <c:pt idx="8">
                  <c:v>305</c:v>
                </c:pt>
                <c:pt idx="9">
                  <c:v>306.8</c:v>
                </c:pt>
                <c:pt idx="10">
                  <c:v>303.39999999999998</c:v>
                </c:pt>
                <c:pt idx="11">
                  <c:v>302.05</c:v>
                </c:pt>
                <c:pt idx="12">
                  <c:v>298.64999999999998</c:v>
                </c:pt>
                <c:pt idx="13">
                  <c:v>304.25</c:v>
                </c:pt>
                <c:pt idx="14">
                  <c:v>303</c:v>
                </c:pt>
                <c:pt idx="15">
                  <c:v>302.45</c:v>
                </c:pt>
                <c:pt idx="16">
                  <c:v>298.45</c:v>
                </c:pt>
                <c:pt idx="17">
                  <c:v>294.85000000000002</c:v>
                </c:pt>
                <c:pt idx="18">
                  <c:v>292.85000000000002</c:v>
                </c:pt>
                <c:pt idx="19">
                  <c:v>291.7</c:v>
                </c:pt>
                <c:pt idx="20">
                  <c:v>287.7</c:v>
                </c:pt>
                <c:pt idx="21">
                  <c:v>294.7</c:v>
                </c:pt>
                <c:pt idx="22">
                  <c:v>295.7</c:v>
                </c:pt>
                <c:pt idx="23">
                  <c:v>291.25</c:v>
                </c:pt>
                <c:pt idx="24">
                  <c:v>290.45</c:v>
                </c:pt>
                <c:pt idx="25">
                  <c:v>299.95</c:v>
                </c:pt>
                <c:pt idx="26">
                  <c:v>298</c:v>
                </c:pt>
                <c:pt idx="27">
                  <c:v>304.05</c:v>
                </c:pt>
                <c:pt idx="28">
                  <c:v>304.85000000000002</c:v>
                </c:pt>
                <c:pt idx="29">
                  <c:v>308.25</c:v>
                </c:pt>
                <c:pt idx="30">
                  <c:v>301.45</c:v>
                </c:pt>
                <c:pt idx="31">
                  <c:v>304.10000000000002</c:v>
                </c:pt>
                <c:pt idx="32">
                  <c:v>309</c:v>
                </c:pt>
                <c:pt idx="33">
                  <c:v>309.05</c:v>
                </c:pt>
                <c:pt idx="34">
                  <c:v>306</c:v>
                </c:pt>
                <c:pt idx="35">
                  <c:v>309.7</c:v>
                </c:pt>
                <c:pt idx="36">
                  <c:v>311.5</c:v>
                </c:pt>
                <c:pt idx="37">
                  <c:v>311.95</c:v>
                </c:pt>
                <c:pt idx="38">
                  <c:v>314.89999999999998</c:v>
                </c:pt>
                <c:pt idx="39">
                  <c:v>313.60000000000002</c:v>
                </c:pt>
                <c:pt idx="40">
                  <c:v>318.3</c:v>
                </c:pt>
                <c:pt idx="41">
                  <c:v>319.75</c:v>
                </c:pt>
                <c:pt idx="42">
                  <c:v>323.5</c:v>
                </c:pt>
                <c:pt idx="43">
                  <c:v>325.39999999999998</c:v>
                </c:pt>
                <c:pt idx="44">
                  <c:v>327</c:v>
                </c:pt>
                <c:pt idx="45">
                  <c:v>326</c:v>
                </c:pt>
                <c:pt idx="46">
                  <c:v>332.45</c:v>
                </c:pt>
                <c:pt idx="47">
                  <c:v>325.45</c:v>
                </c:pt>
                <c:pt idx="48">
                  <c:v>317.95</c:v>
                </c:pt>
                <c:pt idx="49">
                  <c:v>313.75</c:v>
                </c:pt>
                <c:pt idx="50">
                  <c:v>317.45</c:v>
                </c:pt>
                <c:pt idx="51">
                  <c:v>318.25</c:v>
                </c:pt>
                <c:pt idx="52">
                  <c:v>321.39999999999998</c:v>
                </c:pt>
                <c:pt idx="53">
                  <c:v>322.8</c:v>
                </c:pt>
                <c:pt idx="54">
                  <c:v>325.8</c:v>
                </c:pt>
                <c:pt idx="55">
                  <c:v>310.2</c:v>
                </c:pt>
                <c:pt idx="56">
                  <c:v>313.85000000000002</c:v>
                </c:pt>
                <c:pt idx="57">
                  <c:v>316.64999999999998</c:v>
                </c:pt>
                <c:pt idx="58">
                  <c:v>314.7</c:v>
                </c:pt>
                <c:pt idx="59">
                  <c:v>309.45</c:v>
                </c:pt>
                <c:pt idx="60">
                  <c:v>322.14999999999998</c:v>
                </c:pt>
                <c:pt idx="61">
                  <c:v>318.60000000000002</c:v>
                </c:pt>
                <c:pt idx="62">
                  <c:v>321.14999999999998</c:v>
                </c:pt>
                <c:pt idx="63">
                  <c:v>318.64999999999998</c:v>
                </c:pt>
                <c:pt idx="64">
                  <c:v>323.39999999999998</c:v>
                </c:pt>
                <c:pt idx="65">
                  <c:v>324.85000000000002</c:v>
                </c:pt>
                <c:pt idx="66">
                  <c:v>324.75</c:v>
                </c:pt>
                <c:pt idx="67">
                  <c:v>326.3</c:v>
                </c:pt>
                <c:pt idx="68">
                  <c:v>333.2</c:v>
                </c:pt>
                <c:pt idx="69">
                  <c:v>329.2</c:v>
                </c:pt>
                <c:pt idx="70">
                  <c:v>334.75</c:v>
                </c:pt>
                <c:pt idx="71">
                  <c:v>334.7</c:v>
                </c:pt>
                <c:pt idx="72">
                  <c:v>338.4</c:v>
                </c:pt>
                <c:pt idx="73">
                  <c:v>337.15</c:v>
                </c:pt>
                <c:pt idx="74">
                  <c:v>340.9</c:v>
                </c:pt>
                <c:pt idx="75">
                  <c:v>341.25</c:v>
                </c:pt>
                <c:pt idx="76">
                  <c:v>342.45</c:v>
                </c:pt>
                <c:pt idx="77">
                  <c:v>349.7</c:v>
                </c:pt>
                <c:pt idx="78">
                  <c:v>350.05</c:v>
                </c:pt>
                <c:pt idx="79">
                  <c:v>363.85</c:v>
                </c:pt>
                <c:pt idx="80">
                  <c:v>403</c:v>
                </c:pt>
                <c:pt idx="81">
                  <c:v>400.6</c:v>
                </c:pt>
                <c:pt idx="82">
                  <c:v>402.6</c:v>
                </c:pt>
                <c:pt idx="83">
                  <c:v>404.15</c:v>
                </c:pt>
                <c:pt idx="84">
                  <c:v>406.6</c:v>
                </c:pt>
                <c:pt idx="85">
                  <c:v>407.35</c:v>
                </c:pt>
                <c:pt idx="86">
                  <c:v>402.7</c:v>
                </c:pt>
                <c:pt idx="87">
                  <c:v>401.05</c:v>
                </c:pt>
                <c:pt idx="88">
                  <c:v>400.4</c:v>
                </c:pt>
                <c:pt idx="89">
                  <c:v>399.8</c:v>
                </c:pt>
                <c:pt idx="90">
                  <c:v>401.7</c:v>
                </c:pt>
                <c:pt idx="91">
                  <c:v>402.3</c:v>
                </c:pt>
                <c:pt idx="92">
                  <c:v>400.1</c:v>
                </c:pt>
                <c:pt idx="93">
                  <c:v>402.9</c:v>
                </c:pt>
                <c:pt idx="94">
                  <c:v>403.15</c:v>
                </c:pt>
                <c:pt idx="95">
                  <c:v>401.05</c:v>
                </c:pt>
                <c:pt idx="96">
                  <c:v>402.3</c:v>
                </c:pt>
                <c:pt idx="97">
                  <c:v>404.95</c:v>
                </c:pt>
                <c:pt idx="98">
                  <c:v>403.05</c:v>
                </c:pt>
                <c:pt idx="99">
                  <c:v>400.5</c:v>
                </c:pt>
                <c:pt idx="100">
                  <c:v>400.95</c:v>
                </c:pt>
                <c:pt idx="101">
                  <c:v>404.25</c:v>
                </c:pt>
                <c:pt idx="102">
                  <c:v>404.25</c:v>
                </c:pt>
                <c:pt idx="103">
                  <c:v>404.3</c:v>
                </c:pt>
                <c:pt idx="104">
                  <c:v>402.3</c:v>
                </c:pt>
                <c:pt idx="105">
                  <c:v>400.8</c:v>
                </c:pt>
                <c:pt idx="106">
                  <c:v>403.55</c:v>
                </c:pt>
                <c:pt idx="107">
                  <c:v>407.85</c:v>
                </c:pt>
                <c:pt idx="108">
                  <c:v>405.45</c:v>
                </c:pt>
                <c:pt idx="109">
                  <c:v>403.55</c:v>
                </c:pt>
                <c:pt idx="110">
                  <c:v>405.85</c:v>
                </c:pt>
                <c:pt idx="111">
                  <c:v>407.1</c:v>
                </c:pt>
                <c:pt idx="112">
                  <c:v>408.15</c:v>
                </c:pt>
                <c:pt idx="113">
                  <c:v>405.7</c:v>
                </c:pt>
                <c:pt idx="114">
                  <c:v>407</c:v>
                </c:pt>
                <c:pt idx="115">
                  <c:v>406.85</c:v>
                </c:pt>
                <c:pt idx="116">
                  <c:v>405.55</c:v>
                </c:pt>
                <c:pt idx="117">
                  <c:v>404.05</c:v>
                </c:pt>
                <c:pt idx="118">
                  <c:v>407.5</c:v>
                </c:pt>
                <c:pt idx="119">
                  <c:v>408.9</c:v>
                </c:pt>
                <c:pt idx="120">
                  <c:v>413.95</c:v>
                </c:pt>
                <c:pt idx="121">
                  <c:v>420.35</c:v>
                </c:pt>
                <c:pt idx="122">
                  <c:v>418.75</c:v>
                </c:pt>
                <c:pt idx="123">
                  <c:v>421.6</c:v>
                </c:pt>
                <c:pt idx="124">
                  <c:v>417.9</c:v>
                </c:pt>
                <c:pt idx="125">
                  <c:v>420.65</c:v>
                </c:pt>
                <c:pt idx="126">
                  <c:v>416.8</c:v>
                </c:pt>
                <c:pt idx="127">
                  <c:v>415.95</c:v>
                </c:pt>
                <c:pt idx="128">
                  <c:v>412.85</c:v>
                </c:pt>
                <c:pt idx="129">
                  <c:v>413.05</c:v>
                </c:pt>
                <c:pt idx="130">
                  <c:v>412.15</c:v>
                </c:pt>
                <c:pt idx="131">
                  <c:v>405.15</c:v>
                </c:pt>
                <c:pt idx="132">
                  <c:v>399.9</c:v>
                </c:pt>
                <c:pt idx="133">
                  <c:v>396.8</c:v>
                </c:pt>
                <c:pt idx="134">
                  <c:v>399.25</c:v>
                </c:pt>
                <c:pt idx="135">
                  <c:v>402.8</c:v>
                </c:pt>
                <c:pt idx="136">
                  <c:v>399.9</c:v>
                </c:pt>
                <c:pt idx="137">
                  <c:v>399.75</c:v>
                </c:pt>
                <c:pt idx="138">
                  <c:v>399.8</c:v>
                </c:pt>
                <c:pt idx="139">
                  <c:v>400.75</c:v>
                </c:pt>
                <c:pt idx="140">
                  <c:v>404.3</c:v>
                </c:pt>
                <c:pt idx="141">
                  <c:v>405.6</c:v>
                </c:pt>
                <c:pt idx="142">
                  <c:v>401.55</c:v>
                </c:pt>
                <c:pt idx="143">
                  <c:v>407.25</c:v>
                </c:pt>
                <c:pt idx="144">
                  <c:v>405.1</c:v>
                </c:pt>
                <c:pt idx="145">
                  <c:v>400.1</c:v>
                </c:pt>
                <c:pt idx="146">
                  <c:v>401</c:v>
                </c:pt>
                <c:pt idx="147">
                  <c:v>403.2</c:v>
                </c:pt>
                <c:pt idx="148">
                  <c:v>406.95</c:v>
                </c:pt>
                <c:pt idx="149">
                  <c:v>410.65</c:v>
                </c:pt>
                <c:pt idx="150">
                  <c:v>411.55</c:v>
                </c:pt>
                <c:pt idx="151">
                  <c:v>409.3</c:v>
                </c:pt>
                <c:pt idx="152">
                  <c:v>413.1</c:v>
                </c:pt>
                <c:pt idx="153">
                  <c:v>412.65</c:v>
                </c:pt>
                <c:pt idx="154">
                  <c:v>413.75</c:v>
                </c:pt>
                <c:pt idx="155">
                  <c:v>415.05</c:v>
                </c:pt>
                <c:pt idx="156">
                  <c:v>413.05</c:v>
                </c:pt>
                <c:pt idx="157">
                  <c:v>410.05</c:v>
                </c:pt>
                <c:pt idx="158">
                  <c:v>407.55</c:v>
                </c:pt>
                <c:pt idx="159">
                  <c:v>407.35</c:v>
                </c:pt>
                <c:pt idx="160">
                  <c:v>415.9</c:v>
                </c:pt>
                <c:pt idx="161">
                  <c:v>411.75</c:v>
                </c:pt>
                <c:pt idx="162">
                  <c:v>406.75</c:v>
                </c:pt>
                <c:pt idx="163">
                  <c:v>405.85</c:v>
                </c:pt>
                <c:pt idx="164">
                  <c:v>409.75</c:v>
                </c:pt>
                <c:pt idx="165">
                  <c:v>400.9</c:v>
                </c:pt>
                <c:pt idx="166">
                  <c:v>403.35</c:v>
                </c:pt>
                <c:pt idx="167">
                  <c:v>399.35</c:v>
                </c:pt>
                <c:pt idx="168">
                  <c:v>398.3</c:v>
                </c:pt>
                <c:pt idx="169">
                  <c:v>405.55</c:v>
                </c:pt>
                <c:pt idx="170">
                  <c:v>406.05</c:v>
                </c:pt>
                <c:pt idx="171">
                  <c:v>409.1</c:v>
                </c:pt>
                <c:pt idx="172">
                  <c:v>406.3</c:v>
                </c:pt>
                <c:pt idx="173">
                  <c:v>411.45</c:v>
                </c:pt>
                <c:pt idx="174">
                  <c:v>414.1</c:v>
                </c:pt>
                <c:pt idx="175">
                  <c:v>416.35</c:v>
                </c:pt>
                <c:pt idx="176">
                  <c:v>416.85</c:v>
                </c:pt>
                <c:pt idx="177">
                  <c:v>414.5</c:v>
                </c:pt>
                <c:pt idx="178">
                  <c:v>413.6</c:v>
                </c:pt>
                <c:pt idx="179">
                  <c:v>412</c:v>
                </c:pt>
                <c:pt idx="180">
                  <c:v>414.15</c:v>
                </c:pt>
                <c:pt idx="181">
                  <c:v>416.85</c:v>
                </c:pt>
                <c:pt idx="182">
                  <c:v>416.45</c:v>
                </c:pt>
                <c:pt idx="183">
                  <c:v>411.95</c:v>
                </c:pt>
                <c:pt idx="184">
                  <c:v>407.6</c:v>
                </c:pt>
                <c:pt idx="185">
                  <c:v>408.45</c:v>
                </c:pt>
                <c:pt idx="186">
                  <c:v>409.9</c:v>
                </c:pt>
                <c:pt idx="187">
                  <c:v>409.4</c:v>
                </c:pt>
                <c:pt idx="188">
                  <c:v>409.95</c:v>
                </c:pt>
                <c:pt idx="189">
                  <c:v>414.95</c:v>
                </c:pt>
                <c:pt idx="190">
                  <c:v>416</c:v>
                </c:pt>
                <c:pt idx="191">
                  <c:v>420.1</c:v>
                </c:pt>
                <c:pt idx="192">
                  <c:v>422.75</c:v>
                </c:pt>
                <c:pt idx="193">
                  <c:v>423.95</c:v>
                </c:pt>
                <c:pt idx="194">
                  <c:v>424.6</c:v>
                </c:pt>
                <c:pt idx="195">
                  <c:v>422.1</c:v>
                </c:pt>
                <c:pt idx="196">
                  <c:v>419.4</c:v>
                </c:pt>
                <c:pt idx="197">
                  <c:v>416.8</c:v>
                </c:pt>
                <c:pt idx="198">
                  <c:v>416.85</c:v>
                </c:pt>
                <c:pt idx="199">
                  <c:v>419.45</c:v>
                </c:pt>
                <c:pt idx="200">
                  <c:v>417.2</c:v>
                </c:pt>
                <c:pt idx="201">
                  <c:v>416.15</c:v>
                </c:pt>
                <c:pt idx="202">
                  <c:v>412.55</c:v>
                </c:pt>
                <c:pt idx="203">
                  <c:v>413.35</c:v>
                </c:pt>
                <c:pt idx="204">
                  <c:v>412.95</c:v>
                </c:pt>
                <c:pt idx="205">
                  <c:v>415.1</c:v>
                </c:pt>
                <c:pt idx="206">
                  <c:v>416.45</c:v>
                </c:pt>
                <c:pt idx="207">
                  <c:v>418.65</c:v>
                </c:pt>
                <c:pt idx="208">
                  <c:v>420.3</c:v>
                </c:pt>
                <c:pt idx="209">
                  <c:v>416.35</c:v>
                </c:pt>
                <c:pt idx="210">
                  <c:v>414.35</c:v>
                </c:pt>
                <c:pt idx="211">
                  <c:v>413.9</c:v>
                </c:pt>
                <c:pt idx="212">
                  <c:v>418.55</c:v>
                </c:pt>
                <c:pt idx="213">
                  <c:v>416</c:v>
                </c:pt>
                <c:pt idx="214">
                  <c:v>415.9</c:v>
                </c:pt>
                <c:pt idx="215">
                  <c:v>417.4</c:v>
                </c:pt>
                <c:pt idx="216">
                  <c:v>418.2</c:v>
                </c:pt>
                <c:pt idx="217">
                  <c:v>413.9</c:v>
                </c:pt>
                <c:pt idx="218">
                  <c:v>421</c:v>
                </c:pt>
                <c:pt idx="219">
                  <c:v>426.15</c:v>
                </c:pt>
                <c:pt idx="220">
                  <c:v>427</c:v>
                </c:pt>
                <c:pt idx="221">
                  <c:v>423.05</c:v>
                </c:pt>
                <c:pt idx="222">
                  <c:v>421.05</c:v>
                </c:pt>
                <c:pt idx="223">
                  <c:v>419.1</c:v>
                </c:pt>
                <c:pt idx="224">
                  <c:v>417</c:v>
                </c:pt>
                <c:pt idx="225">
                  <c:v>416.95</c:v>
                </c:pt>
                <c:pt idx="226">
                  <c:v>419.3</c:v>
                </c:pt>
                <c:pt idx="227">
                  <c:v>418.05</c:v>
                </c:pt>
                <c:pt idx="228">
                  <c:v>418.75</c:v>
                </c:pt>
                <c:pt idx="229">
                  <c:v>420.2</c:v>
                </c:pt>
                <c:pt idx="230">
                  <c:v>433.9</c:v>
                </c:pt>
                <c:pt idx="231">
                  <c:v>442.9</c:v>
                </c:pt>
                <c:pt idx="232">
                  <c:v>436.3</c:v>
                </c:pt>
                <c:pt idx="233">
                  <c:v>426.1</c:v>
                </c:pt>
                <c:pt idx="234">
                  <c:v>433</c:v>
                </c:pt>
                <c:pt idx="235">
                  <c:v>434.9</c:v>
                </c:pt>
                <c:pt idx="236">
                  <c:v>435.35</c:v>
                </c:pt>
                <c:pt idx="237">
                  <c:v>435.7</c:v>
                </c:pt>
                <c:pt idx="238">
                  <c:v>432.65</c:v>
                </c:pt>
                <c:pt idx="239">
                  <c:v>429.1</c:v>
                </c:pt>
                <c:pt idx="240">
                  <c:v>427.9</c:v>
                </c:pt>
                <c:pt idx="241">
                  <c:v>435.5</c:v>
                </c:pt>
                <c:pt idx="242">
                  <c:v>423.55</c:v>
                </c:pt>
                <c:pt idx="243">
                  <c:v>430.6</c:v>
                </c:pt>
                <c:pt idx="244">
                  <c:v>431.15</c:v>
                </c:pt>
                <c:pt idx="245">
                  <c:v>435.55</c:v>
                </c:pt>
                <c:pt idx="246">
                  <c:v>436.95</c:v>
                </c:pt>
                <c:pt idx="247">
                  <c:v>430.25</c:v>
                </c:pt>
                <c:pt idx="248">
                  <c:v>425.8</c:v>
                </c:pt>
                <c:pt idx="249">
                  <c:v>426</c:v>
                </c:pt>
                <c:pt idx="250">
                  <c:v>428.8</c:v>
                </c:pt>
                <c:pt idx="251">
                  <c:v>427.8</c:v>
                </c:pt>
                <c:pt idx="252">
                  <c:v>430.05</c:v>
                </c:pt>
                <c:pt idx="253">
                  <c:v>430.85</c:v>
                </c:pt>
                <c:pt idx="254">
                  <c:v>433.6</c:v>
                </c:pt>
                <c:pt idx="255">
                  <c:v>422.85</c:v>
                </c:pt>
                <c:pt idx="256">
                  <c:v>427.25</c:v>
                </c:pt>
                <c:pt idx="257">
                  <c:v>424.45</c:v>
                </c:pt>
                <c:pt idx="258">
                  <c:v>420.4</c:v>
                </c:pt>
                <c:pt idx="259">
                  <c:v>421.55</c:v>
                </c:pt>
                <c:pt idx="260">
                  <c:v>416.3</c:v>
                </c:pt>
                <c:pt idx="261">
                  <c:v>412.55</c:v>
                </c:pt>
                <c:pt idx="262">
                  <c:v>406.05</c:v>
                </c:pt>
                <c:pt idx="263">
                  <c:v>409.7</c:v>
                </c:pt>
                <c:pt idx="264">
                  <c:v>409.4</c:v>
                </c:pt>
                <c:pt idx="265">
                  <c:v>409.05</c:v>
                </c:pt>
                <c:pt idx="266">
                  <c:v>406.65</c:v>
                </c:pt>
                <c:pt idx="267">
                  <c:v>409.75</c:v>
                </c:pt>
                <c:pt idx="268">
                  <c:v>409.45</c:v>
                </c:pt>
                <c:pt idx="269">
                  <c:v>407.35</c:v>
                </c:pt>
                <c:pt idx="270">
                  <c:v>409.8</c:v>
                </c:pt>
                <c:pt idx="271">
                  <c:v>410.9</c:v>
                </c:pt>
                <c:pt idx="272">
                  <c:v>405.55</c:v>
                </c:pt>
                <c:pt idx="273">
                  <c:v>403.95</c:v>
                </c:pt>
                <c:pt idx="274">
                  <c:v>403.05</c:v>
                </c:pt>
                <c:pt idx="275">
                  <c:v>409.1</c:v>
                </c:pt>
                <c:pt idx="276">
                  <c:v>407.95</c:v>
                </c:pt>
                <c:pt idx="277">
                  <c:v>412.05</c:v>
                </c:pt>
                <c:pt idx="278">
                  <c:v>412.4</c:v>
                </c:pt>
                <c:pt idx="279">
                  <c:v>406.2</c:v>
                </c:pt>
                <c:pt idx="280">
                  <c:v>405</c:v>
                </c:pt>
                <c:pt idx="281">
                  <c:v>403.9</c:v>
                </c:pt>
                <c:pt idx="282">
                  <c:v>405.7</c:v>
                </c:pt>
                <c:pt idx="283">
                  <c:v>405.05</c:v>
                </c:pt>
                <c:pt idx="284">
                  <c:v>394.85</c:v>
                </c:pt>
                <c:pt idx="285">
                  <c:v>397.45</c:v>
                </c:pt>
                <c:pt idx="286">
                  <c:v>395</c:v>
                </c:pt>
                <c:pt idx="287">
                  <c:v>401.6</c:v>
                </c:pt>
                <c:pt idx="288">
                  <c:v>404.85</c:v>
                </c:pt>
                <c:pt idx="289">
                  <c:v>401.9</c:v>
                </c:pt>
                <c:pt idx="290">
                  <c:v>400.9</c:v>
                </c:pt>
                <c:pt idx="291">
                  <c:v>402.05</c:v>
                </c:pt>
                <c:pt idx="292">
                  <c:v>406.4</c:v>
                </c:pt>
                <c:pt idx="293">
                  <c:v>405.25</c:v>
                </c:pt>
                <c:pt idx="294">
                  <c:v>408.6</c:v>
                </c:pt>
                <c:pt idx="295">
                  <c:v>410.25</c:v>
                </c:pt>
                <c:pt idx="296">
                  <c:v>409.7</c:v>
                </c:pt>
                <c:pt idx="297">
                  <c:v>409.9</c:v>
                </c:pt>
                <c:pt idx="298">
                  <c:v>418.3</c:v>
                </c:pt>
                <c:pt idx="299">
                  <c:v>427.2</c:v>
                </c:pt>
                <c:pt idx="300">
                  <c:v>430.85</c:v>
                </c:pt>
                <c:pt idx="301">
                  <c:v>441.1</c:v>
                </c:pt>
                <c:pt idx="302">
                  <c:v>448.15</c:v>
                </c:pt>
                <c:pt idx="303">
                  <c:v>455.15</c:v>
                </c:pt>
                <c:pt idx="304">
                  <c:v>454.35</c:v>
                </c:pt>
                <c:pt idx="305">
                  <c:v>462.55</c:v>
                </c:pt>
                <c:pt idx="306">
                  <c:v>447.5</c:v>
                </c:pt>
                <c:pt idx="307">
                  <c:v>436.2</c:v>
                </c:pt>
                <c:pt idx="308">
                  <c:v>433.35</c:v>
                </c:pt>
                <c:pt idx="309">
                  <c:v>435.45</c:v>
                </c:pt>
                <c:pt idx="310">
                  <c:v>440.1</c:v>
                </c:pt>
                <c:pt idx="311">
                  <c:v>441.6</c:v>
                </c:pt>
                <c:pt idx="312">
                  <c:v>440.2</c:v>
                </c:pt>
                <c:pt idx="313">
                  <c:v>437</c:v>
                </c:pt>
                <c:pt idx="314">
                  <c:v>437.55</c:v>
                </c:pt>
                <c:pt idx="315">
                  <c:v>437.7</c:v>
                </c:pt>
                <c:pt idx="316">
                  <c:v>440.2</c:v>
                </c:pt>
                <c:pt idx="317">
                  <c:v>432.85</c:v>
                </c:pt>
                <c:pt idx="318">
                  <c:v>437.35</c:v>
                </c:pt>
                <c:pt idx="319">
                  <c:v>436.6</c:v>
                </c:pt>
                <c:pt idx="320">
                  <c:v>439.05</c:v>
                </c:pt>
                <c:pt idx="321">
                  <c:v>444.9</c:v>
                </c:pt>
                <c:pt idx="322">
                  <c:v>450.1</c:v>
                </c:pt>
                <c:pt idx="323">
                  <c:v>449.55</c:v>
                </c:pt>
                <c:pt idx="324">
                  <c:v>441.1</c:v>
                </c:pt>
                <c:pt idx="325">
                  <c:v>442.65</c:v>
                </c:pt>
                <c:pt idx="326">
                  <c:v>455.6</c:v>
                </c:pt>
                <c:pt idx="327">
                  <c:v>462.65</c:v>
                </c:pt>
                <c:pt idx="328">
                  <c:v>457.82</c:v>
                </c:pt>
                <c:pt idx="329">
                  <c:v>457.54</c:v>
                </c:pt>
                <c:pt idx="330">
                  <c:v>451.25</c:v>
                </c:pt>
                <c:pt idx="331">
                  <c:v>452.76</c:v>
                </c:pt>
                <c:pt idx="332">
                  <c:v>451.2</c:v>
                </c:pt>
                <c:pt idx="333">
                  <c:v>452.62</c:v>
                </c:pt>
                <c:pt idx="334">
                  <c:v>448.65</c:v>
                </c:pt>
                <c:pt idx="335">
                  <c:v>439.57</c:v>
                </c:pt>
                <c:pt idx="336">
                  <c:v>441.36</c:v>
                </c:pt>
                <c:pt idx="337">
                  <c:v>445.1</c:v>
                </c:pt>
                <c:pt idx="338">
                  <c:v>444.2</c:v>
                </c:pt>
                <c:pt idx="339">
                  <c:v>444.72</c:v>
                </c:pt>
                <c:pt idx="340">
                  <c:v>444.63</c:v>
                </c:pt>
                <c:pt idx="341">
                  <c:v>435.73</c:v>
                </c:pt>
                <c:pt idx="342">
                  <c:v>440.13</c:v>
                </c:pt>
                <c:pt idx="343">
                  <c:v>440.32</c:v>
                </c:pt>
                <c:pt idx="344">
                  <c:v>439.85</c:v>
                </c:pt>
                <c:pt idx="345">
                  <c:v>445.71</c:v>
                </c:pt>
                <c:pt idx="346">
                  <c:v>442.26</c:v>
                </c:pt>
                <c:pt idx="347">
                  <c:v>441.88</c:v>
                </c:pt>
                <c:pt idx="348">
                  <c:v>447.04</c:v>
                </c:pt>
                <c:pt idx="349">
                  <c:v>451.44</c:v>
                </c:pt>
                <c:pt idx="350">
                  <c:v>451.01</c:v>
                </c:pt>
                <c:pt idx="351">
                  <c:v>449.26</c:v>
                </c:pt>
                <c:pt idx="352">
                  <c:v>451.2</c:v>
                </c:pt>
                <c:pt idx="353">
                  <c:v>451.25</c:v>
                </c:pt>
                <c:pt idx="354">
                  <c:v>451.06</c:v>
                </c:pt>
                <c:pt idx="355">
                  <c:v>449.02</c:v>
                </c:pt>
                <c:pt idx="356">
                  <c:v>432.47</c:v>
                </c:pt>
                <c:pt idx="357">
                  <c:v>442.12</c:v>
                </c:pt>
                <c:pt idx="358">
                  <c:v>441.36</c:v>
                </c:pt>
                <c:pt idx="359">
                  <c:v>440.8</c:v>
                </c:pt>
                <c:pt idx="360">
                  <c:v>446.71</c:v>
                </c:pt>
                <c:pt idx="361">
                  <c:v>447.32</c:v>
                </c:pt>
                <c:pt idx="362">
                  <c:v>451.2</c:v>
                </c:pt>
                <c:pt idx="363">
                  <c:v>452.24</c:v>
                </c:pt>
                <c:pt idx="364">
                  <c:v>452.1</c:v>
                </c:pt>
                <c:pt idx="365">
                  <c:v>455.13</c:v>
                </c:pt>
                <c:pt idx="366">
                  <c:v>454.27</c:v>
                </c:pt>
                <c:pt idx="367">
                  <c:v>458.44</c:v>
                </c:pt>
                <c:pt idx="368">
                  <c:v>463.83</c:v>
                </c:pt>
                <c:pt idx="369">
                  <c:v>462.41</c:v>
                </c:pt>
                <c:pt idx="370">
                  <c:v>465.01</c:v>
                </c:pt>
                <c:pt idx="371">
                  <c:v>461.61</c:v>
                </c:pt>
                <c:pt idx="372">
                  <c:v>458.01</c:v>
                </c:pt>
                <c:pt idx="373">
                  <c:v>456.26</c:v>
                </c:pt>
                <c:pt idx="374">
                  <c:v>446.23</c:v>
                </c:pt>
                <c:pt idx="375">
                  <c:v>454.42</c:v>
                </c:pt>
                <c:pt idx="376">
                  <c:v>455.79</c:v>
                </c:pt>
                <c:pt idx="377">
                  <c:v>457.54</c:v>
                </c:pt>
                <c:pt idx="378">
                  <c:v>460.42</c:v>
                </c:pt>
                <c:pt idx="379">
                  <c:v>462.51</c:v>
                </c:pt>
                <c:pt idx="380">
                  <c:v>466.57</c:v>
                </c:pt>
                <c:pt idx="381">
                  <c:v>471.64</c:v>
                </c:pt>
                <c:pt idx="382">
                  <c:v>470.12</c:v>
                </c:pt>
                <c:pt idx="383">
                  <c:v>461.84</c:v>
                </c:pt>
                <c:pt idx="384">
                  <c:v>465.49</c:v>
                </c:pt>
                <c:pt idx="385">
                  <c:v>465.15</c:v>
                </c:pt>
                <c:pt idx="386">
                  <c:v>480.53</c:v>
                </c:pt>
                <c:pt idx="387">
                  <c:v>482.66</c:v>
                </c:pt>
                <c:pt idx="388">
                  <c:v>476.36</c:v>
                </c:pt>
                <c:pt idx="389">
                  <c:v>485.07</c:v>
                </c:pt>
                <c:pt idx="390">
                  <c:v>488.33</c:v>
                </c:pt>
                <c:pt idx="391">
                  <c:v>490.18</c:v>
                </c:pt>
                <c:pt idx="392">
                  <c:v>494.48</c:v>
                </c:pt>
                <c:pt idx="393">
                  <c:v>494.53</c:v>
                </c:pt>
                <c:pt idx="394">
                  <c:v>489.61</c:v>
                </c:pt>
                <c:pt idx="395">
                  <c:v>487.43</c:v>
                </c:pt>
                <c:pt idx="396">
                  <c:v>489.04</c:v>
                </c:pt>
                <c:pt idx="397">
                  <c:v>486.63</c:v>
                </c:pt>
                <c:pt idx="398">
                  <c:v>480.81</c:v>
                </c:pt>
                <c:pt idx="399">
                  <c:v>479.96</c:v>
                </c:pt>
                <c:pt idx="400">
                  <c:v>480.34</c:v>
                </c:pt>
                <c:pt idx="401">
                  <c:v>483.51</c:v>
                </c:pt>
                <c:pt idx="402">
                  <c:v>486.11</c:v>
                </c:pt>
                <c:pt idx="403">
                  <c:v>491.45</c:v>
                </c:pt>
                <c:pt idx="404">
                  <c:v>486.58</c:v>
                </c:pt>
                <c:pt idx="405">
                  <c:v>485.87</c:v>
                </c:pt>
                <c:pt idx="406">
                  <c:v>484.12</c:v>
                </c:pt>
                <c:pt idx="407">
                  <c:v>474.61</c:v>
                </c:pt>
                <c:pt idx="408">
                  <c:v>483.6</c:v>
                </c:pt>
                <c:pt idx="409">
                  <c:v>479.01</c:v>
                </c:pt>
                <c:pt idx="410">
                  <c:v>481.9</c:v>
                </c:pt>
                <c:pt idx="411">
                  <c:v>482.51</c:v>
                </c:pt>
                <c:pt idx="412">
                  <c:v>474.8</c:v>
                </c:pt>
                <c:pt idx="413">
                  <c:v>477.83</c:v>
                </c:pt>
                <c:pt idx="414">
                  <c:v>470.45</c:v>
                </c:pt>
                <c:pt idx="415">
                  <c:v>473.57</c:v>
                </c:pt>
                <c:pt idx="416">
                  <c:v>478.4</c:v>
                </c:pt>
                <c:pt idx="417">
                  <c:v>478.49</c:v>
                </c:pt>
                <c:pt idx="418">
                  <c:v>477.31</c:v>
                </c:pt>
                <c:pt idx="419">
                  <c:v>478.11</c:v>
                </c:pt>
                <c:pt idx="420">
                  <c:v>471.87</c:v>
                </c:pt>
                <c:pt idx="421">
                  <c:v>474.38</c:v>
                </c:pt>
                <c:pt idx="422">
                  <c:v>475.51</c:v>
                </c:pt>
                <c:pt idx="423">
                  <c:v>465.63</c:v>
                </c:pt>
                <c:pt idx="424">
                  <c:v>463.55</c:v>
                </c:pt>
                <c:pt idx="425">
                  <c:v>467.9</c:v>
                </c:pt>
                <c:pt idx="426">
                  <c:v>469.13</c:v>
                </c:pt>
                <c:pt idx="427">
                  <c:v>468.04</c:v>
                </c:pt>
                <c:pt idx="428">
                  <c:v>466.05</c:v>
                </c:pt>
                <c:pt idx="429">
                  <c:v>460.05</c:v>
                </c:pt>
                <c:pt idx="430">
                  <c:v>459.76</c:v>
                </c:pt>
                <c:pt idx="431">
                  <c:v>462.7</c:v>
                </c:pt>
                <c:pt idx="432">
                  <c:v>467.05</c:v>
                </c:pt>
                <c:pt idx="433">
                  <c:v>468.61</c:v>
                </c:pt>
                <c:pt idx="434">
                  <c:v>463.45</c:v>
                </c:pt>
                <c:pt idx="435">
                  <c:v>469.27</c:v>
                </c:pt>
                <c:pt idx="436">
                  <c:v>475.09</c:v>
                </c:pt>
                <c:pt idx="437">
                  <c:v>463.5</c:v>
                </c:pt>
                <c:pt idx="438">
                  <c:v>467.38</c:v>
                </c:pt>
                <c:pt idx="439">
                  <c:v>465.63</c:v>
                </c:pt>
                <c:pt idx="440">
                  <c:v>441.36</c:v>
                </c:pt>
                <c:pt idx="441">
                  <c:v>448.93</c:v>
                </c:pt>
                <c:pt idx="442">
                  <c:v>444.86</c:v>
                </c:pt>
                <c:pt idx="443">
                  <c:v>440.42</c:v>
                </c:pt>
                <c:pt idx="444">
                  <c:v>438.38</c:v>
                </c:pt>
                <c:pt idx="445">
                  <c:v>434.27</c:v>
                </c:pt>
                <c:pt idx="446">
                  <c:v>433.89</c:v>
                </c:pt>
                <c:pt idx="447">
                  <c:v>427.08</c:v>
                </c:pt>
                <c:pt idx="448">
                  <c:v>428.17</c:v>
                </c:pt>
                <c:pt idx="449">
                  <c:v>419.65</c:v>
                </c:pt>
                <c:pt idx="450">
                  <c:v>410.24</c:v>
                </c:pt>
                <c:pt idx="451">
                  <c:v>405.89</c:v>
                </c:pt>
                <c:pt idx="452">
                  <c:v>405.18</c:v>
                </c:pt>
                <c:pt idx="453">
                  <c:v>402.53</c:v>
                </c:pt>
                <c:pt idx="454">
                  <c:v>405.89</c:v>
                </c:pt>
                <c:pt idx="455">
                  <c:v>401.96</c:v>
                </c:pt>
                <c:pt idx="456">
                  <c:v>402.62</c:v>
                </c:pt>
                <c:pt idx="457">
                  <c:v>401.06</c:v>
                </c:pt>
                <c:pt idx="458">
                  <c:v>400.45</c:v>
                </c:pt>
                <c:pt idx="459">
                  <c:v>400.45</c:v>
                </c:pt>
                <c:pt idx="460">
                  <c:v>396.95</c:v>
                </c:pt>
                <c:pt idx="461">
                  <c:v>400.45</c:v>
                </c:pt>
                <c:pt idx="462">
                  <c:v>400.78</c:v>
                </c:pt>
                <c:pt idx="463">
                  <c:v>405.6</c:v>
                </c:pt>
                <c:pt idx="464">
                  <c:v>407.87</c:v>
                </c:pt>
                <c:pt idx="465">
                  <c:v>407.07</c:v>
                </c:pt>
                <c:pt idx="466">
                  <c:v>408.96</c:v>
                </c:pt>
                <c:pt idx="467">
                  <c:v>409.62</c:v>
                </c:pt>
                <c:pt idx="468">
                  <c:v>413.31</c:v>
                </c:pt>
                <c:pt idx="469">
                  <c:v>415.44</c:v>
                </c:pt>
                <c:pt idx="470">
                  <c:v>411.89</c:v>
                </c:pt>
                <c:pt idx="471">
                  <c:v>407.07</c:v>
                </c:pt>
                <c:pt idx="472">
                  <c:v>392.79</c:v>
                </c:pt>
                <c:pt idx="473">
                  <c:v>407.12</c:v>
                </c:pt>
                <c:pt idx="474">
                  <c:v>403.43</c:v>
                </c:pt>
                <c:pt idx="475">
                  <c:v>400.97</c:v>
                </c:pt>
                <c:pt idx="476">
                  <c:v>407.68</c:v>
                </c:pt>
                <c:pt idx="477">
                  <c:v>405.84</c:v>
                </c:pt>
                <c:pt idx="478">
                  <c:v>408.2</c:v>
                </c:pt>
                <c:pt idx="479">
                  <c:v>412.65</c:v>
                </c:pt>
                <c:pt idx="480">
                  <c:v>417.52</c:v>
                </c:pt>
                <c:pt idx="481">
                  <c:v>416.15</c:v>
                </c:pt>
                <c:pt idx="482">
                  <c:v>411.33</c:v>
                </c:pt>
                <c:pt idx="483">
                  <c:v>436.65</c:v>
                </c:pt>
                <c:pt idx="484">
                  <c:v>412.74</c:v>
                </c:pt>
                <c:pt idx="485">
                  <c:v>408.16</c:v>
                </c:pt>
                <c:pt idx="486">
                  <c:v>404.7</c:v>
                </c:pt>
                <c:pt idx="487">
                  <c:v>406.5</c:v>
                </c:pt>
                <c:pt idx="488">
                  <c:v>408.54</c:v>
                </c:pt>
                <c:pt idx="489">
                  <c:v>409.95</c:v>
                </c:pt>
                <c:pt idx="490">
                  <c:v>402.15</c:v>
                </c:pt>
                <c:pt idx="491">
                  <c:v>417.19</c:v>
                </c:pt>
                <c:pt idx="492">
                  <c:v>416.58</c:v>
                </c:pt>
                <c:pt idx="493">
                  <c:v>411.28</c:v>
                </c:pt>
                <c:pt idx="494">
                  <c:v>412.89</c:v>
                </c:pt>
                <c:pt idx="495">
                  <c:v>415.3</c:v>
                </c:pt>
                <c:pt idx="496">
                  <c:v>412.13</c:v>
                </c:pt>
                <c:pt idx="497">
                  <c:v>414.54</c:v>
                </c:pt>
                <c:pt idx="498">
                  <c:v>416.25</c:v>
                </c:pt>
                <c:pt idx="499">
                  <c:v>413.93</c:v>
                </c:pt>
                <c:pt idx="500">
                  <c:v>405.74</c:v>
                </c:pt>
                <c:pt idx="501">
                  <c:v>406.03</c:v>
                </c:pt>
                <c:pt idx="502">
                  <c:v>402.34</c:v>
                </c:pt>
                <c:pt idx="503">
                  <c:v>401.82</c:v>
                </c:pt>
                <c:pt idx="504">
                  <c:v>396.24</c:v>
                </c:pt>
                <c:pt idx="505">
                  <c:v>402.91</c:v>
                </c:pt>
                <c:pt idx="506">
                  <c:v>402.91</c:v>
                </c:pt>
                <c:pt idx="507">
                  <c:v>406.88</c:v>
                </c:pt>
                <c:pt idx="508">
                  <c:v>413.36</c:v>
                </c:pt>
                <c:pt idx="509">
                  <c:v>403.33</c:v>
                </c:pt>
                <c:pt idx="510">
                  <c:v>405.93</c:v>
                </c:pt>
                <c:pt idx="511">
                  <c:v>404.47</c:v>
                </c:pt>
                <c:pt idx="512">
                  <c:v>399.93</c:v>
                </c:pt>
                <c:pt idx="513">
                  <c:v>402.24</c:v>
                </c:pt>
                <c:pt idx="514">
                  <c:v>402.86</c:v>
                </c:pt>
                <c:pt idx="515">
                  <c:v>403.66</c:v>
                </c:pt>
                <c:pt idx="516">
                  <c:v>405.23</c:v>
                </c:pt>
                <c:pt idx="517">
                  <c:v>404.89</c:v>
                </c:pt>
                <c:pt idx="518">
                  <c:v>404.56</c:v>
                </c:pt>
                <c:pt idx="519">
                  <c:v>405.46</c:v>
                </c:pt>
                <c:pt idx="520">
                  <c:v>398.51</c:v>
                </c:pt>
                <c:pt idx="521">
                  <c:v>393.26</c:v>
                </c:pt>
                <c:pt idx="522">
                  <c:v>387.44</c:v>
                </c:pt>
                <c:pt idx="523">
                  <c:v>394.91</c:v>
                </c:pt>
                <c:pt idx="524">
                  <c:v>396.47</c:v>
                </c:pt>
                <c:pt idx="525">
                  <c:v>396.99</c:v>
                </c:pt>
                <c:pt idx="526">
                  <c:v>399.64</c:v>
                </c:pt>
                <c:pt idx="527">
                  <c:v>382.61</c:v>
                </c:pt>
                <c:pt idx="528">
                  <c:v>387.3</c:v>
                </c:pt>
                <c:pt idx="529">
                  <c:v>391.22</c:v>
                </c:pt>
                <c:pt idx="530">
                  <c:v>385.83</c:v>
                </c:pt>
                <c:pt idx="531">
                  <c:v>384.22</c:v>
                </c:pt>
                <c:pt idx="532">
                  <c:v>387.01</c:v>
                </c:pt>
                <c:pt idx="533">
                  <c:v>412.05</c:v>
                </c:pt>
                <c:pt idx="534">
                  <c:v>387.39</c:v>
                </c:pt>
                <c:pt idx="535">
                  <c:v>384.36</c:v>
                </c:pt>
                <c:pt idx="536">
                  <c:v>386.26</c:v>
                </c:pt>
                <c:pt idx="537">
                  <c:v>388.95</c:v>
                </c:pt>
                <c:pt idx="538">
                  <c:v>387.11</c:v>
                </c:pt>
                <c:pt idx="539">
                  <c:v>389.19</c:v>
                </c:pt>
                <c:pt idx="540">
                  <c:v>392.08</c:v>
                </c:pt>
                <c:pt idx="541">
                  <c:v>381.57</c:v>
                </c:pt>
                <c:pt idx="542">
                  <c:v>384.18</c:v>
                </c:pt>
                <c:pt idx="543">
                  <c:v>387.16</c:v>
                </c:pt>
                <c:pt idx="544">
                  <c:v>382.76</c:v>
                </c:pt>
                <c:pt idx="545">
                  <c:v>382.1</c:v>
                </c:pt>
                <c:pt idx="546">
                  <c:v>389.33</c:v>
                </c:pt>
                <c:pt idx="547">
                  <c:v>384.79</c:v>
                </c:pt>
                <c:pt idx="548">
                  <c:v>384.89</c:v>
                </c:pt>
                <c:pt idx="549">
                  <c:v>393.07</c:v>
                </c:pt>
                <c:pt idx="550">
                  <c:v>392.17</c:v>
                </c:pt>
                <c:pt idx="551">
                  <c:v>408.49</c:v>
                </c:pt>
                <c:pt idx="552">
                  <c:v>408.11</c:v>
                </c:pt>
                <c:pt idx="553">
                  <c:v>414.4</c:v>
                </c:pt>
                <c:pt idx="554">
                  <c:v>416.34</c:v>
                </c:pt>
                <c:pt idx="555">
                  <c:v>418.99</c:v>
                </c:pt>
                <c:pt idx="556">
                  <c:v>417.71</c:v>
                </c:pt>
                <c:pt idx="557">
                  <c:v>414.4</c:v>
                </c:pt>
                <c:pt idx="558">
                  <c:v>425.52</c:v>
                </c:pt>
                <c:pt idx="559">
                  <c:v>431.05</c:v>
                </c:pt>
                <c:pt idx="560">
                  <c:v>438.57</c:v>
                </c:pt>
                <c:pt idx="561">
                  <c:v>434.5</c:v>
                </c:pt>
                <c:pt idx="562">
                  <c:v>468.4</c:v>
                </c:pt>
                <c:pt idx="563">
                  <c:v>446.05</c:v>
                </c:pt>
                <c:pt idx="564">
                  <c:v>440.37</c:v>
                </c:pt>
                <c:pt idx="565">
                  <c:v>441.41</c:v>
                </c:pt>
                <c:pt idx="566">
                  <c:v>446.8</c:v>
                </c:pt>
                <c:pt idx="567">
                  <c:v>442.36</c:v>
                </c:pt>
                <c:pt idx="568">
                  <c:v>441.5</c:v>
                </c:pt>
                <c:pt idx="569">
                  <c:v>437.67</c:v>
                </c:pt>
                <c:pt idx="570">
                  <c:v>438.29</c:v>
                </c:pt>
                <c:pt idx="571">
                  <c:v>439.47</c:v>
                </c:pt>
                <c:pt idx="572">
                  <c:v>440.37</c:v>
                </c:pt>
                <c:pt idx="573">
                  <c:v>448.36</c:v>
                </c:pt>
                <c:pt idx="574">
                  <c:v>450.68</c:v>
                </c:pt>
                <c:pt idx="575">
                  <c:v>451.48</c:v>
                </c:pt>
                <c:pt idx="576">
                  <c:v>444.96</c:v>
                </c:pt>
                <c:pt idx="577">
                  <c:v>442.78</c:v>
                </c:pt>
                <c:pt idx="578">
                  <c:v>437.15</c:v>
                </c:pt>
                <c:pt idx="579">
                  <c:v>439.05</c:v>
                </c:pt>
                <c:pt idx="580">
                  <c:v>432.42</c:v>
                </c:pt>
                <c:pt idx="581">
                  <c:v>431.81</c:v>
                </c:pt>
                <c:pt idx="582">
                  <c:v>430.63</c:v>
                </c:pt>
                <c:pt idx="583">
                  <c:v>427.08</c:v>
                </c:pt>
                <c:pt idx="584">
                  <c:v>426.65</c:v>
                </c:pt>
                <c:pt idx="585">
                  <c:v>431.48</c:v>
                </c:pt>
                <c:pt idx="586">
                  <c:v>427.27</c:v>
                </c:pt>
                <c:pt idx="587">
                  <c:v>433.46</c:v>
                </c:pt>
                <c:pt idx="588">
                  <c:v>435.26</c:v>
                </c:pt>
                <c:pt idx="589">
                  <c:v>431.05</c:v>
                </c:pt>
                <c:pt idx="590">
                  <c:v>428.64</c:v>
                </c:pt>
                <c:pt idx="591">
                  <c:v>428.02</c:v>
                </c:pt>
                <c:pt idx="592">
                  <c:v>424.9</c:v>
                </c:pt>
                <c:pt idx="593">
                  <c:v>433.37</c:v>
                </c:pt>
                <c:pt idx="594">
                  <c:v>438.24</c:v>
                </c:pt>
                <c:pt idx="595">
                  <c:v>427.36</c:v>
                </c:pt>
                <c:pt idx="596">
                  <c:v>429.54</c:v>
                </c:pt>
                <c:pt idx="597">
                  <c:v>425.52</c:v>
                </c:pt>
                <c:pt idx="598">
                  <c:v>412.27</c:v>
                </c:pt>
                <c:pt idx="599">
                  <c:v>413.6</c:v>
                </c:pt>
                <c:pt idx="600">
                  <c:v>411.75</c:v>
                </c:pt>
                <c:pt idx="601">
                  <c:v>414.16</c:v>
                </c:pt>
                <c:pt idx="602">
                  <c:v>416.58</c:v>
                </c:pt>
                <c:pt idx="603">
                  <c:v>415.96</c:v>
                </c:pt>
                <c:pt idx="604">
                  <c:v>412.7</c:v>
                </c:pt>
                <c:pt idx="605">
                  <c:v>413.22</c:v>
                </c:pt>
                <c:pt idx="606">
                  <c:v>415.54</c:v>
                </c:pt>
                <c:pt idx="607">
                  <c:v>414.97</c:v>
                </c:pt>
                <c:pt idx="608">
                  <c:v>418.09</c:v>
                </c:pt>
                <c:pt idx="609">
                  <c:v>412.46</c:v>
                </c:pt>
                <c:pt idx="610">
                  <c:v>438.45</c:v>
                </c:pt>
                <c:pt idx="611">
                  <c:v>412.98</c:v>
                </c:pt>
                <c:pt idx="612">
                  <c:v>410.95</c:v>
                </c:pt>
                <c:pt idx="613">
                  <c:v>413.36</c:v>
                </c:pt>
                <c:pt idx="614">
                  <c:v>409.34</c:v>
                </c:pt>
                <c:pt idx="615">
                  <c:v>411.85</c:v>
                </c:pt>
                <c:pt idx="616">
                  <c:v>409.86</c:v>
                </c:pt>
                <c:pt idx="617">
                  <c:v>407.87</c:v>
                </c:pt>
                <c:pt idx="618">
                  <c:v>404.99</c:v>
                </c:pt>
                <c:pt idx="619">
                  <c:v>405.27</c:v>
                </c:pt>
                <c:pt idx="620">
                  <c:v>407.21</c:v>
                </c:pt>
                <c:pt idx="621">
                  <c:v>410.33</c:v>
                </c:pt>
                <c:pt idx="622">
                  <c:v>410.9</c:v>
                </c:pt>
                <c:pt idx="623">
                  <c:v>409.34</c:v>
                </c:pt>
                <c:pt idx="624">
                  <c:v>412.37</c:v>
                </c:pt>
                <c:pt idx="625">
                  <c:v>414.64</c:v>
                </c:pt>
                <c:pt idx="626">
                  <c:v>426.08</c:v>
                </c:pt>
                <c:pt idx="627">
                  <c:v>427.27</c:v>
                </c:pt>
                <c:pt idx="628">
                  <c:v>428.97</c:v>
                </c:pt>
                <c:pt idx="629">
                  <c:v>424.71</c:v>
                </c:pt>
                <c:pt idx="630">
                  <c:v>424.14</c:v>
                </c:pt>
                <c:pt idx="631">
                  <c:v>426.37</c:v>
                </c:pt>
                <c:pt idx="632">
                  <c:v>424.05</c:v>
                </c:pt>
                <c:pt idx="633">
                  <c:v>420.41</c:v>
                </c:pt>
                <c:pt idx="634">
                  <c:v>416.67</c:v>
                </c:pt>
                <c:pt idx="635">
                  <c:v>418.28</c:v>
                </c:pt>
                <c:pt idx="636">
                  <c:v>412.51</c:v>
                </c:pt>
                <c:pt idx="637">
                  <c:v>412.56</c:v>
                </c:pt>
                <c:pt idx="638">
                  <c:v>416.01</c:v>
                </c:pt>
                <c:pt idx="639">
                  <c:v>420.41</c:v>
                </c:pt>
                <c:pt idx="640">
                  <c:v>416.95</c:v>
                </c:pt>
                <c:pt idx="641">
                  <c:v>424.9</c:v>
                </c:pt>
                <c:pt idx="642">
                  <c:v>418.56</c:v>
                </c:pt>
                <c:pt idx="643">
                  <c:v>418.7</c:v>
                </c:pt>
                <c:pt idx="644">
                  <c:v>419.18</c:v>
                </c:pt>
                <c:pt idx="645">
                  <c:v>423.34</c:v>
                </c:pt>
                <c:pt idx="646">
                  <c:v>428.5</c:v>
                </c:pt>
                <c:pt idx="647">
                  <c:v>427.64</c:v>
                </c:pt>
                <c:pt idx="648">
                  <c:v>424.14</c:v>
                </c:pt>
                <c:pt idx="649">
                  <c:v>425.66</c:v>
                </c:pt>
                <c:pt idx="650">
                  <c:v>429.02</c:v>
                </c:pt>
                <c:pt idx="651">
                  <c:v>426.79</c:v>
                </c:pt>
                <c:pt idx="652">
                  <c:v>423.06</c:v>
                </c:pt>
                <c:pt idx="653">
                  <c:v>418.75</c:v>
                </c:pt>
                <c:pt idx="654">
                  <c:v>421.83</c:v>
                </c:pt>
                <c:pt idx="655">
                  <c:v>423.29</c:v>
                </c:pt>
                <c:pt idx="656">
                  <c:v>419.18</c:v>
                </c:pt>
                <c:pt idx="657">
                  <c:v>413.88</c:v>
                </c:pt>
                <c:pt idx="658">
                  <c:v>417.24</c:v>
                </c:pt>
                <c:pt idx="659">
                  <c:v>415.96</c:v>
                </c:pt>
                <c:pt idx="660">
                  <c:v>418.89</c:v>
                </c:pt>
                <c:pt idx="661">
                  <c:v>416.34</c:v>
                </c:pt>
                <c:pt idx="662">
                  <c:v>417.57</c:v>
                </c:pt>
                <c:pt idx="663">
                  <c:v>419.42</c:v>
                </c:pt>
                <c:pt idx="664">
                  <c:v>426.56</c:v>
                </c:pt>
                <c:pt idx="665">
                  <c:v>426.13</c:v>
                </c:pt>
                <c:pt idx="666">
                  <c:v>429.73</c:v>
                </c:pt>
                <c:pt idx="667">
                  <c:v>423.63</c:v>
                </c:pt>
                <c:pt idx="668">
                  <c:v>417.81</c:v>
                </c:pt>
                <c:pt idx="669">
                  <c:v>417.19</c:v>
                </c:pt>
                <c:pt idx="670">
                  <c:v>425.94</c:v>
                </c:pt>
                <c:pt idx="671">
                  <c:v>424.95</c:v>
                </c:pt>
                <c:pt idx="672">
                  <c:v>424.52</c:v>
                </c:pt>
                <c:pt idx="673">
                  <c:v>427.36</c:v>
                </c:pt>
                <c:pt idx="674">
                  <c:v>433.89</c:v>
                </c:pt>
                <c:pt idx="675">
                  <c:v>427.93</c:v>
                </c:pt>
                <c:pt idx="676">
                  <c:v>430.34</c:v>
                </c:pt>
                <c:pt idx="677">
                  <c:v>430.39</c:v>
                </c:pt>
                <c:pt idx="678">
                  <c:v>431.43</c:v>
                </c:pt>
                <c:pt idx="679">
                  <c:v>435.26</c:v>
                </c:pt>
                <c:pt idx="680">
                  <c:v>439.71</c:v>
                </c:pt>
                <c:pt idx="681">
                  <c:v>440.56</c:v>
                </c:pt>
                <c:pt idx="682">
                  <c:v>443.16</c:v>
                </c:pt>
                <c:pt idx="683">
                  <c:v>439.94</c:v>
                </c:pt>
                <c:pt idx="684">
                  <c:v>446.76</c:v>
                </c:pt>
                <c:pt idx="685">
                  <c:v>437.34</c:v>
                </c:pt>
                <c:pt idx="686">
                  <c:v>445.9</c:v>
                </c:pt>
                <c:pt idx="687">
                  <c:v>463.97</c:v>
                </c:pt>
                <c:pt idx="688">
                  <c:v>465.58</c:v>
                </c:pt>
                <c:pt idx="689">
                  <c:v>453</c:v>
                </c:pt>
                <c:pt idx="690">
                  <c:v>446.99</c:v>
                </c:pt>
                <c:pt idx="691">
                  <c:v>446.85</c:v>
                </c:pt>
                <c:pt idx="692">
                  <c:v>447.37</c:v>
                </c:pt>
                <c:pt idx="693">
                  <c:v>446.52</c:v>
                </c:pt>
                <c:pt idx="694">
                  <c:v>446.8</c:v>
                </c:pt>
                <c:pt idx="695">
                  <c:v>447.61</c:v>
                </c:pt>
                <c:pt idx="696">
                  <c:v>440.7</c:v>
                </c:pt>
                <c:pt idx="697">
                  <c:v>443.11</c:v>
                </c:pt>
                <c:pt idx="698">
                  <c:v>448.32</c:v>
                </c:pt>
                <c:pt idx="699">
                  <c:v>449.45</c:v>
                </c:pt>
                <c:pt idx="700">
                  <c:v>441.17</c:v>
                </c:pt>
                <c:pt idx="701">
                  <c:v>438.24</c:v>
                </c:pt>
                <c:pt idx="702">
                  <c:v>427.22</c:v>
                </c:pt>
                <c:pt idx="703">
                  <c:v>425.09</c:v>
                </c:pt>
                <c:pt idx="704">
                  <c:v>421.07</c:v>
                </c:pt>
                <c:pt idx="705">
                  <c:v>421.64</c:v>
                </c:pt>
                <c:pt idx="706">
                  <c:v>420.74</c:v>
                </c:pt>
                <c:pt idx="707">
                  <c:v>423.48</c:v>
                </c:pt>
                <c:pt idx="708">
                  <c:v>422.92</c:v>
                </c:pt>
                <c:pt idx="709">
                  <c:v>428.4</c:v>
                </c:pt>
                <c:pt idx="710">
                  <c:v>429.11</c:v>
                </c:pt>
                <c:pt idx="711">
                  <c:v>428.64</c:v>
                </c:pt>
                <c:pt idx="712">
                  <c:v>423.91</c:v>
                </c:pt>
                <c:pt idx="713">
                  <c:v>420.5</c:v>
                </c:pt>
                <c:pt idx="714">
                  <c:v>421.35</c:v>
                </c:pt>
                <c:pt idx="715">
                  <c:v>413.36</c:v>
                </c:pt>
                <c:pt idx="716">
                  <c:v>414.78</c:v>
                </c:pt>
                <c:pt idx="717">
                  <c:v>418.99</c:v>
                </c:pt>
                <c:pt idx="718">
                  <c:v>419.98</c:v>
                </c:pt>
                <c:pt idx="719">
                  <c:v>418.89</c:v>
                </c:pt>
                <c:pt idx="720">
                  <c:v>416.86</c:v>
                </c:pt>
                <c:pt idx="721">
                  <c:v>419.46</c:v>
                </c:pt>
                <c:pt idx="722">
                  <c:v>415.96</c:v>
                </c:pt>
                <c:pt idx="723">
                  <c:v>421.45</c:v>
                </c:pt>
                <c:pt idx="724">
                  <c:v>425.61</c:v>
                </c:pt>
                <c:pt idx="725">
                  <c:v>422.25</c:v>
                </c:pt>
                <c:pt idx="726">
                  <c:v>417.08</c:v>
                </c:pt>
                <c:pt idx="727">
                  <c:v>414.78</c:v>
                </c:pt>
                <c:pt idx="728">
                  <c:v>407.59</c:v>
                </c:pt>
                <c:pt idx="729">
                  <c:v>403.5</c:v>
                </c:pt>
                <c:pt idx="730">
                  <c:v>399.36</c:v>
                </c:pt>
                <c:pt idx="731">
                  <c:v>394.75</c:v>
                </c:pt>
                <c:pt idx="732">
                  <c:v>394.61</c:v>
                </c:pt>
                <c:pt idx="733">
                  <c:v>402.04</c:v>
                </c:pt>
                <c:pt idx="734">
                  <c:v>398.61</c:v>
                </c:pt>
                <c:pt idx="735">
                  <c:v>402.23</c:v>
                </c:pt>
                <c:pt idx="736">
                  <c:v>395.32</c:v>
                </c:pt>
                <c:pt idx="737">
                  <c:v>395.27</c:v>
                </c:pt>
                <c:pt idx="738">
                  <c:v>399.92</c:v>
                </c:pt>
                <c:pt idx="739">
                  <c:v>398.46</c:v>
                </c:pt>
                <c:pt idx="740">
                  <c:v>405.66</c:v>
                </c:pt>
                <c:pt idx="741">
                  <c:v>403.12</c:v>
                </c:pt>
                <c:pt idx="742">
                  <c:v>399.22</c:v>
                </c:pt>
                <c:pt idx="743">
                  <c:v>401.61</c:v>
                </c:pt>
                <c:pt idx="744">
                  <c:v>399.08</c:v>
                </c:pt>
                <c:pt idx="745">
                  <c:v>400.11</c:v>
                </c:pt>
                <c:pt idx="746">
                  <c:v>391.13</c:v>
                </c:pt>
                <c:pt idx="747">
                  <c:v>387.61</c:v>
                </c:pt>
                <c:pt idx="748">
                  <c:v>386.95</c:v>
                </c:pt>
                <c:pt idx="749">
                  <c:v>384.27</c:v>
                </c:pt>
                <c:pt idx="750">
                  <c:v>383.85</c:v>
                </c:pt>
                <c:pt idx="751">
                  <c:v>376.37</c:v>
                </c:pt>
                <c:pt idx="752">
                  <c:v>374.91</c:v>
                </c:pt>
                <c:pt idx="753">
                  <c:v>374.68</c:v>
                </c:pt>
                <c:pt idx="754">
                  <c:v>376.23</c:v>
                </c:pt>
                <c:pt idx="755">
                  <c:v>371.95</c:v>
                </c:pt>
                <c:pt idx="756">
                  <c:v>370.02</c:v>
                </c:pt>
                <c:pt idx="757">
                  <c:v>372.33</c:v>
                </c:pt>
                <c:pt idx="758">
                  <c:v>365.32</c:v>
                </c:pt>
                <c:pt idx="759">
                  <c:v>364.19</c:v>
                </c:pt>
                <c:pt idx="760">
                  <c:v>363.3</c:v>
                </c:pt>
                <c:pt idx="761">
                  <c:v>356.25</c:v>
                </c:pt>
                <c:pt idx="762">
                  <c:v>360.58</c:v>
                </c:pt>
                <c:pt idx="763">
                  <c:v>359.87</c:v>
                </c:pt>
                <c:pt idx="764">
                  <c:v>357.05</c:v>
                </c:pt>
                <c:pt idx="765">
                  <c:v>357.47</c:v>
                </c:pt>
                <c:pt idx="766">
                  <c:v>356.06</c:v>
                </c:pt>
                <c:pt idx="767">
                  <c:v>357.89</c:v>
                </c:pt>
                <c:pt idx="768">
                  <c:v>355.17</c:v>
                </c:pt>
                <c:pt idx="769">
                  <c:v>354.42</c:v>
                </c:pt>
                <c:pt idx="770">
                  <c:v>356.16</c:v>
                </c:pt>
                <c:pt idx="771">
                  <c:v>353.1</c:v>
                </c:pt>
                <c:pt idx="772">
                  <c:v>358.65</c:v>
                </c:pt>
                <c:pt idx="773">
                  <c:v>356.72</c:v>
                </c:pt>
                <c:pt idx="774">
                  <c:v>357</c:v>
                </c:pt>
                <c:pt idx="775">
                  <c:v>360.72</c:v>
                </c:pt>
                <c:pt idx="776">
                  <c:v>364.81</c:v>
                </c:pt>
                <c:pt idx="777">
                  <c:v>364.33</c:v>
                </c:pt>
                <c:pt idx="778">
                  <c:v>368.94</c:v>
                </c:pt>
                <c:pt idx="779">
                  <c:v>364.95</c:v>
                </c:pt>
                <c:pt idx="780">
                  <c:v>361.94</c:v>
                </c:pt>
                <c:pt idx="781">
                  <c:v>353.1</c:v>
                </c:pt>
                <c:pt idx="782">
                  <c:v>356.06</c:v>
                </c:pt>
                <c:pt idx="783">
                  <c:v>354.18</c:v>
                </c:pt>
                <c:pt idx="784">
                  <c:v>359.35</c:v>
                </c:pt>
                <c:pt idx="785">
                  <c:v>362.08</c:v>
                </c:pt>
                <c:pt idx="786">
                  <c:v>364.43</c:v>
                </c:pt>
                <c:pt idx="787">
                  <c:v>360.9</c:v>
                </c:pt>
                <c:pt idx="788">
                  <c:v>359.4</c:v>
                </c:pt>
                <c:pt idx="789">
                  <c:v>361.09</c:v>
                </c:pt>
                <c:pt idx="790">
                  <c:v>360.48</c:v>
                </c:pt>
                <c:pt idx="791">
                  <c:v>359.68</c:v>
                </c:pt>
                <c:pt idx="792">
                  <c:v>359.35</c:v>
                </c:pt>
                <c:pt idx="793">
                  <c:v>363.35</c:v>
                </c:pt>
                <c:pt idx="794">
                  <c:v>351.83</c:v>
                </c:pt>
                <c:pt idx="795">
                  <c:v>349.15</c:v>
                </c:pt>
                <c:pt idx="796">
                  <c:v>351.88</c:v>
                </c:pt>
                <c:pt idx="797">
                  <c:v>353.1</c:v>
                </c:pt>
                <c:pt idx="798">
                  <c:v>350.94</c:v>
                </c:pt>
                <c:pt idx="799">
                  <c:v>360.48</c:v>
                </c:pt>
                <c:pt idx="800">
                  <c:v>357.89</c:v>
                </c:pt>
                <c:pt idx="801">
                  <c:v>355.97</c:v>
                </c:pt>
                <c:pt idx="802">
                  <c:v>339.8</c:v>
                </c:pt>
                <c:pt idx="803">
                  <c:v>331.29</c:v>
                </c:pt>
                <c:pt idx="804">
                  <c:v>324.19</c:v>
                </c:pt>
                <c:pt idx="805">
                  <c:v>325.32</c:v>
                </c:pt>
                <c:pt idx="806">
                  <c:v>318.97000000000003</c:v>
                </c:pt>
                <c:pt idx="807">
                  <c:v>318.69</c:v>
                </c:pt>
                <c:pt idx="808">
                  <c:v>317.56</c:v>
                </c:pt>
                <c:pt idx="809">
                  <c:v>314.60000000000002</c:v>
                </c:pt>
                <c:pt idx="810">
                  <c:v>312.29000000000002</c:v>
                </c:pt>
                <c:pt idx="811">
                  <c:v>314.64</c:v>
                </c:pt>
                <c:pt idx="812">
                  <c:v>312.39</c:v>
                </c:pt>
                <c:pt idx="813">
                  <c:v>310.45999999999998</c:v>
                </c:pt>
                <c:pt idx="814">
                  <c:v>309.10000000000002</c:v>
                </c:pt>
                <c:pt idx="815">
                  <c:v>310.13</c:v>
                </c:pt>
                <c:pt idx="816">
                  <c:v>311.95999999999998</c:v>
                </c:pt>
                <c:pt idx="817">
                  <c:v>313.47000000000003</c:v>
                </c:pt>
                <c:pt idx="818">
                  <c:v>317.83999999999997</c:v>
                </c:pt>
                <c:pt idx="819">
                  <c:v>315.02</c:v>
                </c:pt>
                <c:pt idx="820">
                  <c:v>313.52</c:v>
                </c:pt>
                <c:pt idx="821">
                  <c:v>307.45</c:v>
                </c:pt>
                <c:pt idx="822">
                  <c:v>311.31</c:v>
                </c:pt>
                <c:pt idx="823">
                  <c:v>312.95</c:v>
                </c:pt>
                <c:pt idx="824">
                  <c:v>311.73</c:v>
                </c:pt>
                <c:pt idx="825">
                  <c:v>315.3</c:v>
                </c:pt>
                <c:pt idx="826">
                  <c:v>314.41000000000003</c:v>
                </c:pt>
                <c:pt idx="827">
                  <c:v>313.23</c:v>
                </c:pt>
                <c:pt idx="828">
                  <c:v>314.60000000000002</c:v>
                </c:pt>
                <c:pt idx="829">
                  <c:v>307.17</c:v>
                </c:pt>
                <c:pt idx="830">
                  <c:v>312.58</c:v>
                </c:pt>
                <c:pt idx="831">
                  <c:v>315.11</c:v>
                </c:pt>
                <c:pt idx="832">
                  <c:v>319.82</c:v>
                </c:pt>
                <c:pt idx="833">
                  <c:v>320.14</c:v>
                </c:pt>
                <c:pt idx="834">
                  <c:v>333.05</c:v>
                </c:pt>
                <c:pt idx="835">
                  <c:v>336.77</c:v>
                </c:pt>
                <c:pt idx="836">
                  <c:v>343.29</c:v>
                </c:pt>
                <c:pt idx="837">
                  <c:v>343.48</c:v>
                </c:pt>
                <c:pt idx="838">
                  <c:v>341.1</c:v>
                </c:pt>
                <c:pt idx="839">
                  <c:v>339.31</c:v>
                </c:pt>
                <c:pt idx="840">
                  <c:v>336.33</c:v>
                </c:pt>
                <c:pt idx="841">
                  <c:v>338.02</c:v>
                </c:pt>
                <c:pt idx="842">
                  <c:v>335.23</c:v>
                </c:pt>
                <c:pt idx="843">
                  <c:v>334.69</c:v>
                </c:pt>
                <c:pt idx="844">
                  <c:v>335.09</c:v>
                </c:pt>
                <c:pt idx="845">
                  <c:v>337.47</c:v>
                </c:pt>
                <c:pt idx="846">
                  <c:v>337.92</c:v>
                </c:pt>
                <c:pt idx="847">
                  <c:v>340.2</c:v>
                </c:pt>
                <c:pt idx="848">
                  <c:v>337.97</c:v>
                </c:pt>
                <c:pt idx="849">
                  <c:v>338.22</c:v>
                </c:pt>
                <c:pt idx="850">
                  <c:v>338.66</c:v>
                </c:pt>
                <c:pt idx="851">
                  <c:v>337.72</c:v>
                </c:pt>
                <c:pt idx="852">
                  <c:v>338.17</c:v>
                </c:pt>
                <c:pt idx="853">
                  <c:v>335.14</c:v>
                </c:pt>
                <c:pt idx="854">
                  <c:v>338.96</c:v>
                </c:pt>
                <c:pt idx="855">
                  <c:v>341.6</c:v>
                </c:pt>
                <c:pt idx="856">
                  <c:v>341.99</c:v>
                </c:pt>
                <c:pt idx="857">
                  <c:v>343.14</c:v>
                </c:pt>
                <c:pt idx="858">
                  <c:v>345.07</c:v>
                </c:pt>
                <c:pt idx="859">
                  <c:v>354.17</c:v>
                </c:pt>
                <c:pt idx="860">
                  <c:v>353.82</c:v>
                </c:pt>
                <c:pt idx="861">
                  <c:v>358.49</c:v>
                </c:pt>
                <c:pt idx="862">
                  <c:v>351.34</c:v>
                </c:pt>
                <c:pt idx="863">
                  <c:v>351.43</c:v>
                </c:pt>
                <c:pt idx="864">
                  <c:v>351.53</c:v>
                </c:pt>
                <c:pt idx="865">
                  <c:v>352.48</c:v>
                </c:pt>
                <c:pt idx="866">
                  <c:v>347.36</c:v>
                </c:pt>
                <c:pt idx="867">
                  <c:v>346.57</c:v>
                </c:pt>
                <c:pt idx="868">
                  <c:v>343.68</c:v>
                </c:pt>
                <c:pt idx="869">
                  <c:v>343.68</c:v>
                </c:pt>
                <c:pt idx="870">
                  <c:v>344.18</c:v>
                </c:pt>
                <c:pt idx="871">
                  <c:v>345.57</c:v>
                </c:pt>
                <c:pt idx="872">
                  <c:v>343.48</c:v>
                </c:pt>
                <c:pt idx="873">
                  <c:v>347.56</c:v>
                </c:pt>
                <c:pt idx="874">
                  <c:v>344.23</c:v>
                </c:pt>
                <c:pt idx="875">
                  <c:v>338.22</c:v>
                </c:pt>
                <c:pt idx="876">
                  <c:v>330.22</c:v>
                </c:pt>
                <c:pt idx="877">
                  <c:v>330.07</c:v>
                </c:pt>
                <c:pt idx="878">
                  <c:v>326.64</c:v>
                </c:pt>
                <c:pt idx="879">
                  <c:v>328.08</c:v>
                </c:pt>
                <c:pt idx="880">
                  <c:v>324.3</c:v>
                </c:pt>
                <c:pt idx="881">
                  <c:v>325.83999999999997</c:v>
                </c:pt>
                <c:pt idx="882">
                  <c:v>332.05</c:v>
                </c:pt>
                <c:pt idx="883">
                  <c:v>334.59</c:v>
                </c:pt>
                <c:pt idx="884">
                  <c:v>330.81</c:v>
                </c:pt>
                <c:pt idx="885">
                  <c:v>322.41000000000003</c:v>
                </c:pt>
                <c:pt idx="886">
                  <c:v>330.17</c:v>
                </c:pt>
                <c:pt idx="887">
                  <c:v>331.01</c:v>
                </c:pt>
                <c:pt idx="888">
                  <c:v>322.95999999999998</c:v>
                </c:pt>
                <c:pt idx="889">
                  <c:v>332.8</c:v>
                </c:pt>
                <c:pt idx="890">
                  <c:v>330.56</c:v>
                </c:pt>
                <c:pt idx="891">
                  <c:v>344.28</c:v>
                </c:pt>
                <c:pt idx="892">
                  <c:v>342.94</c:v>
                </c:pt>
                <c:pt idx="893">
                  <c:v>338.86</c:v>
                </c:pt>
                <c:pt idx="894">
                  <c:v>333.94</c:v>
                </c:pt>
                <c:pt idx="895">
                  <c:v>333.55</c:v>
                </c:pt>
                <c:pt idx="896">
                  <c:v>329.27</c:v>
                </c:pt>
                <c:pt idx="897">
                  <c:v>332.05</c:v>
                </c:pt>
                <c:pt idx="898">
                  <c:v>333.3</c:v>
                </c:pt>
                <c:pt idx="899">
                  <c:v>332.35</c:v>
                </c:pt>
                <c:pt idx="900">
                  <c:v>328.87</c:v>
                </c:pt>
                <c:pt idx="901">
                  <c:v>328.48</c:v>
                </c:pt>
                <c:pt idx="902">
                  <c:v>327.88</c:v>
                </c:pt>
                <c:pt idx="903">
                  <c:v>324.10000000000002</c:v>
                </c:pt>
                <c:pt idx="904">
                  <c:v>325.14999999999998</c:v>
                </c:pt>
                <c:pt idx="905">
                  <c:v>326.83999999999997</c:v>
                </c:pt>
                <c:pt idx="906">
                  <c:v>321.17</c:v>
                </c:pt>
                <c:pt idx="907">
                  <c:v>315.64999999999998</c:v>
                </c:pt>
                <c:pt idx="908">
                  <c:v>318.54000000000002</c:v>
                </c:pt>
                <c:pt idx="909">
                  <c:v>311.63</c:v>
                </c:pt>
                <c:pt idx="910">
                  <c:v>310.98</c:v>
                </c:pt>
                <c:pt idx="911">
                  <c:v>310.44</c:v>
                </c:pt>
                <c:pt idx="912">
                  <c:v>312.18</c:v>
                </c:pt>
                <c:pt idx="913">
                  <c:v>313.97000000000003</c:v>
                </c:pt>
                <c:pt idx="914">
                  <c:v>312.48</c:v>
                </c:pt>
                <c:pt idx="915">
                  <c:v>310.08999999999997</c:v>
                </c:pt>
                <c:pt idx="916">
                  <c:v>313.72000000000003</c:v>
                </c:pt>
                <c:pt idx="917">
                  <c:v>310.64</c:v>
                </c:pt>
                <c:pt idx="918">
                  <c:v>308.64999999999998</c:v>
                </c:pt>
                <c:pt idx="919">
                  <c:v>306.66000000000003</c:v>
                </c:pt>
                <c:pt idx="920">
                  <c:v>304.38</c:v>
                </c:pt>
                <c:pt idx="921">
                  <c:v>309.3</c:v>
                </c:pt>
                <c:pt idx="922">
                  <c:v>311.23</c:v>
                </c:pt>
                <c:pt idx="923">
                  <c:v>308.95</c:v>
                </c:pt>
                <c:pt idx="924">
                  <c:v>307.61</c:v>
                </c:pt>
                <c:pt idx="925">
                  <c:v>306.26</c:v>
                </c:pt>
                <c:pt idx="926">
                  <c:v>308.05</c:v>
                </c:pt>
                <c:pt idx="927">
                  <c:v>305.62</c:v>
                </c:pt>
                <c:pt idx="928">
                  <c:v>301.19</c:v>
                </c:pt>
                <c:pt idx="929">
                  <c:v>301.58999999999997</c:v>
                </c:pt>
                <c:pt idx="930">
                  <c:v>302.29000000000002</c:v>
                </c:pt>
                <c:pt idx="931">
                  <c:v>300.60000000000002</c:v>
                </c:pt>
                <c:pt idx="932">
                  <c:v>299.26</c:v>
                </c:pt>
                <c:pt idx="933">
                  <c:v>298.70999999999998</c:v>
                </c:pt>
                <c:pt idx="934">
                  <c:v>297.72000000000003</c:v>
                </c:pt>
                <c:pt idx="935">
                  <c:v>296.37</c:v>
                </c:pt>
                <c:pt idx="936">
                  <c:v>292.8</c:v>
                </c:pt>
                <c:pt idx="937">
                  <c:v>293.49</c:v>
                </c:pt>
                <c:pt idx="938">
                  <c:v>291.75</c:v>
                </c:pt>
                <c:pt idx="939">
                  <c:v>289.07</c:v>
                </c:pt>
                <c:pt idx="940">
                  <c:v>292.25</c:v>
                </c:pt>
                <c:pt idx="941">
                  <c:v>290.91000000000003</c:v>
                </c:pt>
                <c:pt idx="942">
                  <c:v>293.19</c:v>
                </c:pt>
                <c:pt idx="943">
                  <c:v>291.26</c:v>
                </c:pt>
                <c:pt idx="944">
                  <c:v>290.16000000000003</c:v>
                </c:pt>
                <c:pt idx="945">
                  <c:v>287.52999999999997</c:v>
                </c:pt>
                <c:pt idx="946">
                  <c:v>285.14</c:v>
                </c:pt>
                <c:pt idx="947">
                  <c:v>290.11</c:v>
                </c:pt>
                <c:pt idx="948">
                  <c:v>282.61</c:v>
                </c:pt>
                <c:pt idx="949">
                  <c:v>271.83</c:v>
                </c:pt>
                <c:pt idx="950">
                  <c:v>272.37</c:v>
                </c:pt>
                <c:pt idx="951">
                  <c:v>270.18</c:v>
                </c:pt>
                <c:pt idx="952">
                  <c:v>268.3</c:v>
                </c:pt>
                <c:pt idx="953">
                  <c:v>264.22000000000003</c:v>
                </c:pt>
                <c:pt idx="954">
                  <c:v>263.87</c:v>
                </c:pt>
                <c:pt idx="955">
                  <c:v>263.68</c:v>
                </c:pt>
                <c:pt idx="956">
                  <c:v>268.25</c:v>
                </c:pt>
                <c:pt idx="957">
                  <c:v>262.48</c:v>
                </c:pt>
                <c:pt idx="958">
                  <c:v>261.69</c:v>
                </c:pt>
                <c:pt idx="959">
                  <c:v>259.10000000000002</c:v>
                </c:pt>
                <c:pt idx="960">
                  <c:v>261.79000000000002</c:v>
                </c:pt>
                <c:pt idx="961">
                  <c:v>263.83</c:v>
                </c:pt>
                <c:pt idx="962">
                  <c:v>263.02999999999997</c:v>
                </c:pt>
                <c:pt idx="963">
                  <c:v>268.5</c:v>
                </c:pt>
                <c:pt idx="964">
                  <c:v>269.19</c:v>
                </c:pt>
                <c:pt idx="965">
                  <c:v>266.26</c:v>
                </c:pt>
                <c:pt idx="966">
                  <c:v>272.22000000000003</c:v>
                </c:pt>
                <c:pt idx="967">
                  <c:v>273.12</c:v>
                </c:pt>
                <c:pt idx="968">
                  <c:v>271.02999999999997</c:v>
                </c:pt>
                <c:pt idx="969">
                  <c:v>271.83</c:v>
                </c:pt>
                <c:pt idx="970">
                  <c:v>270.18</c:v>
                </c:pt>
                <c:pt idx="971">
                  <c:v>268.99</c:v>
                </c:pt>
                <c:pt idx="972">
                  <c:v>267.39999999999998</c:v>
                </c:pt>
                <c:pt idx="973">
                  <c:v>267.55</c:v>
                </c:pt>
                <c:pt idx="974">
                  <c:v>265.07</c:v>
                </c:pt>
                <c:pt idx="975">
                  <c:v>271.02999999999997</c:v>
                </c:pt>
                <c:pt idx="976">
                  <c:v>269.19</c:v>
                </c:pt>
                <c:pt idx="977">
                  <c:v>272.82</c:v>
                </c:pt>
                <c:pt idx="978">
                  <c:v>278.29000000000002</c:v>
                </c:pt>
                <c:pt idx="979">
                  <c:v>273.95999999999998</c:v>
                </c:pt>
                <c:pt idx="980">
                  <c:v>266.8</c:v>
                </c:pt>
                <c:pt idx="981">
                  <c:v>264.7</c:v>
                </c:pt>
                <c:pt idx="982">
                  <c:v>254.1</c:v>
                </c:pt>
                <c:pt idx="983">
                  <c:v>258.60000000000002</c:v>
                </c:pt>
                <c:pt idx="984">
                  <c:v>251.35</c:v>
                </c:pt>
                <c:pt idx="985">
                  <c:v>254.09</c:v>
                </c:pt>
                <c:pt idx="986">
                  <c:v>259.75</c:v>
                </c:pt>
                <c:pt idx="987">
                  <c:v>261.33999999999997</c:v>
                </c:pt>
                <c:pt idx="988">
                  <c:v>266.64999999999998</c:v>
                </c:pt>
                <c:pt idx="989">
                  <c:v>262.05</c:v>
                </c:pt>
                <c:pt idx="990">
                  <c:v>259.75</c:v>
                </c:pt>
                <c:pt idx="991">
                  <c:v>263.14999999999998</c:v>
                </c:pt>
                <c:pt idx="992">
                  <c:v>259.55</c:v>
                </c:pt>
                <c:pt idx="993">
                  <c:v>261.10000000000002</c:v>
                </c:pt>
                <c:pt idx="994">
                  <c:v>257.5</c:v>
                </c:pt>
                <c:pt idx="995">
                  <c:v>258.95</c:v>
                </c:pt>
                <c:pt idx="996">
                  <c:v>255.25</c:v>
                </c:pt>
                <c:pt idx="997">
                  <c:v>261.10000000000002</c:v>
                </c:pt>
                <c:pt idx="998">
                  <c:v>260.39999999999998</c:v>
                </c:pt>
                <c:pt idx="999">
                  <c:v>259.55</c:v>
                </c:pt>
                <c:pt idx="1000">
                  <c:v>261.55</c:v>
                </c:pt>
                <c:pt idx="1001">
                  <c:v>268.45</c:v>
                </c:pt>
                <c:pt idx="1002">
                  <c:v>269.55</c:v>
                </c:pt>
                <c:pt idx="1003">
                  <c:v>263.18</c:v>
                </c:pt>
                <c:pt idx="1004">
                  <c:v>267.5</c:v>
                </c:pt>
                <c:pt idx="1005">
                  <c:v>266.16000000000003</c:v>
                </c:pt>
                <c:pt idx="1006">
                  <c:v>256.64999999999998</c:v>
                </c:pt>
                <c:pt idx="1007">
                  <c:v>259.60000000000002</c:v>
                </c:pt>
                <c:pt idx="1008">
                  <c:v>259.45</c:v>
                </c:pt>
                <c:pt idx="1009">
                  <c:v>255.45</c:v>
                </c:pt>
                <c:pt idx="1010">
                  <c:v>253.3</c:v>
                </c:pt>
                <c:pt idx="1011">
                  <c:v>250.65</c:v>
                </c:pt>
                <c:pt idx="1012">
                  <c:v>249.2</c:v>
                </c:pt>
                <c:pt idx="1013">
                  <c:v>254.6</c:v>
                </c:pt>
                <c:pt idx="1014">
                  <c:v>257.05</c:v>
                </c:pt>
                <c:pt idx="1015">
                  <c:v>253.35</c:v>
                </c:pt>
                <c:pt idx="1016">
                  <c:v>254.85</c:v>
                </c:pt>
                <c:pt idx="1017">
                  <c:v>252</c:v>
                </c:pt>
                <c:pt idx="1018">
                  <c:v>249.75</c:v>
                </c:pt>
                <c:pt idx="1019">
                  <c:v>244.5</c:v>
                </c:pt>
                <c:pt idx="1020">
                  <c:v>244.9</c:v>
                </c:pt>
                <c:pt idx="1021">
                  <c:v>242.6</c:v>
                </c:pt>
                <c:pt idx="1022">
                  <c:v>237.85</c:v>
                </c:pt>
                <c:pt idx="1023">
                  <c:v>239</c:v>
                </c:pt>
                <c:pt idx="1024">
                  <c:v>236.35</c:v>
                </c:pt>
                <c:pt idx="1025">
                  <c:v>232</c:v>
                </c:pt>
                <c:pt idx="1026">
                  <c:v>229.25</c:v>
                </c:pt>
                <c:pt idx="1027">
                  <c:v>226.9</c:v>
                </c:pt>
                <c:pt idx="1028">
                  <c:v>224.95</c:v>
                </c:pt>
                <c:pt idx="1029">
                  <c:v>225.5</c:v>
                </c:pt>
                <c:pt idx="1030">
                  <c:v>219.4</c:v>
                </c:pt>
                <c:pt idx="1031">
                  <c:v>215.3</c:v>
                </c:pt>
                <c:pt idx="1032">
                  <c:v>215.85</c:v>
                </c:pt>
                <c:pt idx="1033">
                  <c:v>213.95</c:v>
                </c:pt>
                <c:pt idx="1034">
                  <c:v>208.5</c:v>
                </c:pt>
                <c:pt idx="1035">
                  <c:v>215.95</c:v>
                </c:pt>
                <c:pt idx="1036">
                  <c:v>214.85</c:v>
                </c:pt>
                <c:pt idx="1037">
                  <c:v>218</c:v>
                </c:pt>
                <c:pt idx="1038">
                  <c:v>221.9</c:v>
                </c:pt>
                <c:pt idx="1039">
                  <c:v>222.65</c:v>
                </c:pt>
                <c:pt idx="1040">
                  <c:v>222.75</c:v>
                </c:pt>
                <c:pt idx="1041">
                  <c:v>223</c:v>
                </c:pt>
                <c:pt idx="1042">
                  <c:v>219.45</c:v>
                </c:pt>
                <c:pt idx="1043">
                  <c:v>232.45</c:v>
                </c:pt>
                <c:pt idx="1044">
                  <c:v>232.25</c:v>
                </c:pt>
                <c:pt idx="1045">
                  <c:v>230.15</c:v>
                </c:pt>
                <c:pt idx="1046">
                  <c:v>231.25</c:v>
                </c:pt>
                <c:pt idx="1047">
                  <c:v>230.2</c:v>
                </c:pt>
                <c:pt idx="1048">
                  <c:v>234.3</c:v>
                </c:pt>
                <c:pt idx="1049">
                  <c:v>234.45</c:v>
                </c:pt>
                <c:pt idx="1050">
                  <c:v>232.15</c:v>
                </c:pt>
                <c:pt idx="1051">
                  <c:v>227.75</c:v>
                </c:pt>
                <c:pt idx="1052">
                  <c:v>220.2</c:v>
                </c:pt>
                <c:pt idx="1053">
                  <c:v>217.6</c:v>
                </c:pt>
                <c:pt idx="1054">
                  <c:v>214.6</c:v>
                </c:pt>
                <c:pt idx="1055">
                  <c:v>214.3</c:v>
                </c:pt>
                <c:pt idx="1056">
                  <c:v>211.8</c:v>
                </c:pt>
                <c:pt idx="1057">
                  <c:v>217.05</c:v>
                </c:pt>
                <c:pt idx="1058">
                  <c:v>218.75</c:v>
                </c:pt>
                <c:pt idx="1059">
                  <c:v>220.35</c:v>
                </c:pt>
                <c:pt idx="1060">
                  <c:v>220.75</c:v>
                </c:pt>
                <c:pt idx="1061">
                  <c:v>224.6</c:v>
                </c:pt>
                <c:pt idx="1062">
                  <c:v>222.6</c:v>
                </c:pt>
                <c:pt idx="1063">
                  <c:v>223.95</c:v>
                </c:pt>
                <c:pt idx="1064">
                  <c:v>222.75</c:v>
                </c:pt>
                <c:pt idx="1065">
                  <c:v>221.95</c:v>
                </c:pt>
                <c:pt idx="1066">
                  <c:v>223.3</c:v>
                </c:pt>
                <c:pt idx="1067">
                  <c:v>218.4</c:v>
                </c:pt>
                <c:pt idx="1068">
                  <c:v>218.7</c:v>
                </c:pt>
                <c:pt idx="1069">
                  <c:v>220.55</c:v>
                </c:pt>
                <c:pt idx="1070">
                  <c:v>220.25</c:v>
                </c:pt>
                <c:pt idx="1071">
                  <c:v>219.1</c:v>
                </c:pt>
                <c:pt idx="1072">
                  <c:v>218.05</c:v>
                </c:pt>
                <c:pt idx="1073">
                  <c:v>216</c:v>
                </c:pt>
                <c:pt idx="1074">
                  <c:v>216.75</c:v>
                </c:pt>
                <c:pt idx="1075">
                  <c:v>220.05</c:v>
                </c:pt>
                <c:pt idx="1076">
                  <c:v>217.55</c:v>
                </c:pt>
                <c:pt idx="1077">
                  <c:v>218</c:v>
                </c:pt>
                <c:pt idx="1078">
                  <c:v>217.3</c:v>
                </c:pt>
                <c:pt idx="1079">
                  <c:v>212</c:v>
                </c:pt>
                <c:pt idx="1080">
                  <c:v>212.5</c:v>
                </c:pt>
                <c:pt idx="1081">
                  <c:v>212.4</c:v>
                </c:pt>
                <c:pt idx="1082">
                  <c:v>217.95</c:v>
                </c:pt>
                <c:pt idx="1083">
                  <c:v>222.9</c:v>
                </c:pt>
                <c:pt idx="1084">
                  <c:v>224.05</c:v>
                </c:pt>
                <c:pt idx="1085">
                  <c:v>228.6</c:v>
                </c:pt>
                <c:pt idx="1086">
                  <c:v>234.6</c:v>
                </c:pt>
                <c:pt idx="1087">
                  <c:v>236.1</c:v>
                </c:pt>
                <c:pt idx="1088">
                  <c:v>235.4</c:v>
                </c:pt>
                <c:pt idx="1089">
                  <c:v>224.95</c:v>
                </c:pt>
                <c:pt idx="1090">
                  <c:v>220.65</c:v>
                </c:pt>
                <c:pt idx="1091">
                  <c:v>217.9</c:v>
                </c:pt>
                <c:pt idx="1092">
                  <c:v>221.65</c:v>
                </c:pt>
                <c:pt idx="1093">
                  <c:v>225.45</c:v>
                </c:pt>
                <c:pt idx="1094">
                  <c:v>221.9</c:v>
                </c:pt>
                <c:pt idx="1095">
                  <c:v>221.15</c:v>
                </c:pt>
                <c:pt idx="1096">
                  <c:v>221.5</c:v>
                </c:pt>
                <c:pt idx="1097">
                  <c:v>224</c:v>
                </c:pt>
                <c:pt idx="1098">
                  <c:v>231.3</c:v>
                </c:pt>
                <c:pt idx="1099">
                  <c:v>227.7</c:v>
                </c:pt>
                <c:pt idx="1100">
                  <c:v>231.6</c:v>
                </c:pt>
                <c:pt idx="1101">
                  <c:v>230.9</c:v>
                </c:pt>
                <c:pt idx="1102">
                  <c:v>237.5</c:v>
                </c:pt>
                <c:pt idx="1103">
                  <c:v>239.5</c:v>
                </c:pt>
                <c:pt idx="1104">
                  <c:v>235.45</c:v>
                </c:pt>
                <c:pt idx="1105">
                  <c:v>238.1</c:v>
                </c:pt>
                <c:pt idx="1106">
                  <c:v>232.9</c:v>
                </c:pt>
                <c:pt idx="1107">
                  <c:v>230</c:v>
                </c:pt>
                <c:pt idx="1108">
                  <c:v>230.85</c:v>
                </c:pt>
                <c:pt idx="1109">
                  <c:v>228.75</c:v>
                </c:pt>
                <c:pt idx="1110">
                  <c:v>229.8</c:v>
                </c:pt>
                <c:pt idx="1111">
                  <c:v>226.55</c:v>
                </c:pt>
                <c:pt idx="1112">
                  <c:v>222.45</c:v>
                </c:pt>
                <c:pt idx="1113">
                  <c:v>225.6</c:v>
                </c:pt>
                <c:pt idx="1114">
                  <c:v>226.85</c:v>
                </c:pt>
                <c:pt idx="1115">
                  <c:v>223.2</c:v>
                </c:pt>
                <c:pt idx="1116">
                  <c:v>225.1</c:v>
                </c:pt>
                <c:pt idx="1117">
                  <c:v>238.45</c:v>
                </c:pt>
                <c:pt idx="1118">
                  <c:v>236.7</c:v>
                </c:pt>
                <c:pt idx="1119">
                  <c:v>233.4</c:v>
                </c:pt>
                <c:pt idx="1120">
                  <c:v>236.6</c:v>
                </c:pt>
                <c:pt idx="1121">
                  <c:v>244.7</c:v>
                </c:pt>
                <c:pt idx="1122">
                  <c:v>246.6</c:v>
                </c:pt>
                <c:pt idx="1123">
                  <c:v>245.95</c:v>
                </c:pt>
                <c:pt idx="1124">
                  <c:v>262.55</c:v>
                </c:pt>
                <c:pt idx="1125">
                  <c:v>256.55</c:v>
                </c:pt>
                <c:pt idx="1126">
                  <c:v>249.2</c:v>
                </c:pt>
                <c:pt idx="1127">
                  <c:v>241.3</c:v>
                </c:pt>
                <c:pt idx="1128">
                  <c:v>238.05</c:v>
                </c:pt>
                <c:pt idx="1129">
                  <c:v>231.7</c:v>
                </c:pt>
                <c:pt idx="1130">
                  <c:v>232.95</c:v>
                </c:pt>
                <c:pt idx="1131">
                  <c:v>231.25</c:v>
                </c:pt>
                <c:pt idx="1132">
                  <c:v>234.7</c:v>
                </c:pt>
                <c:pt idx="1133">
                  <c:v>236.6</c:v>
                </c:pt>
                <c:pt idx="1134">
                  <c:v>235.35</c:v>
                </c:pt>
                <c:pt idx="1135">
                  <c:v>236.15</c:v>
                </c:pt>
                <c:pt idx="1136">
                  <c:v>238.1</c:v>
                </c:pt>
                <c:pt idx="1137">
                  <c:v>237.75</c:v>
                </c:pt>
                <c:pt idx="1138">
                  <c:v>238.7</c:v>
                </c:pt>
                <c:pt idx="1139">
                  <c:v>238.45</c:v>
                </c:pt>
                <c:pt idx="1140">
                  <c:v>242.5</c:v>
                </c:pt>
                <c:pt idx="1141">
                  <c:v>243.5</c:v>
                </c:pt>
                <c:pt idx="1142">
                  <c:v>241.5</c:v>
                </c:pt>
                <c:pt idx="1143">
                  <c:v>233.75</c:v>
                </c:pt>
                <c:pt idx="1144">
                  <c:v>231.15</c:v>
                </c:pt>
                <c:pt idx="1145">
                  <c:v>230.75</c:v>
                </c:pt>
                <c:pt idx="1146">
                  <c:v>216</c:v>
                </c:pt>
                <c:pt idx="1147">
                  <c:v>216.1</c:v>
                </c:pt>
                <c:pt idx="1148">
                  <c:v>214.15</c:v>
                </c:pt>
                <c:pt idx="1149">
                  <c:v>212.65</c:v>
                </c:pt>
                <c:pt idx="1150">
                  <c:v>211.25</c:v>
                </c:pt>
                <c:pt idx="1151">
                  <c:v>211.75</c:v>
                </c:pt>
                <c:pt idx="1152">
                  <c:v>209.3</c:v>
                </c:pt>
                <c:pt idx="1153">
                  <c:v>210.6</c:v>
                </c:pt>
                <c:pt idx="1154">
                  <c:v>209.75</c:v>
                </c:pt>
                <c:pt idx="1155">
                  <c:v>209.5</c:v>
                </c:pt>
                <c:pt idx="1156">
                  <c:v>211.3</c:v>
                </c:pt>
                <c:pt idx="1157">
                  <c:v>208</c:v>
                </c:pt>
                <c:pt idx="1158">
                  <c:v>205.9</c:v>
                </c:pt>
                <c:pt idx="1159">
                  <c:v>204.6</c:v>
                </c:pt>
                <c:pt idx="1160">
                  <c:v>206.4</c:v>
                </c:pt>
                <c:pt idx="1161">
                  <c:v>205.75</c:v>
                </c:pt>
                <c:pt idx="1162">
                  <c:v>206.3</c:v>
                </c:pt>
                <c:pt idx="1163">
                  <c:v>208.9</c:v>
                </c:pt>
                <c:pt idx="1164">
                  <c:v>208.95</c:v>
                </c:pt>
                <c:pt idx="1165">
                  <c:v>209.2</c:v>
                </c:pt>
                <c:pt idx="1166">
                  <c:v>210.9</c:v>
                </c:pt>
                <c:pt idx="1167">
                  <c:v>211.45</c:v>
                </c:pt>
                <c:pt idx="1168">
                  <c:v>208.9</c:v>
                </c:pt>
                <c:pt idx="1169">
                  <c:v>208.65</c:v>
                </c:pt>
                <c:pt idx="1170">
                  <c:v>209.85</c:v>
                </c:pt>
                <c:pt idx="1171">
                  <c:v>213.8</c:v>
                </c:pt>
                <c:pt idx="1172">
                  <c:v>214.25</c:v>
                </c:pt>
                <c:pt idx="1173">
                  <c:v>215.25</c:v>
                </c:pt>
                <c:pt idx="1174">
                  <c:v>208.6</c:v>
                </c:pt>
                <c:pt idx="1175">
                  <c:v>209.9</c:v>
                </c:pt>
                <c:pt idx="1176">
                  <c:v>207.3</c:v>
                </c:pt>
                <c:pt idx="1177">
                  <c:v>204.95</c:v>
                </c:pt>
                <c:pt idx="1178">
                  <c:v>206.05</c:v>
                </c:pt>
                <c:pt idx="1179">
                  <c:v>209.1</c:v>
                </c:pt>
                <c:pt idx="1180">
                  <c:v>208.65</c:v>
                </c:pt>
                <c:pt idx="1181">
                  <c:v>211.15</c:v>
                </c:pt>
                <c:pt idx="1182">
                  <c:v>212.4</c:v>
                </c:pt>
                <c:pt idx="1183">
                  <c:v>207</c:v>
                </c:pt>
                <c:pt idx="1184">
                  <c:v>206.8</c:v>
                </c:pt>
                <c:pt idx="1185">
                  <c:v>207.75</c:v>
                </c:pt>
                <c:pt idx="1186">
                  <c:v>207.9</c:v>
                </c:pt>
                <c:pt idx="1187">
                  <c:v>206.25</c:v>
                </c:pt>
                <c:pt idx="1188">
                  <c:v>204.1</c:v>
                </c:pt>
                <c:pt idx="1189">
                  <c:v>201.85</c:v>
                </c:pt>
                <c:pt idx="1190">
                  <c:v>201.1</c:v>
                </c:pt>
                <c:pt idx="1191">
                  <c:v>201.35</c:v>
                </c:pt>
                <c:pt idx="1192">
                  <c:v>202</c:v>
                </c:pt>
                <c:pt idx="1193">
                  <c:v>203.75</c:v>
                </c:pt>
                <c:pt idx="1194">
                  <c:v>202.5</c:v>
                </c:pt>
                <c:pt idx="1195">
                  <c:v>203.65</c:v>
                </c:pt>
                <c:pt idx="1196">
                  <c:v>202.4</c:v>
                </c:pt>
                <c:pt idx="1197">
                  <c:v>203</c:v>
                </c:pt>
                <c:pt idx="1198">
                  <c:v>202.7</c:v>
                </c:pt>
                <c:pt idx="1199">
                  <c:v>203.3</c:v>
                </c:pt>
                <c:pt idx="1200">
                  <c:v>203.6</c:v>
                </c:pt>
                <c:pt idx="1201">
                  <c:v>205.05</c:v>
                </c:pt>
                <c:pt idx="1202">
                  <c:v>203.25</c:v>
                </c:pt>
                <c:pt idx="1203">
                  <c:v>203.95</c:v>
                </c:pt>
                <c:pt idx="1204">
                  <c:v>205.1</c:v>
                </c:pt>
                <c:pt idx="1205">
                  <c:v>204.45</c:v>
                </c:pt>
                <c:pt idx="1206">
                  <c:v>204.55</c:v>
                </c:pt>
                <c:pt idx="1207">
                  <c:v>205.65</c:v>
                </c:pt>
                <c:pt idx="1208">
                  <c:v>207.85</c:v>
                </c:pt>
                <c:pt idx="1209">
                  <c:v>207.05</c:v>
                </c:pt>
                <c:pt idx="1210">
                  <c:v>207.3</c:v>
                </c:pt>
                <c:pt idx="1211">
                  <c:v>207.9</c:v>
                </c:pt>
                <c:pt idx="1212">
                  <c:v>209.3</c:v>
                </c:pt>
                <c:pt idx="1213">
                  <c:v>212.5</c:v>
                </c:pt>
                <c:pt idx="1214">
                  <c:v>213.65</c:v>
                </c:pt>
                <c:pt idx="1215">
                  <c:v>211.45</c:v>
                </c:pt>
                <c:pt idx="1216">
                  <c:v>208.75</c:v>
                </c:pt>
                <c:pt idx="1217">
                  <c:v>209.05</c:v>
                </c:pt>
                <c:pt idx="1218">
                  <c:v>209</c:v>
                </c:pt>
                <c:pt idx="1219">
                  <c:v>215.25</c:v>
                </c:pt>
                <c:pt idx="1220">
                  <c:v>216.6</c:v>
                </c:pt>
                <c:pt idx="1221">
                  <c:v>212.9</c:v>
                </c:pt>
                <c:pt idx="1222">
                  <c:v>211.15</c:v>
                </c:pt>
                <c:pt idx="1223">
                  <c:v>210.6</c:v>
                </c:pt>
                <c:pt idx="1224">
                  <c:v>210.9</c:v>
                </c:pt>
                <c:pt idx="1225">
                  <c:v>211.5</c:v>
                </c:pt>
                <c:pt idx="1226">
                  <c:v>209.05</c:v>
                </c:pt>
                <c:pt idx="1227">
                  <c:v>207</c:v>
                </c:pt>
                <c:pt idx="1228">
                  <c:v>207.75</c:v>
                </c:pt>
                <c:pt idx="1229">
                  <c:v>210.05</c:v>
                </c:pt>
                <c:pt idx="1230">
                  <c:v>212.6</c:v>
                </c:pt>
                <c:pt idx="1231">
                  <c:v>212.25</c:v>
                </c:pt>
                <c:pt idx="1232">
                  <c:v>203.25</c:v>
                </c:pt>
                <c:pt idx="1233">
                  <c:v>204</c:v>
                </c:pt>
                <c:pt idx="1234">
                  <c:v>205.55</c:v>
                </c:pt>
                <c:pt idx="1235">
                  <c:v>205.35</c:v>
                </c:pt>
                <c:pt idx="1236">
                  <c:v>202.75</c:v>
                </c:pt>
                <c:pt idx="1237">
                  <c:v>201.4</c:v>
                </c:pt>
                <c:pt idx="1238">
                  <c:v>199.6</c:v>
                </c:pt>
                <c:pt idx="1239">
                  <c:v>200.95</c:v>
                </c:pt>
                <c:pt idx="1240">
                  <c:v>202.6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34-4D6A-8C62-1436CFF4A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302320"/>
        <c:axId val="71302800"/>
      </c:lineChart>
      <c:catAx>
        <c:axId val="7130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02800"/>
        <c:crosses val="autoZero"/>
        <c:auto val="1"/>
        <c:lblAlgn val="ctr"/>
        <c:lblOffset val="100"/>
        <c:noMultiLvlLbl val="0"/>
      </c:catAx>
      <c:valAx>
        <c:axId val="71302800"/>
        <c:scaling>
          <c:orientation val="minMax"/>
          <c:max val="500"/>
          <c:min val="1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02320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'Share Price'!$D$1</c:f>
              <c:strCache>
                <c:ptCount val="1"/>
                <c:pt idx="0">
                  <c:v>Volume 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'Share Price'!$A$2:$A$1242</c:f>
              <c:strCache>
                <c:ptCount val="1241"/>
                <c:pt idx="0">
                  <c:v>30-04-2026</c:v>
                </c:pt>
                <c:pt idx="1">
                  <c:v>29-04-2026</c:v>
                </c:pt>
                <c:pt idx="2">
                  <c:v>28-04-2026</c:v>
                </c:pt>
                <c:pt idx="3">
                  <c:v>27-04-2026</c:v>
                </c:pt>
                <c:pt idx="4">
                  <c:v>24-04-2026</c:v>
                </c:pt>
                <c:pt idx="5">
                  <c:v>23-04-2026</c:v>
                </c:pt>
                <c:pt idx="6">
                  <c:v>22-04-2026</c:v>
                </c:pt>
                <c:pt idx="7">
                  <c:v>21-04-2026</c:v>
                </c:pt>
                <c:pt idx="8">
                  <c:v>20-04-2026</c:v>
                </c:pt>
                <c:pt idx="9">
                  <c:v>17-04-2026</c:v>
                </c:pt>
                <c:pt idx="10">
                  <c:v>16-04-2026</c:v>
                </c:pt>
                <c:pt idx="11">
                  <c:v>15-04-2026</c:v>
                </c:pt>
                <c:pt idx="12">
                  <c:v>13-04-2026</c:v>
                </c:pt>
                <c:pt idx="13">
                  <c:v>10/4/2026</c:v>
                </c:pt>
                <c:pt idx="14">
                  <c:v>9/4/2026</c:v>
                </c:pt>
                <c:pt idx="15">
                  <c:v>8/4/2026</c:v>
                </c:pt>
                <c:pt idx="16">
                  <c:v>7/4/2026</c:v>
                </c:pt>
                <c:pt idx="17">
                  <c:v>6/4/2026</c:v>
                </c:pt>
                <c:pt idx="18">
                  <c:v>2/4/2026</c:v>
                </c:pt>
                <c:pt idx="19">
                  <c:v>1/4/2026</c:v>
                </c:pt>
                <c:pt idx="20">
                  <c:v>30-03-2026</c:v>
                </c:pt>
                <c:pt idx="21">
                  <c:v>27-03-2026</c:v>
                </c:pt>
                <c:pt idx="22">
                  <c:v>25-03-2026</c:v>
                </c:pt>
                <c:pt idx="23">
                  <c:v>24-03-2026</c:v>
                </c:pt>
                <c:pt idx="24">
                  <c:v>23-03-2026</c:v>
                </c:pt>
                <c:pt idx="25">
                  <c:v>20-03-2026</c:v>
                </c:pt>
                <c:pt idx="26">
                  <c:v>19-03-2026</c:v>
                </c:pt>
                <c:pt idx="27">
                  <c:v>18-03-2026</c:v>
                </c:pt>
                <c:pt idx="28">
                  <c:v>17-03-2026</c:v>
                </c:pt>
                <c:pt idx="29">
                  <c:v>16-03-2026</c:v>
                </c:pt>
                <c:pt idx="30">
                  <c:v>13-03-2026</c:v>
                </c:pt>
                <c:pt idx="31">
                  <c:v>12/3/2026</c:v>
                </c:pt>
                <c:pt idx="32">
                  <c:v>11/3/2026</c:v>
                </c:pt>
                <c:pt idx="33">
                  <c:v>10/3/2026</c:v>
                </c:pt>
                <c:pt idx="34">
                  <c:v>9/3/2026</c:v>
                </c:pt>
                <c:pt idx="35">
                  <c:v>6/3/2026</c:v>
                </c:pt>
                <c:pt idx="36">
                  <c:v>5/3/2026</c:v>
                </c:pt>
                <c:pt idx="37">
                  <c:v>4/3/2026</c:v>
                </c:pt>
                <c:pt idx="38">
                  <c:v>2/3/2026</c:v>
                </c:pt>
                <c:pt idx="39">
                  <c:v>27-02-2026</c:v>
                </c:pt>
                <c:pt idx="40">
                  <c:v>26-02-2026</c:v>
                </c:pt>
                <c:pt idx="41">
                  <c:v>25-02-2026</c:v>
                </c:pt>
                <c:pt idx="42">
                  <c:v>24-02-2026</c:v>
                </c:pt>
                <c:pt idx="43">
                  <c:v>23-02-2026</c:v>
                </c:pt>
                <c:pt idx="44">
                  <c:v>20-02-2026</c:v>
                </c:pt>
                <c:pt idx="45">
                  <c:v>19-02-2026</c:v>
                </c:pt>
                <c:pt idx="46">
                  <c:v>18-02-2026</c:v>
                </c:pt>
                <c:pt idx="47">
                  <c:v>17-02-2026</c:v>
                </c:pt>
                <c:pt idx="48">
                  <c:v>16-02-2026</c:v>
                </c:pt>
                <c:pt idx="49">
                  <c:v>13-02-2026</c:v>
                </c:pt>
                <c:pt idx="50">
                  <c:v>12/2/2026</c:v>
                </c:pt>
                <c:pt idx="51">
                  <c:v>11/2/2026</c:v>
                </c:pt>
                <c:pt idx="52">
                  <c:v>10/2/2026</c:v>
                </c:pt>
                <c:pt idx="53">
                  <c:v>9/2/2026</c:v>
                </c:pt>
                <c:pt idx="54">
                  <c:v>6/2/2026</c:v>
                </c:pt>
                <c:pt idx="55">
                  <c:v>5/2/2026</c:v>
                </c:pt>
                <c:pt idx="56">
                  <c:v>4/2/2026</c:v>
                </c:pt>
                <c:pt idx="57">
                  <c:v>3/2/2026</c:v>
                </c:pt>
                <c:pt idx="58">
                  <c:v>2/2/2026</c:v>
                </c:pt>
                <c:pt idx="59">
                  <c:v>1/2/2026</c:v>
                </c:pt>
                <c:pt idx="60">
                  <c:v>30-01-2026</c:v>
                </c:pt>
                <c:pt idx="61">
                  <c:v>29-01-2026</c:v>
                </c:pt>
                <c:pt idx="62">
                  <c:v>28-01-2026</c:v>
                </c:pt>
                <c:pt idx="63">
                  <c:v>27-01-2026</c:v>
                </c:pt>
                <c:pt idx="64">
                  <c:v>23-01-2026</c:v>
                </c:pt>
                <c:pt idx="65">
                  <c:v>22-01-2026</c:v>
                </c:pt>
                <c:pt idx="66">
                  <c:v>21-01-2026</c:v>
                </c:pt>
                <c:pt idx="67">
                  <c:v>20-01-2026</c:v>
                </c:pt>
                <c:pt idx="68">
                  <c:v>19-01-2026</c:v>
                </c:pt>
                <c:pt idx="69">
                  <c:v>16-01-2026</c:v>
                </c:pt>
                <c:pt idx="70">
                  <c:v>14-01-2026</c:v>
                </c:pt>
                <c:pt idx="71">
                  <c:v>13-01-2026</c:v>
                </c:pt>
                <c:pt idx="72">
                  <c:v>12/1/2026</c:v>
                </c:pt>
                <c:pt idx="73">
                  <c:v>9/1/2026</c:v>
                </c:pt>
                <c:pt idx="74">
                  <c:v>8/1/2026</c:v>
                </c:pt>
                <c:pt idx="75">
                  <c:v>7/1/2026</c:v>
                </c:pt>
                <c:pt idx="76">
                  <c:v>6/1/2026</c:v>
                </c:pt>
                <c:pt idx="77">
                  <c:v>5/1/2026</c:v>
                </c:pt>
                <c:pt idx="78">
                  <c:v>2/1/2026</c:v>
                </c:pt>
                <c:pt idx="79">
                  <c:v>1/1/2026</c:v>
                </c:pt>
                <c:pt idx="80">
                  <c:v>31-12-2025</c:v>
                </c:pt>
                <c:pt idx="81">
                  <c:v>30-12-2025</c:v>
                </c:pt>
                <c:pt idx="82">
                  <c:v>29-12-2025</c:v>
                </c:pt>
                <c:pt idx="83">
                  <c:v>26-12-2025</c:v>
                </c:pt>
                <c:pt idx="84">
                  <c:v>24-12-2025</c:v>
                </c:pt>
                <c:pt idx="85">
                  <c:v>23-12-2025</c:v>
                </c:pt>
                <c:pt idx="86">
                  <c:v>22-12-2025</c:v>
                </c:pt>
                <c:pt idx="87">
                  <c:v>19-12-2025</c:v>
                </c:pt>
                <c:pt idx="88">
                  <c:v>18-12-2025</c:v>
                </c:pt>
                <c:pt idx="89">
                  <c:v>17-12-2025</c:v>
                </c:pt>
                <c:pt idx="90">
                  <c:v>16-12-2025</c:v>
                </c:pt>
                <c:pt idx="91">
                  <c:v>15-12-2025</c:v>
                </c:pt>
                <c:pt idx="92">
                  <c:v>12/12/2025</c:v>
                </c:pt>
                <c:pt idx="93">
                  <c:v>11/12/2025</c:v>
                </c:pt>
                <c:pt idx="94">
                  <c:v>10/12/2025</c:v>
                </c:pt>
                <c:pt idx="95">
                  <c:v>9/12/2025</c:v>
                </c:pt>
                <c:pt idx="96">
                  <c:v>8/12/2025</c:v>
                </c:pt>
                <c:pt idx="97">
                  <c:v>5/12/2025</c:v>
                </c:pt>
                <c:pt idx="98">
                  <c:v>4/12/2025</c:v>
                </c:pt>
                <c:pt idx="99">
                  <c:v>3/12/2025</c:v>
                </c:pt>
                <c:pt idx="100">
                  <c:v>2/12/2025</c:v>
                </c:pt>
                <c:pt idx="101">
                  <c:v>1/12/2025</c:v>
                </c:pt>
                <c:pt idx="102">
                  <c:v>28-11-2025</c:v>
                </c:pt>
                <c:pt idx="103">
                  <c:v>27-11-2025</c:v>
                </c:pt>
                <c:pt idx="104">
                  <c:v>26-11-2025</c:v>
                </c:pt>
                <c:pt idx="105">
                  <c:v>25-11-2025</c:v>
                </c:pt>
                <c:pt idx="106">
                  <c:v>24-11-2025</c:v>
                </c:pt>
                <c:pt idx="107">
                  <c:v>21-11-2025</c:v>
                </c:pt>
                <c:pt idx="108">
                  <c:v>20-11-2025</c:v>
                </c:pt>
                <c:pt idx="109">
                  <c:v>19-11-2025</c:v>
                </c:pt>
                <c:pt idx="110">
                  <c:v>18-11-2025</c:v>
                </c:pt>
                <c:pt idx="111">
                  <c:v>17-11-2025</c:v>
                </c:pt>
                <c:pt idx="112">
                  <c:v>14-11-2025</c:v>
                </c:pt>
                <c:pt idx="113">
                  <c:v>13-11-2025</c:v>
                </c:pt>
                <c:pt idx="114">
                  <c:v>12/11/2025</c:v>
                </c:pt>
                <c:pt idx="115">
                  <c:v>11/11/2025</c:v>
                </c:pt>
                <c:pt idx="116">
                  <c:v>10/11/2025</c:v>
                </c:pt>
                <c:pt idx="117">
                  <c:v>7/11/2025</c:v>
                </c:pt>
                <c:pt idx="118">
                  <c:v>6/11/2025</c:v>
                </c:pt>
                <c:pt idx="119">
                  <c:v>4/11/2025</c:v>
                </c:pt>
                <c:pt idx="120">
                  <c:v>3/11/2025</c:v>
                </c:pt>
                <c:pt idx="121">
                  <c:v>31-10-2025</c:v>
                </c:pt>
                <c:pt idx="122">
                  <c:v>30-10-2025</c:v>
                </c:pt>
                <c:pt idx="123">
                  <c:v>29-10-2025</c:v>
                </c:pt>
                <c:pt idx="124">
                  <c:v>28-10-2025</c:v>
                </c:pt>
                <c:pt idx="125">
                  <c:v>27-10-2025</c:v>
                </c:pt>
                <c:pt idx="126">
                  <c:v>24-10-2025</c:v>
                </c:pt>
                <c:pt idx="127">
                  <c:v>23-10-2025</c:v>
                </c:pt>
                <c:pt idx="128">
                  <c:v>21-10-2025</c:v>
                </c:pt>
                <c:pt idx="129">
                  <c:v>20-10-2025</c:v>
                </c:pt>
                <c:pt idx="130">
                  <c:v>17-10-2025</c:v>
                </c:pt>
                <c:pt idx="131">
                  <c:v>16-10-2025</c:v>
                </c:pt>
                <c:pt idx="132">
                  <c:v>15-10-2025</c:v>
                </c:pt>
                <c:pt idx="133">
                  <c:v>14-10-2025</c:v>
                </c:pt>
                <c:pt idx="134">
                  <c:v>13-10-2025</c:v>
                </c:pt>
                <c:pt idx="135">
                  <c:v>10/10/2025</c:v>
                </c:pt>
                <c:pt idx="136">
                  <c:v>9/10/2025</c:v>
                </c:pt>
                <c:pt idx="137">
                  <c:v>8/10/2025</c:v>
                </c:pt>
                <c:pt idx="138">
                  <c:v>7/10/2025</c:v>
                </c:pt>
                <c:pt idx="139">
                  <c:v>6/10/2025</c:v>
                </c:pt>
                <c:pt idx="140">
                  <c:v>3/10/2025</c:v>
                </c:pt>
                <c:pt idx="141">
                  <c:v>1/10/2025</c:v>
                </c:pt>
                <c:pt idx="142">
                  <c:v>30-09-2025</c:v>
                </c:pt>
                <c:pt idx="143">
                  <c:v>29-09-2025</c:v>
                </c:pt>
                <c:pt idx="144">
                  <c:v>26-09-2025</c:v>
                </c:pt>
                <c:pt idx="145">
                  <c:v>25-09-2025</c:v>
                </c:pt>
                <c:pt idx="146">
                  <c:v>24-09-2025</c:v>
                </c:pt>
                <c:pt idx="147">
                  <c:v>23-09-2025</c:v>
                </c:pt>
                <c:pt idx="148">
                  <c:v>22-09-2025</c:v>
                </c:pt>
                <c:pt idx="149">
                  <c:v>19-09-2025</c:v>
                </c:pt>
                <c:pt idx="150">
                  <c:v>18-09-2025</c:v>
                </c:pt>
                <c:pt idx="151">
                  <c:v>17-09-2025</c:v>
                </c:pt>
                <c:pt idx="152">
                  <c:v>16-09-2025</c:v>
                </c:pt>
                <c:pt idx="153">
                  <c:v>15-09-2025</c:v>
                </c:pt>
                <c:pt idx="154">
                  <c:v>12/9/2025</c:v>
                </c:pt>
                <c:pt idx="155">
                  <c:v>11/9/2025</c:v>
                </c:pt>
                <c:pt idx="156">
                  <c:v>10/9/2025</c:v>
                </c:pt>
                <c:pt idx="157">
                  <c:v>9/9/2025</c:v>
                </c:pt>
                <c:pt idx="158">
                  <c:v>8/9/2025</c:v>
                </c:pt>
                <c:pt idx="159">
                  <c:v>5/9/2025</c:v>
                </c:pt>
                <c:pt idx="160">
                  <c:v>4/9/2025</c:v>
                </c:pt>
                <c:pt idx="161">
                  <c:v>3/9/2025</c:v>
                </c:pt>
                <c:pt idx="162">
                  <c:v>2/9/2025</c:v>
                </c:pt>
                <c:pt idx="163">
                  <c:v>1/9/2025</c:v>
                </c:pt>
                <c:pt idx="164">
                  <c:v>29-08-2025</c:v>
                </c:pt>
                <c:pt idx="165">
                  <c:v>28-08-2025</c:v>
                </c:pt>
                <c:pt idx="166">
                  <c:v>26-08-2025</c:v>
                </c:pt>
                <c:pt idx="167">
                  <c:v>25-08-2025</c:v>
                </c:pt>
                <c:pt idx="168">
                  <c:v>22-08-2025</c:v>
                </c:pt>
                <c:pt idx="169">
                  <c:v>21-08-2025</c:v>
                </c:pt>
                <c:pt idx="170">
                  <c:v>20-08-2025</c:v>
                </c:pt>
                <c:pt idx="171">
                  <c:v>19-08-2025</c:v>
                </c:pt>
                <c:pt idx="172">
                  <c:v>18-08-2025</c:v>
                </c:pt>
                <c:pt idx="173">
                  <c:v>14-08-2025</c:v>
                </c:pt>
                <c:pt idx="174">
                  <c:v>13-08-2025</c:v>
                </c:pt>
                <c:pt idx="175">
                  <c:v>12/8/2025</c:v>
                </c:pt>
                <c:pt idx="176">
                  <c:v>11/8/2025</c:v>
                </c:pt>
                <c:pt idx="177">
                  <c:v>8/8/2025</c:v>
                </c:pt>
                <c:pt idx="178">
                  <c:v>7/8/2025</c:v>
                </c:pt>
                <c:pt idx="179">
                  <c:v>6/8/2025</c:v>
                </c:pt>
                <c:pt idx="180">
                  <c:v>5/8/2025</c:v>
                </c:pt>
                <c:pt idx="181">
                  <c:v>4/8/2025</c:v>
                </c:pt>
                <c:pt idx="182">
                  <c:v>1/8/2025</c:v>
                </c:pt>
                <c:pt idx="183">
                  <c:v>31-07-2025</c:v>
                </c:pt>
                <c:pt idx="184">
                  <c:v>30-07-2025</c:v>
                </c:pt>
                <c:pt idx="185">
                  <c:v>29-07-2025</c:v>
                </c:pt>
                <c:pt idx="186">
                  <c:v>28-07-2025</c:v>
                </c:pt>
                <c:pt idx="187">
                  <c:v>25-07-2025</c:v>
                </c:pt>
                <c:pt idx="188">
                  <c:v>24-07-2025</c:v>
                </c:pt>
                <c:pt idx="189">
                  <c:v>23-07-2025</c:v>
                </c:pt>
                <c:pt idx="190">
                  <c:v>22-07-2025</c:v>
                </c:pt>
                <c:pt idx="191">
                  <c:v>21-07-2025</c:v>
                </c:pt>
                <c:pt idx="192">
                  <c:v>18-07-2025</c:v>
                </c:pt>
                <c:pt idx="193">
                  <c:v>17-07-2025</c:v>
                </c:pt>
                <c:pt idx="194">
                  <c:v>16-07-2025</c:v>
                </c:pt>
                <c:pt idx="195">
                  <c:v>15-07-2025</c:v>
                </c:pt>
                <c:pt idx="196">
                  <c:v>14-07-2025</c:v>
                </c:pt>
                <c:pt idx="197">
                  <c:v>11/7/2025</c:v>
                </c:pt>
                <c:pt idx="198">
                  <c:v>10/7/2025</c:v>
                </c:pt>
                <c:pt idx="199">
                  <c:v>9/7/2025</c:v>
                </c:pt>
                <c:pt idx="200">
                  <c:v>8/7/2025</c:v>
                </c:pt>
                <c:pt idx="201">
                  <c:v>7/7/2025</c:v>
                </c:pt>
                <c:pt idx="202">
                  <c:v>4/7/2025</c:v>
                </c:pt>
                <c:pt idx="203">
                  <c:v>3/7/2025</c:v>
                </c:pt>
                <c:pt idx="204">
                  <c:v>2/7/2025</c:v>
                </c:pt>
                <c:pt idx="205">
                  <c:v>1/7/2025</c:v>
                </c:pt>
                <c:pt idx="206">
                  <c:v>30-06-2025</c:v>
                </c:pt>
                <c:pt idx="207">
                  <c:v>27-06-2025</c:v>
                </c:pt>
                <c:pt idx="208">
                  <c:v>26-06-2025</c:v>
                </c:pt>
                <c:pt idx="209">
                  <c:v>25-06-2025</c:v>
                </c:pt>
                <c:pt idx="210">
                  <c:v>24-06-2025</c:v>
                </c:pt>
                <c:pt idx="211">
                  <c:v>23-06-2025</c:v>
                </c:pt>
                <c:pt idx="212">
                  <c:v>20-06-2025</c:v>
                </c:pt>
                <c:pt idx="213">
                  <c:v>19-06-2025</c:v>
                </c:pt>
                <c:pt idx="214">
                  <c:v>18-06-2025</c:v>
                </c:pt>
                <c:pt idx="215">
                  <c:v>17-06-2025</c:v>
                </c:pt>
                <c:pt idx="216">
                  <c:v>16-06-2025</c:v>
                </c:pt>
                <c:pt idx="217">
                  <c:v>13-06-2025</c:v>
                </c:pt>
                <c:pt idx="218">
                  <c:v>12/6/2025</c:v>
                </c:pt>
                <c:pt idx="219">
                  <c:v>11/6/2025</c:v>
                </c:pt>
                <c:pt idx="220">
                  <c:v>10/6/2025</c:v>
                </c:pt>
                <c:pt idx="221">
                  <c:v>9/6/2025</c:v>
                </c:pt>
                <c:pt idx="222">
                  <c:v>6/6/2025</c:v>
                </c:pt>
                <c:pt idx="223">
                  <c:v>5/6/2025</c:v>
                </c:pt>
                <c:pt idx="224">
                  <c:v>4/6/2025</c:v>
                </c:pt>
                <c:pt idx="225">
                  <c:v>3/6/2025</c:v>
                </c:pt>
                <c:pt idx="226">
                  <c:v>2/6/2025</c:v>
                </c:pt>
                <c:pt idx="227">
                  <c:v>30-05-2025</c:v>
                </c:pt>
                <c:pt idx="228">
                  <c:v>29-05-2025</c:v>
                </c:pt>
                <c:pt idx="229">
                  <c:v>28-05-2025</c:v>
                </c:pt>
                <c:pt idx="230">
                  <c:v>27-05-2025</c:v>
                </c:pt>
                <c:pt idx="231">
                  <c:v>26-05-2025</c:v>
                </c:pt>
                <c:pt idx="232">
                  <c:v>23-05-2025</c:v>
                </c:pt>
                <c:pt idx="233">
                  <c:v>22-05-2025</c:v>
                </c:pt>
                <c:pt idx="234">
                  <c:v>21-05-2025</c:v>
                </c:pt>
                <c:pt idx="235">
                  <c:v>20-05-2025</c:v>
                </c:pt>
                <c:pt idx="236">
                  <c:v>19-05-2025</c:v>
                </c:pt>
                <c:pt idx="237">
                  <c:v>16-05-2025</c:v>
                </c:pt>
                <c:pt idx="238">
                  <c:v>15-05-2025</c:v>
                </c:pt>
                <c:pt idx="239">
                  <c:v>14-05-2025</c:v>
                </c:pt>
                <c:pt idx="240">
                  <c:v>13-05-2025</c:v>
                </c:pt>
                <c:pt idx="241">
                  <c:v>12/5/2025</c:v>
                </c:pt>
                <c:pt idx="242">
                  <c:v>9/5/2025</c:v>
                </c:pt>
                <c:pt idx="243">
                  <c:v>8/5/2025</c:v>
                </c:pt>
                <c:pt idx="244">
                  <c:v>7/5/2025</c:v>
                </c:pt>
                <c:pt idx="245">
                  <c:v>6/5/2025</c:v>
                </c:pt>
                <c:pt idx="246">
                  <c:v>5/5/2025</c:v>
                </c:pt>
                <c:pt idx="247">
                  <c:v>2/5/2025</c:v>
                </c:pt>
                <c:pt idx="248">
                  <c:v>30-04-2025</c:v>
                </c:pt>
                <c:pt idx="249">
                  <c:v>29-04-2025</c:v>
                </c:pt>
                <c:pt idx="250">
                  <c:v>28-04-2025</c:v>
                </c:pt>
                <c:pt idx="251">
                  <c:v>25-04-2025</c:v>
                </c:pt>
                <c:pt idx="252">
                  <c:v>24-04-2025</c:v>
                </c:pt>
                <c:pt idx="253">
                  <c:v>23-04-2025</c:v>
                </c:pt>
                <c:pt idx="254">
                  <c:v>22-04-2025</c:v>
                </c:pt>
                <c:pt idx="255">
                  <c:v>21-04-2025</c:v>
                </c:pt>
                <c:pt idx="256">
                  <c:v>17-04-2025</c:v>
                </c:pt>
                <c:pt idx="257">
                  <c:v>16-04-2025</c:v>
                </c:pt>
                <c:pt idx="258">
                  <c:v>15-04-2025</c:v>
                </c:pt>
                <c:pt idx="259">
                  <c:v>11/4/2025</c:v>
                </c:pt>
                <c:pt idx="260">
                  <c:v>9/4/2025</c:v>
                </c:pt>
                <c:pt idx="261">
                  <c:v>8/4/2025</c:v>
                </c:pt>
                <c:pt idx="262">
                  <c:v>7/4/2025</c:v>
                </c:pt>
                <c:pt idx="263">
                  <c:v>4/4/2025</c:v>
                </c:pt>
                <c:pt idx="264">
                  <c:v>3/4/2025</c:v>
                </c:pt>
                <c:pt idx="265">
                  <c:v>2/4/2025</c:v>
                </c:pt>
                <c:pt idx="266">
                  <c:v>1/4/2025</c:v>
                </c:pt>
                <c:pt idx="267">
                  <c:v>28-03-2025</c:v>
                </c:pt>
                <c:pt idx="268">
                  <c:v>27-03-2025</c:v>
                </c:pt>
                <c:pt idx="269">
                  <c:v>26-03-2025</c:v>
                </c:pt>
                <c:pt idx="270">
                  <c:v>25-03-2025</c:v>
                </c:pt>
                <c:pt idx="271">
                  <c:v>24-03-2025</c:v>
                </c:pt>
                <c:pt idx="272">
                  <c:v>21-03-2025</c:v>
                </c:pt>
                <c:pt idx="273">
                  <c:v>20-03-2025</c:v>
                </c:pt>
                <c:pt idx="274">
                  <c:v>19-03-2025</c:v>
                </c:pt>
                <c:pt idx="275">
                  <c:v>18-03-2025</c:v>
                </c:pt>
                <c:pt idx="276">
                  <c:v>17-03-2025</c:v>
                </c:pt>
                <c:pt idx="277">
                  <c:v>13-03-2025</c:v>
                </c:pt>
                <c:pt idx="278">
                  <c:v>12/3/2025</c:v>
                </c:pt>
                <c:pt idx="279">
                  <c:v>11/3/2025</c:v>
                </c:pt>
                <c:pt idx="280">
                  <c:v>10/3/2025</c:v>
                </c:pt>
                <c:pt idx="281">
                  <c:v>7/3/2025</c:v>
                </c:pt>
                <c:pt idx="282">
                  <c:v>6/3/2025</c:v>
                </c:pt>
                <c:pt idx="283">
                  <c:v>5/3/2025</c:v>
                </c:pt>
                <c:pt idx="284">
                  <c:v>4/3/2025</c:v>
                </c:pt>
                <c:pt idx="285">
                  <c:v>3/3/2025</c:v>
                </c:pt>
                <c:pt idx="286">
                  <c:v>28-02-2025</c:v>
                </c:pt>
                <c:pt idx="287">
                  <c:v>27-02-2025</c:v>
                </c:pt>
                <c:pt idx="288">
                  <c:v>25-02-2025</c:v>
                </c:pt>
                <c:pt idx="289">
                  <c:v>24-02-2025</c:v>
                </c:pt>
                <c:pt idx="290">
                  <c:v>21-02-2025</c:v>
                </c:pt>
                <c:pt idx="291">
                  <c:v>20-02-2025</c:v>
                </c:pt>
                <c:pt idx="292">
                  <c:v>19-02-2025</c:v>
                </c:pt>
                <c:pt idx="293">
                  <c:v>18-02-2025</c:v>
                </c:pt>
                <c:pt idx="294">
                  <c:v>17-02-2025</c:v>
                </c:pt>
                <c:pt idx="295">
                  <c:v>14-02-2025</c:v>
                </c:pt>
                <c:pt idx="296">
                  <c:v>13-02-2025</c:v>
                </c:pt>
                <c:pt idx="297">
                  <c:v>12/2/2025</c:v>
                </c:pt>
                <c:pt idx="298">
                  <c:v>11/2/2025</c:v>
                </c:pt>
                <c:pt idx="299">
                  <c:v>10/2/2025</c:v>
                </c:pt>
                <c:pt idx="300">
                  <c:v>7/2/2025</c:v>
                </c:pt>
                <c:pt idx="301">
                  <c:v>6/2/2025</c:v>
                </c:pt>
                <c:pt idx="302">
                  <c:v>5/2/2025</c:v>
                </c:pt>
                <c:pt idx="303">
                  <c:v>4/2/2025</c:v>
                </c:pt>
                <c:pt idx="304">
                  <c:v>3/2/2025</c:v>
                </c:pt>
                <c:pt idx="305">
                  <c:v>1/2/2025</c:v>
                </c:pt>
                <c:pt idx="306">
                  <c:v>31-01-2025</c:v>
                </c:pt>
                <c:pt idx="307">
                  <c:v>30-01-2025</c:v>
                </c:pt>
                <c:pt idx="308">
                  <c:v>29-01-2025</c:v>
                </c:pt>
                <c:pt idx="309">
                  <c:v>28-01-2025</c:v>
                </c:pt>
                <c:pt idx="310">
                  <c:v>27-01-2025</c:v>
                </c:pt>
                <c:pt idx="311">
                  <c:v>24-01-2025</c:v>
                </c:pt>
                <c:pt idx="312">
                  <c:v>23-01-2025</c:v>
                </c:pt>
                <c:pt idx="313">
                  <c:v>22-01-2025</c:v>
                </c:pt>
                <c:pt idx="314">
                  <c:v>21-01-2025</c:v>
                </c:pt>
                <c:pt idx="315">
                  <c:v>20-01-2025</c:v>
                </c:pt>
                <c:pt idx="316">
                  <c:v>17-01-2025</c:v>
                </c:pt>
                <c:pt idx="317">
                  <c:v>16-01-2025</c:v>
                </c:pt>
                <c:pt idx="318">
                  <c:v>15-01-2025</c:v>
                </c:pt>
                <c:pt idx="319">
                  <c:v>14-01-2025</c:v>
                </c:pt>
                <c:pt idx="320">
                  <c:v>13-01-2025</c:v>
                </c:pt>
                <c:pt idx="321">
                  <c:v>10/1/2025</c:v>
                </c:pt>
                <c:pt idx="322">
                  <c:v>9/1/2025</c:v>
                </c:pt>
                <c:pt idx="323">
                  <c:v>8/1/2025</c:v>
                </c:pt>
                <c:pt idx="324">
                  <c:v>7/1/2025</c:v>
                </c:pt>
                <c:pt idx="325">
                  <c:v>6/1/2025</c:v>
                </c:pt>
                <c:pt idx="326">
                  <c:v>3/1/2025</c:v>
                </c:pt>
                <c:pt idx="327">
                  <c:v>2/1/2025</c:v>
                </c:pt>
                <c:pt idx="328">
                  <c:v>1/1/2025</c:v>
                </c:pt>
                <c:pt idx="329">
                  <c:v>31-12-2024</c:v>
                </c:pt>
                <c:pt idx="330">
                  <c:v>30-12-2024</c:v>
                </c:pt>
                <c:pt idx="331">
                  <c:v>27-12-2024</c:v>
                </c:pt>
                <c:pt idx="332">
                  <c:v>26-12-2024</c:v>
                </c:pt>
                <c:pt idx="333">
                  <c:v>24-12-2024</c:v>
                </c:pt>
                <c:pt idx="334">
                  <c:v>23-12-2024</c:v>
                </c:pt>
                <c:pt idx="335">
                  <c:v>20-12-2024</c:v>
                </c:pt>
                <c:pt idx="336">
                  <c:v>19-12-2024</c:v>
                </c:pt>
                <c:pt idx="337">
                  <c:v>18-12-2024</c:v>
                </c:pt>
                <c:pt idx="338">
                  <c:v>17-12-2024</c:v>
                </c:pt>
                <c:pt idx="339">
                  <c:v>16-12-2024</c:v>
                </c:pt>
                <c:pt idx="340">
                  <c:v>13-12-2024</c:v>
                </c:pt>
                <c:pt idx="341">
                  <c:v>12/12/2024</c:v>
                </c:pt>
                <c:pt idx="342">
                  <c:v>11/12/2024</c:v>
                </c:pt>
                <c:pt idx="343">
                  <c:v>10/12/2024</c:v>
                </c:pt>
                <c:pt idx="344">
                  <c:v>9/12/2024</c:v>
                </c:pt>
                <c:pt idx="345">
                  <c:v>6/12/2024</c:v>
                </c:pt>
                <c:pt idx="346">
                  <c:v>5/12/2024</c:v>
                </c:pt>
                <c:pt idx="347">
                  <c:v>4/12/2024</c:v>
                </c:pt>
                <c:pt idx="348">
                  <c:v>3/12/2024</c:v>
                </c:pt>
                <c:pt idx="349">
                  <c:v>2/12/2024</c:v>
                </c:pt>
                <c:pt idx="350">
                  <c:v>29-11-2024</c:v>
                </c:pt>
                <c:pt idx="351">
                  <c:v>28-11-2024</c:v>
                </c:pt>
                <c:pt idx="352">
                  <c:v>27-11-2024</c:v>
                </c:pt>
                <c:pt idx="353">
                  <c:v>26-11-2024</c:v>
                </c:pt>
                <c:pt idx="354">
                  <c:v>25-11-2024</c:v>
                </c:pt>
                <c:pt idx="355">
                  <c:v>22-11-2024</c:v>
                </c:pt>
                <c:pt idx="356">
                  <c:v>21-11-2024</c:v>
                </c:pt>
                <c:pt idx="357">
                  <c:v>19-11-2024</c:v>
                </c:pt>
                <c:pt idx="358">
                  <c:v>18-11-2024</c:v>
                </c:pt>
                <c:pt idx="359">
                  <c:v>14-11-2024</c:v>
                </c:pt>
                <c:pt idx="360">
                  <c:v>13-11-2024</c:v>
                </c:pt>
                <c:pt idx="361">
                  <c:v>12/11/2024</c:v>
                </c:pt>
                <c:pt idx="362">
                  <c:v>11/11/2024</c:v>
                </c:pt>
                <c:pt idx="363">
                  <c:v>8/11/2024</c:v>
                </c:pt>
                <c:pt idx="364">
                  <c:v>7/11/2024</c:v>
                </c:pt>
                <c:pt idx="365">
                  <c:v>6/11/2024</c:v>
                </c:pt>
                <c:pt idx="366">
                  <c:v>5/11/2024</c:v>
                </c:pt>
                <c:pt idx="367">
                  <c:v>4/11/2024</c:v>
                </c:pt>
                <c:pt idx="368">
                  <c:v>1/11/2024</c:v>
                </c:pt>
                <c:pt idx="369">
                  <c:v>31-10-2024</c:v>
                </c:pt>
                <c:pt idx="370">
                  <c:v>30-10-2024</c:v>
                </c:pt>
                <c:pt idx="371">
                  <c:v>29-10-2024</c:v>
                </c:pt>
                <c:pt idx="372">
                  <c:v>28-10-2024</c:v>
                </c:pt>
                <c:pt idx="373">
                  <c:v>25-10-2024</c:v>
                </c:pt>
                <c:pt idx="374">
                  <c:v>24-10-2024</c:v>
                </c:pt>
                <c:pt idx="375">
                  <c:v>23-10-2024</c:v>
                </c:pt>
                <c:pt idx="376">
                  <c:v>22-10-2024</c:v>
                </c:pt>
                <c:pt idx="377">
                  <c:v>21-10-2024</c:v>
                </c:pt>
                <c:pt idx="378">
                  <c:v>18-10-2024</c:v>
                </c:pt>
                <c:pt idx="379">
                  <c:v>17-10-2024</c:v>
                </c:pt>
                <c:pt idx="380">
                  <c:v>16-10-2024</c:v>
                </c:pt>
                <c:pt idx="381">
                  <c:v>15-10-2024</c:v>
                </c:pt>
                <c:pt idx="382">
                  <c:v>14-10-2024</c:v>
                </c:pt>
                <c:pt idx="383">
                  <c:v>11/10/2024</c:v>
                </c:pt>
                <c:pt idx="384">
                  <c:v>10/10/2024</c:v>
                </c:pt>
                <c:pt idx="385">
                  <c:v>9/10/2024</c:v>
                </c:pt>
                <c:pt idx="386">
                  <c:v>8/10/2024</c:v>
                </c:pt>
                <c:pt idx="387">
                  <c:v>7/10/2024</c:v>
                </c:pt>
                <c:pt idx="388">
                  <c:v>4/10/2024</c:v>
                </c:pt>
                <c:pt idx="389">
                  <c:v>3/10/2024</c:v>
                </c:pt>
                <c:pt idx="390">
                  <c:v>1/10/2024</c:v>
                </c:pt>
                <c:pt idx="391">
                  <c:v>30-09-2024</c:v>
                </c:pt>
                <c:pt idx="392">
                  <c:v>27-09-2024</c:v>
                </c:pt>
                <c:pt idx="393">
                  <c:v>26-09-2024</c:v>
                </c:pt>
                <c:pt idx="394">
                  <c:v>25-09-2024</c:v>
                </c:pt>
                <c:pt idx="395">
                  <c:v>24-09-2024</c:v>
                </c:pt>
                <c:pt idx="396">
                  <c:v>23-09-2024</c:v>
                </c:pt>
                <c:pt idx="397">
                  <c:v>20-09-2024</c:v>
                </c:pt>
                <c:pt idx="398">
                  <c:v>19-09-2024</c:v>
                </c:pt>
                <c:pt idx="399">
                  <c:v>18-09-2024</c:v>
                </c:pt>
                <c:pt idx="400">
                  <c:v>17-09-2024</c:v>
                </c:pt>
                <c:pt idx="401">
                  <c:v>16-09-2024</c:v>
                </c:pt>
                <c:pt idx="402">
                  <c:v>13-09-2024</c:v>
                </c:pt>
                <c:pt idx="403">
                  <c:v>12/9/2024</c:v>
                </c:pt>
                <c:pt idx="404">
                  <c:v>11/9/2024</c:v>
                </c:pt>
                <c:pt idx="405">
                  <c:v>10/9/2024</c:v>
                </c:pt>
                <c:pt idx="406">
                  <c:v>9/9/2024</c:v>
                </c:pt>
                <c:pt idx="407">
                  <c:v>6/9/2024</c:v>
                </c:pt>
                <c:pt idx="408">
                  <c:v>5/9/2024</c:v>
                </c:pt>
                <c:pt idx="409">
                  <c:v>4/9/2024</c:v>
                </c:pt>
                <c:pt idx="410">
                  <c:v>3/9/2024</c:v>
                </c:pt>
                <c:pt idx="411">
                  <c:v>2/9/2024</c:v>
                </c:pt>
                <c:pt idx="412">
                  <c:v>30-08-2024</c:v>
                </c:pt>
                <c:pt idx="413">
                  <c:v>29-08-2024</c:v>
                </c:pt>
                <c:pt idx="414">
                  <c:v>28-08-2024</c:v>
                </c:pt>
                <c:pt idx="415">
                  <c:v>27-08-2024</c:v>
                </c:pt>
                <c:pt idx="416">
                  <c:v>26-08-2024</c:v>
                </c:pt>
                <c:pt idx="417">
                  <c:v>23-08-2024</c:v>
                </c:pt>
                <c:pt idx="418">
                  <c:v>22-08-2024</c:v>
                </c:pt>
                <c:pt idx="419">
                  <c:v>21-08-2024</c:v>
                </c:pt>
                <c:pt idx="420">
                  <c:v>20-08-2024</c:v>
                </c:pt>
                <c:pt idx="421">
                  <c:v>19-08-2024</c:v>
                </c:pt>
                <c:pt idx="422">
                  <c:v>16-08-2024</c:v>
                </c:pt>
                <c:pt idx="423">
                  <c:v>14-08-2024</c:v>
                </c:pt>
                <c:pt idx="424">
                  <c:v>13-08-2024</c:v>
                </c:pt>
                <c:pt idx="425">
                  <c:v>12/8/2024</c:v>
                </c:pt>
                <c:pt idx="426">
                  <c:v>9/8/2024</c:v>
                </c:pt>
                <c:pt idx="427">
                  <c:v>8/8/2024</c:v>
                </c:pt>
                <c:pt idx="428">
                  <c:v>7/8/2024</c:v>
                </c:pt>
                <c:pt idx="429">
                  <c:v>6/8/2024</c:v>
                </c:pt>
                <c:pt idx="430">
                  <c:v>5/8/2024</c:v>
                </c:pt>
                <c:pt idx="431">
                  <c:v>2/8/2024</c:v>
                </c:pt>
                <c:pt idx="432">
                  <c:v>1/8/2024</c:v>
                </c:pt>
                <c:pt idx="433">
                  <c:v>31-07-2024</c:v>
                </c:pt>
                <c:pt idx="434">
                  <c:v>30-07-2024</c:v>
                </c:pt>
                <c:pt idx="435">
                  <c:v>29-07-2024</c:v>
                </c:pt>
                <c:pt idx="436">
                  <c:v>26-07-2024</c:v>
                </c:pt>
                <c:pt idx="437">
                  <c:v>25-07-2024</c:v>
                </c:pt>
                <c:pt idx="438">
                  <c:v>24-07-2024</c:v>
                </c:pt>
                <c:pt idx="439">
                  <c:v>23-07-2024</c:v>
                </c:pt>
                <c:pt idx="440">
                  <c:v>22-07-2024</c:v>
                </c:pt>
                <c:pt idx="441">
                  <c:v>19-07-2024</c:v>
                </c:pt>
                <c:pt idx="442">
                  <c:v>18-07-2024</c:v>
                </c:pt>
                <c:pt idx="443">
                  <c:v>16-07-2024</c:v>
                </c:pt>
                <c:pt idx="444">
                  <c:v>15-07-2024</c:v>
                </c:pt>
                <c:pt idx="445">
                  <c:v>12/7/2024</c:v>
                </c:pt>
                <c:pt idx="446">
                  <c:v>11/7/2024</c:v>
                </c:pt>
                <c:pt idx="447">
                  <c:v>10/7/2024</c:v>
                </c:pt>
                <c:pt idx="448">
                  <c:v>9/7/2024</c:v>
                </c:pt>
                <c:pt idx="449">
                  <c:v>8/7/2024</c:v>
                </c:pt>
                <c:pt idx="450">
                  <c:v>5/7/2024</c:v>
                </c:pt>
                <c:pt idx="451">
                  <c:v>4/7/2024</c:v>
                </c:pt>
                <c:pt idx="452">
                  <c:v>3/7/2024</c:v>
                </c:pt>
                <c:pt idx="453">
                  <c:v>2/7/2024</c:v>
                </c:pt>
                <c:pt idx="454">
                  <c:v>1/7/2024</c:v>
                </c:pt>
                <c:pt idx="455">
                  <c:v>28-06-2024</c:v>
                </c:pt>
                <c:pt idx="456">
                  <c:v>27-06-2024</c:v>
                </c:pt>
                <c:pt idx="457">
                  <c:v>26-06-2024</c:v>
                </c:pt>
                <c:pt idx="458">
                  <c:v>25-06-2024</c:v>
                </c:pt>
                <c:pt idx="459">
                  <c:v>24-06-2024</c:v>
                </c:pt>
                <c:pt idx="460">
                  <c:v>21-06-2024</c:v>
                </c:pt>
                <c:pt idx="461">
                  <c:v>20-06-2024</c:v>
                </c:pt>
                <c:pt idx="462">
                  <c:v>19-06-2024</c:v>
                </c:pt>
                <c:pt idx="463">
                  <c:v>18-06-2024</c:v>
                </c:pt>
                <c:pt idx="464">
                  <c:v>14-06-2024</c:v>
                </c:pt>
                <c:pt idx="465">
                  <c:v>13-06-2024</c:v>
                </c:pt>
                <c:pt idx="466">
                  <c:v>12/6/2024</c:v>
                </c:pt>
                <c:pt idx="467">
                  <c:v>11/6/2024</c:v>
                </c:pt>
                <c:pt idx="468">
                  <c:v>10/6/2024</c:v>
                </c:pt>
                <c:pt idx="469">
                  <c:v>7/6/2024</c:v>
                </c:pt>
                <c:pt idx="470">
                  <c:v>6/6/2024</c:v>
                </c:pt>
                <c:pt idx="471">
                  <c:v>5/6/2024</c:v>
                </c:pt>
                <c:pt idx="472">
                  <c:v>4/6/2024</c:v>
                </c:pt>
                <c:pt idx="473">
                  <c:v>3/6/2024</c:v>
                </c:pt>
                <c:pt idx="474">
                  <c:v>31-05-2024</c:v>
                </c:pt>
                <c:pt idx="475">
                  <c:v>30-05-2024</c:v>
                </c:pt>
                <c:pt idx="476">
                  <c:v>29-05-2024</c:v>
                </c:pt>
                <c:pt idx="477">
                  <c:v>28-05-2024</c:v>
                </c:pt>
                <c:pt idx="478">
                  <c:v>27-05-2024</c:v>
                </c:pt>
                <c:pt idx="479">
                  <c:v>24-05-2024</c:v>
                </c:pt>
                <c:pt idx="480">
                  <c:v>23-05-2024</c:v>
                </c:pt>
                <c:pt idx="481">
                  <c:v>22-05-2024</c:v>
                </c:pt>
                <c:pt idx="482">
                  <c:v>21-05-2024</c:v>
                </c:pt>
                <c:pt idx="483">
                  <c:v>18-05-2024</c:v>
                </c:pt>
                <c:pt idx="484">
                  <c:v>17-05-2024</c:v>
                </c:pt>
                <c:pt idx="485">
                  <c:v>16-05-2024</c:v>
                </c:pt>
                <c:pt idx="486">
                  <c:v>15-05-2024</c:v>
                </c:pt>
                <c:pt idx="487">
                  <c:v>14-05-2024</c:v>
                </c:pt>
                <c:pt idx="488">
                  <c:v>13-05-2024</c:v>
                </c:pt>
                <c:pt idx="489">
                  <c:v>10/5/2024</c:v>
                </c:pt>
                <c:pt idx="490">
                  <c:v>9/5/2024</c:v>
                </c:pt>
                <c:pt idx="491">
                  <c:v>8/5/2024</c:v>
                </c:pt>
                <c:pt idx="492">
                  <c:v>7/5/2024</c:v>
                </c:pt>
                <c:pt idx="493">
                  <c:v>6/5/2024</c:v>
                </c:pt>
                <c:pt idx="494">
                  <c:v>3/5/2024</c:v>
                </c:pt>
                <c:pt idx="495">
                  <c:v>2/5/2024</c:v>
                </c:pt>
                <c:pt idx="496">
                  <c:v>30-04-2024</c:v>
                </c:pt>
                <c:pt idx="497">
                  <c:v>29-04-2024</c:v>
                </c:pt>
                <c:pt idx="498">
                  <c:v>26-04-2024</c:v>
                </c:pt>
                <c:pt idx="499">
                  <c:v>25-04-2024</c:v>
                </c:pt>
                <c:pt idx="500">
                  <c:v>24-04-2024</c:v>
                </c:pt>
                <c:pt idx="501">
                  <c:v>23-04-2024</c:v>
                </c:pt>
                <c:pt idx="502">
                  <c:v>22-04-2024</c:v>
                </c:pt>
                <c:pt idx="503">
                  <c:v>19-04-2024</c:v>
                </c:pt>
                <c:pt idx="504">
                  <c:v>18-04-2024</c:v>
                </c:pt>
                <c:pt idx="505">
                  <c:v>16-04-2024</c:v>
                </c:pt>
                <c:pt idx="506">
                  <c:v>15-04-2024</c:v>
                </c:pt>
                <c:pt idx="507">
                  <c:v>12/4/2024</c:v>
                </c:pt>
                <c:pt idx="508">
                  <c:v>10/4/2024</c:v>
                </c:pt>
                <c:pt idx="509">
                  <c:v>9/4/2024</c:v>
                </c:pt>
                <c:pt idx="510">
                  <c:v>8/4/2024</c:v>
                </c:pt>
                <c:pt idx="511">
                  <c:v>5/4/2024</c:v>
                </c:pt>
                <c:pt idx="512">
                  <c:v>4/4/2024</c:v>
                </c:pt>
                <c:pt idx="513">
                  <c:v>3/4/2024</c:v>
                </c:pt>
                <c:pt idx="514">
                  <c:v>2/4/2024</c:v>
                </c:pt>
                <c:pt idx="515">
                  <c:v>1/4/2024</c:v>
                </c:pt>
                <c:pt idx="516">
                  <c:v>28-03-2024</c:v>
                </c:pt>
                <c:pt idx="517">
                  <c:v>27-03-2024</c:v>
                </c:pt>
                <c:pt idx="518">
                  <c:v>26-03-2024</c:v>
                </c:pt>
                <c:pt idx="519">
                  <c:v>22-03-2024</c:v>
                </c:pt>
                <c:pt idx="520">
                  <c:v>21-03-2024</c:v>
                </c:pt>
                <c:pt idx="521">
                  <c:v>20-03-2024</c:v>
                </c:pt>
                <c:pt idx="522">
                  <c:v>19-03-2024</c:v>
                </c:pt>
                <c:pt idx="523">
                  <c:v>18-03-2024</c:v>
                </c:pt>
                <c:pt idx="524">
                  <c:v>15-03-2024</c:v>
                </c:pt>
                <c:pt idx="525">
                  <c:v>14-03-2024</c:v>
                </c:pt>
                <c:pt idx="526">
                  <c:v>13-03-2024</c:v>
                </c:pt>
                <c:pt idx="527">
                  <c:v>12/3/2024</c:v>
                </c:pt>
                <c:pt idx="528">
                  <c:v>11/3/2024</c:v>
                </c:pt>
                <c:pt idx="529">
                  <c:v>7/3/2024</c:v>
                </c:pt>
                <c:pt idx="530">
                  <c:v>6/3/2024</c:v>
                </c:pt>
                <c:pt idx="531">
                  <c:v>5/3/2024</c:v>
                </c:pt>
                <c:pt idx="532">
                  <c:v>4/3/2024</c:v>
                </c:pt>
                <c:pt idx="533">
                  <c:v>2/3/2024</c:v>
                </c:pt>
                <c:pt idx="534">
                  <c:v>1/3/2024</c:v>
                </c:pt>
                <c:pt idx="535">
                  <c:v>29-02-2024</c:v>
                </c:pt>
                <c:pt idx="536">
                  <c:v>28-02-2024</c:v>
                </c:pt>
                <c:pt idx="537">
                  <c:v>27-02-2024</c:v>
                </c:pt>
                <c:pt idx="538">
                  <c:v>26-02-2024</c:v>
                </c:pt>
                <c:pt idx="539">
                  <c:v>23-02-2024</c:v>
                </c:pt>
                <c:pt idx="540">
                  <c:v>22-02-2024</c:v>
                </c:pt>
                <c:pt idx="541">
                  <c:v>21-02-2024</c:v>
                </c:pt>
                <c:pt idx="542">
                  <c:v>20-02-2024</c:v>
                </c:pt>
                <c:pt idx="543">
                  <c:v>19-02-2024</c:v>
                </c:pt>
                <c:pt idx="544">
                  <c:v>16-02-2024</c:v>
                </c:pt>
                <c:pt idx="545">
                  <c:v>15-02-2024</c:v>
                </c:pt>
                <c:pt idx="546">
                  <c:v>14-02-2024</c:v>
                </c:pt>
                <c:pt idx="547">
                  <c:v>13-02-2024</c:v>
                </c:pt>
                <c:pt idx="548">
                  <c:v>12/2/2024</c:v>
                </c:pt>
                <c:pt idx="549">
                  <c:v>9/2/2024</c:v>
                </c:pt>
                <c:pt idx="550">
                  <c:v>8/2/2024</c:v>
                </c:pt>
                <c:pt idx="551">
                  <c:v>7/2/2024</c:v>
                </c:pt>
                <c:pt idx="552">
                  <c:v>6/2/2024</c:v>
                </c:pt>
                <c:pt idx="553">
                  <c:v>5/2/2024</c:v>
                </c:pt>
                <c:pt idx="554">
                  <c:v>2/2/2024</c:v>
                </c:pt>
                <c:pt idx="555">
                  <c:v>1/2/2024</c:v>
                </c:pt>
                <c:pt idx="556">
                  <c:v>31-01-2024</c:v>
                </c:pt>
                <c:pt idx="557">
                  <c:v>30-01-2024</c:v>
                </c:pt>
                <c:pt idx="558">
                  <c:v>29-01-2024</c:v>
                </c:pt>
                <c:pt idx="559">
                  <c:v>25-01-2024</c:v>
                </c:pt>
                <c:pt idx="560">
                  <c:v>24-01-2024</c:v>
                </c:pt>
                <c:pt idx="561">
                  <c:v>23-01-2024</c:v>
                </c:pt>
                <c:pt idx="562">
                  <c:v>20-01-2024</c:v>
                </c:pt>
                <c:pt idx="563">
                  <c:v>19-01-2024</c:v>
                </c:pt>
                <c:pt idx="564">
                  <c:v>18-01-2024</c:v>
                </c:pt>
                <c:pt idx="565">
                  <c:v>17-01-2024</c:v>
                </c:pt>
                <c:pt idx="566">
                  <c:v>16-01-2024</c:v>
                </c:pt>
                <c:pt idx="567">
                  <c:v>15-01-2024</c:v>
                </c:pt>
                <c:pt idx="568">
                  <c:v>12/1/2024</c:v>
                </c:pt>
                <c:pt idx="569">
                  <c:v>11/1/2024</c:v>
                </c:pt>
                <c:pt idx="570">
                  <c:v>10/1/2024</c:v>
                </c:pt>
                <c:pt idx="571">
                  <c:v>9/1/2024</c:v>
                </c:pt>
                <c:pt idx="572">
                  <c:v>8/1/2024</c:v>
                </c:pt>
                <c:pt idx="573">
                  <c:v>5/1/2024</c:v>
                </c:pt>
                <c:pt idx="574">
                  <c:v>4/1/2024</c:v>
                </c:pt>
                <c:pt idx="575">
                  <c:v>3/1/2024</c:v>
                </c:pt>
                <c:pt idx="576">
                  <c:v>2/1/2024</c:v>
                </c:pt>
                <c:pt idx="577">
                  <c:v>1/1/2024</c:v>
                </c:pt>
                <c:pt idx="578">
                  <c:v>29-12-2023</c:v>
                </c:pt>
                <c:pt idx="579">
                  <c:v>28-12-2023</c:v>
                </c:pt>
                <c:pt idx="580">
                  <c:v>27-12-2023</c:v>
                </c:pt>
                <c:pt idx="581">
                  <c:v>26-12-2023</c:v>
                </c:pt>
                <c:pt idx="582">
                  <c:v>22-12-2023</c:v>
                </c:pt>
                <c:pt idx="583">
                  <c:v>21-12-2023</c:v>
                </c:pt>
                <c:pt idx="584">
                  <c:v>20-12-2023</c:v>
                </c:pt>
                <c:pt idx="585">
                  <c:v>19-12-2023</c:v>
                </c:pt>
                <c:pt idx="586">
                  <c:v>18-12-2023</c:v>
                </c:pt>
                <c:pt idx="587">
                  <c:v>15-12-2023</c:v>
                </c:pt>
                <c:pt idx="588">
                  <c:v>14-12-2023</c:v>
                </c:pt>
                <c:pt idx="589">
                  <c:v>13-12-2023</c:v>
                </c:pt>
                <c:pt idx="590">
                  <c:v>12/12/2023</c:v>
                </c:pt>
                <c:pt idx="591">
                  <c:v>11/12/2023</c:v>
                </c:pt>
                <c:pt idx="592">
                  <c:v>8/12/2023</c:v>
                </c:pt>
                <c:pt idx="593">
                  <c:v>7/12/2023</c:v>
                </c:pt>
                <c:pt idx="594">
                  <c:v>6/12/2023</c:v>
                </c:pt>
                <c:pt idx="595">
                  <c:v>5/12/2023</c:v>
                </c:pt>
                <c:pt idx="596">
                  <c:v>4/12/2023</c:v>
                </c:pt>
                <c:pt idx="597">
                  <c:v>1/12/2023</c:v>
                </c:pt>
                <c:pt idx="598">
                  <c:v>30-11-2023</c:v>
                </c:pt>
                <c:pt idx="599">
                  <c:v>29-11-2023</c:v>
                </c:pt>
                <c:pt idx="600">
                  <c:v>28-11-2023</c:v>
                </c:pt>
                <c:pt idx="601">
                  <c:v>24-11-2023</c:v>
                </c:pt>
                <c:pt idx="602">
                  <c:v>23-11-2023</c:v>
                </c:pt>
                <c:pt idx="603">
                  <c:v>22-11-2023</c:v>
                </c:pt>
                <c:pt idx="604">
                  <c:v>21-11-2023</c:v>
                </c:pt>
                <c:pt idx="605">
                  <c:v>20-11-2023</c:v>
                </c:pt>
                <c:pt idx="606">
                  <c:v>17-11-2023</c:v>
                </c:pt>
                <c:pt idx="607">
                  <c:v>16-11-2023</c:v>
                </c:pt>
                <c:pt idx="608">
                  <c:v>15-11-2023</c:v>
                </c:pt>
                <c:pt idx="609">
                  <c:v>13-11-2023</c:v>
                </c:pt>
                <c:pt idx="610">
                  <c:v>12/11/2023</c:v>
                </c:pt>
                <c:pt idx="611">
                  <c:v>10/11/2023</c:v>
                </c:pt>
                <c:pt idx="612">
                  <c:v>9/11/2023</c:v>
                </c:pt>
                <c:pt idx="613">
                  <c:v>8/11/2023</c:v>
                </c:pt>
                <c:pt idx="614">
                  <c:v>7/11/2023</c:v>
                </c:pt>
                <c:pt idx="615">
                  <c:v>6/11/2023</c:v>
                </c:pt>
                <c:pt idx="616">
                  <c:v>3/11/2023</c:v>
                </c:pt>
                <c:pt idx="617">
                  <c:v>2/11/2023</c:v>
                </c:pt>
                <c:pt idx="618">
                  <c:v>1/11/2023</c:v>
                </c:pt>
                <c:pt idx="619">
                  <c:v>31-10-2023</c:v>
                </c:pt>
                <c:pt idx="620">
                  <c:v>30-10-2023</c:v>
                </c:pt>
                <c:pt idx="621">
                  <c:v>27-10-2023</c:v>
                </c:pt>
                <c:pt idx="622">
                  <c:v>26-10-2023</c:v>
                </c:pt>
                <c:pt idx="623">
                  <c:v>25-10-2023</c:v>
                </c:pt>
                <c:pt idx="624">
                  <c:v>23-10-2023</c:v>
                </c:pt>
                <c:pt idx="625">
                  <c:v>20-10-2023</c:v>
                </c:pt>
                <c:pt idx="626">
                  <c:v>19-10-2023</c:v>
                </c:pt>
                <c:pt idx="627">
                  <c:v>18-10-2023</c:v>
                </c:pt>
                <c:pt idx="628">
                  <c:v>17-10-2023</c:v>
                </c:pt>
                <c:pt idx="629">
                  <c:v>16-10-2023</c:v>
                </c:pt>
                <c:pt idx="630">
                  <c:v>13-10-2023</c:v>
                </c:pt>
                <c:pt idx="631">
                  <c:v>12/10/2023</c:v>
                </c:pt>
                <c:pt idx="632">
                  <c:v>11/10/2023</c:v>
                </c:pt>
                <c:pt idx="633">
                  <c:v>10/10/2023</c:v>
                </c:pt>
                <c:pt idx="634">
                  <c:v>9/10/2023</c:v>
                </c:pt>
                <c:pt idx="635">
                  <c:v>6/10/2023</c:v>
                </c:pt>
                <c:pt idx="636">
                  <c:v>5/10/2023</c:v>
                </c:pt>
                <c:pt idx="637">
                  <c:v>4/10/2023</c:v>
                </c:pt>
                <c:pt idx="638">
                  <c:v>3/10/2023</c:v>
                </c:pt>
                <c:pt idx="639">
                  <c:v>29-09-2023</c:v>
                </c:pt>
                <c:pt idx="640">
                  <c:v>28-09-2023</c:v>
                </c:pt>
                <c:pt idx="641">
                  <c:v>27-09-2023</c:v>
                </c:pt>
                <c:pt idx="642">
                  <c:v>26-09-2023</c:v>
                </c:pt>
                <c:pt idx="643">
                  <c:v>25-09-2023</c:v>
                </c:pt>
                <c:pt idx="644">
                  <c:v>22-09-2023</c:v>
                </c:pt>
                <c:pt idx="645">
                  <c:v>21-09-2023</c:v>
                </c:pt>
                <c:pt idx="646">
                  <c:v>20-09-2023</c:v>
                </c:pt>
                <c:pt idx="647">
                  <c:v>18-09-2023</c:v>
                </c:pt>
                <c:pt idx="648">
                  <c:v>15-09-2023</c:v>
                </c:pt>
                <c:pt idx="649">
                  <c:v>14-09-2023</c:v>
                </c:pt>
                <c:pt idx="650">
                  <c:v>13-09-2023</c:v>
                </c:pt>
                <c:pt idx="651">
                  <c:v>12/9/2023</c:v>
                </c:pt>
                <c:pt idx="652">
                  <c:v>11/9/2023</c:v>
                </c:pt>
                <c:pt idx="653">
                  <c:v>8/9/2023</c:v>
                </c:pt>
                <c:pt idx="654">
                  <c:v>7/9/2023</c:v>
                </c:pt>
                <c:pt idx="655">
                  <c:v>6/9/2023</c:v>
                </c:pt>
                <c:pt idx="656">
                  <c:v>5/9/2023</c:v>
                </c:pt>
                <c:pt idx="657">
                  <c:v>4/9/2023</c:v>
                </c:pt>
                <c:pt idx="658">
                  <c:v>1/9/2023</c:v>
                </c:pt>
                <c:pt idx="659">
                  <c:v>31-08-2023</c:v>
                </c:pt>
                <c:pt idx="660">
                  <c:v>30-08-2023</c:v>
                </c:pt>
                <c:pt idx="661">
                  <c:v>29-08-2023</c:v>
                </c:pt>
                <c:pt idx="662">
                  <c:v>28-08-2023</c:v>
                </c:pt>
                <c:pt idx="663">
                  <c:v>25-08-2023</c:v>
                </c:pt>
                <c:pt idx="664">
                  <c:v>24-08-2023</c:v>
                </c:pt>
                <c:pt idx="665">
                  <c:v>23-08-2023</c:v>
                </c:pt>
                <c:pt idx="666">
                  <c:v>22-08-2023</c:v>
                </c:pt>
                <c:pt idx="667">
                  <c:v>21-08-2023</c:v>
                </c:pt>
                <c:pt idx="668">
                  <c:v>18-08-2023</c:v>
                </c:pt>
                <c:pt idx="669">
                  <c:v>17-08-2023</c:v>
                </c:pt>
                <c:pt idx="670">
                  <c:v>16-08-2023</c:v>
                </c:pt>
                <c:pt idx="671">
                  <c:v>14-08-2023</c:v>
                </c:pt>
                <c:pt idx="672">
                  <c:v>11/8/2023</c:v>
                </c:pt>
                <c:pt idx="673">
                  <c:v>10/8/2023</c:v>
                </c:pt>
                <c:pt idx="674">
                  <c:v>9/8/2023</c:v>
                </c:pt>
                <c:pt idx="675">
                  <c:v>8/8/2023</c:v>
                </c:pt>
                <c:pt idx="676">
                  <c:v>7/8/2023</c:v>
                </c:pt>
                <c:pt idx="677">
                  <c:v>4/8/2023</c:v>
                </c:pt>
                <c:pt idx="678">
                  <c:v>3/8/2023</c:v>
                </c:pt>
                <c:pt idx="679">
                  <c:v>2/8/2023</c:v>
                </c:pt>
                <c:pt idx="680">
                  <c:v>1/8/2023</c:v>
                </c:pt>
                <c:pt idx="681">
                  <c:v>31-07-2023</c:v>
                </c:pt>
                <c:pt idx="682">
                  <c:v>28-07-2023</c:v>
                </c:pt>
                <c:pt idx="683">
                  <c:v>27-07-2023</c:v>
                </c:pt>
                <c:pt idx="684">
                  <c:v>26-07-2023</c:v>
                </c:pt>
                <c:pt idx="685">
                  <c:v>25-07-2023</c:v>
                </c:pt>
                <c:pt idx="686">
                  <c:v>24-07-2023</c:v>
                </c:pt>
                <c:pt idx="687">
                  <c:v>21-07-2023</c:v>
                </c:pt>
                <c:pt idx="688">
                  <c:v>20-07-2023</c:v>
                </c:pt>
                <c:pt idx="689">
                  <c:v>19-07-2023</c:v>
                </c:pt>
                <c:pt idx="690">
                  <c:v>18-07-2023</c:v>
                </c:pt>
                <c:pt idx="691">
                  <c:v>17-07-2023</c:v>
                </c:pt>
                <c:pt idx="692">
                  <c:v>14-07-2023</c:v>
                </c:pt>
                <c:pt idx="693">
                  <c:v>13-07-2023</c:v>
                </c:pt>
                <c:pt idx="694">
                  <c:v>12/7/2023</c:v>
                </c:pt>
                <c:pt idx="695">
                  <c:v>11/7/2023</c:v>
                </c:pt>
                <c:pt idx="696">
                  <c:v>10/7/2023</c:v>
                </c:pt>
                <c:pt idx="697">
                  <c:v>7/7/2023</c:v>
                </c:pt>
                <c:pt idx="698">
                  <c:v>6/7/2023</c:v>
                </c:pt>
                <c:pt idx="699">
                  <c:v>5/7/2023</c:v>
                </c:pt>
                <c:pt idx="700">
                  <c:v>4/7/2023</c:v>
                </c:pt>
                <c:pt idx="701">
                  <c:v>3/7/2023</c:v>
                </c:pt>
                <c:pt idx="702">
                  <c:v>30-06-2023</c:v>
                </c:pt>
                <c:pt idx="703">
                  <c:v>28-06-2023</c:v>
                </c:pt>
                <c:pt idx="704">
                  <c:v>27-06-2023</c:v>
                </c:pt>
                <c:pt idx="705">
                  <c:v>26-06-2023</c:v>
                </c:pt>
                <c:pt idx="706">
                  <c:v>23-06-2023</c:v>
                </c:pt>
                <c:pt idx="707">
                  <c:v>22-06-2023</c:v>
                </c:pt>
                <c:pt idx="708">
                  <c:v>21-06-2023</c:v>
                </c:pt>
                <c:pt idx="709">
                  <c:v>20-06-2023</c:v>
                </c:pt>
                <c:pt idx="710">
                  <c:v>19-06-2023</c:v>
                </c:pt>
                <c:pt idx="711">
                  <c:v>16-06-2023</c:v>
                </c:pt>
                <c:pt idx="712">
                  <c:v>15-06-2023</c:v>
                </c:pt>
                <c:pt idx="713">
                  <c:v>14-06-2023</c:v>
                </c:pt>
                <c:pt idx="714">
                  <c:v>13-06-2023</c:v>
                </c:pt>
                <c:pt idx="715">
                  <c:v>12/6/2023</c:v>
                </c:pt>
                <c:pt idx="716">
                  <c:v>9/6/2023</c:v>
                </c:pt>
                <c:pt idx="717">
                  <c:v>8/6/2023</c:v>
                </c:pt>
                <c:pt idx="718">
                  <c:v>7/6/2023</c:v>
                </c:pt>
                <c:pt idx="719">
                  <c:v>6/6/2023</c:v>
                </c:pt>
                <c:pt idx="720">
                  <c:v>5/6/2023</c:v>
                </c:pt>
                <c:pt idx="721">
                  <c:v>2/6/2023</c:v>
                </c:pt>
                <c:pt idx="722">
                  <c:v>1/6/2023</c:v>
                </c:pt>
                <c:pt idx="723">
                  <c:v>31-05-2023</c:v>
                </c:pt>
                <c:pt idx="724">
                  <c:v>30-05-2023</c:v>
                </c:pt>
                <c:pt idx="725">
                  <c:v>29-05-2023</c:v>
                </c:pt>
                <c:pt idx="726">
                  <c:v>26-05-2023</c:v>
                </c:pt>
                <c:pt idx="727">
                  <c:v>25-05-2023</c:v>
                </c:pt>
                <c:pt idx="728">
                  <c:v>24-05-2023</c:v>
                </c:pt>
                <c:pt idx="729">
                  <c:v>23-05-2023</c:v>
                </c:pt>
                <c:pt idx="730">
                  <c:v>22-05-2023</c:v>
                </c:pt>
                <c:pt idx="731">
                  <c:v>19-05-2023</c:v>
                </c:pt>
                <c:pt idx="732">
                  <c:v>18-05-2023</c:v>
                </c:pt>
                <c:pt idx="733">
                  <c:v>17-05-2023</c:v>
                </c:pt>
                <c:pt idx="734">
                  <c:v>16-05-2023</c:v>
                </c:pt>
                <c:pt idx="735">
                  <c:v>15-05-2023</c:v>
                </c:pt>
                <c:pt idx="736">
                  <c:v>12/5/2023</c:v>
                </c:pt>
                <c:pt idx="737">
                  <c:v>11/5/2023</c:v>
                </c:pt>
                <c:pt idx="738">
                  <c:v>10/5/2023</c:v>
                </c:pt>
                <c:pt idx="739">
                  <c:v>9/5/2023</c:v>
                </c:pt>
                <c:pt idx="740">
                  <c:v>8/5/2023</c:v>
                </c:pt>
                <c:pt idx="741">
                  <c:v>5/5/2023</c:v>
                </c:pt>
                <c:pt idx="742">
                  <c:v>4/5/2023</c:v>
                </c:pt>
                <c:pt idx="743">
                  <c:v>3/5/2023</c:v>
                </c:pt>
                <c:pt idx="744">
                  <c:v>2/5/2023</c:v>
                </c:pt>
                <c:pt idx="745">
                  <c:v>28-04-2023</c:v>
                </c:pt>
                <c:pt idx="746">
                  <c:v>27-04-2023</c:v>
                </c:pt>
                <c:pt idx="747">
                  <c:v>26-04-2023</c:v>
                </c:pt>
                <c:pt idx="748">
                  <c:v>25-04-2023</c:v>
                </c:pt>
                <c:pt idx="749">
                  <c:v>24-04-2023</c:v>
                </c:pt>
                <c:pt idx="750">
                  <c:v>21-04-2023</c:v>
                </c:pt>
                <c:pt idx="751">
                  <c:v>20-04-2023</c:v>
                </c:pt>
                <c:pt idx="752">
                  <c:v>19-04-2023</c:v>
                </c:pt>
                <c:pt idx="753">
                  <c:v>18-04-2023</c:v>
                </c:pt>
                <c:pt idx="754">
                  <c:v>17-04-2023</c:v>
                </c:pt>
                <c:pt idx="755">
                  <c:v>13-04-2023</c:v>
                </c:pt>
                <c:pt idx="756">
                  <c:v>12/4/2023</c:v>
                </c:pt>
                <c:pt idx="757">
                  <c:v>11/4/2023</c:v>
                </c:pt>
                <c:pt idx="758">
                  <c:v>10/4/2023</c:v>
                </c:pt>
                <c:pt idx="759">
                  <c:v>6/4/2023</c:v>
                </c:pt>
                <c:pt idx="760">
                  <c:v>5/4/2023</c:v>
                </c:pt>
                <c:pt idx="761">
                  <c:v>3/4/2023</c:v>
                </c:pt>
                <c:pt idx="762">
                  <c:v>31-03-2023</c:v>
                </c:pt>
                <c:pt idx="763">
                  <c:v>29-03-2023</c:v>
                </c:pt>
                <c:pt idx="764">
                  <c:v>28-03-2023</c:v>
                </c:pt>
                <c:pt idx="765">
                  <c:v>27-03-2023</c:v>
                </c:pt>
                <c:pt idx="766">
                  <c:v>24-03-2023</c:v>
                </c:pt>
                <c:pt idx="767">
                  <c:v>23-03-2023</c:v>
                </c:pt>
                <c:pt idx="768">
                  <c:v>22-03-2023</c:v>
                </c:pt>
                <c:pt idx="769">
                  <c:v>21-03-2023</c:v>
                </c:pt>
                <c:pt idx="770">
                  <c:v>20-03-2023</c:v>
                </c:pt>
                <c:pt idx="771">
                  <c:v>17-03-2023</c:v>
                </c:pt>
                <c:pt idx="772">
                  <c:v>16-03-2023</c:v>
                </c:pt>
                <c:pt idx="773">
                  <c:v>15-03-2023</c:v>
                </c:pt>
                <c:pt idx="774">
                  <c:v>14-03-2023</c:v>
                </c:pt>
                <c:pt idx="775">
                  <c:v>13-03-2023</c:v>
                </c:pt>
                <c:pt idx="776">
                  <c:v>10/3/2023</c:v>
                </c:pt>
                <c:pt idx="777">
                  <c:v>9/3/2023</c:v>
                </c:pt>
                <c:pt idx="778">
                  <c:v>8/3/2023</c:v>
                </c:pt>
                <c:pt idx="779">
                  <c:v>6/3/2023</c:v>
                </c:pt>
                <c:pt idx="780">
                  <c:v>3/3/2023</c:v>
                </c:pt>
                <c:pt idx="781">
                  <c:v>2/3/2023</c:v>
                </c:pt>
                <c:pt idx="782">
                  <c:v>1/3/2023</c:v>
                </c:pt>
                <c:pt idx="783">
                  <c:v>28-02-2023</c:v>
                </c:pt>
                <c:pt idx="784">
                  <c:v>27-02-2023</c:v>
                </c:pt>
                <c:pt idx="785">
                  <c:v>24-02-2023</c:v>
                </c:pt>
                <c:pt idx="786">
                  <c:v>23-02-2023</c:v>
                </c:pt>
                <c:pt idx="787">
                  <c:v>22-02-2023</c:v>
                </c:pt>
                <c:pt idx="788">
                  <c:v>21-02-2023</c:v>
                </c:pt>
                <c:pt idx="789">
                  <c:v>20-02-2023</c:v>
                </c:pt>
                <c:pt idx="790">
                  <c:v>17-02-2023</c:v>
                </c:pt>
                <c:pt idx="791">
                  <c:v>16-02-2023</c:v>
                </c:pt>
                <c:pt idx="792">
                  <c:v>15-02-2023</c:v>
                </c:pt>
                <c:pt idx="793">
                  <c:v>14-02-2023</c:v>
                </c:pt>
                <c:pt idx="794">
                  <c:v>13-02-2023</c:v>
                </c:pt>
                <c:pt idx="795">
                  <c:v>10/2/2023</c:v>
                </c:pt>
                <c:pt idx="796">
                  <c:v>9/2/2023</c:v>
                </c:pt>
                <c:pt idx="797">
                  <c:v>8/2/2023</c:v>
                </c:pt>
                <c:pt idx="798">
                  <c:v>7/2/2023</c:v>
                </c:pt>
                <c:pt idx="799">
                  <c:v>6/2/2023</c:v>
                </c:pt>
                <c:pt idx="800">
                  <c:v>3/2/2023</c:v>
                </c:pt>
                <c:pt idx="801">
                  <c:v>2/2/2023</c:v>
                </c:pt>
                <c:pt idx="802">
                  <c:v>1/2/2023</c:v>
                </c:pt>
                <c:pt idx="803">
                  <c:v>31-01-2023</c:v>
                </c:pt>
                <c:pt idx="804">
                  <c:v>30-01-2023</c:v>
                </c:pt>
                <c:pt idx="805">
                  <c:v>27-01-2023</c:v>
                </c:pt>
                <c:pt idx="806">
                  <c:v>25-01-2023</c:v>
                </c:pt>
                <c:pt idx="807">
                  <c:v>24-01-2023</c:v>
                </c:pt>
                <c:pt idx="808">
                  <c:v>23-01-2023</c:v>
                </c:pt>
                <c:pt idx="809">
                  <c:v>20-01-2023</c:v>
                </c:pt>
                <c:pt idx="810">
                  <c:v>19-01-2023</c:v>
                </c:pt>
                <c:pt idx="811">
                  <c:v>18-01-2023</c:v>
                </c:pt>
                <c:pt idx="812">
                  <c:v>17-01-2023</c:v>
                </c:pt>
                <c:pt idx="813">
                  <c:v>16-01-2023</c:v>
                </c:pt>
                <c:pt idx="814">
                  <c:v>13-01-2023</c:v>
                </c:pt>
                <c:pt idx="815">
                  <c:v>12/1/2023</c:v>
                </c:pt>
                <c:pt idx="816">
                  <c:v>11/1/2023</c:v>
                </c:pt>
                <c:pt idx="817">
                  <c:v>10/1/2023</c:v>
                </c:pt>
                <c:pt idx="818">
                  <c:v>9/1/2023</c:v>
                </c:pt>
                <c:pt idx="819">
                  <c:v>6/1/2023</c:v>
                </c:pt>
                <c:pt idx="820">
                  <c:v>5/1/2023</c:v>
                </c:pt>
                <c:pt idx="821">
                  <c:v>4/1/2023</c:v>
                </c:pt>
                <c:pt idx="822">
                  <c:v>3/1/2023</c:v>
                </c:pt>
                <c:pt idx="823">
                  <c:v>2/1/2023</c:v>
                </c:pt>
                <c:pt idx="824">
                  <c:v>30-12-2022</c:v>
                </c:pt>
                <c:pt idx="825">
                  <c:v>29-12-2022</c:v>
                </c:pt>
                <c:pt idx="826">
                  <c:v>28-12-2022</c:v>
                </c:pt>
                <c:pt idx="827">
                  <c:v>27-12-2022</c:v>
                </c:pt>
                <c:pt idx="828">
                  <c:v>26-12-2022</c:v>
                </c:pt>
                <c:pt idx="829">
                  <c:v>23-12-2022</c:v>
                </c:pt>
                <c:pt idx="830">
                  <c:v>22-12-2022</c:v>
                </c:pt>
                <c:pt idx="831">
                  <c:v>21-12-2022</c:v>
                </c:pt>
                <c:pt idx="832">
                  <c:v>20-12-2022</c:v>
                </c:pt>
                <c:pt idx="833">
                  <c:v>19-12-2022</c:v>
                </c:pt>
                <c:pt idx="834">
                  <c:v>16-12-2022</c:v>
                </c:pt>
                <c:pt idx="835">
                  <c:v>15-12-2022</c:v>
                </c:pt>
                <c:pt idx="836">
                  <c:v>14-12-2022</c:v>
                </c:pt>
                <c:pt idx="837">
                  <c:v>13-12-2022</c:v>
                </c:pt>
                <c:pt idx="838">
                  <c:v>12/12/2022</c:v>
                </c:pt>
                <c:pt idx="839">
                  <c:v>9/12/2022</c:v>
                </c:pt>
                <c:pt idx="840">
                  <c:v>8/12/2022</c:v>
                </c:pt>
                <c:pt idx="841">
                  <c:v>7/12/2022</c:v>
                </c:pt>
                <c:pt idx="842">
                  <c:v>6/12/2022</c:v>
                </c:pt>
                <c:pt idx="843">
                  <c:v>5/12/2022</c:v>
                </c:pt>
                <c:pt idx="844">
                  <c:v>2/12/2022</c:v>
                </c:pt>
                <c:pt idx="845">
                  <c:v>1/12/2022</c:v>
                </c:pt>
                <c:pt idx="846">
                  <c:v>30-11-2022</c:v>
                </c:pt>
                <c:pt idx="847">
                  <c:v>29-11-2022</c:v>
                </c:pt>
                <c:pt idx="848">
                  <c:v>28-11-2022</c:v>
                </c:pt>
                <c:pt idx="849">
                  <c:v>25-11-2022</c:v>
                </c:pt>
                <c:pt idx="850">
                  <c:v>24-11-2022</c:v>
                </c:pt>
                <c:pt idx="851">
                  <c:v>23-11-2022</c:v>
                </c:pt>
                <c:pt idx="852">
                  <c:v>22-11-2022</c:v>
                </c:pt>
                <c:pt idx="853">
                  <c:v>21-11-2022</c:v>
                </c:pt>
                <c:pt idx="854">
                  <c:v>18-11-2022</c:v>
                </c:pt>
                <c:pt idx="855">
                  <c:v>17-11-2022</c:v>
                </c:pt>
                <c:pt idx="856">
                  <c:v>16-11-2022</c:v>
                </c:pt>
                <c:pt idx="857">
                  <c:v>15-11-2022</c:v>
                </c:pt>
                <c:pt idx="858">
                  <c:v>14-11-2022</c:v>
                </c:pt>
                <c:pt idx="859">
                  <c:v>11/11/2022</c:v>
                </c:pt>
                <c:pt idx="860">
                  <c:v>10/11/2022</c:v>
                </c:pt>
                <c:pt idx="861">
                  <c:v>9/11/2022</c:v>
                </c:pt>
                <c:pt idx="862">
                  <c:v>7/11/2022</c:v>
                </c:pt>
                <c:pt idx="863">
                  <c:v>4/11/2022</c:v>
                </c:pt>
                <c:pt idx="864">
                  <c:v>3/11/2022</c:v>
                </c:pt>
                <c:pt idx="865">
                  <c:v>2/11/2022</c:v>
                </c:pt>
                <c:pt idx="866">
                  <c:v>1/11/2022</c:v>
                </c:pt>
                <c:pt idx="867">
                  <c:v>31-10-2022</c:v>
                </c:pt>
                <c:pt idx="868">
                  <c:v>28-10-2022</c:v>
                </c:pt>
                <c:pt idx="869">
                  <c:v>27-10-2022</c:v>
                </c:pt>
                <c:pt idx="870">
                  <c:v>25-10-2022</c:v>
                </c:pt>
                <c:pt idx="871">
                  <c:v>24-10-2022</c:v>
                </c:pt>
                <c:pt idx="872">
                  <c:v>21-10-2022</c:v>
                </c:pt>
                <c:pt idx="873">
                  <c:v>20-10-2022</c:v>
                </c:pt>
                <c:pt idx="874">
                  <c:v>19-10-2022</c:v>
                </c:pt>
                <c:pt idx="875">
                  <c:v>18-10-2022</c:v>
                </c:pt>
                <c:pt idx="876">
                  <c:v>17-10-2022</c:v>
                </c:pt>
                <c:pt idx="877">
                  <c:v>14-10-2022</c:v>
                </c:pt>
                <c:pt idx="878">
                  <c:v>13-10-2022</c:v>
                </c:pt>
                <c:pt idx="879">
                  <c:v>12/10/2022</c:v>
                </c:pt>
                <c:pt idx="880">
                  <c:v>11/10/2022</c:v>
                </c:pt>
                <c:pt idx="881">
                  <c:v>10/10/2022</c:v>
                </c:pt>
                <c:pt idx="882">
                  <c:v>7/10/2022</c:v>
                </c:pt>
                <c:pt idx="883">
                  <c:v>6/10/2022</c:v>
                </c:pt>
                <c:pt idx="884">
                  <c:v>4/10/2022</c:v>
                </c:pt>
                <c:pt idx="885">
                  <c:v>3/10/2022</c:v>
                </c:pt>
                <c:pt idx="886">
                  <c:v>30-09-2022</c:v>
                </c:pt>
                <c:pt idx="887">
                  <c:v>29-09-2022</c:v>
                </c:pt>
                <c:pt idx="888">
                  <c:v>28-09-2022</c:v>
                </c:pt>
                <c:pt idx="889">
                  <c:v>27-09-2022</c:v>
                </c:pt>
                <c:pt idx="890">
                  <c:v>26-09-2022</c:v>
                </c:pt>
                <c:pt idx="891">
                  <c:v>23-09-2022</c:v>
                </c:pt>
                <c:pt idx="892">
                  <c:v>22-09-2022</c:v>
                </c:pt>
                <c:pt idx="893">
                  <c:v>21-09-2022</c:v>
                </c:pt>
                <c:pt idx="894">
                  <c:v>20-09-2022</c:v>
                </c:pt>
                <c:pt idx="895">
                  <c:v>19-09-2022</c:v>
                </c:pt>
                <c:pt idx="896">
                  <c:v>16-09-2022</c:v>
                </c:pt>
                <c:pt idx="897">
                  <c:v>15-09-2022</c:v>
                </c:pt>
                <c:pt idx="898">
                  <c:v>14-09-2022</c:v>
                </c:pt>
                <c:pt idx="899">
                  <c:v>13-09-2022</c:v>
                </c:pt>
                <c:pt idx="900">
                  <c:v>12/9/2022</c:v>
                </c:pt>
                <c:pt idx="901">
                  <c:v>9/9/2022</c:v>
                </c:pt>
                <c:pt idx="902">
                  <c:v>8/9/2022</c:v>
                </c:pt>
                <c:pt idx="903">
                  <c:v>7/9/2022</c:v>
                </c:pt>
                <c:pt idx="904">
                  <c:v>6/9/2022</c:v>
                </c:pt>
                <c:pt idx="905">
                  <c:v>5/9/2022</c:v>
                </c:pt>
                <c:pt idx="906">
                  <c:v>2/9/2022</c:v>
                </c:pt>
                <c:pt idx="907">
                  <c:v>1/9/2022</c:v>
                </c:pt>
                <c:pt idx="908">
                  <c:v>30-08-2022</c:v>
                </c:pt>
                <c:pt idx="909">
                  <c:v>29-08-2022</c:v>
                </c:pt>
                <c:pt idx="910">
                  <c:v>26-08-2022</c:v>
                </c:pt>
                <c:pt idx="911">
                  <c:v>25-08-2022</c:v>
                </c:pt>
                <c:pt idx="912">
                  <c:v>24-08-2022</c:v>
                </c:pt>
                <c:pt idx="913">
                  <c:v>23-08-2022</c:v>
                </c:pt>
                <c:pt idx="914">
                  <c:v>22-08-2022</c:v>
                </c:pt>
                <c:pt idx="915">
                  <c:v>19-08-2022</c:v>
                </c:pt>
                <c:pt idx="916">
                  <c:v>18-08-2022</c:v>
                </c:pt>
                <c:pt idx="917">
                  <c:v>17-08-2022</c:v>
                </c:pt>
                <c:pt idx="918">
                  <c:v>16-08-2022</c:v>
                </c:pt>
                <c:pt idx="919">
                  <c:v>12/8/2022</c:v>
                </c:pt>
                <c:pt idx="920">
                  <c:v>11/8/2022</c:v>
                </c:pt>
                <c:pt idx="921">
                  <c:v>10/8/2022</c:v>
                </c:pt>
                <c:pt idx="922">
                  <c:v>8/8/2022</c:v>
                </c:pt>
                <c:pt idx="923">
                  <c:v>5/8/2022</c:v>
                </c:pt>
                <c:pt idx="924">
                  <c:v>4/8/2022</c:v>
                </c:pt>
                <c:pt idx="925">
                  <c:v>3/8/2022</c:v>
                </c:pt>
                <c:pt idx="926">
                  <c:v>2/8/2022</c:v>
                </c:pt>
                <c:pt idx="927">
                  <c:v>1/8/2022</c:v>
                </c:pt>
                <c:pt idx="928">
                  <c:v>29-07-2022</c:v>
                </c:pt>
                <c:pt idx="929">
                  <c:v>28-07-2022</c:v>
                </c:pt>
                <c:pt idx="930">
                  <c:v>27-07-2022</c:v>
                </c:pt>
                <c:pt idx="931">
                  <c:v>26-07-2022</c:v>
                </c:pt>
                <c:pt idx="932">
                  <c:v>25-07-2022</c:v>
                </c:pt>
                <c:pt idx="933">
                  <c:v>22-07-2022</c:v>
                </c:pt>
                <c:pt idx="934">
                  <c:v>21-07-2022</c:v>
                </c:pt>
                <c:pt idx="935">
                  <c:v>20-07-2022</c:v>
                </c:pt>
                <c:pt idx="936">
                  <c:v>19-07-2022</c:v>
                </c:pt>
                <c:pt idx="937">
                  <c:v>18-07-2022</c:v>
                </c:pt>
                <c:pt idx="938">
                  <c:v>15-07-2022</c:v>
                </c:pt>
                <c:pt idx="939">
                  <c:v>14-07-2022</c:v>
                </c:pt>
                <c:pt idx="940">
                  <c:v>13-07-2022</c:v>
                </c:pt>
                <c:pt idx="941">
                  <c:v>12/7/2022</c:v>
                </c:pt>
                <c:pt idx="942">
                  <c:v>11/7/2022</c:v>
                </c:pt>
                <c:pt idx="943">
                  <c:v>8/7/2022</c:v>
                </c:pt>
                <c:pt idx="944">
                  <c:v>7/7/2022</c:v>
                </c:pt>
                <c:pt idx="945">
                  <c:v>6/7/2022</c:v>
                </c:pt>
                <c:pt idx="946">
                  <c:v>5/7/2022</c:v>
                </c:pt>
                <c:pt idx="947">
                  <c:v>4/7/2022</c:v>
                </c:pt>
                <c:pt idx="948">
                  <c:v>1/7/2022</c:v>
                </c:pt>
                <c:pt idx="949">
                  <c:v>30-06-2022</c:v>
                </c:pt>
                <c:pt idx="950">
                  <c:v>29-06-2022</c:v>
                </c:pt>
                <c:pt idx="951">
                  <c:v>28-06-2022</c:v>
                </c:pt>
                <c:pt idx="952">
                  <c:v>27-06-2022</c:v>
                </c:pt>
                <c:pt idx="953">
                  <c:v>24-06-2022</c:v>
                </c:pt>
                <c:pt idx="954">
                  <c:v>23-06-2022</c:v>
                </c:pt>
                <c:pt idx="955">
                  <c:v>22-06-2022</c:v>
                </c:pt>
                <c:pt idx="956">
                  <c:v>21-06-2022</c:v>
                </c:pt>
                <c:pt idx="957">
                  <c:v>20-06-2022</c:v>
                </c:pt>
                <c:pt idx="958">
                  <c:v>17-06-2022</c:v>
                </c:pt>
                <c:pt idx="959">
                  <c:v>16-06-2022</c:v>
                </c:pt>
                <c:pt idx="960">
                  <c:v>15-06-2022</c:v>
                </c:pt>
                <c:pt idx="961">
                  <c:v>14-06-2022</c:v>
                </c:pt>
                <c:pt idx="962">
                  <c:v>13-06-2022</c:v>
                </c:pt>
                <c:pt idx="963">
                  <c:v>10/6/2022</c:v>
                </c:pt>
                <c:pt idx="964">
                  <c:v>9/6/2022</c:v>
                </c:pt>
                <c:pt idx="965">
                  <c:v>8/6/2022</c:v>
                </c:pt>
                <c:pt idx="966">
                  <c:v>7/6/2022</c:v>
                </c:pt>
                <c:pt idx="967">
                  <c:v>6/6/2022</c:v>
                </c:pt>
                <c:pt idx="968">
                  <c:v>3/6/2022</c:v>
                </c:pt>
                <c:pt idx="969">
                  <c:v>2/6/2022</c:v>
                </c:pt>
                <c:pt idx="970">
                  <c:v>1/6/2022</c:v>
                </c:pt>
                <c:pt idx="971">
                  <c:v>31-05-2022</c:v>
                </c:pt>
                <c:pt idx="972">
                  <c:v>30-05-2022</c:v>
                </c:pt>
                <c:pt idx="973">
                  <c:v>27-05-2022</c:v>
                </c:pt>
                <c:pt idx="974">
                  <c:v>26-05-2022</c:v>
                </c:pt>
                <c:pt idx="975">
                  <c:v>25-05-2022</c:v>
                </c:pt>
                <c:pt idx="976">
                  <c:v>24-05-2022</c:v>
                </c:pt>
                <c:pt idx="977">
                  <c:v>23-05-2022</c:v>
                </c:pt>
                <c:pt idx="978">
                  <c:v>20-05-2022</c:v>
                </c:pt>
                <c:pt idx="979">
                  <c:v>19-05-2022</c:v>
                </c:pt>
                <c:pt idx="980">
                  <c:v>18-05-2022</c:v>
                </c:pt>
                <c:pt idx="981">
                  <c:v>17-05-2022</c:v>
                </c:pt>
                <c:pt idx="982">
                  <c:v>16-05-2022</c:v>
                </c:pt>
                <c:pt idx="983">
                  <c:v>13-05-2022</c:v>
                </c:pt>
                <c:pt idx="984">
                  <c:v>12/5/2022</c:v>
                </c:pt>
                <c:pt idx="985">
                  <c:v>11/5/2022</c:v>
                </c:pt>
                <c:pt idx="986">
                  <c:v>10/5/2022</c:v>
                </c:pt>
                <c:pt idx="987">
                  <c:v>9/5/2022</c:v>
                </c:pt>
                <c:pt idx="988">
                  <c:v>6/5/2022</c:v>
                </c:pt>
                <c:pt idx="989">
                  <c:v>5/5/2022</c:v>
                </c:pt>
                <c:pt idx="990">
                  <c:v>4/5/2022</c:v>
                </c:pt>
                <c:pt idx="991">
                  <c:v>2/5/2022</c:v>
                </c:pt>
                <c:pt idx="992">
                  <c:v>29-04-2022</c:v>
                </c:pt>
                <c:pt idx="993">
                  <c:v>28-04-2022</c:v>
                </c:pt>
                <c:pt idx="994">
                  <c:v>27-04-2022</c:v>
                </c:pt>
                <c:pt idx="995">
                  <c:v>26-04-2022</c:v>
                </c:pt>
                <c:pt idx="996">
                  <c:v>25-04-2022</c:v>
                </c:pt>
                <c:pt idx="997">
                  <c:v>22-04-2022</c:v>
                </c:pt>
                <c:pt idx="998">
                  <c:v>21-04-2022</c:v>
                </c:pt>
                <c:pt idx="999">
                  <c:v>20-04-2022</c:v>
                </c:pt>
                <c:pt idx="1000">
                  <c:v>19-04-2022</c:v>
                </c:pt>
                <c:pt idx="1001">
                  <c:v>18-04-2022</c:v>
                </c:pt>
                <c:pt idx="1002">
                  <c:v>13-04-2022</c:v>
                </c:pt>
                <c:pt idx="1003">
                  <c:v>12/4/2022</c:v>
                </c:pt>
                <c:pt idx="1004">
                  <c:v>11/4/2022</c:v>
                </c:pt>
                <c:pt idx="1005">
                  <c:v>8/4/2022</c:v>
                </c:pt>
                <c:pt idx="1006">
                  <c:v>7/4/2022</c:v>
                </c:pt>
                <c:pt idx="1007">
                  <c:v>6/4/2022</c:v>
                </c:pt>
                <c:pt idx="1008">
                  <c:v>5/4/2022</c:v>
                </c:pt>
                <c:pt idx="1009">
                  <c:v>4/4/2022</c:v>
                </c:pt>
                <c:pt idx="1010">
                  <c:v>1/4/2022</c:v>
                </c:pt>
                <c:pt idx="1011">
                  <c:v>31-03-2022</c:v>
                </c:pt>
                <c:pt idx="1012">
                  <c:v>30-03-2022</c:v>
                </c:pt>
                <c:pt idx="1013">
                  <c:v>29-03-2022</c:v>
                </c:pt>
                <c:pt idx="1014">
                  <c:v>28-03-2022</c:v>
                </c:pt>
                <c:pt idx="1015">
                  <c:v>25-03-2022</c:v>
                </c:pt>
                <c:pt idx="1016">
                  <c:v>24-03-2022</c:v>
                </c:pt>
                <c:pt idx="1017">
                  <c:v>23-03-2022</c:v>
                </c:pt>
                <c:pt idx="1018">
                  <c:v>22-03-2022</c:v>
                </c:pt>
                <c:pt idx="1019">
                  <c:v>21-03-2022</c:v>
                </c:pt>
                <c:pt idx="1020">
                  <c:v>17-03-2022</c:v>
                </c:pt>
                <c:pt idx="1021">
                  <c:v>16-03-2022</c:v>
                </c:pt>
                <c:pt idx="1022">
                  <c:v>15-03-2022</c:v>
                </c:pt>
                <c:pt idx="1023">
                  <c:v>14-03-2022</c:v>
                </c:pt>
                <c:pt idx="1024">
                  <c:v>11/3/2022</c:v>
                </c:pt>
                <c:pt idx="1025">
                  <c:v>10/3/2022</c:v>
                </c:pt>
                <c:pt idx="1026">
                  <c:v>9/3/2022</c:v>
                </c:pt>
                <c:pt idx="1027">
                  <c:v>8/3/2022</c:v>
                </c:pt>
                <c:pt idx="1028">
                  <c:v>7/3/2022</c:v>
                </c:pt>
                <c:pt idx="1029">
                  <c:v>4/3/2022</c:v>
                </c:pt>
                <c:pt idx="1030">
                  <c:v>3/3/2022</c:v>
                </c:pt>
                <c:pt idx="1031">
                  <c:v>2/3/2022</c:v>
                </c:pt>
                <c:pt idx="1032">
                  <c:v>28-02-2022</c:v>
                </c:pt>
                <c:pt idx="1033">
                  <c:v>25-02-2022</c:v>
                </c:pt>
                <c:pt idx="1034">
                  <c:v>24-02-2022</c:v>
                </c:pt>
                <c:pt idx="1035">
                  <c:v>23-02-2022</c:v>
                </c:pt>
                <c:pt idx="1036">
                  <c:v>22-02-2022</c:v>
                </c:pt>
                <c:pt idx="1037">
                  <c:v>21-02-2022</c:v>
                </c:pt>
                <c:pt idx="1038">
                  <c:v>18-02-2022</c:v>
                </c:pt>
                <c:pt idx="1039">
                  <c:v>17-02-2022</c:v>
                </c:pt>
                <c:pt idx="1040">
                  <c:v>16-02-2022</c:v>
                </c:pt>
                <c:pt idx="1041">
                  <c:v>15-02-2022</c:v>
                </c:pt>
                <c:pt idx="1042">
                  <c:v>14-02-2022</c:v>
                </c:pt>
                <c:pt idx="1043">
                  <c:v>11/2/2022</c:v>
                </c:pt>
                <c:pt idx="1044">
                  <c:v>10/2/2022</c:v>
                </c:pt>
                <c:pt idx="1045">
                  <c:v>9/2/2022</c:v>
                </c:pt>
                <c:pt idx="1046">
                  <c:v>8/2/2022</c:v>
                </c:pt>
                <c:pt idx="1047">
                  <c:v>7/2/2022</c:v>
                </c:pt>
                <c:pt idx="1048">
                  <c:v>4/2/2022</c:v>
                </c:pt>
                <c:pt idx="1049">
                  <c:v>3/2/2022</c:v>
                </c:pt>
                <c:pt idx="1050">
                  <c:v>2/2/2022</c:v>
                </c:pt>
                <c:pt idx="1051">
                  <c:v>1/2/2022</c:v>
                </c:pt>
                <c:pt idx="1052">
                  <c:v>31-01-2022</c:v>
                </c:pt>
                <c:pt idx="1053">
                  <c:v>28-01-2022</c:v>
                </c:pt>
                <c:pt idx="1054">
                  <c:v>27-01-2022</c:v>
                </c:pt>
                <c:pt idx="1055">
                  <c:v>25-01-2022</c:v>
                </c:pt>
                <c:pt idx="1056">
                  <c:v>24-01-2022</c:v>
                </c:pt>
                <c:pt idx="1057">
                  <c:v>21-01-2022</c:v>
                </c:pt>
                <c:pt idx="1058">
                  <c:v>20-01-2022</c:v>
                </c:pt>
                <c:pt idx="1059">
                  <c:v>19-01-2022</c:v>
                </c:pt>
                <c:pt idx="1060">
                  <c:v>18-01-2022</c:v>
                </c:pt>
                <c:pt idx="1061">
                  <c:v>17-01-2022</c:v>
                </c:pt>
                <c:pt idx="1062">
                  <c:v>14-01-2022</c:v>
                </c:pt>
                <c:pt idx="1063">
                  <c:v>13-01-2022</c:v>
                </c:pt>
                <c:pt idx="1064">
                  <c:v>12/1/2022</c:v>
                </c:pt>
                <c:pt idx="1065">
                  <c:v>11/1/2022</c:v>
                </c:pt>
                <c:pt idx="1066">
                  <c:v>10/1/2022</c:v>
                </c:pt>
                <c:pt idx="1067">
                  <c:v>7/1/2022</c:v>
                </c:pt>
                <c:pt idx="1068">
                  <c:v>6/1/2022</c:v>
                </c:pt>
                <c:pt idx="1069">
                  <c:v>5/1/2022</c:v>
                </c:pt>
                <c:pt idx="1070">
                  <c:v>4/1/2022</c:v>
                </c:pt>
                <c:pt idx="1071">
                  <c:v>3/1/2022</c:v>
                </c:pt>
                <c:pt idx="1072">
                  <c:v>31-12-2021</c:v>
                </c:pt>
                <c:pt idx="1073">
                  <c:v>30-12-2021</c:v>
                </c:pt>
                <c:pt idx="1074">
                  <c:v>29-12-2021</c:v>
                </c:pt>
                <c:pt idx="1075">
                  <c:v>28-12-2021</c:v>
                </c:pt>
                <c:pt idx="1076">
                  <c:v>27-12-2021</c:v>
                </c:pt>
                <c:pt idx="1077">
                  <c:v>24-12-2021</c:v>
                </c:pt>
                <c:pt idx="1078">
                  <c:v>23-12-2021</c:v>
                </c:pt>
                <c:pt idx="1079">
                  <c:v>22-12-2021</c:v>
                </c:pt>
                <c:pt idx="1080">
                  <c:v>21-12-2021</c:v>
                </c:pt>
                <c:pt idx="1081">
                  <c:v>20-12-2021</c:v>
                </c:pt>
                <c:pt idx="1082">
                  <c:v>17-12-2021</c:v>
                </c:pt>
                <c:pt idx="1083">
                  <c:v>16-12-2021</c:v>
                </c:pt>
                <c:pt idx="1084">
                  <c:v>15-12-2021</c:v>
                </c:pt>
                <c:pt idx="1085">
                  <c:v>14-12-2021</c:v>
                </c:pt>
                <c:pt idx="1086">
                  <c:v>13-12-2021</c:v>
                </c:pt>
                <c:pt idx="1087">
                  <c:v>10/12/2021</c:v>
                </c:pt>
                <c:pt idx="1088">
                  <c:v>9/12/2021</c:v>
                </c:pt>
                <c:pt idx="1089">
                  <c:v>8/12/2021</c:v>
                </c:pt>
                <c:pt idx="1090">
                  <c:v>7/12/2021</c:v>
                </c:pt>
                <c:pt idx="1091">
                  <c:v>6/12/2021</c:v>
                </c:pt>
                <c:pt idx="1092">
                  <c:v>3/12/2021</c:v>
                </c:pt>
                <c:pt idx="1093">
                  <c:v>2/12/2021</c:v>
                </c:pt>
                <c:pt idx="1094">
                  <c:v>1/12/2021</c:v>
                </c:pt>
                <c:pt idx="1095">
                  <c:v>30-11-2021</c:v>
                </c:pt>
                <c:pt idx="1096">
                  <c:v>29-11-2021</c:v>
                </c:pt>
                <c:pt idx="1097">
                  <c:v>26-11-2021</c:v>
                </c:pt>
                <c:pt idx="1098">
                  <c:v>25-11-2021</c:v>
                </c:pt>
                <c:pt idx="1099">
                  <c:v>24-11-2021</c:v>
                </c:pt>
                <c:pt idx="1100">
                  <c:v>23-11-2021</c:v>
                </c:pt>
                <c:pt idx="1101">
                  <c:v>22-11-2021</c:v>
                </c:pt>
                <c:pt idx="1102">
                  <c:v>18-11-2021</c:v>
                </c:pt>
                <c:pt idx="1103">
                  <c:v>17-11-2021</c:v>
                </c:pt>
                <c:pt idx="1104">
                  <c:v>16-11-2021</c:v>
                </c:pt>
                <c:pt idx="1105">
                  <c:v>15-11-2021</c:v>
                </c:pt>
                <c:pt idx="1106">
                  <c:v>12/11/2021</c:v>
                </c:pt>
                <c:pt idx="1107">
                  <c:v>11/11/2021</c:v>
                </c:pt>
                <c:pt idx="1108">
                  <c:v>10/11/2021</c:v>
                </c:pt>
                <c:pt idx="1109">
                  <c:v>9/11/2021</c:v>
                </c:pt>
                <c:pt idx="1110">
                  <c:v>8/11/2021</c:v>
                </c:pt>
                <c:pt idx="1111">
                  <c:v>4/11/2021</c:v>
                </c:pt>
                <c:pt idx="1112">
                  <c:v>3/11/2021</c:v>
                </c:pt>
                <c:pt idx="1113">
                  <c:v>2/11/2021</c:v>
                </c:pt>
                <c:pt idx="1114">
                  <c:v>1/11/2021</c:v>
                </c:pt>
                <c:pt idx="1115">
                  <c:v>29-10-2021</c:v>
                </c:pt>
                <c:pt idx="1116">
                  <c:v>28-10-2021</c:v>
                </c:pt>
                <c:pt idx="1117">
                  <c:v>27-10-2021</c:v>
                </c:pt>
                <c:pt idx="1118">
                  <c:v>26-10-2021</c:v>
                </c:pt>
                <c:pt idx="1119">
                  <c:v>25-10-2021</c:v>
                </c:pt>
                <c:pt idx="1120">
                  <c:v>22-10-2021</c:v>
                </c:pt>
                <c:pt idx="1121">
                  <c:v>21-10-2021</c:v>
                </c:pt>
                <c:pt idx="1122">
                  <c:v>20-10-2021</c:v>
                </c:pt>
                <c:pt idx="1123">
                  <c:v>19-10-2021</c:v>
                </c:pt>
                <c:pt idx="1124">
                  <c:v>18-10-2021</c:v>
                </c:pt>
                <c:pt idx="1125">
                  <c:v>14-10-2021</c:v>
                </c:pt>
                <c:pt idx="1126">
                  <c:v>13-10-2021</c:v>
                </c:pt>
                <c:pt idx="1127">
                  <c:v>12/10/2021</c:v>
                </c:pt>
                <c:pt idx="1128">
                  <c:v>11/10/2021</c:v>
                </c:pt>
                <c:pt idx="1129">
                  <c:v>8/10/2021</c:v>
                </c:pt>
                <c:pt idx="1130">
                  <c:v>7/10/2021</c:v>
                </c:pt>
                <c:pt idx="1131">
                  <c:v>6/10/2021</c:v>
                </c:pt>
                <c:pt idx="1132">
                  <c:v>5/10/2021</c:v>
                </c:pt>
                <c:pt idx="1133">
                  <c:v>4/10/2021</c:v>
                </c:pt>
                <c:pt idx="1134">
                  <c:v>1/10/2021</c:v>
                </c:pt>
                <c:pt idx="1135">
                  <c:v>30-09-2021</c:v>
                </c:pt>
                <c:pt idx="1136">
                  <c:v>29-09-2021</c:v>
                </c:pt>
                <c:pt idx="1137">
                  <c:v>28-09-2021</c:v>
                </c:pt>
                <c:pt idx="1138">
                  <c:v>27-09-2021</c:v>
                </c:pt>
                <c:pt idx="1139">
                  <c:v>24-09-2021</c:v>
                </c:pt>
                <c:pt idx="1140">
                  <c:v>23-09-2021</c:v>
                </c:pt>
                <c:pt idx="1141">
                  <c:v>22-09-2021</c:v>
                </c:pt>
                <c:pt idx="1142">
                  <c:v>21-09-2021</c:v>
                </c:pt>
                <c:pt idx="1143">
                  <c:v>20-09-2021</c:v>
                </c:pt>
                <c:pt idx="1144">
                  <c:v>17-09-2021</c:v>
                </c:pt>
                <c:pt idx="1145">
                  <c:v>16-09-2021</c:v>
                </c:pt>
                <c:pt idx="1146">
                  <c:v>15-09-2021</c:v>
                </c:pt>
                <c:pt idx="1147">
                  <c:v>14-09-2021</c:v>
                </c:pt>
                <c:pt idx="1148">
                  <c:v>13-09-2021</c:v>
                </c:pt>
                <c:pt idx="1149">
                  <c:v>9/9/2021</c:v>
                </c:pt>
                <c:pt idx="1150">
                  <c:v>8/9/2021</c:v>
                </c:pt>
                <c:pt idx="1151">
                  <c:v>7/9/2021</c:v>
                </c:pt>
                <c:pt idx="1152">
                  <c:v>6/9/2021</c:v>
                </c:pt>
                <c:pt idx="1153">
                  <c:v>3/9/2021</c:v>
                </c:pt>
                <c:pt idx="1154">
                  <c:v>2/9/2021</c:v>
                </c:pt>
                <c:pt idx="1155">
                  <c:v>1/9/2021</c:v>
                </c:pt>
                <c:pt idx="1156">
                  <c:v>31-08-2021</c:v>
                </c:pt>
                <c:pt idx="1157">
                  <c:v>30-08-2021</c:v>
                </c:pt>
                <c:pt idx="1158">
                  <c:v>27-08-2021</c:v>
                </c:pt>
                <c:pt idx="1159">
                  <c:v>26-08-2021</c:v>
                </c:pt>
                <c:pt idx="1160">
                  <c:v>25-08-2021</c:v>
                </c:pt>
                <c:pt idx="1161">
                  <c:v>24-08-2021</c:v>
                </c:pt>
                <c:pt idx="1162">
                  <c:v>23-08-2021</c:v>
                </c:pt>
                <c:pt idx="1163">
                  <c:v>20-08-2021</c:v>
                </c:pt>
                <c:pt idx="1164">
                  <c:v>18-08-2021</c:v>
                </c:pt>
                <c:pt idx="1165">
                  <c:v>17-08-2021</c:v>
                </c:pt>
                <c:pt idx="1166">
                  <c:v>16-08-2021</c:v>
                </c:pt>
                <c:pt idx="1167">
                  <c:v>13-08-2021</c:v>
                </c:pt>
                <c:pt idx="1168">
                  <c:v>12/8/2021</c:v>
                </c:pt>
                <c:pt idx="1169">
                  <c:v>11/8/2021</c:v>
                </c:pt>
                <c:pt idx="1170">
                  <c:v>10/8/2021</c:v>
                </c:pt>
                <c:pt idx="1171">
                  <c:v>9/8/2021</c:v>
                </c:pt>
                <c:pt idx="1172">
                  <c:v>6/8/2021</c:v>
                </c:pt>
                <c:pt idx="1173">
                  <c:v>5/8/2021</c:v>
                </c:pt>
                <c:pt idx="1174">
                  <c:v>4/8/2021</c:v>
                </c:pt>
                <c:pt idx="1175">
                  <c:v>3/8/2021</c:v>
                </c:pt>
                <c:pt idx="1176">
                  <c:v>2/8/2021</c:v>
                </c:pt>
                <c:pt idx="1177">
                  <c:v>30-07-2021</c:v>
                </c:pt>
                <c:pt idx="1178">
                  <c:v>29-07-2021</c:v>
                </c:pt>
                <c:pt idx="1179">
                  <c:v>28-07-2021</c:v>
                </c:pt>
                <c:pt idx="1180">
                  <c:v>27-07-2021</c:v>
                </c:pt>
                <c:pt idx="1181">
                  <c:v>26-07-2021</c:v>
                </c:pt>
                <c:pt idx="1182">
                  <c:v>23-07-2021</c:v>
                </c:pt>
                <c:pt idx="1183">
                  <c:v>22-07-2021</c:v>
                </c:pt>
                <c:pt idx="1184">
                  <c:v>20-07-2021</c:v>
                </c:pt>
                <c:pt idx="1185">
                  <c:v>19-07-2021</c:v>
                </c:pt>
                <c:pt idx="1186">
                  <c:v>16-07-2021</c:v>
                </c:pt>
                <c:pt idx="1187">
                  <c:v>15-07-2021</c:v>
                </c:pt>
                <c:pt idx="1188">
                  <c:v>14-07-2021</c:v>
                </c:pt>
                <c:pt idx="1189">
                  <c:v>13-07-2021</c:v>
                </c:pt>
                <c:pt idx="1190">
                  <c:v>12/7/2021</c:v>
                </c:pt>
                <c:pt idx="1191">
                  <c:v>9/7/2021</c:v>
                </c:pt>
                <c:pt idx="1192">
                  <c:v>8/7/2021</c:v>
                </c:pt>
                <c:pt idx="1193">
                  <c:v>7/7/2021</c:v>
                </c:pt>
                <c:pt idx="1194">
                  <c:v>6/7/2021</c:v>
                </c:pt>
                <c:pt idx="1195">
                  <c:v>5/7/2021</c:v>
                </c:pt>
                <c:pt idx="1196">
                  <c:v>2/7/2021</c:v>
                </c:pt>
                <c:pt idx="1197">
                  <c:v>1/7/2021</c:v>
                </c:pt>
                <c:pt idx="1198">
                  <c:v>30-06-2021</c:v>
                </c:pt>
                <c:pt idx="1199">
                  <c:v>29-06-2021</c:v>
                </c:pt>
                <c:pt idx="1200">
                  <c:v>28-06-2021</c:v>
                </c:pt>
                <c:pt idx="1201">
                  <c:v>25-06-2021</c:v>
                </c:pt>
                <c:pt idx="1202">
                  <c:v>24-06-2021</c:v>
                </c:pt>
                <c:pt idx="1203">
                  <c:v>23-06-2021</c:v>
                </c:pt>
                <c:pt idx="1204">
                  <c:v>22-06-2021</c:v>
                </c:pt>
                <c:pt idx="1205">
                  <c:v>21-06-2021</c:v>
                </c:pt>
                <c:pt idx="1206">
                  <c:v>18-06-2021</c:v>
                </c:pt>
                <c:pt idx="1207">
                  <c:v>17-06-2021</c:v>
                </c:pt>
                <c:pt idx="1208">
                  <c:v>16-06-2021</c:v>
                </c:pt>
                <c:pt idx="1209">
                  <c:v>15-06-2021</c:v>
                </c:pt>
                <c:pt idx="1210">
                  <c:v>14-06-2021</c:v>
                </c:pt>
                <c:pt idx="1211">
                  <c:v>11/6/2021</c:v>
                </c:pt>
                <c:pt idx="1212">
                  <c:v>10/6/2021</c:v>
                </c:pt>
                <c:pt idx="1213">
                  <c:v>9/6/2021</c:v>
                </c:pt>
                <c:pt idx="1214">
                  <c:v>8/6/2021</c:v>
                </c:pt>
                <c:pt idx="1215">
                  <c:v>7/6/2021</c:v>
                </c:pt>
                <c:pt idx="1216">
                  <c:v>4/6/2021</c:v>
                </c:pt>
                <c:pt idx="1217">
                  <c:v>3/6/2021</c:v>
                </c:pt>
                <c:pt idx="1218">
                  <c:v>2/6/2021</c:v>
                </c:pt>
                <c:pt idx="1219">
                  <c:v>1/6/2021</c:v>
                </c:pt>
                <c:pt idx="1220">
                  <c:v>31-05-2021</c:v>
                </c:pt>
                <c:pt idx="1221">
                  <c:v>28-05-2021</c:v>
                </c:pt>
                <c:pt idx="1222">
                  <c:v>27-05-2021</c:v>
                </c:pt>
                <c:pt idx="1223">
                  <c:v>26-05-2021</c:v>
                </c:pt>
                <c:pt idx="1224">
                  <c:v>25-05-2021</c:v>
                </c:pt>
                <c:pt idx="1225">
                  <c:v>24-05-2021</c:v>
                </c:pt>
                <c:pt idx="1226">
                  <c:v>21-05-2021</c:v>
                </c:pt>
                <c:pt idx="1227">
                  <c:v>20-05-2021</c:v>
                </c:pt>
                <c:pt idx="1228">
                  <c:v>19-05-2021</c:v>
                </c:pt>
                <c:pt idx="1229">
                  <c:v>18-05-2021</c:v>
                </c:pt>
                <c:pt idx="1230">
                  <c:v>17-05-2021</c:v>
                </c:pt>
                <c:pt idx="1231">
                  <c:v>14-05-2021</c:v>
                </c:pt>
                <c:pt idx="1232">
                  <c:v>12/5/2021</c:v>
                </c:pt>
                <c:pt idx="1233">
                  <c:v>11/5/2021</c:v>
                </c:pt>
                <c:pt idx="1234">
                  <c:v>10/5/2021</c:v>
                </c:pt>
                <c:pt idx="1235">
                  <c:v>7/5/2021</c:v>
                </c:pt>
                <c:pt idx="1236">
                  <c:v>6/5/2021</c:v>
                </c:pt>
                <c:pt idx="1237">
                  <c:v>5/5/2021</c:v>
                </c:pt>
                <c:pt idx="1238">
                  <c:v>4/5/2021</c:v>
                </c:pt>
                <c:pt idx="1239">
                  <c:v>3/5/2021</c:v>
                </c:pt>
                <c:pt idx="1240">
                  <c:v>30-04-2021</c:v>
                </c:pt>
              </c:strCache>
            </c:strRef>
          </c:cat>
          <c:val>
            <c:numRef>
              <c:f>'Share Price'!$D$2:$D$1242</c:f>
              <c:numCache>
                <c:formatCode>General</c:formatCode>
                <c:ptCount val="1241"/>
                <c:pt idx="0">
                  <c:v>11.54</c:v>
                </c:pt>
                <c:pt idx="1">
                  <c:v>31.2</c:v>
                </c:pt>
                <c:pt idx="2">
                  <c:v>12.91</c:v>
                </c:pt>
                <c:pt idx="3">
                  <c:v>14.38</c:v>
                </c:pt>
                <c:pt idx="4">
                  <c:v>17.010000000000002</c:v>
                </c:pt>
                <c:pt idx="5">
                  <c:v>10.7</c:v>
                </c:pt>
                <c:pt idx="6">
                  <c:v>24.5</c:v>
                </c:pt>
                <c:pt idx="7">
                  <c:v>24.41</c:v>
                </c:pt>
                <c:pt idx="8">
                  <c:v>13.54</c:v>
                </c:pt>
                <c:pt idx="9">
                  <c:v>35.11</c:v>
                </c:pt>
                <c:pt idx="10">
                  <c:v>16.510000000000002</c:v>
                </c:pt>
                <c:pt idx="11">
                  <c:v>18.7</c:v>
                </c:pt>
                <c:pt idx="12">
                  <c:v>16.52</c:v>
                </c:pt>
                <c:pt idx="13">
                  <c:v>17.739999999999998</c:v>
                </c:pt>
                <c:pt idx="14">
                  <c:v>17.690000000000001</c:v>
                </c:pt>
                <c:pt idx="15">
                  <c:v>22.31</c:v>
                </c:pt>
                <c:pt idx="16">
                  <c:v>26.96</c:v>
                </c:pt>
                <c:pt idx="17">
                  <c:v>18.05</c:v>
                </c:pt>
                <c:pt idx="18">
                  <c:v>18.079999999999998</c:v>
                </c:pt>
                <c:pt idx="19">
                  <c:v>18.600000000000001</c:v>
                </c:pt>
                <c:pt idx="20">
                  <c:v>24.59</c:v>
                </c:pt>
                <c:pt idx="21">
                  <c:v>22.18</c:v>
                </c:pt>
                <c:pt idx="22">
                  <c:v>26.18</c:v>
                </c:pt>
                <c:pt idx="23">
                  <c:v>33.340000000000003</c:v>
                </c:pt>
                <c:pt idx="24">
                  <c:v>31.79</c:v>
                </c:pt>
                <c:pt idx="25">
                  <c:v>58.68</c:v>
                </c:pt>
                <c:pt idx="26">
                  <c:v>17.850000000000001</c:v>
                </c:pt>
                <c:pt idx="27">
                  <c:v>16.7</c:v>
                </c:pt>
                <c:pt idx="28">
                  <c:v>25.65</c:v>
                </c:pt>
                <c:pt idx="29">
                  <c:v>37.47</c:v>
                </c:pt>
                <c:pt idx="30">
                  <c:v>25.66</c:v>
                </c:pt>
                <c:pt idx="31">
                  <c:v>23.32</c:v>
                </c:pt>
                <c:pt idx="32">
                  <c:v>14.84</c:v>
                </c:pt>
                <c:pt idx="33">
                  <c:v>18.350000000000001</c:v>
                </c:pt>
                <c:pt idx="34">
                  <c:v>14.08</c:v>
                </c:pt>
                <c:pt idx="35">
                  <c:v>21.29</c:v>
                </c:pt>
                <c:pt idx="36">
                  <c:v>19.940000000000001</c:v>
                </c:pt>
                <c:pt idx="37">
                  <c:v>24.17</c:v>
                </c:pt>
                <c:pt idx="38">
                  <c:v>22.19</c:v>
                </c:pt>
                <c:pt idx="39">
                  <c:v>13.89</c:v>
                </c:pt>
                <c:pt idx="40">
                  <c:v>11.27</c:v>
                </c:pt>
                <c:pt idx="41">
                  <c:v>13.49</c:v>
                </c:pt>
                <c:pt idx="42">
                  <c:v>13.14</c:v>
                </c:pt>
                <c:pt idx="43">
                  <c:v>13.49</c:v>
                </c:pt>
                <c:pt idx="44">
                  <c:v>11.28</c:v>
                </c:pt>
                <c:pt idx="45">
                  <c:v>19.91</c:v>
                </c:pt>
                <c:pt idx="46">
                  <c:v>35.47</c:v>
                </c:pt>
                <c:pt idx="47">
                  <c:v>39.36</c:v>
                </c:pt>
                <c:pt idx="48">
                  <c:v>11.69</c:v>
                </c:pt>
                <c:pt idx="49">
                  <c:v>8.73</c:v>
                </c:pt>
                <c:pt idx="50">
                  <c:v>13.29</c:v>
                </c:pt>
                <c:pt idx="51">
                  <c:v>24.84</c:v>
                </c:pt>
                <c:pt idx="52">
                  <c:v>11.49</c:v>
                </c:pt>
                <c:pt idx="53">
                  <c:v>20.059999999999999</c:v>
                </c:pt>
                <c:pt idx="54">
                  <c:v>68.06</c:v>
                </c:pt>
                <c:pt idx="55">
                  <c:v>15.82</c:v>
                </c:pt>
                <c:pt idx="56">
                  <c:v>11.2</c:v>
                </c:pt>
                <c:pt idx="57">
                  <c:v>33.17</c:v>
                </c:pt>
                <c:pt idx="58">
                  <c:v>35.229999999999997</c:v>
                </c:pt>
                <c:pt idx="59">
                  <c:v>33.28</c:v>
                </c:pt>
                <c:pt idx="60">
                  <c:v>41.98</c:v>
                </c:pt>
                <c:pt idx="61">
                  <c:v>17.72</c:v>
                </c:pt>
                <c:pt idx="62">
                  <c:v>28.4</c:v>
                </c:pt>
                <c:pt idx="63">
                  <c:v>47.85</c:v>
                </c:pt>
                <c:pt idx="64">
                  <c:v>11.95</c:v>
                </c:pt>
                <c:pt idx="65">
                  <c:v>18.62</c:v>
                </c:pt>
                <c:pt idx="66">
                  <c:v>14.18</c:v>
                </c:pt>
                <c:pt idx="67">
                  <c:v>18.77</c:v>
                </c:pt>
                <c:pt idx="68">
                  <c:v>15.51</c:v>
                </c:pt>
                <c:pt idx="69">
                  <c:v>30.53</c:v>
                </c:pt>
                <c:pt idx="70">
                  <c:v>14.91</c:v>
                </c:pt>
                <c:pt idx="71">
                  <c:v>24.92</c:v>
                </c:pt>
                <c:pt idx="72">
                  <c:v>16.16</c:v>
                </c:pt>
                <c:pt idx="73">
                  <c:v>35.19</c:v>
                </c:pt>
                <c:pt idx="74">
                  <c:v>36.71</c:v>
                </c:pt>
                <c:pt idx="75">
                  <c:v>29.44</c:v>
                </c:pt>
                <c:pt idx="76">
                  <c:v>72.58</c:v>
                </c:pt>
                <c:pt idx="77">
                  <c:v>48.36</c:v>
                </c:pt>
                <c:pt idx="78">
                  <c:v>118.79</c:v>
                </c:pt>
                <c:pt idx="79">
                  <c:v>282.63</c:v>
                </c:pt>
                <c:pt idx="80">
                  <c:v>9.9499999999999993</c:v>
                </c:pt>
                <c:pt idx="81">
                  <c:v>12.34</c:v>
                </c:pt>
                <c:pt idx="82">
                  <c:v>6.65</c:v>
                </c:pt>
                <c:pt idx="83">
                  <c:v>3.15</c:v>
                </c:pt>
                <c:pt idx="84">
                  <c:v>5.78</c:v>
                </c:pt>
                <c:pt idx="85">
                  <c:v>10.08</c:v>
                </c:pt>
                <c:pt idx="86">
                  <c:v>6.85</c:v>
                </c:pt>
                <c:pt idx="87">
                  <c:v>10.65</c:v>
                </c:pt>
                <c:pt idx="88">
                  <c:v>7.23</c:v>
                </c:pt>
                <c:pt idx="89">
                  <c:v>8.09</c:v>
                </c:pt>
                <c:pt idx="90">
                  <c:v>12.35</c:v>
                </c:pt>
                <c:pt idx="91">
                  <c:v>7.76</c:v>
                </c:pt>
                <c:pt idx="92">
                  <c:v>12.41</c:v>
                </c:pt>
                <c:pt idx="93">
                  <c:v>6.98</c:v>
                </c:pt>
                <c:pt idx="94">
                  <c:v>6.97</c:v>
                </c:pt>
                <c:pt idx="95">
                  <c:v>9.43</c:v>
                </c:pt>
                <c:pt idx="96">
                  <c:v>6.06</c:v>
                </c:pt>
                <c:pt idx="97">
                  <c:v>4.42</c:v>
                </c:pt>
                <c:pt idx="98">
                  <c:v>8.06</c:v>
                </c:pt>
                <c:pt idx="99">
                  <c:v>10.77</c:v>
                </c:pt>
                <c:pt idx="100">
                  <c:v>8.09</c:v>
                </c:pt>
                <c:pt idx="101">
                  <c:v>13.44</c:v>
                </c:pt>
                <c:pt idx="102">
                  <c:v>6.88</c:v>
                </c:pt>
                <c:pt idx="103">
                  <c:v>8.68</c:v>
                </c:pt>
                <c:pt idx="104">
                  <c:v>11.44</c:v>
                </c:pt>
                <c:pt idx="105">
                  <c:v>8.1999999999999993</c:v>
                </c:pt>
                <c:pt idx="106">
                  <c:v>11.04</c:v>
                </c:pt>
                <c:pt idx="107">
                  <c:v>5.81</c:v>
                </c:pt>
                <c:pt idx="108">
                  <c:v>6.69</c:v>
                </c:pt>
                <c:pt idx="109">
                  <c:v>7.88</c:v>
                </c:pt>
                <c:pt idx="110">
                  <c:v>7.66</c:v>
                </c:pt>
                <c:pt idx="111">
                  <c:v>7.86</c:v>
                </c:pt>
                <c:pt idx="112">
                  <c:v>64.02</c:v>
                </c:pt>
                <c:pt idx="113">
                  <c:v>6.62</c:v>
                </c:pt>
                <c:pt idx="114">
                  <c:v>7.99</c:v>
                </c:pt>
                <c:pt idx="115">
                  <c:v>12.01</c:v>
                </c:pt>
                <c:pt idx="116">
                  <c:v>6.65</c:v>
                </c:pt>
                <c:pt idx="117">
                  <c:v>8.41</c:v>
                </c:pt>
                <c:pt idx="118">
                  <c:v>10.1</c:v>
                </c:pt>
                <c:pt idx="119">
                  <c:v>10.09</c:v>
                </c:pt>
                <c:pt idx="120">
                  <c:v>7.64</c:v>
                </c:pt>
                <c:pt idx="121">
                  <c:v>18.600000000000001</c:v>
                </c:pt>
                <c:pt idx="122">
                  <c:v>12.94</c:v>
                </c:pt>
                <c:pt idx="123">
                  <c:v>11.47</c:v>
                </c:pt>
                <c:pt idx="124">
                  <c:v>17.16</c:v>
                </c:pt>
                <c:pt idx="125">
                  <c:v>11.6</c:v>
                </c:pt>
                <c:pt idx="126">
                  <c:v>14.94</c:v>
                </c:pt>
                <c:pt idx="127">
                  <c:v>24.31</c:v>
                </c:pt>
                <c:pt idx="128">
                  <c:v>1.1399999999999999</c:v>
                </c:pt>
                <c:pt idx="129">
                  <c:v>13.08</c:v>
                </c:pt>
                <c:pt idx="130">
                  <c:v>21.07</c:v>
                </c:pt>
                <c:pt idx="131">
                  <c:v>22.96</c:v>
                </c:pt>
                <c:pt idx="132">
                  <c:v>16.04</c:v>
                </c:pt>
                <c:pt idx="133">
                  <c:v>10.29</c:v>
                </c:pt>
                <c:pt idx="134">
                  <c:v>9.51</c:v>
                </c:pt>
                <c:pt idx="135">
                  <c:v>15.09</c:v>
                </c:pt>
                <c:pt idx="136">
                  <c:v>15.66</c:v>
                </c:pt>
                <c:pt idx="137">
                  <c:v>8.4</c:v>
                </c:pt>
                <c:pt idx="138">
                  <c:v>12.3</c:v>
                </c:pt>
                <c:pt idx="139">
                  <c:v>13.99</c:v>
                </c:pt>
                <c:pt idx="140">
                  <c:v>16.989999999999998</c:v>
                </c:pt>
                <c:pt idx="141">
                  <c:v>17.64</c:v>
                </c:pt>
                <c:pt idx="142">
                  <c:v>9.4700000000000006</c:v>
                </c:pt>
                <c:pt idx="143">
                  <c:v>19.72</c:v>
                </c:pt>
                <c:pt idx="144">
                  <c:v>14.41</c:v>
                </c:pt>
                <c:pt idx="145">
                  <c:v>22.01</c:v>
                </c:pt>
                <c:pt idx="146">
                  <c:v>12.38</c:v>
                </c:pt>
                <c:pt idx="147">
                  <c:v>14.94</c:v>
                </c:pt>
                <c:pt idx="148">
                  <c:v>8.93</c:v>
                </c:pt>
                <c:pt idx="149">
                  <c:v>19.510000000000002</c:v>
                </c:pt>
                <c:pt idx="150">
                  <c:v>15.65</c:v>
                </c:pt>
                <c:pt idx="151">
                  <c:v>14.11</c:v>
                </c:pt>
                <c:pt idx="152">
                  <c:v>8.24</c:v>
                </c:pt>
                <c:pt idx="153">
                  <c:v>5.71</c:v>
                </c:pt>
                <c:pt idx="154">
                  <c:v>7.8</c:v>
                </c:pt>
                <c:pt idx="155">
                  <c:v>8.27</c:v>
                </c:pt>
                <c:pt idx="156">
                  <c:v>9.25</c:v>
                </c:pt>
                <c:pt idx="157">
                  <c:v>8.83</c:v>
                </c:pt>
                <c:pt idx="158">
                  <c:v>7.42</c:v>
                </c:pt>
                <c:pt idx="159">
                  <c:v>16</c:v>
                </c:pt>
                <c:pt idx="160">
                  <c:v>27.27</c:v>
                </c:pt>
                <c:pt idx="161">
                  <c:v>12.94</c:v>
                </c:pt>
                <c:pt idx="162">
                  <c:v>19.809999999999999</c:v>
                </c:pt>
                <c:pt idx="163">
                  <c:v>12.27</c:v>
                </c:pt>
                <c:pt idx="164">
                  <c:v>25.26</c:v>
                </c:pt>
                <c:pt idx="165">
                  <c:v>12.47</c:v>
                </c:pt>
                <c:pt idx="166">
                  <c:v>13.72</c:v>
                </c:pt>
                <c:pt idx="167">
                  <c:v>10.44</c:v>
                </c:pt>
                <c:pt idx="168">
                  <c:v>13.09</c:v>
                </c:pt>
                <c:pt idx="169">
                  <c:v>15.03</c:v>
                </c:pt>
                <c:pt idx="170">
                  <c:v>18.190000000000001</c:v>
                </c:pt>
                <c:pt idx="171">
                  <c:v>16.68</c:v>
                </c:pt>
                <c:pt idx="172">
                  <c:v>30.95</c:v>
                </c:pt>
                <c:pt idx="173">
                  <c:v>9.58</c:v>
                </c:pt>
                <c:pt idx="174">
                  <c:v>10.87</c:v>
                </c:pt>
                <c:pt idx="175">
                  <c:v>13.64</c:v>
                </c:pt>
                <c:pt idx="176">
                  <c:v>8.51</c:v>
                </c:pt>
                <c:pt idx="177">
                  <c:v>9.81</c:v>
                </c:pt>
                <c:pt idx="178">
                  <c:v>11.51</c:v>
                </c:pt>
                <c:pt idx="179">
                  <c:v>9.08</c:v>
                </c:pt>
                <c:pt idx="180">
                  <c:v>8.5</c:v>
                </c:pt>
                <c:pt idx="181">
                  <c:v>18.350000000000001</c:v>
                </c:pt>
                <c:pt idx="182">
                  <c:v>14.32</c:v>
                </c:pt>
                <c:pt idx="183">
                  <c:v>19.36</c:v>
                </c:pt>
                <c:pt idx="184">
                  <c:v>10.92</c:v>
                </c:pt>
                <c:pt idx="185">
                  <c:v>6.81</c:v>
                </c:pt>
                <c:pt idx="186">
                  <c:v>8.1199999999999992</c:v>
                </c:pt>
                <c:pt idx="187">
                  <c:v>5.82</c:v>
                </c:pt>
                <c:pt idx="188">
                  <c:v>9.01</c:v>
                </c:pt>
                <c:pt idx="189">
                  <c:v>12.2</c:v>
                </c:pt>
                <c:pt idx="190">
                  <c:v>9.8699999999999992</c:v>
                </c:pt>
                <c:pt idx="191">
                  <c:v>4.82</c:v>
                </c:pt>
                <c:pt idx="192">
                  <c:v>6.73</c:v>
                </c:pt>
                <c:pt idx="193">
                  <c:v>7.24</c:v>
                </c:pt>
                <c:pt idx="194">
                  <c:v>9.7799999999999994</c:v>
                </c:pt>
                <c:pt idx="195">
                  <c:v>8.5299999999999994</c:v>
                </c:pt>
                <c:pt idx="196">
                  <c:v>6.9</c:v>
                </c:pt>
                <c:pt idx="197">
                  <c:v>8.58</c:v>
                </c:pt>
                <c:pt idx="198">
                  <c:v>6.22</c:v>
                </c:pt>
                <c:pt idx="199">
                  <c:v>9.93</c:v>
                </c:pt>
                <c:pt idx="200">
                  <c:v>6.81</c:v>
                </c:pt>
                <c:pt idx="201">
                  <c:v>6.85</c:v>
                </c:pt>
                <c:pt idx="202">
                  <c:v>8.26</c:v>
                </c:pt>
                <c:pt idx="203">
                  <c:v>14.19</c:v>
                </c:pt>
                <c:pt idx="204">
                  <c:v>15.99</c:v>
                </c:pt>
                <c:pt idx="205">
                  <c:v>13.67</c:v>
                </c:pt>
                <c:pt idx="206">
                  <c:v>12.32</c:v>
                </c:pt>
                <c:pt idx="207">
                  <c:v>21.41</c:v>
                </c:pt>
                <c:pt idx="208">
                  <c:v>13.7</c:v>
                </c:pt>
                <c:pt idx="209">
                  <c:v>9.9499999999999993</c:v>
                </c:pt>
                <c:pt idx="210">
                  <c:v>16.690000000000001</c:v>
                </c:pt>
                <c:pt idx="211">
                  <c:v>14.84</c:v>
                </c:pt>
                <c:pt idx="212">
                  <c:v>13.2</c:v>
                </c:pt>
                <c:pt idx="213">
                  <c:v>12.6</c:v>
                </c:pt>
                <c:pt idx="214">
                  <c:v>8.0399999999999991</c:v>
                </c:pt>
                <c:pt idx="215">
                  <c:v>9.0299999999999994</c:v>
                </c:pt>
                <c:pt idx="216">
                  <c:v>7.01</c:v>
                </c:pt>
                <c:pt idx="217">
                  <c:v>17.87</c:v>
                </c:pt>
                <c:pt idx="218">
                  <c:v>18.510000000000002</c:v>
                </c:pt>
                <c:pt idx="219">
                  <c:v>20.79</c:v>
                </c:pt>
                <c:pt idx="220">
                  <c:v>13.04</c:v>
                </c:pt>
                <c:pt idx="221">
                  <c:v>10.47</c:v>
                </c:pt>
                <c:pt idx="222">
                  <c:v>8.77</c:v>
                </c:pt>
                <c:pt idx="223">
                  <c:v>13.21</c:v>
                </c:pt>
                <c:pt idx="224">
                  <c:v>12.6</c:v>
                </c:pt>
                <c:pt idx="225">
                  <c:v>13.22</c:v>
                </c:pt>
                <c:pt idx="226">
                  <c:v>14.97</c:v>
                </c:pt>
                <c:pt idx="227">
                  <c:v>30.66</c:v>
                </c:pt>
                <c:pt idx="228">
                  <c:v>21.48</c:v>
                </c:pt>
                <c:pt idx="229">
                  <c:v>431.85</c:v>
                </c:pt>
                <c:pt idx="230">
                  <c:v>26.99</c:v>
                </c:pt>
                <c:pt idx="231">
                  <c:v>13.11</c:v>
                </c:pt>
                <c:pt idx="232">
                  <c:v>18.54</c:v>
                </c:pt>
                <c:pt idx="233">
                  <c:v>19.45</c:v>
                </c:pt>
                <c:pt idx="234">
                  <c:v>5.78</c:v>
                </c:pt>
                <c:pt idx="235">
                  <c:v>9.8699999999999992</c:v>
                </c:pt>
                <c:pt idx="236">
                  <c:v>7.54</c:v>
                </c:pt>
                <c:pt idx="237">
                  <c:v>16.399999999999999</c:v>
                </c:pt>
                <c:pt idx="238">
                  <c:v>24.26</c:v>
                </c:pt>
                <c:pt idx="239">
                  <c:v>9.56</c:v>
                </c:pt>
                <c:pt idx="240">
                  <c:v>14.98</c:v>
                </c:pt>
                <c:pt idx="241">
                  <c:v>8.0299999999999994</c:v>
                </c:pt>
                <c:pt idx="242">
                  <c:v>8.23</c:v>
                </c:pt>
                <c:pt idx="243">
                  <c:v>19.940000000000001</c:v>
                </c:pt>
                <c:pt idx="244">
                  <c:v>9.7100000000000009</c:v>
                </c:pt>
                <c:pt idx="245">
                  <c:v>15.03</c:v>
                </c:pt>
                <c:pt idx="246">
                  <c:v>11.53</c:v>
                </c:pt>
                <c:pt idx="247">
                  <c:v>12.77</c:v>
                </c:pt>
                <c:pt idx="248">
                  <c:v>10.029999999999999</c:v>
                </c:pt>
                <c:pt idx="249">
                  <c:v>11.19</c:v>
                </c:pt>
                <c:pt idx="250">
                  <c:v>6.29</c:v>
                </c:pt>
                <c:pt idx="251">
                  <c:v>22.94</c:v>
                </c:pt>
                <c:pt idx="252">
                  <c:v>26.06</c:v>
                </c:pt>
                <c:pt idx="253">
                  <c:v>19.57</c:v>
                </c:pt>
                <c:pt idx="254">
                  <c:v>32.03</c:v>
                </c:pt>
                <c:pt idx="255">
                  <c:v>27.39</c:v>
                </c:pt>
                <c:pt idx="256">
                  <c:v>22.41</c:v>
                </c:pt>
                <c:pt idx="257">
                  <c:v>13.03</c:v>
                </c:pt>
                <c:pt idx="258">
                  <c:v>11.69</c:v>
                </c:pt>
                <c:pt idx="259">
                  <c:v>8.94</c:v>
                </c:pt>
                <c:pt idx="260">
                  <c:v>21.79</c:v>
                </c:pt>
                <c:pt idx="261">
                  <c:v>18.600000000000001</c:v>
                </c:pt>
                <c:pt idx="262">
                  <c:v>26.76</c:v>
                </c:pt>
                <c:pt idx="263">
                  <c:v>18.63</c:v>
                </c:pt>
                <c:pt idx="264">
                  <c:v>7.06</c:v>
                </c:pt>
                <c:pt idx="265">
                  <c:v>8</c:v>
                </c:pt>
                <c:pt idx="266">
                  <c:v>15.21</c:v>
                </c:pt>
                <c:pt idx="267">
                  <c:v>12.98</c:v>
                </c:pt>
                <c:pt idx="268">
                  <c:v>18.64</c:v>
                </c:pt>
                <c:pt idx="269">
                  <c:v>13.89</c:v>
                </c:pt>
                <c:pt idx="270">
                  <c:v>20.34</c:v>
                </c:pt>
                <c:pt idx="271">
                  <c:v>14.36</c:v>
                </c:pt>
                <c:pt idx="272">
                  <c:v>25.3</c:v>
                </c:pt>
                <c:pt idx="273">
                  <c:v>16.989999999999998</c:v>
                </c:pt>
                <c:pt idx="274">
                  <c:v>12.83</c:v>
                </c:pt>
                <c:pt idx="275">
                  <c:v>13.86</c:v>
                </c:pt>
                <c:pt idx="276">
                  <c:v>5.26</c:v>
                </c:pt>
                <c:pt idx="277">
                  <c:v>8.1999999999999993</c:v>
                </c:pt>
                <c:pt idx="278">
                  <c:v>13.84</c:v>
                </c:pt>
                <c:pt idx="279">
                  <c:v>11.1</c:v>
                </c:pt>
                <c:pt idx="280">
                  <c:v>9.7899999999999991</c:v>
                </c:pt>
                <c:pt idx="281">
                  <c:v>11.18</c:v>
                </c:pt>
                <c:pt idx="282">
                  <c:v>17.87</c:v>
                </c:pt>
                <c:pt idx="283">
                  <c:v>15.67</c:v>
                </c:pt>
                <c:pt idx="284">
                  <c:v>13.4</c:v>
                </c:pt>
                <c:pt idx="285">
                  <c:v>10.7</c:v>
                </c:pt>
                <c:pt idx="286">
                  <c:v>31.95</c:v>
                </c:pt>
                <c:pt idx="287">
                  <c:v>19.05</c:v>
                </c:pt>
                <c:pt idx="288">
                  <c:v>15.76</c:v>
                </c:pt>
                <c:pt idx="289">
                  <c:v>7.04</c:v>
                </c:pt>
                <c:pt idx="290">
                  <c:v>8.24</c:v>
                </c:pt>
                <c:pt idx="291">
                  <c:v>15.36</c:v>
                </c:pt>
                <c:pt idx="292">
                  <c:v>7.08</c:v>
                </c:pt>
                <c:pt idx="293">
                  <c:v>13</c:v>
                </c:pt>
                <c:pt idx="294">
                  <c:v>11.98</c:v>
                </c:pt>
                <c:pt idx="295">
                  <c:v>14.12</c:v>
                </c:pt>
                <c:pt idx="296">
                  <c:v>12.99</c:v>
                </c:pt>
                <c:pt idx="297">
                  <c:v>13.88</c:v>
                </c:pt>
                <c:pt idx="298">
                  <c:v>14.29</c:v>
                </c:pt>
                <c:pt idx="299">
                  <c:v>12.23</c:v>
                </c:pt>
                <c:pt idx="300">
                  <c:v>18.88</c:v>
                </c:pt>
                <c:pt idx="301">
                  <c:v>17.47</c:v>
                </c:pt>
                <c:pt idx="302">
                  <c:v>12.84</c:v>
                </c:pt>
                <c:pt idx="303">
                  <c:v>18.920000000000002</c:v>
                </c:pt>
                <c:pt idx="304">
                  <c:v>16.989999999999998</c:v>
                </c:pt>
                <c:pt idx="305">
                  <c:v>30.39</c:v>
                </c:pt>
                <c:pt idx="306">
                  <c:v>13.55</c:v>
                </c:pt>
                <c:pt idx="307">
                  <c:v>22.5</c:v>
                </c:pt>
                <c:pt idx="308">
                  <c:v>15.16</c:v>
                </c:pt>
                <c:pt idx="309">
                  <c:v>20.81</c:v>
                </c:pt>
                <c:pt idx="310">
                  <c:v>10.48</c:v>
                </c:pt>
                <c:pt idx="311">
                  <c:v>9.67</c:v>
                </c:pt>
                <c:pt idx="312">
                  <c:v>8.89</c:v>
                </c:pt>
                <c:pt idx="313">
                  <c:v>9.6199999999999992</c:v>
                </c:pt>
                <c:pt idx="314">
                  <c:v>15.69</c:v>
                </c:pt>
                <c:pt idx="315">
                  <c:v>8.74</c:v>
                </c:pt>
                <c:pt idx="316">
                  <c:v>11.27</c:v>
                </c:pt>
                <c:pt idx="317">
                  <c:v>15.77</c:v>
                </c:pt>
                <c:pt idx="318">
                  <c:v>9.7899999999999991</c:v>
                </c:pt>
                <c:pt idx="319">
                  <c:v>18.05</c:v>
                </c:pt>
                <c:pt idx="320">
                  <c:v>17.8</c:v>
                </c:pt>
                <c:pt idx="321">
                  <c:v>9.15</c:v>
                </c:pt>
                <c:pt idx="322">
                  <c:v>19.73</c:v>
                </c:pt>
                <c:pt idx="323">
                  <c:v>13.48</c:v>
                </c:pt>
                <c:pt idx="324">
                  <c:v>14.29</c:v>
                </c:pt>
                <c:pt idx="325">
                  <c:v>22.01</c:v>
                </c:pt>
                <c:pt idx="326">
                  <c:v>37.07</c:v>
                </c:pt>
                <c:pt idx="327">
                  <c:v>26.12</c:v>
                </c:pt>
                <c:pt idx="328">
                  <c:v>18.23</c:v>
                </c:pt>
                <c:pt idx="329">
                  <c:v>13.28</c:v>
                </c:pt>
                <c:pt idx="330">
                  <c:v>13.07</c:v>
                </c:pt>
                <c:pt idx="331">
                  <c:v>16.28</c:v>
                </c:pt>
                <c:pt idx="332">
                  <c:v>8.85</c:v>
                </c:pt>
                <c:pt idx="333">
                  <c:v>11.56</c:v>
                </c:pt>
                <c:pt idx="334">
                  <c:v>18.84</c:v>
                </c:pt>
                <c:pt idx="335">
                  <c:v>19.48</c:v>
                </c:pt>
                <c:pt idx="336">
                  <c:v>14.6</c:v>
                </c:pt>
                <c:pt idx="337">
                  <c:v>12.37</c:v>
                </c:pt>
                <c:pt idx="338">
                  <c:v>19.84</c:v>
                </c:pt>
                <c:pt idx="339">
                  <c:v>9.01</c:v>
                </c:pt>
                <c:pt idx="340">
                  <c:v>31.75</c:v>
                </c:pt>
                <c:pt idx="341">
                  <c:v>12.88</c:v>
                </c:pt>
                <c:pt idx="342">
                  <c:v>6.75</c:v>
                </c:pt>
                <c:pt idx="343">
                  <c:v>8.82</c:v>
                </c:pt>
                <c:pt idx="344">
                  <c:v>11.7</c:v>
                </c:pt>
                <c:pt idx="345">
                  <c:v>7.55</c:v>
                </c:pt>
                <c:pt idx="346">
                  <c:v>26.42</c:v>
                </c:pt>
                <c:pt idx="347">
                  <c:v>13.44</c:v>
                </c:pt>
                <c:pt idx="348">
                  <c:v>22.22</c:v>
                </c:pt>
                <c:pt idx="349">
                  <c:v>5.48</c:v>
                </c:pt>
                <c:pt idx="350">
                  <c:v>8.35</c:v>
                </c:pt>
                <c:pt idx="351">
                  <c:v>14.41</c:v>
                </c:pt>
                <c:pt idx="352">
                  <c:v>7.07</c:v>
                </c:pt>
                <c:pt idx="353">
                  <c:v>6.54</c:v>
                </c:pt>
                <c:pt idx="354">
                  <c:v>13.89</c:v>
                </c:pt>
                <c:pt idx="355">
                  <c:v>19.46</c:v>
                </c:pt>
                <c:pt idx="356">
                  <c:v>19.559999999999999</c:v>
                </c:pt>
                <c:pt idx="357">
                  <c:v>6.86</c:v>
                </c:pt>
                <c:pt idx="358">
                  <c:v>8.14</c:v>
                </c:pt>
                <c:pt idx="359">
                  <c:v>11.64</c:v>
                </c:pt>
                <c:pt idx="360">
                  <c:v>11.12</c:v>
                </c:pt>
                <c:pt idx="361">
                  <c:v>5.04</c:v>
                </c:pt>
                <c:pt idx="362">
                  <c:v>5.49</c:v>
                </c:pt>
                <c:pt idx="363">
                  <c:v>6.09</c:v>
                </c:pt>
                <c:pt idx="364">
                  <c:v>8.92</c:v>
                </c:pt>
                <c:pt idx="365">
                  <c:v>11.31</c:v>
                </c:pt>
                <c:pt idx="366">
                  <c:v>7.33</c:v>
                </c:pt>
                <c:pt idx="367">
                  <c:v>8.43</c:v>
                </c:pt>
                <c:pt idx="368">
                  <c:v>1.46</c:v>
                </c:pt>
                <c:pt idx="369">
                  <c:v>7.81</c:v>
                </c:pt>
                <c:pt idx="370">
                  <c:v>6.39</c:v>
                </c:pt>
                <c:pt idx="371">
                  <c:v>6.87</c:v>
                </c:pt>
                <c:pt idx="372">
                  <c:v>8.61</c:v>
                </c:pt>
                <c:pt idx="373">
                  <c:v>30.96</c:v>
                </c:pt>
                <c:pt idx="374">
                  <c:v>13.09</c:v>
                </c:pt>
                <c:pt idx="375">
                  <c:v>10.16</c:v>
                </c:pt>
                <c:pt idx="376">
                  <c:v>12.3</c:v>
                </c:pt>
                <c:pt idx="377">
                  <c:v>7.4</c:v>
                </c:pt>
                <c:pt idx="378">
                  <c:v>21.78</c:v>
                </c:pt>
                <c:pt idx="379">
                  <c:v>7.39</c:v>
                </c:pt>
                <c:pt idx="380">
                  <c:v>6.68</c:v>
                </c:pt>
                <c:pt idx="381">
                  <c:v>8.0399999999999991</c:v>
                </c:pt>
                <c:pt idx="382">
                  <c:v>6.71</c:v>
                </c:pt>
                <c:pt idx="383">
                  <c:v>14.39</c:v>
                </c:pt>
                <c:pt idx="384">
                  <c:v>12.8</c:v>
                </c:pt>
                <c:pt idx="385">
                  <c:v>23.95</c:v>
                </c:pt>
                <c:pt idx="386">
                  <c:v>9.5</c:v>
                </c:pt>
                <c:pt idx="387">
                  <c:v>16.48</c:v>
                </c:pt>
                <c:pt idx="388">
                  <c:v>18.23</c:v>
                </c:pt>
                <c:pt idx="389">
                  <c:v>15.87</c:v>
                </c:pt>
                <c:pt idx="390">
                  <c:v>5.09</c:v>
                </c:pt>
                <c:pt idx="391">
                  <c:v>10.53</c:v>
                </c:pt>
                <c:pt idx="392">
                  <c:v>17.25</c:v>
                </c:pt>
                <c:pt idx="393">
                  <c:v>15.49</c:v>
                </c:pt>
                <c:pt idx="394">
                  <c:v>8.48</c:v>
                </c:pt>
                <c:pt idx="395">
                  <c:v>6.76</c:v>
                </c:pt>
                <c:pt idx="396">
                  <c:v>7.8</c:v>
                </c:pt>
                <c:pt idx="397">
                  <c:v>23.81</c:v>
                </c:pt>
                <c:pt idx="398">
                  <c:v>13.93</c:v>
                </c:pt>
                <c:pt idx="399">
                  <c:v>5.43</c:v>
                </c:pt>
                <c:pt idx="400">
                  <c:v>10.49</c:v>
                </c:pt>
                <c:pt idx="401">
                  <c:v>7.53</c:v>
                </c:pt>
                <c:pt idx="402">
                  <c:v>8.83</c:v>
                </c:pt>
                <c:pt idx="403">
                  <c:v>18.38</c:v>
                </c:pt>
                <c:pt idx="404">
                  <c:v>14.92</c:v>
                </c:pt>
                <c:pt idx="405">
                  <c:v>10.91</c:v>
                </c:pt>
                <c:pt idx="406">
                  <c:v>13.74</c:v>
                </c:pt>
                <c:pt idx="407">
                  <c:v>13.72</c:v>
                </c:pt>
                <c:pt idx="408">
                  <c:v>10.9</c:v>
                </c:pt>
                <c:pt idx="409">
                  <c:v>8.41</c:v>
                </c:pt>
                <c:pt idx="410">
                  <c:v>12.02</c:v>
                </c:pt>
                <c:pt idx="411">
                  <c:v>15.89</c:v>
                </c:pt>
                <c:pt idx="412">
                  <c:v>14.95</c:v>
                </c:pt>
                <c:pt idx="413">
                  <c:v>18.670000000000002</c:v>
                </c:pt>
                <c:pt idx="414">
                  <c:v>7.78</c:v>
                </c:pt>
                <c:pt idx="415">
                  <c:v>7.95</c:v>
                </c:pt>
                <c:pt idx="416">
                  <c:v>7.83</c:v>
                </c:pt>
                <c:pt idx="417">
                  <c:v>7.89</c:v>
                </c:pt>
                <c:pt idx="418">
                  <c:v>8.36</c:v>
                </c:pt>
                <c:pt idx="419">
                  <c:v>8.4700000000000006</c:v>
                </c:pt>
                <c:pt idx="420">
                  <c:v>6.63</c:v>
                </c:pt>
                <c:pt idx="421">
                  <c:v>10.199999999999999</c:v>
                </c:pt>
                <c:pt idx="422">
                  <c:v>13.14</c:v>
                </c:pt>
                <c:pt idx="423">
                  <c:v>9.25</c:v>
                </c:pt>
                <c:pt idx="424">
                  <c:v>7.76</c:v>
                </c:pt>
                <c:pt idx="425">
                  <c:v>9.08</c:v>
                </c:pt>
                <c:pt idx="426">
                  <c:v>9.1999999999999993</c:v>
                </c:pt>
                <c:pt idx="427">
                  <c:v>20.56</c:v>
                </c:pt>
                <c:pt idx="428">
                  <c:v>10.9</c:v>
                </c:pt>
                <c:pt idx="429">
                  <c:v>13.72</c:v>
                </c:pt>
                <c:pt idx="430">
                  <c:v>24.09</c:v>
                </c:pt>
                <c:pt idx="431">
                  <c:v>21.32</c:v>
                </c:pt>
                <c:pt idx="432">
                  <c:v>11.67</c:v>
                </c:pt>
                <c:pt idx="433">
                  <c:v>11.54</c:v>
                </c:pt>
                <c:pt idx="434">
                  <c:v>13.38</c:v>
                </c:pt>
                <c:pt idx="435">
                  <c:v>12.5</c:v>
                </c:pt>
                <c:pt idx="436">
                  <c:v>20.74</c:v>
                </c:pt>
                <c:pt idx="437">
                  <c:v>17.88</c:v>
                </c:pt>
                <c:pt idx="438">
                  <c:v>42.07</c:v>
                </c:pt>
                <c:pt idx="439">
                  <c:v>54.04</c:v>
                </c:pt>
                <c:pt idx="440">
                  <c:v>18.07</c:v>
                </c:pt>
                <c:pt idx="441">
                  <c:v>24.98</c:v>
                </c:pt>
                <c:pt idx="442">
                  <c:v>21.09</c:v>
                </c:pt>
                <c:pt idx="443">
                  <c:v>13</c:v>
                </c:pt>
                <c:pt idx="444">
                  <c:v>16.25</c:v>
                </c:pt>
                <c:pt idx="445">
                  <c:v>18.96</c:v>
                </c:pt>
                <c:pt idx="446">
                  <c:v>18.829999999999998</c:v>
                </c:pt>
                <c:pt idx="447">
                  <c:v>11.62</c:v>
                </c:pt>
                <c:pt idx="448">
                  <c:v>26.47</c:v>
                </c:pt>
                <c:pt idx="449">
                  <c:v>20.52</c:v>
                </c:pt>
                <c:pt idx="450">
                  <c:v>12.93</c:v>
                </c:pt>
                <c:pt idx="451">
                  <c:v>9.1300000000000008</c:v>
                </c:pt>
                <c:pt idx="452">
                  <c:v>7.16</c:v>
                </c:pt>
                <c:pt idx="453">
                  <c:v>10.76</c:v>
                </c:pt>
                <c:pt idx="454">
                  <c:v>12.89</c:v>
                </c:pt>
                <c:pt idx="455">
                  <c:v>17.87</c:v>
                </c:pt>
                <c:pt idx="456">
                  <c:v>37.01</c:v>
                </c:pt>
                <c:pt idx="457">
                  <c:v>11.08</c:v>
                </c:pt>
                <c:pt idx="458">
                  <c:v>10.26</c:v>
                </c:pt>
                <c:pt idx="459">
                  <c:v>9.36</c:v>
                </c:pt>
                <c:pt idx="460">
                  <c:v>25.21</c:v>
                </c:pt>
                <c:pt idx="461">
                  <c:v>14.59</c:v>
                </c:pt>
                <c:pt idx="462">
                  <c:v>10.91</c:v>
                </c:pt>
                <c:pt idx="463">
                  <c:v>14.1</c:v>
                </c:pt>
                <c:pt idx="464">
                  <c:v>9.2200000000000006</c:v>
                </c:pt>
                <c:pt idx="465">
                  <c:v>9.2799999999999994</c:v>
                </c:pt>
                <c:pt idx="466">
                  <c:v>10.35</c:v>
                </c:pt>
                <c:pt idx="467">
                  <c:v>12.67</c:v>
                </c:pt>
                <c:pt idx="468">
                  <c:v>11.43</c:v>
                </c:pt>
                <c:pt idx="469">
                  <c:v>28.45</c:v>
                </c:pt>
                <c:pt idx="470">
                  <c:v>31.12</c:v>
                </c:pt>
                <c:pt idx="471">
                  <c:v>27.15</c:v>
                </c:pt>
                <c:pt idx="472">
                  <c:v>46.02</c:v>
                </c:pt>
                <c:pt idx="473">
                  <c:v>15.52</c:v>
                </c:pt>
                <c:pt idx="474">
                  <c:v>28.21</c:v>
                </c:pt>
                <c:pt idx="475">
                  <c:v>20.52</c:v>
                </c:pt>
                <c:pt idx="476">
                  <c:v>10.43</c:v>
                </c:pt>
                <c:pt idx="477">
                  <c:v>9.31</c:v>
                </c:pt>
                <c:pt idx="478">
                  <c:v>11.83</c:v>
                </c:pt>
                <c:pt idx="479">
                  <c:v>12.76</c:v>
                </c:pt>
                <c:pt idx="480">
                  <c:v>26.23</c:v>
                </c:pt>
                <c:pt idx="481">
                  <c:v>10.63</c:v>
                </c:pt>
                <c:pt idx="482">
                  <c:v>10.76</c:v>
                </c:pt>
                <c:pt idx="483">
                  <c:v>0</c:v>
                </c:pt>
                <c:pt idx="484">
                  <c:v>11.45</c:v>
                </c:pt>
                <c:pt idx="485">
                  <c:v>23.03</c:v>
                </c:pt>
                <c:pt idx="486">
                  <c:v>7.57</c:v>
                </c:pt>
                <c:pt idx="487">
                  <c:v>11</c:v>
                </c:pt>
                <c:pt idx="488">
                  <c:v>7.3</c:v>
                </c:pt>
                <c:pt idx="489">
                  <c:v>13.99</c:v>
                </c:pt>
                <c:pt idx="490">
                  <c:v>23.41</c:v>
                </c:pt>
                <c:pt idx="491">
                  <c:v>10.51</c:v>
                </c:pt>
                <c:pt idx="492">
                  <c:v>25.97</c:v>
                </c:pt>
                <c:pt idx="493">
                  <c:v>10.36</c:v>
                </c:pt>
                <c:pt idx="494">
                  <c:v>22.9</c:v>
                </c:pt>
                <c:pt idx="495">
                  <c:v>23.23</c:v>
                </c:pt>
                <c:pt idx="496">
                  <c:v>12.06</c:v>
                </c:pt>
                <c:pt idx="497">
                  <c:v>11.63</c:v>
                </c:pt>
                <c:pt idx="498">
                  <c:v>14.77</c:v>
                </c:pt>
                <c:pt idx="499">
                  <c:v>29.21</c:v>
                </c:pt>
                <c:pt idx="500">
                  <c:v>5.85</c:v>
                </c:pt>
                <c:pt idx="501">
                  <c:v>12.02</c:v>
                </c:pt>
                <c:pt idx="502">
                  <c:v>7.11</c:v>
                </c:pt>
                <c:pt idx="503">
                  <c:v>16.579999999999998</c:v>
                </c:pt>
                <c:pt idx="504">
                  <c:v>21.31</c:v>
                </c:pt>
                <c:pt idx="505">
                  <c:v>9.9700000000000006</c:v>
                </c:pt>
                <c:pt idx="506">
                  <c:v>8.75</c:v>
                </c:pt>
                <c:pt idx="507">
                  <c:v>18.09</c:v>
                </c:pt>
                <c:pt idx="508">
                  <c:v>14.01</c:v>
                </c:pt>
                <c:pt idx="509">
                  <c:v>6.71</c:v>
                </c:pt>
                <c:pt idx="510">
                  <c:v>8.52</c:v>
                </c:pt>
                <c:pt idx="511">
                  <c:v>16.149999999999999</c:v>
                </c:pt>
                <c:pt idx="512">
                  <c:v>18.36</c:v>
                </c:pt>
                <c:pt idx="513">
                  <c:v>12.66</c:v>
                </c:pt>
                <c:pt idx="514">
                  <c:v>8.85</c:v>
                </c:pt>
                <c:pt idx="515">
                  <c:v>9.3800000000000008</c:v>
                </c:pt>
                <c:pt idx="516">
                  <c:v>27.93</c:v>
                </c:pt>
                <c:pt idx="517">
                  <c:v>12.23</c:v>
                </c:pt>
                <c:pt idx="518">
                  <c:v>10.27</c:v>
                </c:pt>
                <c:pt idx="519">
                  <c:v>38.86</c:v>
                </c:pt>
                <c:pt idx="520">
                  <c:v>19.23</c:v>
                </c:pt>
                <c:pt idx="521">
                  <c:v>19.61</c:v>
                </c:pt>
                <c:pt idx="522">
                  <c:v>20.99</c:v>
                </c:pt>
                <c:pt idx="523">
                  <c:v>15.93</c:v>
                </c:pt>
                <c:pt idx="524">
                  <c:v>73.25</c:v>
                </c:pt>
                <c:pt idx="525">
                  <c:v>30.76</c:v>
                </c:pt>
                <c:pt idx="526">
                  <c:v>101.61</c:v>
                </c:pt>
                <c:pt idx="527">
                  <c:v>34.880000000000003</c:v>
                </c:pt>
                <c:pt idx="528">
                  <c:v>17.62</c:v>
                </c:pt>
                <c:pt idx="529">
                  <c:v>23.02</c:v>
                </c:pt>
                <c:pt idx="530">
                  <c:v>11.11</c:v>
                </c:pt>
                <c:pt idx="531">
                  <c:v>9.73</c:v>
                </c:pt>
                <c:pt idx="532">
                  <c:v>6.84</c:v>
                </c:pt>
                <c:pt idx="533">
                  <c:v>0</c:v>
                </c:pt>
                <c:pt idx="534">
                  <c:v>12.4</c:v>
                </c:pt>
                <c:pt idx="535">
                  <c:v>14.9</c:v>
                </c:pt>
                <c:pt idx="536">
                  <c:v>8.6199999999999992</c:v>
                </c:pt>
                <c:pt idx="537">
                  <c:v>7.78</c:v>
                </c:pt>
                <c:pt idx="538">
                  <c:v>7.98</c:v>
                </c:pt>
                <c:pt idx="539">
                  <c:v>11.15</c:v>
                </c:pt>
                <c:pt idx="540">
                  <c:v>18.600000000000001</c:v>
                </c:pt>
                <c:pt idx="541">
                  <c:v>19.41</c:v>
                </c:pt>
                <c:pt idx="542">
                  <c:v>14.08</c:v>
                </c:pt>
                <c:pt idx="543">
                  <c:v>16.95</c:v>
                </c:pt>
                <c:pt idx="544">
                  <c:v>37.520000000000003</c:v>
                </c:pt>
                <c:pt idx="545">
                  <c:v>20.38</c:v>
                </c:pt>
                <c:pt idx="546">
                  <c:v>12.15</c:v>
                </c:pt>
                <c:pt idx="547">
                  <c:v>15.61</c:v>
                </c:pt>
                <c:pt idx="548">
                  <c:v>10.91</c:v>
                </c:pt>
                <c:pt idx="549">
                  <c:v>32.28</c:v>
                </c:pt>
                <c:pt idx="550">
                  <c:v>48.18</c:v>
                </c:pt>
                <c:pt idx="551">
                  <c:v>12.88</c:v>
                </c:pt>
                <c:pt idx="552">
                  <c:v>18.760000000000002</c:v>
                </c:pt>
                <c:pt idx="553">
                  <c:v>12.04</c:v>
                </c:pt>
                <c:pt idx="554">
                  <c:v>17.16</c:v>
                </c:pt>
                <c:pt idx="555">
                  <c:v>19.170000000000002</c:v>
                </c:pt>
                <c:pt idx="556">
                  <c:v>19.88</c:v>
                </c:pt>
                <c:pt idx="557">
                  <c:v>43.51</c:v>
                </c:pt>
                <c:pt idx="558">
                  <c:v>17.87</c:v>
                </c:pt>
                <c:pt idx="559">
                  <c:v>19.68</c:v>
                </c:pt>
                <c:pt idx="560">
                  <c:v>21.63</c:v>
                </c:pt>
                <c:pt idx="561">
                  <c:v>8.4</c:v>
                </c:pt>
                <c:pt idx="562">
                  <c:v>3.3</c:v>
                </c:pt>
                <c:pt idx="563">
                  <c:v>12.2</c:v>
                </c:pt>
                <c:pt idx="564">
                  <c:v>9.14</c:v>
                </c:pt>
                <c:pt idx="565">
                  <c:v>11.11</c:v>
                </c:pt>
                <c:pt idx="566">
                  <c:v>12.07</c:v>
                </c:pt>
                <c:pt idx="567">
                  <c:v>6.9</c:v>
                </c:pt>
                <c:pt idx="568">
                  <c:v>9.35</c:v>
                </c:pt>
                <c:pt idx="569">
                  <c:v>6.53</c:v>
                </c:pt>
                <c:pt idx="570">
                  <c:v>5.9</c:v>
                </c:pt>
                <c:pt idx="571">
                  <c:v>5.7</c:v>
                </c:pt>
                <c:pt idx="572">
                  <c:v>8</c:v>
                </c:pt>
                <c:pt idx="573">
                  <c:v>9.2100000000000009</c:v>
                </c:pt>
                <c:pt idx="574">
                  <c:v>11.79</c:v>
                </c:pt>
                <c:pt idx="575">
                  <c:v>24.04</c:v>
                </c:pt>
                <c:pt idx="576">
                  <c:v>10.52</c:v>
                </c:pt>
                <c:pt idx="577">
                  <c:v>9.35</c:v>
                </c:pt>
                <c:pt idx="578">
                  <c:v>12.89</c:v>
                </c:pt>
                <c:pt idx="579">
                  <c:v>20.7</c:v>
                </c:pt>
                <c:pt idx="580">
                  <c:v>7.54</c:v>
                </c:pt>
                <c:pt idx="581">
                  <c:v>5.87</c:v>
                </c:pt>
                <c:pt idx="582">
                  <c:v>11.03</c:v>
                </c:pt>
                <c:pt idx="583">
                  <c:v>11.15</c:v>
                </c:pt>
                <c:pt idx="584">
                  <c:v>10.37</c:v>
                </c:pt>
                <c:pt idx="585">
                  <c:v>10.27</c:v>
                </c:pt>
                <c:pt idx="586">
                  <c:v>12.03</c:v>
                </c:pt>
                <c:pt idx="587">
                  <c:v>15.79</c:v>
                </c:pt>
                <c:pt idx="588">
                  <c:v>14.37</c:v>
                </c:pt>
                <c:pt idx="589">
                  <c:v>11.28</c:v>
                </c:pt>
                <c:pt idx="590">
                  <c:v>10.16</c:v>
                </c:pt>
                <c:pt idx="591">
                  <c:v>6.6</c:v>
                </c:pt>
                <c:pt idx="592">
                  <c:v>18.670000000000002</c:v>
                </c:pt>
                <c:pt idx="593">
                  <c:v>11.31</c:v>
                </c:pt>
                <c:pt idx="594">
                  <c:v>20.420000000000002</c:v>
                </c:pt>
                <c:pt idx="595">
                  <c:v>12.14</c:v>
                </c:pt>
                <c:pt idx="596">
                  <c:v>12.8</c:v>
                </c:pt>
                <c:pt idx="597">
                  <c:v>19.34</c:v>
                </c:pt>
                <c:pt idx="598">
                  <c:v>15.13</c:v>
                </c:pt>
                <c:pt idx="599">
                  <c:v>13.79</c:v>
                </c:pt>
                <c:pt idx="600">
                  <c:v>8.75</c:v>
                </c:pt>
                <c:pt idx="601">
                  <c:v>6.82</c:v>
                </c:pt>
                <c:pt idx="602">
                  <c:v>6.37</c:v>
                </c:pt>
                <c:pt idx="603">
                  <c:v>4.8899999999999997</c:v>
                </c:pt>
                <c:pt idx="604">
                  <c:v>6</c:v>
                </c:pt>
                <c:pt idx="605">
                  <c:v>4.34</c:v>
                </c:pt>
                <c:pt idx="606">
                  <c:v>6.66</c:v>
                </c:pt>
                <c:pt idx="607">
                  <c:v>10.86</c:v>
                </c:pt>
                <c:pt idx="608">
                  <c:v>7.44</c:v>
                </c:pt>
                <c:pt idx="609">
                  <c:v>3.74</c:v>
                </c:pt>
                <c:pt idx="610">
                  <c:v>1.18</c:v>
                </c:pt>
                <c:pt idx="611">
                  <c:v>4.08</c:v>
                </c:pt>
                <c:pt idx="612">
                  <c:v>7.79</c:v>
                </c:pt>
                <c:pt idx="613">
                  <c:v>6.98</c:v>
                </c:pt>
                <c:pt idx="614">
                  <c:v>5.12</c:v>
                </c:pt>
                <c:pt idx="615">
                  <c:v>7.31</c:v>
                </c:pt>
                <c:pt idx="616">
                  <c:v>13.8</c:v>
                </c:pt>
                <c:pt idx="617">
                  <c:v>8.15</c:v>
                </c:pt>
                <c:pt idx="618">
                  <c:v>7.99</c:v>
                </c:pt>
                <c:pt idx="619">
                  <c:v>8.6199999999999992</c:v>
                </c:pt>
                <c:pt idx="620">
                  <c:v>7.62</c:v>
                </c:pt>
                <c:pt idx="621">
                  <c:v>13.13</c:v>
                </c:pt>
                <c:pt idx="622">
                  <c:v>18.8</c:v>
                </c:pt>
                <c:pt idx="623">
                  <c:v>10.89</c:v>
                </c:pt>
                <c:pt idx="624">
                  <c:v>7.28</c:v>
                </c:pt>
                <c:pt idx="625">
                  <c:v>13.02</c:v>
                </c:pt>
                <c:pt idx="626">
                  <c:v>9.4700000000000006</c:v>
                </c:pt>
                <c:pt idx="627">
                  <c:v>6.89</c:v>
                </c:pt>
                <c:pt idx="628">
                  <c:v>6.94</c:v>
                </c:pt>
                <c:pt idx="629">
                  <c:v>4.21</c:v>
                </c:pt>
                <c:pt idx="630">
                  <c:v>7.63</c:v>
                </c:pt>
                <c:pt idx="631">
                  <c:v>11.77</c:v>
                </c:pt>
                <c:pt idx="632">
                  <c:v>7.65</c:v>
                </c:pt>
                <c:pt idx="633">
                  <c:v>5.01</c:v>
                </c:pt>
                <c:pt idx="634">
                  <c:v>5.61</c:v>
                </c:pt>
                <c:pt idx="635">
                  <c:v>8.42</c:v>
                </c:pt>
                <c:pt idx="636">
                  <c:v>10.029999999999999</c:v>
                </c:pt>
                <c:pt idx="637">
                  <c:v>13.4</c:v>
                </c:pt>
                <c:pt idx="638">
                  <c:v>7.48</c:v>
                </c:pt>
                <c:pt idx="639">
                  <c:v>8.16</c:v>
                </c:pt>
                <c:pt idx="640">
                  <c:v>10.220000000000001</c:v>
                </c:pt>
                <c:pt idx="641">
                  <c:v>10.49</c:v>
                </c:pt>
                <c:pt idx="642">
                  <c:v>5.33</c:v>
                </c:pt>
                <c:pt idx="643">
                  <c:v>5.78</c:v>
                </c:pt>
                <c:pt idx="644">
                  <c:v>7.51</c:v>
                </c:pt>
                <c:pt idx="645">
                  <c:v>10.72</c:v>
                </c:pt>
                <c:pt idx="646">
                  <c:v>9.9600000000000009</c:v>
                </c:pt>
                <c:pt idx="647">
                  <c:v>8.1999999999999993</c:v>
                </c:pt>
                <c:pt idx="648">
                  <c:v>15.08</c:v>
                </c:pt>
                <c:pt idx="649">
                  <c:v>14.43</c:v>
                </c:pt>
                <c:pt idx="650">
                  <c:v>11.81</c:v>
                </c:pt>
                <c:pt idx="651">
                  <c:v>14.41</c:v>
                </c:pt>
                <c:pt idx="652">
                  <c:v>9.32</c:v>
                </c:pt>
                <c:pt idx="653">
                  <c:v>9.94</c:v>
                </c:pt>
                <c:pt idx="654">
                  <c:v>8.09</c:v>
                </c:pt>
                <c:pt idx="655">
                  <c:v>12.86</c:v>
                </c:pt>
                <c:pt idx="656">
                  <c:v>8.3800000000000008</c:v>
                </c:pt>
                <c:pt idx="657">
                  <c:v>13.6</c:v>
                </c:pt>
                <c:pt idx="658">
                  <c:v>11.44</c:v>
                </c:pt>
                <c:pt idx="659">
                  <c:v>19.899999999999999</c:v>
                </c:pt>
                <c:pt idx="660">
                  <c:v>7.36</c:v>
                </c:pt>
                <c:pt idx="661">
                  <c:v>9.48</c:v>
                </c:pt>
                <c:pt idx="662">
                  <c:v>6.91</c:v>
                </c:pt>
                <c:pt idx="663">
                  <c:v>9.27</c:v>
                </c:pt>
                <c:pt idx="664">
                  <c:v>6.09</c:v>
                </c:pt>
                <c:pt idx="665">
                  <c:v>8.4499999999999993</c:v>
                </c:pt>
                <c:pt idx="666">
                  <c:v>9.85</c:v>
                </c:pt>
                <c:pt idx="667">
                  <c:v>9.57</c:v>
                </c:pt>
                <c:pt idx="668">
                  <c:v>19.32</c:v>
                </c:pt>
                <c:pt idx="669">
                  <c:v>16.27</c:v>
                </c:pt>
                <c:pt idx="670">
                  <c:v>14.92</c:v>
                </c:pt>
                <c:pt idx="671">
                  <c:v>7.56</c:v>
                </c:pt>
                <c:pt idx="672">
                  <c:v>11.58</c:v>
                </c:pt>
                <c:pt idx="673">
                  <c:v>13.19</c:v>
                </c:pt>
                <c:pt idx="674">
                  <c:v>9.76</c:v>
                </c:pt>
                <c:pt idx="675">
                  <c:v>6.39</c:v>
                </c:pt>
                <c:pt idx="676">
                  <c:v>9.16</c:v>
                </c:pt>
                <c:pt idx="677">
                  <c:v>6.83</c:v>
                </c:pt>
                <c:pt idx="678">
                  <c:v>10.62</c:v>
                </c:pt>
                <c:pt idx="679">
                  <c:v>10.32</c:v>
                </c:pt>
                <c:pt idx="680">
                  <c:v>6.44</c:v>
                </c:pt>
                <c:pt idx="681">
                  <c:v>8.19</c:v>
                </c:pt>
                <c:pt idx="682">
                  <c:v>9.98</c:v>
                </c:pt>
                <c:pt idx="683">
                  <c:v>13.99</c:v>
                </c:pt>
                <c:pt idx="684">
                  <c:v>18.14</c:v>
                </c:pt>
                <c:pt idx="685">
                  <c:v>43.53</c:v>
                </c:pt>
                <c:pt idx="686">
                  <c:v>38.979999999999997</c:v>
                </c:pt>
                <c:pt idx="687">
                  <c:v>13.97</c:v>
                </c:pt>
                <c:pt idx="688">
                  <c:v>20.25</c:v>
                </c:pt>
                <c:pt idx="689">
                  <c:v>13.87</c:v>
                </c:pt>
                <c:pt idx="690">
                  <c:v>5.35</c:v>
                </c:pt>
                <c:pt idx="691">
                  <c:v>6.09</c:v>
                </c:pt>
                <c:pt idx="692">
                  <c:v>5.08</c:v>
                </c:pt>
                <c:pt idx="693">
                  <c:v>7.91</c:v>
                </c:pt>
                <c:pt idx="694">
                  <c:v>12.34</c:v>
                </c:pt>
                <c:pt idx="695">
                  <c:v>8.4600000000000009</c:v>
                </c:pt>
                <c:pt idx="696">
                  <c:v>6.52</c:v>
                </c:pt>
                <c:pt idx="697">
                  <c:v>7.32</c:v>
                </c:pt>
                <c:pt idx="698">
                  <c:v>9.4700000000000006</c:v>
                </c:pt>
                <c:pt idx="699">
                  <c:v>16.25</c:v>
                </c:pt>
                <c:pt idx="700">
                  <c:v>7.73</c:v>
                </c:pt>
                <c:pt idx="701">
                  <c:v>10.7</c:v>
                </c:pt>
                <c:pt idx="702">
                  <c:v>9.11</c:v>
                </c:pt>
                <c:pt idx="703">
                  <c:v>12.08</c:v>
                </c:pt>
                <c:pt idx="704">
                  <c:v>4.87</c:v>
                </c:pt>
                <c:pt idx="705">
                  <c:v>5.48</c:v>
                </c:pt>
                <c:pt idx="706">
                  <c:v>6.09</c:v>
                </c:pt>
                <c:pt idx="707">
                  <c:v>6.64</c:v>
                </c:pt>
                <c:pt idx="708">
                  <c:v>6.06</c:v>
                </c:pt>
                <c:pt idx="709">
                  <c:v>4.47</c:v>
                </c:pt>
                <c:pt idx="710">
                  <c:v>4.1900000000000004</c:v>
                </c:pt>
                <c:pt idx="711">
                  <c:v>11.73</c:v>
                </c:pt>
                <c:pt idx="712">
                  <c:v>7.5</c:v>
                </c:pt>
                <c:pt idx="713">
                  <c:v>8.6999999999999993</c:v>
                </c:pt>
                <c:pt idx="714">
                  <c:v>16.11</c:v>
                </c:pt>
                <c:pt idx="715">
                  <c:v>8.7200000000000006</c:v>
                </c:pt>
                <c:pt idx="716">
                  <c:v>7.06</c:v>
                </c:pt>
                <c:pt idx="717">
                  <c:v>7.02</c:v>
                </c:pt>
                <c:pt idx="718">
                  <c:v>7.54</c:v>
                </c:pt>
                <c:pt idx="719">
                  <c:v>6.45</c:v>
                </c:pt>
                <c:pt idx="720">
                  <c:v>7.15</c:v>
                </c:pt>
                <c:pt idx="721">
                  <c:v>9.1999999999999993</c:v>
                </c:pt>
                <c:pt idx="722">
                  <c:v>8.8000000000000007</c:v>
                </c:pt>
                <c:pt idx="723">
                  <c:v>14.27</c:v>
                </c:pt>
                <c:pt idx="724">
                  <c:v>18.899999999999999</c:v>
                </c:pt>
                <c:pt idx="725">
                  <c:v>19.829999999999998</c:v>
                </c:pt>
                <c:pt idx="726">
                  <c:v>13</c:v>
                </c:pt>
                <c:pt idx="727">
                  <c:v>18.2</c:v>
                </c:pt>
                <c:pt idx="728">
                  <c:v>11.48</c:v>
                </c:pt>
                <c:pt idx="729">
                  <c:v>8.73</c:v>
                </c:pt>
                <c:pt idx="730">
                  <c:v>15.42</c:v>
                </c:pt>
                <c:pt idx="731">
                  <c:v>25.77</c:v>
                </c:pt>
                <c:pt idx="732">
                  <c:v>24</c:v>
                </c:pt>
                <c:pt idx="733">
                  <c:v>9.48</c:v>
                </c:pt>
                <c:pt idx="734">
                  <c:v>7.99</c:v>
                </c:pt>
                <c:pt idx="735">
                  <c:v>9.15</c:v>
                </c:pt>
                <c:pt idx="736">
                  <c:v>11.14</c:v>
                </c:pt>
                <c:pt idx="737">
                  <c:v>15.98</c:v>
                </c:pt>
                <c:pt idx="738">
                  <c:v>9.75</c:v>
                </c:pt>
                <c:pt idx="739">
                  <c:v>9.99</c:v>
                </c:pt>
                <c:pt idx="740">
                  <c:v>7.24</c:v>
                </c:pt>
                <c:pt idx="741">
                  <c:v>12.41</c:v>
                </c:pt>
                <c:pt idx="742">
                  <c:v>7.98</c:v>
                </c:pt>
                <c:pt idx="743">
                  <c:v>7.33</c:v>
                </c:pt>
                <c:pt idx="744">
                  <c:v>10.25</c:v>
                </c:pt>
                <c:pt idx="745">
                  <c:v>12.72</c:v>
                </c:pt>
                <c:pt idx="746">
                  <c:v>12.61</c:v>
                </c:pt>
                <c:pt idx="747">
                  <c:v>7.62</c:v>
                </c:pt>
                <c:pt idx="748">
                  <c:v>8.84</c:v>
                </c:pt>
                <c:pt idx="749">
                  <c:v>5.98</c:v>
                </c:pt>
                <c:pt idx="750">
                  <c:v>14.25</c:v>
                </c:pt>
                <c:pt idx="751">
                  <c:v>6.67</c:v>
                </c:pt>
                <c:pt idx="752">
                  <c:v>9.74</c:v>
                </c:pt>
                <c:pt idx="753">
                  <c:v>9.49</c:v>
                </c:pt>
                <c:pt idx="754">
                  <c:v>11.04</c:v>
                </c:pt>
                <c:pt idx="755">
                  <c:v>6.06</c:v>
                </c:pt>
                <c:pt idx="756">
                  <c:v>9.75</c:v>
                </c:pt>
                <c:pt idx="757">
                  <c:v>18.239999999999998</c:v>
                </c:pt>
                <c:pt idx="758">
                  <c:v>6.78</c:v>
                </c:pt>
                <c:pt idx="759">
                  <c:v>12.9</c:v>
                </c:pt>
                <c:pt idx="760">
                  <c:v>11.61</c:v>
                </c:pt>
                <c:pt idx="761">
                  <c:v>7.06</c:v>
                </c:pt>
                <c:pt idx="762">
                  <c:v>9.51</c:v>
                </c:pt>
                <c:pt idx="763">
                  <c:v>10.16</c:v>
                </c:pt>
                <c:pt idx="764">
                  <c:v>9.17</c:v>
                </c:pt>
                <c:pt idx="765">
                  <c:v>10.82</c:v>
                </c:pt>
                <c:pt idx="766">
                  <c:v>9.93</c:v>
                </c:pt>
                <c:pt idx="767">
                  <c:v>9.75</c:v>
                </c:pt>
                <c:pt idx="768">
                  <c:v>4.7699999999999996</c:v>
                </c:pt>
                <c:pt idx="769">
                  <c:v>11.61</c:v>
                </c:pt>
                <c:pt idx="770">
                  <c:v>10.119999999999999</c:v>
                </c:pt>
                <c:pt idx="771">
                  <c:v>48.9</c:v>
                </c:pt>
                <c:pt idx="772">
                  <c:v>15.71</c:v>
                </c:pt>
                <c:pt idx="773">
                  <c:v>8.42</c:v>
                </c:pt>
                <c:pt idx="774">
                  <c:v>10.23</c:v>
                </c:pt>
                <c:pt idx="775">
                  <c:v>8.7899999999999991</c:v>
                </c:pt>
                <c:pt idx="776">
                  <c:v>8.36</c:v>
                </c:pt>
                <c:pt idx="777">
                  <c:v>9.6300000000000008</c:v>
                </c:pt>
                <c:pt idx="778">
                  <c:v>8.92</c:v>
                </c:pt>
                <c:pt idx="779">
                  <c:v>10.71</c:v>
                </c:pt>
                <c:pt idx="780">
                  <c:v>8.18</c:v>
                </c:pt>
                <c:pt idx="781">
                  <c:v>5.0199999999999996</c:v>
                </c:pt>
                <c:pt idx="782">
                  <c:v>7.77</c:v>
                </c:pt>
                <c:pt idx="783">
                  <c:v>16.37</c:v>
                </c:pt>
                <c:pt idx="784">
                  <c:v>8.14</c:v>
                </c:pt>
                <c:pt idx="785">
                  <c:v>12.91</c:v>
                </c:pt>
                <c:pt idx="786">
                  <c:v>18.829999999999998</c:v>
                </c:pt>
                <c:pt idx="787">
                  <c:v>8.9600000000000009</c:v>
                </c:pt>
                <c:pt idx="788">
                  <c:v>8.26</c:v>
                </c:pt>
                <c:pt idx="789">
                  <c:v>7.8</c:v>
                </c:pt>
                <c:pt idx="790">
                  <c:v>7.67</c:v>
                </c:pt>
                <c:pt idx="791">
                  <c:v>9.7799999999999994</c:v>
                </c:pt>
                <c:pt idx="792">
                  <c:v>12.21</c:v>
                </c:pt>
                <c:pt idx="793">
                  <c:v>29.13</c:v>
                </c:pt>
                <c:pt idx="794">
                  <c:v>9.9</c:v>
                </c:pt>
                <c:pt idx="795">
                  <c:v>10.28</c:v>
                </c:pt>
                <c:pt idx="796">
                  <c:v>11.86</c:v>
                </c:pt>
                <c:pt idx="797">
                  <c:v>10.42</c:v>
                </c:pt>
                <c:pt idx="798">
                  <c:v>20.64</c:v>
                </c:pt>
                <c:pt idx="799">
                  <c:v>25.79</c:v>
                </c:pt>
                <c:pt idx="800">
                  <c:v>22.3</c:v>
                </c:pt>
                <c:pt idx="801">
                  <c:v>55.75</c:v>
                </c:pt>
                <c:pt idx="802">
                  <c:v>64.52</c:v>
                </c:pt>
                <c:pt idx="803">
                  <c:v>17.13</c:v>
                </c:pt>
                <c:pt idx="804">
                  <c:v>14.09</c:v>
                </c:pt>
                <c:pt idx="805">
                  <c:v>21.04</c:v>
                </c:pt>
                <c:pt idx="806">
                  <c:v>12.5</c:v>
                </c:pt>
                <c:pt idx="807">
                  <c:v>12.3</c:v>
                </c:pt>
                <c:pt idx="808">
                  <c:v>7.12</c:v>
                </c:pt>
                <c:pt idx="809">
                  <c:v>13.1</c:v>
                </c:pt>
                <c:pt idx="810">
                  <c:v>8.35</c:v>
                </c:pt>
                <c:pt idx="811">
                  <c:v>12.56</c:v>
                </c:pt>
                <c:pt idx="812">
                  <c:v>13.71</c:v>
                </c:pt>
                <c:pt idx="813">
                  <c:v>8.25</c:v>
                </c:pt>
                <c:pt idx="814">
                  <c:v>14.41</c:v>
                </c:pt>
                <c:pt idx="815">
                  <c:v>6.64</c:v>
                </c:pt>
                <c:pt idx="816">
                  <c:v>4.58</c:v>
                </c:pt>
                <c:pt idx="817">
                  <c:v>6.95</c:v>
                </c:pt>
                <c:pt idx="818">
                  <c:v>10.62</c:v>
                </c:pt>
                <c:pt idx="819">
                  <c:v>8.2799999999999994</c:v>
                </c:pt>
                <c:pt idx="820">
                  <c:v>8.17</c:v>
                </c:pt>
                <c:pt idx="821">
                  <c:v>6.69</c:v>
                </c:pt>
                <c:pt idx="822">
                  <c:v>6</c:v>
                </c:pt>
                <c:pt idx="823">
                  <c:v>5.95</c:v>
                </c:pt>
                <c:pt idx="824">
                  <c:v>6.96</c:v>
                </c:pt>
                <c:pt idx="825">
                  <c:v>8.11</c:v>
                </c:pt>
                <c:pt idx="826">
                  <c:v>7.74</c:v>
                </c:pt>
                <c:pt idx="827">
                  <c:v>6.73</c:v>
                </c:pt>
                <c:pt idx="828">
                  <c:v>9.57</c:v>
                </c:pt>
                <c:pt idx="829">
                  <c:v>10.07</c:v>
                </c:pt>
                <c:pt idx="830">
                  <c:v>6.58</c:v>
                </c:pt>
                <c:pt idx="831">
                  <c:v>7.05</c:v>
                </c:pt>
                <c:pt idx="832">
                  <c:v>5.48</c:v>
                </c:pt>
                <c:pt idx="833">
                  <c:v>7.81</c:v>
                </c:pt>
                <c:pt idx="834">
                  <c:v>12.43</c:v>
                </c:pt>
                <c:pt idx="835">
                  <c:v>8.15</c:v>
                </c:pt>
                <c:pt idx="836">
                  <c:v>7.38</c:v>
                </c:pt>
                <c:pt idx="837">
                  <c:v>10.69</c:v>
                </c:pt>
                <c:pt idx="838">
                  <c:v>11.21</c:v>
                </c:pt>
                <c:pt idx="839">
                  <c:v>8.1300000000000008</c:v>
                </c:pt>
                <c:pt idx="840">
                  <c:v>6.2</c:v>
                </c:pt>
                <c:pt idx="841">
                  <c:v>9.81</c:v>
                </c:pt>
                <c:pt idx="842">
                  <c:v>6.33</c:v>
                </c:pt>
                <c:pt idx="843">
                  <c:v>9.7200000000000006</c:v>
                </c:pt>
                <c:pt idx="844">
                  <c:v>8.39</c:v>
                </c:pt>
                <c:pt idx="845">
                  <c:v>16.63</c:v>
                </c:pt>
                <c:pt idx="846">
                  <c:v>22.56</c:v>
                </c:pt>
                <c:pt idx="847">
                  <c:v>10.19</c:v>
                </c:pt>
                <c:pt idx="848">
                  <c:v>9.9</c:v>
                </c:pt>
                <c:pt idx="849">
                  <c:v>6.93</c:v>
                </c:pt>
                <c:pt idx="850">
                  <c:v>8.14</c:v>
                </c:pt>
                <c:pt idx="851">
                  <c:v>7.77</c:v>
                </c:pt>
                <c:pt idx="852">
                  <c:v>6.5</c:v>
                </c:pt>
                <c:pt idx="853">
                  <c:v>9.1999999999999993</c:v>
                </c:pt>
                <c:pt idx="854">
                  <c:v>7.84</c:v>
                </c:pt>
                <c:pt idx="855">
                  <c:v>9.99</c:v>
                </c:pt>
                <c:pt idx="856">
                  <c:v>7.6</c:v>
                </c:pt>
                <c:pt idx="857">
                  <c:v>15.45</c:v>
                </c:pt>
                <c:pt idx="858">
                  <c:v>17.64</c:v>
                </c:pt>
                <c:pt idx="859">
                  <c:v>10.95</c:v>
                </c:pt>
                <c:pt idx="860">
                  <c:v>19.329999999999998</c:v>
                </c:pt>
                <c:pt idx="861">
                  <c:v>20.61</c:v>
                </c:pt>
                <c:pt idx="862">
                  <c:v>10.050000000000001</c:v>
                </c:pt>
                <c:pt idx="863">
                  <c:v>8.39</c:v>
                </c:pt>
                <c:pt idx="864">
                  <c:v>10.74</c:v>
                </c:pt>
                <c:pt idx="865">
                  <c:v>16.78</c:v>
                </c:pt>
                <c:pt idx="866">
                  <c:v>19.670000000000002</c:v>
                </c:pt>
                <c:pt idx="867">
                  <c:v>13.83</c:v>
                </c:pt>
                <c:pt idx="868">
                  <c:v>13.07</c:v>
                </c:pt>
                <c:pt idx="869">
                  <c:v>18.559999999999999</c:v>
                </c:pt>
                <c:pt idx="870">
                  <c:v>17.239999999999998</c:v>
                </c:pt>
                <c:pt idx="871">
                  <c:v>3.17</c:v>
                </c:pt>
                <c:pt idx="872">
                  <c:v>27.37</c:v>
                </c:pt>
                <c:pt idx="873">
                  <c:v>18.47</c:v>
                </c:pt>
                <c:pt idx="874">
                  <c:v>16.3</c:v>
                </c:pt>
                <c:pt idx="875">
                  <c:v>20.89</c:v>
                </c:pt>
                <c:pt idx="876">
                  <c:v>6.93</c:v>
                </c:pt>
                <c:pt idx="877">
                  <c:v>6.42</c:v>
                </c:pt>
                <c:pt idx="878">
                  <c:v>7.27</c:v>
                </c:pt>
                <c:pt idx="879">
                  <c:v>10.34</c:v>
                </c:pt>
                <c:pt idx="880">
                  <c:v>10.61</c:v>
                </c:pt>
                <c:pt idx="881">
                  <c:v>9.39</c:v>
                </c:pt>
                <c:pt idx="882">
                  <c:v>10.51</c:v>
                </c:pt>
                <c:pt idx="883">
                  <c:v>22.24</c:v>
                </c:pt>
                <c:pt idx="884">
                  <c:v>8.8000000000000007</c:v>
                </c:pt>
                <c:pt idx="885">
                  <c:v>9.11</c:v>
                </c:pt>
                <c:pt idx="886">
                  <c:v>12.43</c:v>
                </c:pt>
                <c:pt idx="887">
                  <c:v>18.28</c:v>
                </c:pt>
                <c:pt idx="888">
                  <c:v>15.55</c:v>
                </c:pt>
                <c:pt idx="889">
                  <c:v>9.99</c:v>
                </c:pt>
                <c:pt idx="890">
                  <c:v>16.21</c:v>
                </c:pt>
                <c:pt idx="891">
                  <c:v>22.84</c:v>
                </c:pt>
                <c:pt idx="892">
                  <c:v>24.18</c:v>
                </c:pt>
                <c:pt idx="893">
                  <c:v>20.99</c:v>
                </c:pt>
                <c:pt idx="894">
                  <c:v>9.5299999999999994</c:v>
                </c:pt>
                <c:pt idx="895">
                  <c:v>14.37</c:v>
                </c:pt>
                <c:pt idx="896">
                  <c:v>12.49</c:v>
                </c:pt>
                <c:pt idx="897">
                  <c:v>8.42</c:v>
                </c:pt>
                <c:pt idx="898">
                  <c:v>12.27</c:v>
                </c:pt>
                <c:pt idx="899">
                  <c:v>10.52</c:v>
                </c:pt>
                <c:pt idx="900">
                  <c:v>8.7100000000000009</c:v>
                </c:pt>
                <c:pt idx="901">
                  <c:v>9.41</c:v>
                </c:pt>
                <c:pt idx="902">
                  <c:v>10.91</c:v>
                </c:pt>
                <c:pt idx="903">
                  <c:v>8.09</c:v>
                </c:pt>
                <c:pt idx="904">
                  <c:v>11.97</c:v>
                </c:pt>
                <c:pt idx="905">
                  <c:v>17.47</c:v>
                </c:pt>
                <c:pt idx="906">
                  <c:v>25.76</c:v>
                </c:pt>
                <c:pt idx="907">
                  <c:v>13.25</c:v>
                </c:pt>
                <c:pt idx="908">
                  <c:v>17.829999999999998</c:v>
                </c:pt>
                <c:pt idx="909">
                  <c:v>11.36</c:v>
                </c:pt>
                <c:pt idx="910">
                  <c:v>6.96</c:v>
                </c:pt>
                <c:pt idx="911">
                  <c:v>7.76</c:v>
                </c:pt>
                <c:pt idx="912">
                  <c:v>11.35</c:v>
                </c:pt>
                <c:pt idx="913">
                  <c:v>9.34</c:v>
                </c:pt>
                <c:pt idx="914">
                  <c:v>11.36</c:v>
                </c:pt>
                <c:pt idx="915">
                  <c:v>10.42</c:v>
                </c:pt>
                <c:pt idx="916">
                  <c:v>9.8800000000000008</c:v>
                </c:pt>
                <c:pt idx="917">
                  <c:v>7.98</c:v>
                </c:pt>
                <c:pt idx="918">
                  <c:v>8.61</c:v>
                </c:pt>
                <c:pt idx="919">
                  <c:v>6.42</c:v>
                </c:pt>
                <c:pt idx="920">
                  <c:v>10.89</c:v>
                </c:pt>
                <c:pt idx="921">
                  <c:v>8.92</c:v>
                </c:pt>
                <c:pt idx="922">
                  <c:v>8.31</c:v>
                </c:pt>
                <c:pt idx="923">
                  <c:v>10.09</c:v>
                </c:pt>
                <c:pt idx="924">
                  <c:v>15.9</c:v>
                </c:pt>
                <c:pt idx="925">
                  <c:v>17.7</c:v>
                </c:pt>
                <c:pt idx="926">
                  <c:v>38.979999999999997</c:v>
                </c:pt>
                <c:pt idx="927">
                  <c:v>15.89</c:v>
                </c:pt>
                <c:pt idx="928">
                  <c:v>16.93</c:v>
                </c:pt>
                <c:pt idx="929">
                  <c:v>10.84</c:v>
                </c:pt>
                <c:pt idx="930">
                  <c:v>9.35</c:v>
                </c:pt>
                <c:pt idx="931">
                  <c:v>9.74</c:v>
                </c:pt>
                <c:pt idx="932">
                  <c:v>10.64</c:v>
                </c:pt>
                <c:pt idx="933">
                  <c:v>9.9700000000000006</c:v>
                </c:pt>
                <c:pt idx="934">
                  <c:v>16.04</c:v>
                </c:pt>
                <c:pt idx="935">
                  <c:v>15.79</c:v>
                </c:pt>
                <c:pt idx="936">
                  <c:v>9.19</c:v>
                </c:pt>
                <c:pt idx="937">
                  <c:v>11.32</c:v>
                </c:pt>
                <c:pt idx="938">
                  <c:v>11.03</c:v>
                </c:pt>
                <c:pt idx="939">
                  <c:v>13.41</c:v>
                </c:pt>
                <c:pt idx="940">
                  <c:v>9.2799999999999994</c:v>
                </c:pt>
                <c:pt idx="941">
                  <c:v>14.07</c:v>
                </c:pt>
                <c:pt idx="942">
                  <c:v>12.35</c:v>
                </c:pt>
                <c:pt idx="943">
                  <c:v>11.11</c:v>
                </c:pt>
                <c:pt idx="944">
                  <c:v>13.79</c:v>
                </c:pt>
                <c:pt idx="945">
                  <c:v>18.29</c:v>
                </c:pt>
                <c:pt idx="946">
                  <c:v>18.57</c:v>
                </c:pt>
                <c:pt idx="947">
                  <c:v>39.880000000000003</c:v>
                </c:pt>
                <c:pt idx="948">
                  <c:v>35.17</c:v>
                </c:pt>
                <c:pt idx="949">
                  <c:v>19.260000000000002</c:v>
                </c:pt>
                <c:pt idx="950">
                  <c:v>16.02</c:v>
                </c:pt>
                <c:pt idx="951">
                  <c:v>11.24</c:v>
                </c:pt>
                <c:pt idx="952">
                  <c:v>8.17</c:v>
                </c:pt>
                <c:pt idx="953">
                  <c:v>7.01</c:v>
                </c:pt>
                <c:pt idx="954">
                  <c:v>9.07</c:v>
                </c:pt>
                <c:pt idx="955">
                  <c:v>11.32</c:v>
                </c:pt>
                <c:pt idx="956">
                  <c:v>13.88</c:v>
                </c:pt>
                <c:pt idx="957">
                  <c:v>17.079999999999998</c:v>
                </c:pt>
                <c:pt idx="958">
                  <c:v>16.649999999999999</c:v>
                </c:pt>
                <c:pt idx="959">
                  <c:v>14.29</c:v>
                </c:pt>
                <c:pt idx="960">
                  <c:v>5.0599999999999996</c:v>
                </c:pt>
                <c:pt idx="961">
                  <c:v>7.42</c:v>
                </c:pt>
                <c:pt idx="962">
                  <c:v>11.09</c:v>
                </c:pt>
                <c:pt idx="963">
                  <c:v>8.3699999999999992</c:v>
                </c:pt>
                <c:pt idx="964">
                  <c:v>9.86</c:v>
                </c:pt>
                <c:pt idx="965">
                  <c:v>14.36</c:v>
                </c:pt>
                <c:pt idx="966">
                  <c:v>10.83</c:v>
                </c:pt>
                <c:pt idx="967">
                  <c:v>10.93</c:v>
                </c:pt>
                <c:pt idx="968">
                  <c:v>12.49</c:v>
                </c:pt>
                <c:pt idx="969">
                  <c:v>14.24</c:v>
                </c:pt>
                <c:pt idx="970">
                  <c:v>14.7</c:v>
                </c:pt>
                <c:pt idx="971">
                  <c:v>23.21</c:v>
                </c:pt>
                <c:pt idx="972">
                  <c:v>11.82</c:v>
                </c:pt>
                <c:pt idx="973">
                  <c:v>13.47</c:v>
                </c:pt>
                <c:pt idx="974">
                  <c:v>18.420000000000002</c:v>
                </c:pt>
                <c:pt idx="975">
                  <c:v>15.29</c:v>
                </c:pt>
                <c:pt idx="976">
                  <c:v>15.55</c:v>
                </c:pt>
                <c:pt idx="977">
                  <c:v>21.7</c:v>
                </c:pt>
                <c:pt idx="978">
                  <c:v>32.369999999999997</c:v>
                </c:pt>
                <c:pt idx="979">
                  <c:v>78.290000000000006</c:v>
                </c:pt>
                <c:pt idx="980">
                  <c:v>20.2</c:v>
                </c:pt>
                <c:pt idx="981">
                  <c:v>17.8</c:v>
                </c:pt>
                <c:pt idx="982">
                  <c:v>8.19</c:v>
                </c:pt>
                <c:pt idx="983">
                  <c:v>11.92</c:v>
                </c:pt>
                <c:pt idx="984">
                  <c:v>20.04</c:v>
                </c:pt>
                <c:pt idx="985">
                  <c:v>17.34</c:v>
                </c:pt>
                <c:pt idx="986">
                  <c:v>18.03</c:v>
                </c:pt>
                <c:pt idx="987">
                  <c:v>21.4</c:v>
                </c:pt>
                <c:pt idx="988">
                  <c:v>34.49</c:v>
                </c:pt>
                <c:pt idx="989">
                  <c:v>17.93</c:v>
                </c:pt>
                <c:pt idx="990">
                  <c:v>25.95</c:v>
                </c:pt>
                <c:pt idx="991">
                  <c:v>18.97</c:v>
                </c:pt>
                <c:pt idx="992">
                  <c:v>20.420000000000002</c:v>
                </c:pt>
                <c:pt idx="993">
                  <c:v>27.92</c:v>
                </c:pt>
                <c:pt idx="994">
                  <c:v>16.579999999999998</c:v>
                </c:pt>
                <c:pt idx="995">
                  <c:v>20.54</c:v>
                </c:pt>
                <c:pt idx="996">
                  <c:v>24.21</c:v>
                </c:pt>
                <c:pt idx="997">
                  <c:v>15.67</c:v>
                </c:pt>
                <c:pt idx="998">
                  <c:v>23.41</c:v>
                </c:pt>
                <c:pt idx="999">
                  <c:v>24.51</c:v>
                </c:pt>
                <c:pt idx="1000">
                  <c:v>23.38</c:v>
                </c:pt>
                <c:pt idx="1001">
                  <c:v>24.4</c:v>
                </c:pt>
                <c:pt idx="1002">
                  <c:v>21.41</c:v>
                </c:pt>
                <c:pt idx="1003">
                  <c:v>23.55</c:v>
                </c:pt>
                <c:pt idx="1004">
                  <c:v>46.15</c:v>
                </c:pt>
                <c:pt idx="1005">
                  <c:v>37.83</c:v>
                </c:pt>
                <c:pt idx="1006">
                  <c:v>16.059999999999999</c:v>
                </c:pt>
                <c:pt idx="1007">
                  <c:v>19.600000000000001</c:v>
                </c:pt>
                <c:pt idx="1008">
                  <c:v>27.18</c:v>
                </c:pt>
                <c:pt idx="1009">
                  <c:v>15.91</c:v>
                </c:pt>
                <c:pt idx="1010">
                  <c:v>14.31</c:v>
                </c:pt>
                <c:pt idx="1011">
                  <c:v>25.66</c:v>
                </c:pt>
                <c:pt idx="1012">
                  <c:v>17.600000000000001</c:v>
                </c:pt>
                <c:pt idx="1013">
                  <c:v>18.12</c:v>
                </c:pt>
                <c:pt idx="1014">
                  <c:v>24.92</c:v>
                </c:pt>
                <c:pt idx="1015">
                  <c:v>29.28</c:v>
                </c:pt>
                <c:pt idx="1016">
                  <c:v>38.24</c:v>
                </c:pt>
                <c:pt idx="1017">
                  <c:v>40.49</c:v>
                </c:pt>
                <c:pt idx="1018">
                  <c:v>36.950000000000003</c:v>
                </c:pt>
                <c:pt idx="1019">
                  <c:v>27.98</c:v>
                </c:pt>
                <c:pt idx="1020">
                  <c:v>34.22</c:v>
                </c:pt>
                <c:pt idx="1021">
                  <c:v>21.63</c:v>
                </c:pt>
                <c:pt idx="1022">
                  <c:v>33</c:v>
                </c:pt>
                <c:pt idx="1023">
                  <c:v>35.11</c:v>
                </c:pt>
                <c:pt idx="1024">
                  <c:v>41.7</c:v>
                </c:pt>
                <c:pt idx="1025">
                  <c:v>36.130000000000003</c:v>
                </c:pt>
                <c:pt idx="1026">
                  <c:v>42.29</c:v>
                </c:pt>
                <c:pt idx="1027">
                  <c:v>36.04</c:v>
                </c:pt>
                <c:pt idx="1028">
                  <c:v>45.26</c:v>
                </c:pt>
                <c:pt idx="1029">
                  <c:v>66.84</c:v>
                </c:pt>
                <c:pt idx="1030">
                  <c:v>28.53</c:v>
                </c:pt>
                <c:pt idx="1031">
                  <c:v>19.3</c:v>
                </c:pt>
                <c:pt idx="1032">
                  <c:v>20.03</c:v>
                </c:pt>
                <c:pt idx="1033">
                  <c:v>23.63</c:v>
                </c:pt>
                <c:pt idx="1034">
                  <c:v>41.34</c:v>
                </c:pt>
                <c:pt idx="1035">
                  <c:v>11.01</c:v>
                </c:pt>
                <c:pt idx="1036">
                  <c:v>25.75</c:v>
                </c:pt>
                <c:pt idx="1037">
                  <c:v>16.13</c:v>
                </c:pt>
                <c:pt idx="1038">
                  <c:v>8.67</c:v>
                </c:pt>
                <c:pt idx="1039">
                  <c:v>14.02</c:v>
                </c:pt>
                <c:pt idx="1040">
                  <c:v>11.23</c:v>
                </c:pt>
                <c:pt idx="1041">
                  <c:v>12.88</c:v>
                </c:pt>
                <c:pt idx="1042">
                  <c:v>22.75</c:v>
                </c:pt>
                <c:pt idx="1043">
                  <c:v>18.100000000000001</c:v>
                </c:pt>
                <c:pt idx="1044">
                  <c:v>19.559999999999999</c:v>
                </c:pt>
                <c:pt idx="1045">
                  <c:v>11.89</c:v>
                </c:pt>
                <c:pt idx="1046">
                  <c:v>16.2</c:v>
                </c:pt>
                <c:pt idx="1047">
                  <c:v>24.17</c:v>
                </c:pt>
                <c:pt idx="1048">
                  <c:v>56.71</c:v>
                </c:pt>
                <c:pt idx="1049">
                  <c:v>27.85</c:v>
                </c:pt>
                <c:pt idx="1050">
                  <c:v>41.13</c:v>
                </c:pt>
                <c:pt idx="1051">
                  <c:v>43.21</c:v>
                </c:pt>
                <c:pt idx="1052">
                  <c:v>15.04</c:v>
                </c:pt>
                <c:pt idx="1053">
                  <c:v>15.28</c:v>
                </c:pt>
                <c:pt idx="1054">
                  <c:v>23.15</c:v>
                </c:pt>
                <c:pt idx="1055">
                  <c:v>18.32</c:v>
                </c:pt>
                <c:pt idx="1056">
                  <c:v>17.350000000000001</c:v>
                </c:pt>
                <c:pt idx="1057">
                  <c:v>16.59</c:v>
                </c:pt>
                <c:pt idx="1058">
                  <c:v>17.329999999999998</c:v>
                </c:pt>
                <c:pt idx="1059">
                  <c:v>11.47</c:v>
                </c:pt>
                <c:pt idx="1060">
                  <c:v>14.39</c:v>
                </c:pt>
                <c:pt idx="1061">
                  <c:v>12.32</c:v>
                </c:pt>
                <c:pt idx="1062">
                  <c:v>10.57</c:v>
                </c:pt>
                <c:pt idx="1063">
                  <c:v>11.5</c:v>
                </c:pt>
                <c:pt idx="1064">
                  <c:v>13.16</c:v>
                </c:pt>
                <c:pt idx="1065">
                  <c:v>8.02</c:v>
                </c:pt>
                <c:pt idx="1066">
                  <c:v>15.84</c:v>
                </c:pt>
                <c:pt idx="1067">
                  <c:v>8.86</c:v>
                </c:pt>
                <c:pt idx="1068">
                  <c:v>8.9499999999999993</c:v>
                </c:pt>
                <c:pt idx="1069">
                  <c:v>11.23</c:v>
                </c:pt>
                <c:pt idx="1070">
                  <c:v>9.0500000000000007</c:v>
                </c:pt>
                <c:pt idx="1071">
                  <c:v>7.77</c:v>
                </c:pt>
                <c:pt idx="1072">
                  <c:v>7.58</c:v>
                </c:pt>
                <c:pt idx="1073">
                  <c:v>9.74</c:v>
                </c:pt>
                <c:pt idx="1074">
                  <c:v>11.48</c:v>
                </c:pt>
                <c:pt idx="1075">
                  <c:v>11.57</c:v>
                </c:pt>
                <c:pt idx="1076">
                  <c:v>8.15</c:v>
                </c:pt>
                <c:pt idx="1077">
                  <c:v>16.579999999999998</c:v>
                </c:pt>
                <c:pt idx="1078">
                  <c:v>22.21</c:v>
                </c:pt>
                <c:pt idx="1079">
                  <c:v>17.239999999999998</c:v>
                </c:pt>
                <c:pt idx="1080">
                  <c:v>19.399999999999999</c:v>
                </c:pt>
                <c:pt idx="1081">
                  <c:v>37.340000000000003</c:v>
                </c:pt>
                <c:pt idx="1082">
                  <c:v>29.68</c:v>
                </c:pt>
                <c:pt idx="1083">
                  <c:v>24.2</c:v>
                </c:pt>
                <c:pt idx="1084">
                  <c:v>34.65</c:v>
                </c:pt>
                <c:pt idx="1085">
                  <c:v>37.51</c:v>
                </c:pt>
                <c:pt idx="1086">
                  <c:v>22.05</c:v>
                </c:pt>
                <c:pt idx="1087">
                  <c:v>35.159999999999997</c:v>
                </c:pt>
                <c:pt idx="1088">
                  <c:v>38.24</c:v>
                </c:pt>
                <c:pt idx="1089">
                  <c:v>9.86</c:v>
                </c:pt>
                <c:pt idx="1090">
                  <c:v>8.9</c:v>
                </c:pt>
                <c:pt idx="1091">
                  <c:v>13.14</c:v>
                </c:pt>
                <c:pt idx="1092">
                  <c:v>13.79</c:v>
                </c:pt>
                <c:pt idx="1093">
                  <c:v>15.9</c:v>
                </c:pt>
                <c:pt idx="1094">
                  <c:v>13</c:v>
                </c:pt>
                <c:pt idx="1095">
                  <c:v>23.5</c:v>
                </c:pt>
                <c:pt idx="1096">
                  <c:v>22.13</c:v>
                </c:pt>
                <c:pt idx="1097">
                  <c:v>27.03</c:v>
                </c:pt>
                <c:pt idx="1098">
                  <c:v>23.9</c:v>
                </c:pt>
                <c:pt idx="1099">
                  <c:v>14.14</c:v>
                </c:pt>
                <c:pt idx="1100">
                  <c:v>13.43</c:v>
                </c:pt>
                <c:pt idx="1101">
                  <c:v>22.57</c:v>
                </c:pt>
                <c:pt idx="1102">
                  <c:v>20.23</c:v>
                </c:pt>
                <c:pt idx="1103">
                  <c:v>46.7</c:v>
                </c:pt>
                <c:pt idx="1104">
                  <c:v>14.68</c:v>
                </c:pt>
                <c:pt idx="1105">
                  <c:v>38.76</c:v>
                </c:pt>
                <c:pt idx="1106">
                  <c:v>11.86</c:v>
                </c:pt>
                <c:pt idx="1107">
                  <c:v>8.1300000000000008</c:v>
                </c:pt>
                <c:pt idx="1108">
                  <c:v>13.43</c:v>
                </c:pt>
                <c:pt idx="1109">
                  <c:v>11.52</c:v>
                </c:pt>
                <c:pt idx="1110">
                  <c:v>20.27</c:v>
                </c:pt>
                <c:pt idx="1111">
                  <c:v>7.02</c:v>
                </c:pt>
                <c:pt idx="1112">
                  <c:v>17.84</c:v>
                </c:pt>
                <c:pt idx="1113">
                  <c:v>14.34</c:v>
                </c:pt>
                <c:pt idx="1114">
                  <c:v>23.2</c:v>
                </c:pt>
                <c:pt idx="1115">
                  <c:v>26.64</c:v>
                </c:pt>
                <c:pt idx="1116">
                  <c:v>46.28</c:v>
                </c:pt>
                <c:pt idx="1117">
                  <c:v>25.91</c:v>
                </c:pt>
                <c:pt idx="1118">
                  <c:v>18.93</c:v>
                </c:pt>
                <c:pt idx="1119">
                  <c:v>22.33</c:v>
                </c:pt>
                <c:pt idx="1120">
                  <c:v>35.54</c:v>
                </c:pt>
                <c:pt idx="1121">
                  <c:v>22.52</c:v>
                </c:pt>
                <c:pt idx="1122">
                  <c:v>47.82</c:v>
                </c:pt>
                <c:pt idx="1123">
                  <c:v>59.06</c:v>
                </c:pt>
                <c:pt idx="1124">
                  <c:v>60.29</c:v>
                </c:pt>
                <c:pt idx="1125">
                  <c:v>85.41</c:v>
                </c:pt>
                <c:pt idx="1126">
                  <c:v>50.16</c:v>
                </c:pt>
                <c:pt idx="1127">
                  <c:v>29.22</c:v>
                </c:pt>
                <c:pt idx="1128">
                  <c:v>21.18</c:v>
                </c:pt>
                <c:pt idx="1129">
                  <c:v>9.74</c:v>
                </c:pt>
                <c:pt idx="1130">
                  <c:v>10.37</c:v>
                </c:pt>
                <c:pt idx="1131">
                  <c:v>17.510000000000002</c:v>
                </c:pt>
                <c:pt idx="1132">
                  <c:v>9.2200000000000006</c:v>
                </c:pt>
                <c:pt idx="1133">
                  <c:v>10.69</c:v>
                </c:pt>
                <c:pt idx="1134">
                  <c:v>15.96</c:v>
                </c:pt>
                <c:pt idx="1135">
                  <c:v>16.36</c:v>
                </c:pt>
                <c:pt idx="1136">
                  <c:v>15.45</c:v>
                </c:pt>
                <c:pt idx="1137">
                  <c:v>15.71</c:v>
                </c:pt>
                <c:pt idx="1138">
                  <c:v>22.89</c:v>
                </c:pt>
                <c:pt idx="1139">
                  <c:v>24.82</c:v>
                </c:pt>
                <c:pt idx="1140">
                  <c:v>21.79</c:v>
                </c:pt>
                <c:pt idx="1141">
                  <c:v>52.62</c:v>
                </c:pt>
                <c:pt idx="1142">
                  <c:v>56.67</c:v>
                </c:pt>
                <c:pt idx="1143">
                  <c:v>70.39</c:v>
                </c:pt>
                <c:pt idx="1144">
                  <c:v>79.5</c:v>
                </c:pt>
                <c:pt idx="1145">
                  <c:v>149.24</c:v>
                </c:pt>
                <c:pt idx="1146">
                  <c:v>20.25</c:v>
                </c:pt>
                <c:pt idx="1147">
                  <c:v>19.62</c:v>
                </c:pt>
                <c:pt idx="1148">
                  <c:v>16.04</c:v>
                </c:pt>
                <c:pt idx="1149">
                  <c:v>19.05</c:v>
                </c:pt>
                <c:pt idx="1150">
                  <c:v>17.23</c:v>
                </c:pt>
                <c:pt idx="1151">
                  <c:v>37.49</c:v>
                </c:pt>
                <c:pt idx="1152">
                  <c:v>10.63</c:v>
                </c:pt>
                <c:pt idx="1153">
                  <c:v>10.23</c:v>
                </c:pt>
                <c:pt idx="1154">
                  <c:v>14.32</c:v>
                </c:pt>
                <c:pt idx="1155">
                  <c:v>16.239999999999998</c:v>
                </c:pt>
                <c:pt idx="1156">
                  <c:v>25.81</c:v>
                </c:pt>
                <c:pt idx="1157">
                  <c:v>12.08</c:v>
                </c:pt>
                <c:pt idx="1158">
                  <c:v>10.48</c:v>
                </c:pt>
                <c:pt idx="1159">
                  <c:v>14.84</c:v>
                </c:pt>
                <c:pt idx="1160">
                  <c:v>10.59</c:v>
                </c:pt>
                <c:pt idx="1161">
                  <c:v>12.49</c:v>
                </c:pt>
                <c:pt idx="1162">
                  <c:v>9.94</c:v>
                </c:pt>
                <c:pt idx="1163">
                  <c:v>19.420000000000002</c:v>
                </c:pt>
                <c:pt idx="1164">
                  <c:v>10.74</c:v>
                </c:pt>
                <c:pt idx="1165">
                  <c:v>7.86</c:v>
                </c:pt>
                <c:pt idx="1166">
                  <c:v>11.19</c:v>
                </c:pt>
                <c:pt idx="1167">
                  <c:v>18.850000000000001</c:v>
                </c:pt>
                <c:pt idx="1168">
                  <c:v>27.69</c:v>
                </c:pt>
                <c:pt idx="1169">
                  <c:v>15.42</c:v>
                </c:pt>
                <c:pt idx="1170">
                  <c:v>18.16</c:v>
                </c:pt>
                <c:pt idx="1171">
                  <c:v>20.36</c:v>
                </c:pt>
                <c:pt idx="1172">
                  <c:v>23.58</c:v>
                </c:pt>
                <c:pt idx="1173">
                  <c:v>47.18</c:v>
                </c:pt>
                <c:pt idx="1174">
                  <c:v>11</c:v>
                </c:pt>
                <c:pt idx="1175">
                  <c:v>18.47</c:v>
                </c:pt>
                <c:pt idx="1176">
                  <c:v>9.67</c:v>
                </c:pt>
                <c:pt idx="1177">
                  <c:v>14.94</c:v>
                </c:pt>
                <c:pt idx="1178">
                  <c:v>15.6</c:v>
                </c:pt>
                <c:pt idx="1179">
                  <c:v>14.74</c:v>
                </c:pt>
                <c:pt idx="1180">
                  <c:v>24.44</c:v>
                </c:pt>
                <c:pt idx="1181">
                  <c:v>47.26</c:v>
                </c:pt>
                <c:pt idx="1182">
                  <c:v>44.53</c:v>
                </c:pt>
                <c:pt idx="1183">
                  <c:v>18.309999999999999</c:v>
                </c:pt>
                <c:pt idx="1184">
                  <c:v>23.66</c:v>
                </c:pt>
                <c:pt idx="1185">
                  <c:v>16.46</c:v>
                </c:pt>
                <c:pt idx="1186">
                  <c:v>29.02</c:v>
                </c:pt>
                <c:pt idx="1187">
                  <c:v>28.85</c:v>
                </c:pt>
                <c:pt idx="1188">
                  <c:v>20.48</c:v>
                </c:pt>
                <c:pt idx="1189">
                  <c:v>10.83</c:v>
                </c:pt>
                <c:pt idx="1190">
                  <c:v>13.09</c:v>
                </c:pt>
                <c:pt idx="1191">
                  <c:v>11.83</c:v>
                </c:pt>
                <c:pt idx="1192">
                  <c:v>20.93</c:v>
                </c:pt>
                <c:pt idx="1193">
                  <c:v>17.88</c:v>
                </c:pt>
                <c:pt idx="1194">
                  <c:v>11.09</c:v>
                </c:pt>
                <c:pt idx="1195">
                  <c:v>10.25</c:v>
                </c:pt>
                <c:pt idx="1196">
                  <c:v>12.7</c:v>
                </c:pt>
                <c:pt idx="1197">
                  <c:v>10.19</c:v>
                </c:pt>
                <c:pt idx="1198">
                  <c:v>15.94</c:v>
                </c:pt>
                <c:pt idx="1199">
                  <c:v>13.33</c:v>
                </c:pt>
                <c:pt idx="1200">
                  <c:v>14.63</c:v>
                </c:pt>
                <c:pt idx="1201">
                  <c:v>13.88</c:v>
                </c:pt>
                <c:pt idx="1202">
                  <c:v>22.44</c:v>
                </c:pt>
                <c:pt idx="1203">
                  <c:v>12.58</c:v>
                </c:pt>
                <c:pt idx="1204">
                  <c:v>18.04</c:v>
                </c:pt>
                <c:pt idx="1205">
                  <c:v>19.07</c:v>
                </c:pt>
                <c:pt idx="1206">
                  <c:v>23.57</c:v>
                </c:pt>
                <c:pt idx="1207">
                  <c:v>21.48</c:v>
                </c:pt>
                <c:pt idx="1208">
                  <c:v>20.100000000000001</c:v>
                </c:pt>
                <c:pt idx="1209">
                  <c:v>14.85</c:v>
                </c:pt>
                <c:pt idx="1210">
                  <c:v>17.68</c:v>
                </c:pt>
                <c:pt idx="1211">
                  <c:v>21.42</c:v>
                </c:pt>
                <c:pt idx="1212">
                  <c:v>30.72</c:v>
                </c:pt>
                <c:pt idx="1213">
                  <c:v>24.89</c:v>
                </c:pt>
                <c:pt idx="1214">
                  <c:v>21.26</c:v>
                </c:pt>
                <c:pt idx="1215">
                  <c:v>31.43</c:v>
                </c:pt>
                <c:pt idx="1216">
                  <c:v>30.13</c:v>
                </c:pt>
                <c:pt idx="1217">
                  <c:v>46.66</c:v>
                </c:pt>
                <c:pt idx="1218">
                  <c:v>96.65</c:v>
                </c:pt>
                <c:pt idx="1219">
                  <c:v>38.76</c:v>
                </c:pt>
                <c:pt idx="1220">
                  <c:v>73.040000000000006</c:v>
                </c:pt>
                <c:pt idx="1221">
                  <c:v>25.6</c:v>
                </c:pt>
                <c:pt idx="1222">
                  <c:v>47.55</c:v>
                </c:pt>
                <c:pt idx="1223">
                  <c:v>17.579999999999998</c:v>
                </c:pt>
                <c:pt idx="1224">
                  <c:v>25.33</c:v>
                </c:pt>
                <c:pt idx="1225">
                  <c:v>28.87</c:v>
                </c:pt>
                <c:pt idx="1226">
                  <c:v>22.64</c:v>
                </c:pt>
                <c:pt idx="1227">
                  <c:v>20.88</c:v>
                </c:pt>
                <c:pt idx="1228">
                  <c:v>24.41</c:v>
                </c:pt>
                <c:pt idx="1229">
                  <c:v>30.48</c:v>
                </c:pt>
                <c:pt idx="1230">
                  <c:v>38</c:v>
                </c:pt>
                <c:pt idx="1231">
                  <c:v>61.65</c:v>
                </c:pt>
                <c:pt idx="1232">
                  <c:v>16.54</c:v>
                </c:pt>
                <c:pt idx="1233">
                  <c:v>13.75</c:v>
                </c:pt>
                <c:pt idx="1234">
                  <c:v>16.3</c:v>
                </c:pt>
                <c:pt idx="1235">
                  <c:v>19.46</c:v>
                </c:pt>
                <c:pt idx="1236">
                  <c:v>14.32</c:v>
                </c:pt>
                <c:pt idx="1237">
                  <c:v>13.86</c:v>
                </c:pt>
                <c:pt idx="1238">
                  <c:v>18.260000000000002</c:v>
                </c:pt>
                <c:pt idx="1239">
                  <c:v>20.61</c:v>
                </c:pt>
                <c:pt idx="1240">
                  <c:v>16.5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6-48A6-B712-255FD9944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2781920"/>
        <c:axId val="1292774240"/>
      </c:barChart>
      <c:catAx>
        <c:axId val="1292781920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774240"/>
        <c:crosses val="autoZero"/>
        <c:auto val="1"/>
        <c:lblAlgn val="ctr"/>
        <c:lblOffset val="100"/>
        <c:noMultiLvlLbl val="0"/>
      </c:catAx>
      <c:valAx>
        <c:axId val="1292774240"/>
        <c:scaling>
          <c:orientation val="minMax"/>
        </c:scaling>
        <c:delete val="0"/>
        <c:axPos val="l"/>
        <c:numFmt formatCode="0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781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099846894138234"/>
          <c:y val="0.15782407407407409"/>
          <c:w val="0.67268897637795277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BEA-4FD6-A1CB-B1889CD2AFF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BEA-4FD6-A1CB-B1889CD2AFF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BEA-4FD6-A1CB-B1889CD2AFF8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EA-4FD6-A1CB-B1889CD2AFF8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BEA-4FD6-A1CB-B1889CD2AFF8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BEA-4FD6-A1CB-B1889CD2AF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'Share Price'!$G$48:$G$50</c:f>
              <c:strCache>
                <c:ptCount val="3"/>
                <c:pt idx="0">
                  <c:v>FII</c:v>
                </c:pt>
                <c:pt idx="1">
                  <c:v>DII</c:v>
                </c:pt>
                <c:pt idx="2">
                  <c:v>Public &amp; Government</c:v>
                </c:pt>
              </c:strCache>
            </c:strRef>
          </c:cat>
          <c:val>
            <c:numRef>
              <c:f>'Share Price'!$H$48:$H$50</c:f>
              <c:numCache>
                <c:formatCode>0.00%</c:formatCode>
                <c:ptCount val="3"/>
                <c:pt idx="0">
                  <c:v>0.3483</c:v>
                </c:pt>
                <c:pt idx="1">
                  <c:v>0.49149999999999999</c:v>
                </c:pt>
                <c:pt idx="2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EA-4FD6-A1CB-B1889CD2A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9943776"/>
        <c:axId val="1149962016"/>
      </c:barChart>
      <c:catAx>
        <c:axId val="1149943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962016"/>
        <c:crosses val="autoZero"/>
        <c:auto val="1"/>
        <c:lblAlgn val="ctr"/>
        <c:lblOffset val="100"/>
        <c:noMultiLvlLbl val="0"/>
      </c:catAx>
      <c:valAx>
        <c:axId val="1149962016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14994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107950</xdr:colOff>
      <xdr:row>2</xdr:row>
      <xdr:rowOff>31750</xdr:rowOff>
    </xdr:from>
    <xdr:to>
      <xdr:col>1</xdr:col>
      <xdr:colOff>1123950</xdr:colOff>
      <xdr:row>2</xdr:row>
      <xdr:rowOff>984250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53A483-702F-5CC0-2709-7930FF56F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355600"/>
          <a:ext cx="1016000" cy="952500"/>
        </a:xfrm>
        <a:prstGeom prst="rect">
          <a:avLst/>
        </a:prstGeom>
      </xdr:spPr>
    </xdr:pic>
    <xdr:clientData/>
  </xdr:twoCellAnchor>
  <xdr:twoCellAnchor>
    <xdr:from>
      <xdr:col>7</xdr:col>
      <xdr:colOff>274109</xdr:colOff>
      <xdr:row>6</xdr:row>
      <xdr:rowOff>9525</xdr:rowOff>
    </xdr:from>
    <xdr:to>
      <xdr:col>10</xdr:col>
      <xdr:colOff>597959</xdr:colOff>
      <xdr:row>16</xdr:row>
      <xdr:rowOff>44097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CBCC75-6ADF-45F1-8246-2ED972099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82550</xdr:colOff>
      <xdr:row>18</xdr:row>
      <xdr:rowOff>63499</xdr:rowOff>
    </xdr:from>
    <xdr:to>
      <xdr:col>10</xdr:col>
      <xdr:colOff>542925</xdr:colOff>
      <xdr:row>25</xdr:row>
      <xdr:rowOff>61735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F61A13-09C0-45BD-BBFB-5830843ED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17639</xdr:colOff>
      <xdr:row>27</xdr:row>
      <xdr:rowOff>123473</xdr:rowOff>
    </xdr:from>
    <xdr:to>
      <xdr:col>11</xdr:col>
      <xdr:colOff>0</xdr:colOff>
      <xdr:row>36</xdr:row>
      <xdr:rowOff>97014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E42DE5-5B78-4A4C-8908-7CC2CB132A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31750</xdr:colOff>
      <xdr:row>1</xdr:row>
      <xdr:rowOff>177800</xdr:rowOff>
    </xdr:from>
    <xdr:to>
      <xdr:col>13</xdr:col>
      <xdr:colOff>336550</xdr:colOff>
      <xdr:row>16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A031EF-03D1-4473-85EF-9F9B201244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396875</xdr:colOff>
      <xdr:row>17</xdr:row>
      <xdr:rowOff>133350</xdr:rowOff>
    </xdr:from>
    <xdr:to>
      <xdr:col>8</xdr:col>
      <xdr:colOff>596900</xdr:colOff>
      <xdr:row>26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A3E32D-65AE-83F2-065F-DBF19E71E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5045075</xdr:colOff>
      <xdr:row>52</xdr:row>
      <xdr:rowOff>107950</xdr:rowOff>
    </xdr:from>
    <xdr:to>
      <xdr:col>8</xdr:col>
      <xdr:colOff>917575</xdr:colOff>
      <xdr:row>67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A0AFAC-28E0-2E29-246E-7312520EC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30">
  <tableColumns count="11">
    <tableColumn id="1" xr3:uid="{00000000-0010-0000-0100-000001000000}" name="Column1" headerRowDxfId="29"/>
    <tableColumn id="2" xr3:uid="{00000000-0010-0000-0100-000002000000}" name="Column2" headerRowDxfId="28"/>
    <tableColumn id="3" xr3:uid="{00000000-0010-0000-0100-000003000000}" name="Column3" headerRowDxfId="27"/>
    <tableColumn id="4" xr3:uid="{00000000-0010-0000-0100-000004000000}" name="Column4" headerRowDxfId="26"/>
    <tableColumn id="5" xr3:uid="{00000000-0010-0000-0100-000005000000}" name="Column5" headerRowDxfId="25"/>
    <tableColumn id="6" xr3:uid="{00000000-0010-0000-0100-000006000000}" name="Column6" headerRowDxfId="24"/>
    <tableColumn id="7" xr3:uid="{00000000-0010-0000-0100-000007000000}" name="Column7" headerRowDxfId="23"/>
    <tableColumn id="8" xr3:uid="{00000000-0010-0000-0100-000008000000}" name="Column8" headerRowDxfId="22"/>
    <tableColumn id="9" xr3:uid="{00000000-0010-0000-0100-000009000000}" name="Column9" headerRowDxfId="21"/>
    <tableColumn id="10" xr3:uid="{00000000-0010-0000-0100-00000A000000}" name="Column10" headerRowDxfId="20"/>
    <tableColumn id="11" xr3:uid="{00000000-0010-0000-0100-00000B000000}" name="Column11" headerRowDxfId="19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18">
  <tableColumns count="14">
    <tableColumn id="1" xr3:uid="{00000000-0010-0000-0000-000001000000}" name="Column1" headerRowDxfId="17" dataDxfId="16"/>
    <tableColumn id="2" xr3:uid="{00000000-0010-0000-0000-000002000000}" name="Column2" headerRowDxfId="15"/>
    <tableColumn id="3" xr3:uid="{00000000-0010-0000-0000-000003000000}" name="Column3" headerRowDxfId="14"/>
    <tableColumn id="4" xr3:uid="{00000000-0010-0000-0000-000004000000}" name="Column4" headerRowDxfId="13"/>
    <tableColumn id="5" xr3:uid="{00000000-0010-0000-0000-000005000000}" name="Column5" headerRowDxfId="12"/>
    <tableColumn id="6" xr3:uid="{00000000-0010-0000-0000-000006000000}" name="Column6" headerRowDxfId="11"/>
    <tableColumn id="7" xr3:uid="{00000000-0010-0000-0000-000007000000}" name="Column7" headerRowDxfId="10"/>
    <tableColumn id="8" xr3:uid="{00000000-0010-0000-0000-000008000000}" name="Column8" headerRowDxfId="9"/>
    <tableColumn id="9" xr3:uid="{00000000-0010-0000-0000-000009000000}" name="Column9" headerRowDxfId="8"/>
    <tableColumn id="10" xr3:uid="{00000000-0010-0000-0000-00000A000000}" name="Column10" headerRowDxfId="7"/>
    <tableColumn id="11" xr3:uid="{00000000-0010-0000-0000-00000B000000}" name="Column11" headerRowDxfId="6"/>
    <tableColumn id="12" xr3:uid="{00000000-0010-0000-0000-00000C000000}" name="Column12" headerRowDxfId="5"/>
    <tableColumn id="13" xr3:uid="{00000000-0010-0000-0000-00000D000000}" name="Column13" headerRowDxfId="4" dataDxfId="3"/>
    <tableColumn id="14" xr3:uid="{00000000-0010-0000-0000-00000E000000}" name="Column14" headerRowDxfId="2" dataDxfId="1"/>
  </tableColumns>
  <tableStyleInfo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99" zoomScaleNormal="99" workbookViewId="0">
      <pane xSplit="1" ySplit="3" topLeftCell="D13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1640625" defaultRowHeight="14.5" x14ac:dyDescent="0.35"/>
  <cols>
    <col min="1" max="1" width="20.6328125" customWidth="1"/>
    <col min="2" max="11" width="13.453125" bestFit="1" customWidth="1"/>
  </cols>
  <sheetData>
    <row r="1" spans="1:11" s="2" customFormat="1" x14ac:dyDescent="0.35">
      <c r="A1" s="2" t="str">
        <f>'Profit &amp; Loss'!A1</f>
        <v>ITC LTD</v>
      </c>
      <c r="E1" t="str">
        <f>UPDATE</f>
        <v>ITC LTD</v>
      </c>
      <c r="J1" s="2" t="s">
        <v>1</v>
      </c>
    </row>
    <row r="3" spans="1:11" s="2" customFormat="1" x14ac:dyDescent="0.35">
      <c r="A3" s="11" t="s">
        <v>2</v>
      </c>
      <c r="B3" s="12">
        <f>'Data Sheet'!B41</f>
        <v>45199</v>
      </c>
      <c r="C3" s="12">
        <f>'Data Sheet'!C41</f>
        <v>45291</v>
      </c>
      <c r="D3" s="12">
        <f>'Data Sheet'!D41</f>
        <v>45382</v>
      </c>
      <c r="E3" s="12">
        <f>'Data Sheet'!E41</f>
        <v>45473</v>
      </c>
      <c r="F3" s="12">
        <f>'Data Sheet'!F41</f>
        <v>45565</v>
      </c>
      <c r="G3" s="12">
        <f>'Data Sheet'!G41</f>
        <v>45657</v>
      </c>
      <c r="H3" s="12">
        <f>'Data Sheet'!H41</f>
        <v>45747</v>
      </c>
      <c r="I3" s="12">
        <f>'Data Sheet'!I41</f>
        <v>45838</v>
      </c>
      <c r="J3" s="12">
        <f>'Data Sheet'!J41</f>
        <v>45930</v>
      </c>
      <c r="K3" s="12">
        <f>'Data Sheet'!K41</f>
        <v>46022</v>
      </c>
    </row>
    <row r="4" spans="1:11" s="2" customFormat="1" x14ac:dyDescent="0.35">
      <c r="A4" s="2" t="s">
        <v>6</v>
      </c>
      <c r="B4" s="1">
        <f>'Data Sheet'!B42</f>
        <v>17774.47</v>
      </c>
      <c r="C4" s="1">
        <f>'Data Sheet'!C42</f>
        <v>17195.240000000002</v>
      </c>
      <c r="D4" s="1">
        <f>'Data Sheet'!D42</f>
        <v>17037.8</v>
      </c>
      <c r="E4" s="1">
        <f>'Data Sheet'!E42</f>
        <v>17777.810000000001</v>
      </c>
      <c r="F4" s="1">
        <f>'Data Sheet'!F42</f>
        <v>19990.36</v>
      </c>
      <c r="G4" s="1">
        <f>'Data Sheet'!G42</f>
        <v>18790.169999999998</v>
      </c>
      <c r="H4" s="1">
        <f>'Data Sheet'!H42</f>
        <v>18765</v>
      </c>
      <c r="I4" s="1">
        <f>'Data Sheet'!I42</f>
        <v>21494.79</v>
      </c>
      <c r="J4" s="1">
        <f>'Data Sheet'!J42</f>
        <v>19501.63</v>
      </c>
      <c r="K4" s="1">
        <f>'Data Sheet'!K42</f>
        <v>20047.3</v>
      </c>
    </row>
    <row r="5" spans="1:11" x14ac:dyDescent="0.35">
      <c r="A5" t="s">
        <v>7</v>
      </c>
      <c r="B5" s="6">
        <f>'Data Sheet'!B43</f>
        <v>11320.23</v>
      </c>
      <c r="C5" s="6">
        <f>'Data Sheet'!C43</f>
        <v>10985.01</v>
      </c>
      <c r="D5" s="6">
        <f>'Data Sheet'!D43</f>
        <v>10735.73</v>
      </c>
      <c r="E5" s="6">
        <f>'Data Sheet'!E43</f>
        <v>11232.97</v>
      </c>
      <c r="F5" s="6">
        <f>'Data Sheet'!F43</f>
        <v>13438.28</v>
      </c>
      <c r="G5" s="6">
        <f>'Data Sheet'!G43</f>
        <v>12428.27</v>
      </c>
      <c r="H5" s="6">
        <f>'Data Sheet'!H43</f>
        <v>12245.61</v>
      </c>
      <c r="I5" s="6">
        <f>'Data Sheet'!I43</f>
        <v>14678.32</v>
      </c>
      <c r="J5" s="6">
        <f>'Data Sheet'!J43</f>
        <v>12806.94</v>
      </c>
      <c r="K5" s="6">
        <f>'Data Sheet'!K43</f>
        <v>13164.78</v>
      </c>
    </row>
    <row r="6" spans="1:11" s="2" customFormat="1" x14ac:dyDescent="0.35">
      <c r="A6" s="2" t="s">
        <v>8</v>
      </c>
      <c r="B6" s="1">
        <f>'Data Sheet'!B50</f>
        <v>6454.24</v>
      </c>
      <c r="C6" s="1">
        <f>'Data Sheet'!C50</f>
        <v>6210.23</v>
      </c>
      <c r="D6" s="1">
        <f>'Data Sheet'!D50</f>
        <v>6302.07</v>
      </c>
      <c r="E6" s="1">
        <f>'Data Sheet'!E50</f>
        <v>6544.84</v>
      </c>
      <c r="F6" s="1">
        <f>'Data Sheet'!F50</f>
        <v>6552.08</v>
      </c>
      <c r="G6" s="1">
        <f>'Data Sheet'!G50</f>
        <v>6361.9</v>
      </c>
      <c r="H6" s="1">
        <f>'Data Sheet'!H50</f>
        <v>6519.39</v>
      </c>
      <c r="I6" s="1">
        <f>'Data Sheet'!I50</f>
        <v>6816.47</v>
      </c>
      <c r="J6" s="1">
        <f>'Data Sheet'!J50</f>
        <v>6694.69</v>
      </c>
      <c r="K6" s="1">
        <f>'Data Sheet'!K50</f>
        <v>6882.52</v>
      </c>
    </row>
    <row r="7" spans="1:11" x14ac:dyDescent="0.35">
      <c r="A7" t="s">
        <v>9</v>
      </c>
      <c r="B7" s="6">
        <f>'Data Sheet'!B44</f>
        <v>673.5</v>
      </c>
      <c r="C7" s="6">
        <f>'Data Sheet'!C44</f>
        <v>820.26</v>
      </c>
      <c r="D7" s="6">
        <f>'Data Sheet'!D44</f>
        <v>868</v>
      </c>
      <c r="E7" s="6">
        <f>'Data Sheet'!E44</f>
        <v>771.13</v>
      </c>
      <c r="F7" s="6">
        <f>'Data Sheet'!F44</f>
        <v>690.31</v>
      </c>
      <c r="G7" s="6">
        <f>'Data Sheet'!G44</f>
        <v>803.4</v>
      </c>
      <c r="H7" s="6">
        <f>'Data Sheet'!H44</f>
        <v>15391.28</v>
      </c>
      <c r="I7" s="6">
        <f>'Data Sheet'!I44</f>
        <v>750.97</v>
      </c>
      <c r="J7" s="6">
        <f>'Data Sheet'!J44</f>
        <v>738.84</v>
      </c>
      <c r="K7" s="6">
        <f>'Data Sheet'!K44</f>
        <v>321.85000000000002</v>
      </c>
    </row>
    <row r="8" spans="1:11" x14ac:dyDescent="0.35">
      <c r="A8" t="s">
        <v>10</v>
      </c>
      <c r="B8" s="6">
        <f>'Data Sheet'!B45</f>
        <v>453.04</v>
      </c>
      <c r="C8" s="6">
        <f>'Data Sheet'!C45</f>
        <v>384.04</v>
      </c>
      <c r="D8" s="6">
        <f>'Data Sheet'!D45</f>
        <v>385.09</v>
      </c>
      <c r="E8" s="6">
        <f>'Data Sheet'!E45</f>
        <v>403.13</v>
      </c>
      <c r="F8" s="6">
        <f>'Data Sheet'!F45</f>
        <v>416.18</v>
      </c>
      <c r="G8" s="6">
        <f>'Data Sheet'!G45</f>
        <v>415.98</v>
      </c>
      <c r="H8" s="6">
        <f>'Data Sheet'!H45</f>
        <v>411.03</v>
      </c>
      <c r="I8" s="6">
        <f>'Data Sheet'!I45</f>
        <v>422.96</v>
      </c>
      <c r="J8" s="6">
        <f>'Data Sheet'!J45</f>
        <v>434.8</v>
      </c>
      <c r="K8" s="6">
        <f>'Data Sheet'!K45</f>
        <v>430.82</v>
      </c>
    </row>
    <row r="9" spans="1:11" x14ac:dyDescent="0.35">
      <c r="A9" t="s">
        <v>11</v>
      </c>
      <c r="B9" s="6">
        <f>'Data Sheet'!B46</f>
        <v>9.8699999999999992</v>
      </c>
      <c r="C9" s="6">
        <f>'Data Sheet'!C46</f>
        <v>11.94</v>
      </c>
      <c r="D9" s="6">
        <f>'Data Sheet'!D46</f>
        <v>10.72</v>
      </c>
      <c r="E9" s="6">
        <f>'Data Sheet'!E46</f>
        <v>9.6</v>
      </c>
      <c r="F9" s="6">
        <f>'Data Sheet'!F46</f>
        <v>14.73</v>
      </c>
      <c r="G9" s="6">
        <f>'Data Sheet'!G46</f>
        <v>9.82</v>
      </c>
      <c r="H9" s="6">
        <f>'Data Sheet'!H46</f>
        <v>10.91</v>
      </c>
      <c r="I9" s="6">
        <f>'Data Sheet'!I46</f>
        <v>16.47</v>
      </c>
      <c r="J9" s="6">
        <f>'Data Sheet'!J46</f>
        <v>20.05</v>
      </c>
      <c r="K9" s="6">
        <f>'Data Sheet'!K46</f>
        <v>19.47</v>
      </c>
    </row>
    <row r="10" spans="1:11" x14ac:dyDescent="0.35">
      <c r="A10" t="s">
        <v>12</v>
      </c>
      <c r="B10" s="6">
        <f>'Data Sheet'!B47</f>
        <v>6664.83</v>
      </c>
      <c r="C10" s="6">
        <f>'Data Sheet'!C47</f>
        <v>6634.51</v>
      </c>
      <c r="D10" s="6">
        <f>'Data Sheet'!D47</f>
        <v>6774.26</v>
      </c>
      <c r="E10" s="6">
        <f>'Data Sheet'!E47</f>
        <v>6903.24</v>
      </c>
      <c r="F10" s="6">
        <f>'Data Sheet'!F47</f>
        <v>6811.48</v>
      </c>
      <c r="G10" s="6">
        <f>'Data Sheet'!G47</f>
        <v>6739.5</v>
      </c>
      <c r="H10" s="6">
        <f>'Data Sheet'!H47</f>
        <v>21488.73</v>
      </c>
      <c r="I10" s="6">
        <f>'Data Sheet'!I47</f>
        <v>7128.01</v>
      </c>
      <c r="J10" s="6">
        <f>'Data Sheet'!J47</f>
        <v>6978.68</v>
      </c>
      <c r="K10" s="6">
        <f>'Data Sheet'!K47</f>
        <v>6754.08</v>
      </c>
    </row>
    <row r="11" spans="1:11" x14ac:dyDescent="0.35">
      <c r="A11" t="s">
        <v>13</v>
      </c>
      <c r="B11" s="6">
        <f>'Data Sheet'!B48</f>
        <v>1700.31</v>
      </c>
      <c r="C11" s="6">
        <f>'Data Sheet'!C48</f>
        <v>1227.99</v>
      </c>
      <c r="D11" s="6">
        <f>'Data Sheet'!D48</f>
        <v>1583.55</v>
      </c>
      <c r="E11" s="6">
        <f>'Data Sheet'!E48</f>
        <v>1726.25</v>
      </c>
      <c r="F11" s="6">
        <f>'Data Sheet'!F48</f>
        <v>1757.05</v>
      </c>
      <c r="G11" s="6">
        <f>'Data Sheet'!G48</f>
        <v>1726.32</v>
      </c>
      <c r="H11" s="6">
        <f>'Data Sheet'!H48</f>
        <v>1680.85</v>
      </c>
      <c r="I11" s="6">
        <f>'Data Sheet'!I48</f>
        <v>1784.6</v>
      </c>
      <c r="J11" s="6">
        <f>'Data Sheet'!J48</f>
        <v>1792.13</v>
      </c>
      <c r="K11" s="6">
        <f>'Data Sheet'!K48</f>
        <v>1735.63</v>
      </c>
    </row>
    <row r="12" spans="1:11" s="2" customFormat="1" x14ac:dyDescent="0.35">
      <c r="A12" s="2" t="s">
        <v>14</v>
      </c>
      <c r="B12" s="1">
        <f>'Data Sheet'!B49</f>
        <v>4898.07</v>
      </c>
      <c r="C12" s="1">
        <f>'Data Sheet'!C49</f>
        <v>5335.23</v>
      </c>
      <c r="D12" s="1">
        <f>'Data Sheet'!D49</f>
        <v>5120.55</v>
      </c>
      <c r="E12" s="1">
        <f>'Data Sheet'!E49</f>
        <v>5091.59</v>
      </c>
      <c r="F12" s="1">
        <f>'Data Sheet'!F49</f>
        <v>4992.87</v>
      </c>
      <c r="G12" s="1">
        <f>'Data Sheet'!G49</f>
        <v>4934.8</v>
      </c>
      <c r="H12" s="1">
        <f>'Data Sheet'!H49</f>
        <v>19727.37</v>
      </c>
      <c r="I12" s="1">
        <f>'Data Sheet'!I49</f>
        <v>5244.2</v>
      </c>
      <c r="J12" s="1">
        <f>'Data Sheet'!J49</f>
        <v>5126.1099999999997</v>
      </c>
      <c r="K12" s="1">
        <f>'Data Sheet'!K49</f>
        <v>4931.1899999999996</v>
      </c>
    </row>
    <row r="14" spans="1:11" s="2" customFormat="1" x14ac:dyDescent="0.35">
      <c r="A14" s="2" t="s">
        <v>18</v>
      </c>
      <c r="B14" s="10">
        <f>IF(B4&gt;0,B6/B4,"")</f>
        <v>0.3631185627475812</v>
      </c>
      <c r="C14" s="10">
        <f t="shared" ref="C14:K14" si="0">IF(C4&gt;0,C6/C4,"")</f>
        <v>0.36115983260483708</v>
      </c>
      <c r="D14" s="10">
        <f t="shared" si="0"/>
        <v>0.36988754416650038</v>
      </c>
      <c r="E14" s="10">
        <f t="shared" si="0"/>
        <v>0.36814658273431877</v>
      </c>
      <c r="F14" s="10">
        <f t="shared" si="0"/>
        <v>0.32776198127497452</v>
      </c>
      <c r="G14" s="10">
        <f t="shared" si="0"/>
        <v>0.3385759681791064</v>
      </c>
      <c r="H14" s="10">
        <f t="shared" si="0"/>
        <v>0.34742286171063153</v>
      </c>
      <c r="I14" s="10">
        <f t="shared" si="0"/>
        <v>0.31712196304313744</v>
      </c>
      <c r="J14" s="10">
        <f t="shared" si="0"/>
        <v>0.34328874047964192</v>
      </c>
      <c r="K14" s="10">
        <f t="shared" si="0"/>
        <v>0.34331406224279581</v>
      </c>
    </row>
    <row r="22" s="23" customFormat="1" x14ac:dyDescent="0.3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6"/>
  <sheetViews>
    <sheetView zoomScaleNormal="100" workbookViewId="0">
      <pane xSplit="1" ySplit="3" topLeftCell="E19" activePane="bottomRight" state="frozen"/>
      <selection activeCell="C4" sqref="C4"/>
      <selection pane="topRight" activeCell="C4" sqref="C4"/>
      <selection pane="bottomLeft" activeCell="C4" sqref="C4"/>
      <selection pane="bottomRight" activeCell="E23" sqref="E23"/>
    </sheetView>
  </sheetViews>
  <sheetFormatPr defaultColWidth="8.81640625" defaultRowHeight="14.5" x14ac:dyDescent="0.35"/>
  <cols>
    <col min="1" max="1" width="22.81640625" bestFit="1" customWidth="1"/>
    <col min="2" max="2" width="13.453125" customWidth="1"/>
    <col min="3" max="11" width="15.453125" customWidth="1"/>
  </cols>
  <sheetData>
    <row r="1" spans="1:11" s="2" customFormat="1" x14ac:dyDescent="0.35">
      <c r="A1" s="2" t="str">
        <f>'Profit &amp; Loss'!A1</f>
        <v>ITC LTD</v>
      </c>
      <c r="E1" t="str">
        <f>UPDATE</f>
        <v>ITC LTD</v>
      </c>
      <c r="G1"/>
      <c r="J1" s="2" t="s">
        <v>1</v>
      </c>
    </row>
    <row r="2" spans="1:11" x14ac:dyDescent="0.35">
      <c r="G2" s="2"/>
      <c r="H2" s="2"/>
    </row>
    <row r="3" spans="1:11" x14ac:dyDescent="0.35">
      <c r="A3" s="11" t="s">
        <v>2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35">
      <c r="A4" t="s">
        <v>24</v>
      </c>
      <c r="B4" s="14">
        <f>'Data Sheet'!B57</f>
        <v>804.72</v>
      </c>
      <c r="C4" s="14">
        <f>'Data Sheet'!C57</f>
        <v>1214.74</v>
      </c>
      <c r="D4" s="14">
        <f>'Data Sheet'!D57</f>
        <v>1220.43</v>
      </c>
      <c r="E4" s="14">
        <f>'Data Sheet'!E57</f>
        <v>1225.8599999999999</v>
      </c>
      <c r="F4" s="14">
        <f>'Data Sheet'!F57</f>
        <v>1229.22</v>
      </c>
      <c r="G4" s="14">
        <f>'Data Sheet'!G57</f>
        <v>1230.8800000000001</v>
      </c>
      <c r="H4" s="14">
        <f>'Data Sheet'!H57</f>
        <v>1232.33</v>
      </c>
      <c r="I4" s="14">
        <f>'Data Sheet'!I57</f>
        <v>1242.8</v>
      </c>
      <c r="J4" s="14">
        <f>'Data Sheet'!J57</f>
        <v>1248.47</v>
      </c>
      <c r="K4" s="14">
        <f>'Data Sheet'!K57</f>
        <v>1251.4100000000001</v>
      </c>
    </row>
    <row r="5" spans="1:11" x14ac:dyDescent="0.35">
      <c r="A5" t="s">
        <v>25</v>
      </c>
      <c r="B5" s="14">
        <f>'Data Sheet'!B58</f>
        <v>41874.800000000003</v>
      </c>
      <c r="C5" s="14">
        <f>'Data Sheet'!C58</f>
        <v>45198.19</v>
      </c>
      <c r="D5" s="14">
        <f>'Data Sheet'!D58</f>
        <v>51289.68</v>
      </c>
      <c r="E5" s="14">
        <f>'Data Sheet'!E58</f>
        <v>57915.01</v>
      </c>
      <c r="F5" s="14">
        <f>'Data Sheet'!F58</f>
        <v>64044.04</v>
      </c>
      <c r="G5" s="14">
        <f>'Data Sheet'!G58</f>
        <v>59116.46</v>
      </c>
      <c r="H5" s="14">
        <f>'Data Sheet'!H58</f>
        <v>61223.24</v>
      </c>
      <c r="I5" s="14">
        <f>'Data Sheet'!I58</f>
        <v>67912.460000000006</v>
      </c>
      <c r="J5" s="14">
        <f>'Data Sheet'!J58</f>
        <v>73258.53</v>
      </c>
      <c r="K5" s="14">
        <f>'Data Sheet'!K58</f>
        <v>68778.64</v>
      </c>
    </row>
    <row r="6" spans="1:11" x14ac:dyDescent="0.35">
      <c r="A6" t="s">
        <v>71</v>
      </c>
      <c r="B6" s="14">
        <f>'Data Sheet'!B59</f>
        <v>83.78</v>
      </c>
      <c r="C6" s="14">
        <f>'Data Sheet'!C59</f>
        <v>45.72</v>
      </c>
      <c r="D6" s="14">
        <f>'Data Sheet'!D59</f>
        <v>35.92</v>
      </c>
      <c r="E6" s="14">
        <f>'Data Sheet'!E59</f>
        <v>13.44</v>
      </c>
      <c r="F6" s="14">
        <f>'Data Sheet'!F59</f>
        <v>277.45</v>
      </c>
      <c r="G6" s="14">
        <f>'Data Sheet'!G59</f>
        <v>270.83</v>
      </c>
      <c r="H6" s="14">
        <f>'Data Sheet'!H59</f>
        <v>249.44</v>
      </c>
      <c r="I6" s="14">
        <f>'Data Sheet'!I59</f>
        <v>306.04000000000002</v>
      </c>
      <c r="J6" s="14">
        <f>'Data Sheet'!J59</f>
        <v>303.43</v>
      </c>
      <c r="K6" s="14">
        <f>'Data Sheet'!K59</f>
        <v>284.54000000000002</v>
      </c>
    </row>
    <row r="7" spans="1:11" x14ac:dyDescent="0.35">
      <c r="A7" t="s">
        <v>72</v>
      </c>
      <c r="B7" s="14">
        <f>'Data Sheet'!B60</f>
        <v>8888.0400000000009</v>
      </c>
      <c r="C7" s="14">
        <f>'Data Sheet'!C60</f>
        <v>9439.67</v>
      </c>
      <c r="D7" s="14">
        <f>'Data Sheet'!D60</f>
        <v>11694.85</v>
      </c>
      <c r="E7" s="14">
        <f>'Data Sheet'!E60</f>
        <v>12584.73</v>
      </c>
      <c r="F7" s="14">
        <f>'Data Sheet'!F60</f>
        <v>11760.04</v>
      </c>
      <c r="G7" s="14">
        <f>'Data Sheet'!G60</f>
        <v>13142.59</v>
      </c>
      <c r="H7" s="14">
        <f>'Data Sheet'!H60</f>
        <v>14491.01</v>
      </c>
      <c r="I7" s="14">
        <f>'Data Sheet'!I60</f>
        <v>16369.66</v>
      </c>
      <c r="J7" s="14">
        <f>'Data Sheet'!J60</f>
        <v>16943.54</v>
      </c>
      <c r="K7" s="14">
        <f>'Data Sheet'!K60</f>
        <v>17688.11</v>
      </c>
    </row>
    <row r="8" spans="1:11" s="2" customFormat="1" x14ac:dyDescent="0.35">
      <c r="A8" s="2" t="s">
        <v>26</v>
      </c>
      <c r="B8" s="15">
        <f>'Data Sheet'!B61</f>
        <v>51651.34</v>
      </c>
      <c r="C8" s="15">
        <f>'Data Sheet'!C61</f>
        <v>55898.32</v>
      </c>
      <c r="D8" s="15">
        <f>'Data Sheet'!D61</f>
        <v>64240.88</v>
      </c>
      <c r="E8" s="15">
        <f>'Data Sheet'!E61</f>
        <v>71739.039999999994</v>
      </c>
      <c r="F8" s="15">
        <f>'Data Sheet'!F61</f>
        <v>77310.75</v>
      </c>
      <c r="G8" s="15">
        <f>'Data Sheet'!G61</f>
        <v>73760.759999999995</v>
      </c>
      <c r="H8" s="15">
        <f>'Data Sheet'!H61</f>
        <v>77196.02</v>
      </c>
      <c r="I8" s="15">
        <f>'Data Sheet'!I61</f>
        <v>85830.96</v>
      </c>
      <c r="J8" s="15">
        <f>'Data Sheet'!J61</f>
        <v>91753.97</v>
      </c>
      <c r="K8" s="15">
        <f>'Data Sheet'!K61</f>
        <v>88002.7</v>
      </c>
    </row>
    <row r="9" spans="1:11" s="2" customFormat="1" x14ac:dyDescent="0.3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5">
      <c r="A10" t="s">
        <v>27</v>
      </c>
      <c r="B10" s="14">
        <f>'Data Sheet'!B62</f>
        <v>15106.63</v>
      </c>
      <c r="C10" s="14">
        <f>'Data Sheet'!C62</f>
        <v>15893.48</v>
      </c>
      <c r="D10" s="14">
        <f>'Data Sheet'!D62</f>
        <v>16523.96</v>
      </c>
      <c r="E10" s="14">
        <f>'Data Sheet'!E62</f>
        <v>19374.189999999999</v>
      </c>
      <c r="F10" s="14">
        <f>'Data Sheet'!F62</f>
        <v>21713.34</v>
      </c>
      <c r="G10" s="14">
        <f>'Data Sheet'!G62</f>
        <v>23298.48</v>
      </c>
      <c r="H10" s="14">
        <f>'Data Sheet'!H62</f>
        <v>24231.59</v>
      </c>
      <c r="I10" s="14">
        <f>'Data Sheet'!I62</f>
        <v>25851.27</v>
      </c>
      <c r="J10" s="14">
        <f>'Data Sheet'!J62</f>
        <v>27820.22</v>
      </c>
      <c r="K10" s="14">
        <f>'Data Sheet'!K62</f>
        <v>21954.85</v>
      </c>
    </row>
    <row r="11" spans="1:11" x14ac:dyDescent="0.35">
      <c r="A11" t="s">
        <v>28</v>
      </c>
      <c r="B11" s="14">
        <f>'Data Sheet'!B63</f>
        <v>2559.7199999999998</v>
      </c>
      <c r="C11" s="14">
        <f>'Data Sheet'!C63</f>
        <v>3729.89</v>
      </c>
      <c r="D11" s="14">
        <f>'Data Sheet'!D63</f>
        <v>5508.33</v>
      </c>
      <c r="E11" s="14">
        <f>'Data Sheet'!E63</f>
        <v>4136.42</v>
      </c>
      <c r="F11" s="14">
        <f>'Data Sheet'!F63</f>
        <v>3256.46</v>
      </c>
      <c r="G11" s="14">
        <f>'Data Sheet'!G63</f>
        <v>4011.29</v>
      </c>
      <c r="H11" s="14">
        <f>'Data Sheet'!H63</f>
        <v>3225.54</v>
      </c>
      <c r="I11" s="14">
        <f>'Data Sheet'!I63</f>
        <v>3003.3</v>
      </c>
      <c r="J11" s="14">
        <f>'Data Sheet'!J63</f>
        <v>2860.78</v>
      </c>
      <c r="K11" s="14">
        <f>'Data Sheet'!K63</f>
        <v>1090.9100000000001</v>
      </c>
    </row>
    <row r="12" spans="1:11" x14ac:dyDescent="0.35">
      <c r="A12" t="s">
        <v>29</v>
      </c>
      <c r="B12" s="14">
        <f>'Data Sheet'!B64</f>
        <v>11747.59</v>
      </c>
      <c r="C12" s="14">
        <f>'Data Sheet'!C64</f>
        <v>17581.38</v>
      </c>
      <c r="D12" s="14">
        <f>'Data Sheet'!D64</f>
        <v>22052.86</v>
      </c>
      <c r="E12" s="14">
        <f>'Data Sheet'!E64</f>
        <v>25043.49</v>
      </c>
      <c r="F12" s="14">
        <f>'Data Sheet'!F64</f>
        <v>28663.35</v>
      </c>
      <c r="G12" s="14">
        <f>'Data Sheet'!G64</f>
        <v>24870.87</v>
      </c>
      <c r="H12" s="14">
        <f>'Data Sheet'!H64</f>
        <v>24841.01</v>
      </c>
      <c r="I12" s="14">
        <f>'Data Sheet'!I64</f>
        <v>29415.02</v>
      </c>
      <c r="J12" s="14">
        <f>'Data Sheet'!J64</f>
        <v>31114.02</v>
      </c>
      <c r="K12" s="14">
        <f>'Data Sheet'!K64</f>
        <v>34719.82</v>
      </c>
    </row>
    <row r="13" spans="1:11" x14ac:dyDescent="0.35">
      <c r="A13" t="s">
        <v>73</v>
      </c>
      <c r="B13" s="14">
        <f>'Data Sheet'!B65</f>
        <v>22237.4</v>
      </c>
      <c r="C13" s="14">
        <f>'Data Sheet'!C65</f>
        <v>18693.57</v>
      </c>
      <c r="D13" s="14">
        <f>'Data Sheet'!D65</f>
        <v>20155.73</v>
      </c>
      <c r="E13" s="14">
        <f>'Data Sheet'!E65</f>
        <v>23184.94</v>
      </c>
      <c r="F13" s="14">
        <f>'Data Sheet'!F65</f>
        <v>23677.599999999999</v>
      </c>
      <c r="G13" s="14">
        <f>'Data Sheet'!G65</f>
        <v>21580.12</v>
      </c>
      <c r="H13" s="14">
        <f>'Data Sheet'!H65</f>
        <v>24897.88</v>
      </c>
      <c r="I13" s="14">
        <f>'Data Sheet'!I65</f>
        <v>27561.37</v>
      </c>
      <c r="J13" s="14">
        <f>'Data Sheet'!J65</f>
        <v>29958.95</v>
      </c>
      <c r="K13" s="14">
        <f>'Data Sheet'!K65</f>
        <v>30237.119999999999</v>
      </c>
    </row>
    <row r="14" spans="1:11" s="2" customFormat="1" x14ac:dyDescent="0.35">
      <c r="A14" s="2" t="s">
        <v>26</v>
      </c>
      <c r="B14" s="14">
        <f>'Data Sheet'!B66</f>
        <v>51651.34</v>
      </c>
      <c r="C14" s="14">
        <f>'Data Sheet'!C66</f>
        <v>55898.32</v>
      </c>
      <c r="D14" s="14">
        <f>'Data Sheet'!D66</f>
        <v>64240.88</v>
      </c>
      <c r="E14" s="14">
        <f>'Data Sheet'!E66</f>
        <v>71739.039999999994</v>
      </c>
      <c r="F14" s="14">
        <f>'Data Sheet'!F66</f>
        <v>77310.75</v>
      </c>
      <c r="G14" s="14">
        <f>'Data Sheet'!G66</f>
        <v>73760.759999999995</v>
      </c>
      <c r="H14" s="14">
        <f>'Data Sheet'!H66</f>
        <v>77196.02</v>
      </c>
      <c r="I14" s="14">
        <f>'Data Sheet'!I66</f>
        <v>85830.96</v>
      </c>
      <c r="J14" s="14">
        <f>'Data Sheet'!J66</f>
        <v>91753.97</v>
      </c>
      <c r="K14" s="14">
        <f>'Data Sheet'!K66</f>
        <v>88002.7</v>
      </c>
    </row>
    <row r="15" spans="1:11" x14ac:dyDescent="0.3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5">
      <c r="A16" t="s">
        <v>30</v>
      </c>
      <c r="B16" s="4">
        <f>B13-B7</f>
        <v>13349.36</v>
      </c>
      <c r="C16" s="4">
        <f t="shared" ref="C16:K16" si="0">C13-C7</f>
        <v>9253.9</v>
      </c>
      <c r="D16" s="4">
        <f t="shared" si="0"/>
        <v>8460.8799999999992</v>
      </c>
      <c r="E16" s="4">
        <f t="shared" si="0"/>
        <v>10600.21</v>
      </c>
      <c r="F16" s="4">
        <f t="shared" si="0"/>
        <v>11917.559999999998</v>
      </c>
      <c r="G16" s="4">
        <f t="shared" si="0"/>
        <v>8437.5299999999988</v>
      </c>
      <c r="H16" s="4">
        <f t="shared" si="0"/>
        <v>10406.870000000001</v>
      </c>
      <c r="I16" s="4">
        <f t="shared" si="0"/>
        <v>11191.71</v>
      </c>
      <c r="J16" s="4">
        <f t="shared" si="0"/>
        <v>13015.41</v>
      </c>
      <c r="K16" s="4">
        <f t="shared" si="0"/>
        <v>12549.009999999998</v>
      </c>
    </row>
    <row r="17" spans="1:11" x14ac:dyDescent="0.35">
      <c r="A17" t="s">
        <v>44</v>
      </c>
      <c r="B17" s="4">
        <f>'Data Sheet'!B67</f>
        <v>1917.18</v>
      </c>
      <c r="C17" s="4">
        <f>'Data Sheet'!C67</f>
        <v>2474.29</v>
      </c>
      <c r="D17" s="4">
        <f>'Data Sheet'!D67</f>
        <v>2682.29</v>
      </c>
      <c r="E17" s="4">
        <f>'Data Sheet'!E67</f>
        <v>4035.28</v>
      </c>
      <c r="F17" s="4">
        <f>'Data Sheet'!F67</f>
        <v>2562.48</v>
      </c>
      <c r="G17" s="4">
        <f>'Data Sheet'!G67</f>
        <v>2501.6999999999998</v>
      </c>
      <c r="H17" s="4">
        <f>'Data Sheet'!H67</f>
        <v>2461.9</v>
      </c>
      <c r="I17" s="4">
        <f>'Data Sheet'!I67</f>
        <v>2956.17</v>
      </c>
      <c r="J17" s="4">
        <f>'Data Sheet'!J67</f>
        <v>4025.82</v>
      </c>
      <c r="K17" s="4">
        <f>'Data Sheet'!K67</f>
        <v>4719.67</v>
      </c>
    </row>
    <row r="18" spans="1:11" x14ac:dyDescent="0.35">
      <c r="A18" t="s">
        <v>45</v>
      </c>
      <c r="B18" s="4">
        <f>'Data Sheet'!B68</f>
        <v>9062.1</v>
      </c>
      <c r="C18" s="4">
        <f>'Data Sheet'!C68</f>
        <v>8116.1</v>
      </c>
      <c r="D18" s="4">
        <f>'Data Sheet'!D68</f>
        <v>7495.09</v>
      </c>
      <c r="E18" s="4">
        <f>'Data Sheet'!E68</f>
        <v>7859.56</v>
      </c>
      <c r="F18" s="4">
        <f>'Data Sheet'!F68</f>
        <v>8879.33</v>
      </c>
      <c r="G18" s="4">
        <f>'Data Sheet'!G68</f>
        <v>10397.16</v>
      </c>
      <c r="H18" s="4">
        <f>'Data Sheet'!H68</f>
        <v>10864.15</v>
      </c>
      <c r="I18" s="4">
        <f>'Data Sheet'!I68</f>
        <v>11771.16</v>
      </c>
      <c r="J18" s="4">
        <f>'Data Sheet'!J68</f>
        <v>14152.88</v>
      </c>
      <c r="K18" s="4">
        <f>'Data Sheet'!K68</f>
        <v>15637.56</v>
      </c>
    </row>
    <row r="20" spans="1:11" x14ac:dyDescent="0.35">
      <c r="A20" t="s">
        <v>46</v>
      </c>
      <c r="B20" s="4">
        <f>IF('Profit &amp; Loss'!B4&gt;0,'Balance Sheet'!B17/('Profit &amp; Loss'!B4/365),0)</f>
        <v>17.854891674597688</v>
      </c>
      <c r="C20" s="4">
        <f>IF('Profit &amp; Loss'!C4&gt;0,'Balance Sheet'!C17/('Profit &amp; Loss'!C4/365),0)</f>
        <v>21.116823249375695</v>
      </c>
      <c r="D20" s="4">
        <f>IF('Profit &amp; Loss'!D4&gt;0,'Balance Sheet'!D17/('Profit &amp; Loss'!D4/365),0)</f>
        <v>22.533020368275956</v>
      </c>
      <c r="E20" s="4">
        <f>IF('Profit &amp; Loss'!E4&gt;0,'Balance Sheet'!E17/('Profit &amp; Loss'!E4/365),0)</f>
        <v>30.469383474163411</v>
      </c>
      <c r="F20" s="4">
        <f>IF('Profit &amp; Loss'!F4&gt;0,'Balance Sheet'!F17/('Profit &amp; Loss'!F4/365),0)</f>
        <v>18.938018980434403</v>
      </c>
      <c r="G20" s="4">
        <f>IF('Profit &amp; Loss'!G4&gt;0,'Balance Sheet'!G17/('Profit &amp; Loss'!G4/365),0)</f>
        <v>18.537713584442557</v>
      </c>
      <c r="H20" s="4">
        <f>IF('Profit &amp; Loss'!H4&gt;0,'Balance Sheet'!H17/('Profit &amp; Loss'!H4/365),0)</f>
        <v>14.817385044061677</v>
      </c>
      <c r="I20" s="4">
        <f>IF('Profit &amp; Loss'!I4&gt;0,'Balance Sheet'!I17/('Profit &amp; Loss'!I4/365),0)</f>
        <v>15.214563002342249</v>
      </c>
      <c r="J20" s="4">
        <f>IF('Profit &amp; Loss'!J4&gt;0,'Balance Sheet'!J17/('Profit &amp; Loss'!J4/365),0)</f>
        <v>21.630830799179297</v>
      </c>
      <c r="K20" s="4">
        <f>IF('Profit &amp; Loss'!K4&gt;0,'Balance Sheet'!K17/('Profit &amp; Loss'!K4/365),0)</f>
        <v>22.870461532906003</v>
      </c>
    </row>
    <row r="21" spans="1:11" x14ac:dyDescent="0.35">
      <c r="A21" t="s">
        <v>47</v>
      </c>
      <c r="B21" s="4">
        <f>IF('Balance Sheet'!B18&gt;0,'Profit &amp; Loss'!B4/'Balance Sheet'!B18,0)</f>
        <v>4.3248364065724276</v>
      </c>
      <c r="C21" s="4">
        <f>IF('Balance Sheet'!C18&gt;0,'Profit &amp; Loss'!C4/'Balance Sheet'!C18,0)</f>
        <v>5.2694767191138601</v>
      </c>
      <c r="D21" s="4">
        <f>IF('Balance Sheet'!D18&gt;0,'Profit &amp; Loss'!D4/'Balance Sheet'!D18,0)</f>
        <v>5.7969870942176813</v>
      </c>
      <c r="E21" s="4">
        <f>IF('Balance Sheet'!E18&gt;0,'Profit &amp; Loss'!E4/'Balance Sheet'!E18,0)</f>
        <v>6.1504180895622653</v>
      </c>
      <c r="F21" s="4">
        <f>IF('Balance Sheet'!F18&gt;0,'Profit &amp; Loss'!F4/'Balance Sheet'!F18,0)</f>
        <v>5.5620975906965953</v>
      </c>
      <c r="G21" s="4">
        <f>IF('Balance Sheet'!G18&gt;0,'Profit &amp; Loss'!G4/'Balance Sheet'!G18,0)</f>
        <v>4.7375869949101483</v>
      </c>
      <c r="H21" s="4">
        <f>IF('Balance Sheet'!H18&gt;0,'Profit &amp; Loss'!H4/'Balance Sheet'!H18,0)</f>
        <v>5.5820786715941884</v>
      </c>
      <c r="I21" s="4">
        <f>IF('Balance Sheet'!I18&gt;0,'Profit &amp; Loss'!I4/'Balance Sheet'!I18,0)</f>
        <v>6.0248123379514</v>
      </c>
      <c r="J21" s="4">
        <f>IF('Balance Sheet'!J18&gt;0,'Profit &amp; Loss'!J4/'Balance Sheet'!J18,0)</f>
        <v>4.7998668822176125</v>
      </c>
      <c r="K21" s="4">
        <f>IF('Balance Sheet'!K18&gt;0,'Profit &amp; Loss'!K4/'Balance Sheet'!K18,0)</f>
        <v>4.8168218059594974</v>
      </c>
    </row>
    <row r="23" spans="1:11" s="2" customFormat="1" x14ac:dyDescent="0.35">
      <c r="A23" s="2" t="s">
        <v>59</v>
      </c>
      <c r="B23" s="10">
        <f>IF(SUM('Balance Sheet'!B4:B5)&gt;0,'Profit &amp; Loss'!B12/SUM('Balance Sheet'!B4:B5),"")</f>
        <v>0.21894458981731754</v>
      </c>
      <c r="C23" s="10">
        <f>IF(SUM('Balance Sheet'!C4:C5)&gt;0,'Profit &amp; Loss'!C12/SUM('Balance Sheet'!C4:C5),"")</f>
        <v>0.2216933944915781</v>
      </c>
      <c r="D23" s="10">
        <f>IF(SUM('Balance Sheet'!D4:D5)&gt;0,'Profit &amp; Loss'!D12/SUM('Balance Sheet'!D4:D5),"")</f>
        <v>0.21464818870118538</v>
      </c>
      <c r="E23" s="10">
        <f>IF(SUM('Balance Sheet'!E4:E5)&gt;0,'Profit &amp; Loss'!E12/SUM('Balance Sheet'!E4:E5),"")</f>
        <v>0.21292094620860327</v>
      </c>
      <c r="F23" s="10">
        <f>IF(SUM('Balance Sheet'!F4:F5)&gt;0,'Profit &amp; Loss'!F12/SUM('Balance Sheet'!F4:F5),"")</f>
        <v>0.23449464604648212</v>
      </c>
      <c r="G23" s="10">
        <f>IF(SUM('Balance Sheet'!G4:G5)&gt;0,'Profit &amp; Loss'!G12/SUM('Balance Sheet'!G4:G5),"")</f>
        <v>0.21809063995198466</v>
      </c>
      <c r="H23" s="10">
        <f>IF(SUM('Balance Sheet'!H4:H5)&gt;0,'Profit &amp; Loss'!H12/SUM('Balance Sheet'!H4:H5),"")</f>
        <v>0.24405605456807136</v>
      </c>
      <c r="I23" s="10">
        <f>IF(SUM('Balance Sheet'!I4:I5)&gt;0,'Profit &amp; Loss'!I12/SUM('Balance Sheet'!I4:I5),"")</f>
        <v>0.2775155497933201</v>
      </c>
      <c r="J23" s="10">
        <f>IF(SUM('Balance Sheet'!J4:J5)&gt;0,'Profit &amp; Loss'!J12/SUM('Balance Sheet'!J4:J5),"")</f>
        <v>0.27458869636409999</v>
      </c>
      <c r="K23" s="10">
        <f>IF(SUM('Balance Sheet'!K4:K5)&gt;0,'Profit &amp; Loss'!K12/SUM('Balance Sheet'!K4:K5),"")</f>
        <v>0.49616743098141436</v>
      </c>
    </row>
    <row r="24" spans="1:11" s="2" customFormat="1" x14ac:dyDescent="0.35">
      <c r="A24" s="2" t="s">
        <v>60</v>
      </c>
      <c r="B24" s="10"/>
      <c r="C24" s="10">
        <f>IF((B4+B5+B6+C4+C5+C6)&gt;0,('Profit &amp; Loss'!C10+'Profit &amp; Loss'!C9)*2/(B4+B5+B6+C4+C5+C6),"")</f>
        <v>0.36034518411668875</v>
      </c>
      <c r="D24" s="10">
        <f>IF((C4+C5+C6+D4+D5+D6)&gt;0,('Profit &amp; Loss'!D10+'Profit &amp; Loss'!D9)*2/(C4+C5+C6+D4+D5+D6),"")</f>
        <v>0.35400589143866729</v>
      </c>
      <c r="E24" s="10">
        <f>IF((D4+D5+D6+E4+E5+E6)&gt;0,('Profit &amp; Loss'!E10+'Profit &amp; Loss'!E9)*2/(D4+D5+D6+E4+E5+E6),"")</f>
        <v>0.34415687544012852</v>
      </c>
      <c r="F24" s="10">
        <f>IF((E4+E5+E6+F4+F5+F6)&gt;0,('Profit &amp; Loss'!F10+'Profit &amp; Loss'!F9)*2/(E4+E5+E6+F4+F5+F6),"")</f>
        <v>0.32261652337652486</v>
      </c>
      <c r="G24" s="10">
        <f>IF((F4+F5+F6+G4+G5+G6)&gt;0,('Profit &amp; Loss'!G10+'Profit &amp; Loss'!G9)*2/(F4+F5+F6+G4+G5+G6),"")</f>
        <v>0.28527066262298589</v>
      </c>
      <c r="H24" s="10">
        <f>IF((G4+G5+G6+H4+H5+H6)&gt;0,('Profit &amp; Loss'!H10+'Profit &amp; Loss'!H9)*2/(G4+G5+G6+H4+H5+H6),"")</f>
        <v>0.33733252742915004</v>
      </c>
      <c r="I24" s="10">
        <f>IF((H4+H5+H6+I4+I5+I6)&gt;0,('Profit &amp; Loss'!I10+'Profit &amp; Loss'!I9)*2/(H4+H5+H6+I4+I5+I6),"")</f>
        <v>0.39333609298769096</v>
      </c>
      <c r="J24" s="10">
        <f>IF((I4+I5+I6+J4+J5+J6)&gt;0,('Profit &amp; Loss'!J10+'Profit &amp; Loss'!J9)*2/(I4+I5+I6+J4+J5+J6),"")</f>
        <v>0.3742927321936183</v>
      </c>
      <c r="K24" s="10">
        <f>IF((J4+J5+J6+K4+K5+K6)&gt;0,('Profit &amp; Loss'!K10+'Profit &amp; Loss'!K9)*2/(J4+J5+J6+K4+K5+K6),"")</f>
        <v>0.57864605289976878</v>
      </c>
    </row>
    <row r="26" spans="1:11" x14ac:dyDescent="0.35">
      <c r="A26" t="s">
        <v>124</v>
      </c>
      <c r="E26" s="35">
        <f>E4+E5</f>
        <v>59140.87</v>
      </c>
      <c r="F26" s="35">
        <f t="shared" ref="F26:K26" si="1">F4+F5</f>
        <v>65273.26</v>
      </c>
      <c r="G26" s="35">
        <f t="shared" si="1"/>
        <v>60347.34</v>
      </c>
      <c r="H26" s="35">
        <f t="shared" si="1"/>
        <v>62455.57</v>
      </c>
      <c r="I26" s="35">
        <f t="shared" si="1"/>
        <v>69155.260000000009</v>
      </c>
      <c r="J26" s="35">
        <f t="shared" si="1"/>
        <v>74507</v>
      </c>
      <c r="K26" s="35">
        <f t="shared" si="1"/>
        <v>70030.05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98" zoomScaleNormal="98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1640625" defaultRowHeight="14.5" x14ac:dyDescent="0.35"/>
  <cols>
    <col min="1" max="1" width="26.81640625" bestFit="1" customWidth="1"/>
    <col min="2" max="6" width="13.453125" customWidth="1"/>
    <col min="7" max="11" width="13.453125" bestFit="1" customWidth="1"/>
  </cols>
  <sheetData>
    <row r="1" spans="1:11" s="2" customFormat="1" x14ac:dyDescent="0.35">
      <c r="A1" s="2" t="str">
        <f>'Balance Sheet'!A1</f>
        <v>ITC LTD</v>
      </c>
      <c r="E1" t="str">
        <f>UPDATE</f>
        <v>ITC LTD</v>
      </c>
      <c r="F1"/>
      <c r="J1" s="2" t="s">
        <v>1</v>
      </c>
    </row>
    <row r="3" spans="1:11" s="2" customFormat="1" x14ac:dyDescent="0.35">
      <c r="A3" s="11" t="s">
        <v>2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 x14ac:dyDescent="0.35">
      <c r="A4" s="2" t="s">
        <v>32</v>
      </c>
      <c r="B4" s="1">
        <f>'Data Sheet'!B82</f>
        <v>9799.0400000000009</v>
      </c>
      <c r="C4" s="1">
        <f>'Data Sheet'!C82</f>
        <v>10627.31</v>
      </c>
      <c r="D4" s="1">
        <f>'Data Sheet'!D82</f>
        <v>13169.4</v>
      </c>
      <c r="E4" s="1">
        <f>'Data Sheet'!E82</f>
        <v>12583.41</v>
      </c>
      <c r="F4" s="1">
        <f>'Data Sheet'!F82</f>
        <v>14689.66</v>
      </c>
      <c r="G4" s="1">
        <f>'Data Sheet'!G82</f>
        <v>12526.97</v>
      </c>
      <c r="H4" s="1">
        <f>'Data Sheet'!H82</f>
        <v>15775.51</v>
      </c>
      <c r="I4" s="1">
        <f>'Data Sheet'!I82</f>
        <v>18877.55</v>
      </c>
      <c r="J4" s="1">
        <f>'Data Sheet'!J82</f>
        <v>17178.86</v>
      </c>
      <c r="K4" s="1">
        <f>'Data Sheet'!K82</f>
        <v>17627.04</v>
      </c>
    </row>
    <row r="5" spans="1:11" x14ac:dyDescent="0.35">
      <c r="A5" t="s">
        <v>33</v>
      </c>
      <c r="B5" s="6">
        <f>'Data Sheet'!B83</f>
        <v>-3920.73</v>
      </c>
      <c r="C5" s="6">
        <f>'Data Sheet'!C83</f>
        <v>-3250.93</v>
      </c>
      <c r="D5" s="6">
        <f>'Data Sheet'!D83</f>
        <v>-7113.89</v>
      </c>
      <c r="E5" s="6">
        <f>'Data Sheet'!E83</f>
        <v>-5545.68</v>
      </c>
      <c r="F5" s="6">
        <f>'Data Sheet'!F83</f>
        <v>-6174.02</v>
      </c>
      <c r="G5" s="6">
        <f>'Data Sheet'!G83</f>
        <v>5739.98</v>
      </c>
      <c r="H5" s="6">
        <f>'Data Sheet'!H83</f>
        <v>-2238.4899999999998</v>
      </c>
      <c r="I5" s="6">
        <f>'Data Sheet'!I83</f>
        <v>-5732.29</v>
      </c>
      <c r="J5" s="6">
        <f>'Data Sheet'!J83</f>
        <v>1562.77</v>
      </c>
      <c r="K5" s="6">
        <f>'Data Sheet'!K83</f>
        <v>-563.84</v>
      </c>
    </row>
    <row r="6" spans="1:11" x14ac:dyDescent="0.35">
      <c r="A6" t="s">
        <v>34</v>
      </c>
      <c r="B6" s="6">
        <f>'Data Sheet'!B84</f>
        <v>-5612.52</v>
      </c>
      <c r="C6" s="6">
        <f>'Data Sheet'!C84</f>
        <v>-7301.03</v>
      </c>
      <c r="D6" s="6">
        <f>'Data Sheet'!D84</f>
        <v>-6221.13</v>
      </c>
      <c r="E6" s="6">
        <f>'Data Sheet'!E84</f>
        <v>-6868.64</v>
      </c>
      <c r="F6" s="6">
        <f>'Data Sheet'!F84</f>
        <v>-8181.48</v>
      </c>
      <c r="G6" s="6">
        <f>'Data Sheet'!G84</f>
        <v>-18633.830000000002</v>
      </c>
      <c r="H6" s="6">
        <f>'Data Sheet'!H84</f>
        <v>-13580.5</v>
      </c>
      <c r="I6" s="6">
        <f>'Data Sheet'!I84</f>
        <v>-13006.03</v>
      </c>
      <c r="J6" s="6">
        <f>'Data Sheet'!J84</f>
        <v>-18550.96</v>
      </c>
      <c r="K6" s="6">
        <f>'Data Sheet'!K84</f>
        <v>-17037.400000000001</v>
      </c>
    </row>
    <row r="7" spans="1:11" s="2" customFormat="1" x14ac:dyDescent="0.35">
      <c r="A7" s="2" t="s">
        <v>35</v>
      </c>
      <c r="B7" s="1">
        <f>'Data Sheet'!B85</f>
        <v>265.79000000000002</v>
      </c>
      <c r="C7" s="1">
        <f>'Data Sheet'!C85</f>
        <v>75.349999999999994</v>
      </c>
      <c r="D7" s="1">
        <f>'Data Sheet'!D85</f>
        <v>-165.62</v>
      </c>
      <c r="E7" s="1">
        <f>'Data Sheet'!E85</f>
        <v>169.09</v>
      </c>
      <c r="F7" s="1">
        <f>'Data Sheet'!F85</f>
        <v>334.16</v>
      </c>
      <c r="G7" s="1">
        <f>'Data Sheet'!G85</f>
        <v>-366.88</v>
      </c>
      <c r="H7" s="1">
        <f>'Data Sheet'!H85</f>
        <v>-43.48</v>
      </c>
      <c r="I7" s="1">
        <f>'Data Sheet'!I85</f>
        <v>139.22999999999999</v>
      </c>
      <c r="J7" s="1">
        <f>'Data Sheet'!J85</f>
        <v>190.67</v>
      </c>
      <c r="K7" s="1">
        <f>'Data Sheet'!K85</f>
        <v>25.8</v>
      </c>
    </row>
    <row r="8" spans="1:11" x14ac:dyDescent="0.3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3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Normal="100" zoomScalePageLayoutView="150" workbookViewId="0">
      <selection activeCell="B16" sqref="B16"/>
    </sheetView>
  </sheetViews>
  <sheetFormatPr defaultColWidth="8.81640625" defaultRowHeight="14.5" x14ac:dyDescent="0.35"/>
  <cols>
    <col min="1" max="1" width="8.81640625" style="2"/>
    <col min="2" max="2" width="10.453125" customWidth="1"/>
    <col min="3" max="3" width="13.36328125" style="20" customWidth="1"/>
    <col min="6" max="6" width="6.81640625" customWidth="1"/>
  </cols>
  <sheetData>
    <row r="1" spans="1:7" ht="21" x14ac:dyDescent="0.5">
      <c r="A1" s="19" t="s">
        <v>56</v>
      </c>
    </row>
    <row r="3" spans="1:7" x14ac:dyDescent="0.35">
      <c r="A3" s="2" t="s">
        <v>48</v>
      </c>
    </row>
    <row r="4" spans="1:7" x14ac:dyDescent="0.35">
      <c r="B4" t="s">
        <v>90</v>
      </c>
    </row>
    <row r="5" spans="1:7" x14ac:dyDescent="0.35">
      <c r="B5" t="s">
        <v>49</v>
      </c>
    </row>
    <row r="7" spans="1:7" x14ac:dyDescent="0.35">
      <c r="A7" s="2" t="s">
        <v>50</v>
      </c>
    </row>
    <row r="8" spans="1:7" x14ac:dyDescent="0.35">
      <c r="B8" t="s">
        <v>51</v>
      </c>
      <c r="C8" s="21" t="s">
        <v>91</v>
      </c>
    </row>
    <row r="10" spans="1:7" x14ac:dyDescent="0.35">
      <c r="A10" s="2" t="s">
        <v>52</v>
      </c>
    </row>
    <row r="11" spans="1:7" x14ac:dyDescent="0.35">
      <c r="B11" t="s">
        <v>53</v>
      </c>
    </row>
    <row r="14" spans="1:7" x14ac:dyDescent="0.35">
      <c r="A14" s="2" t="s">
        <v>54</v>
      </c>
    </row>
    <row r="15" spans="1:7" x14ac:dyDescent="0.35">
      <c r="B15" t="s">
        <v>55</v>
      </c>
    </row>
    <row r="16" spans="1:7" x14ac:dyDescent="0.35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52"/>
  <sheetViews>
    <sheetView zoomScale="98" zoomScaleNormal="98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E52" sqref="E52"/>
    </sheetView>
  </sheetViews>
  <sheetFormatPr defaultColWidth="8.81640625" defaultRowHeight="14.5" x14ac:dyDescent="0.35"/>
  <cols>
    <col min="1" max="1" width="20.6328125" customWidth="1"/>
    <col min="2" max="6" width="13.453125" customWidth="1"/>
    <col min="7" max="7" width="14.81640625" bestFit="1" customWidth="1"/>
    <col min="8" max="11" width="13.453125" customWidth="1"/>
    <col min="12" max="12" width="13.36328125" customWidth="1"/>
    <col min="13" max="14" width="12.1796875" customWidth="1"/>
  </cols>
  <sheetData>
    <row r="1" spans="1:14" s="2" customFormat="1" x14ac:dyDescent="0.35">
      <c r="A1" s="2" t="str">
        <f>'Data Sheet'!B1</f>
        <v>ITC LTD</v>
      </c>
      <c r="H1" t="str">
        <f>UPDATE</f>
        <v>ITC LTD</v>
      </c>
      <c r="J1" s="3"/>
      <c r="K1" s="3"/>
      <c r="M1" s="2" t="s">
        <v>1</v>
      </c>
    </row>
    <row r="3" spans="1:14" s="2" customFormat="1" x14ac:dyDescent="0.35">
      <c r="A3" s="11" t="s">
        <v>2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3</v>
      </c>
      <c r="M3" s="13" t="s">
        <v>4</v>
      </c>
      <c r="N3" s="13" t="s">
        <v>5</v>
      </c>
    </row>
    <row r="4" spans="1:14" s="2" customFormat="1" x14ac:dyDescent="0.35">
      <c r="A4" s="2" t="s">
        <v>6</v>
      </c>
      <c r="B4" s="1">
        <f>'Data Sheet'!B17</f>
        <v>39192.1</v>
      </c>
      <c r="C4" s="1">
        <f>'Data Sheet'!C17</f>
        <v>42767.6</v>
      </c>
      <c r="D4" s="1">
        <f>'Data Sheet'!D17</f>
        <v>43448.94</v>
      </c>
      <c r="E4" s="1">
        <f>'Data Sheet'!E17</f>
        <v>48339.58</v>
      </c>
      <c r="F4" s="1">
        <f>'Data Sheet'!F17</f>
        <v>49387.7</v>
      </c>
      <c r="G4" s="1">
        <f>'Data Sheet'!G17</f>
        <v>49257.45</v>
      </c>
      <c r="H4" s="1">
        <f>'Data Sheet'!H17</f>
        <v>60644.54</v>
      </c>
      <c r="I4" s="1">
        <f>'Data Sheet'!I17</f>
        <v>70919.03</v>
      </c>
      <c r="J4" s="1">
        <f>'Data Sheet'!J17</f>
        <v>67931.94</v>
      </c>
      <c r="K4" s="1">
        <f>'Data Sheet'!K17</f>
        <v>75323.34</v>
      </c>
      <c r="L4" s="1">
        <f>SUM(Quarters!H4:K4)</f>
        <v>79808.72</v>
      </c>
      <c r="M4" s="1">
        <f>$K4+M23*K4</f>
        <v>83518.968378580088</v>
      </c>
      <c r="N4" s="1">
        <f>$K4+N23*L4</f>
        <v>81303.230401530862</v>
      </c>
    </row>
    <row r="5" spans="1:14" x14ac:dyDescent="0.35">
      <c r="A5" t="s">
        <v>7</v>
      </c>
      <c r="B5" s="6">
        <f>SUM('Data Sheet'!B18,'Data Sheet'!B20:B24, -1*'Data Sheet'!B19)</f>
        <v>24660.609999999997</v>
      </c>
      <c r="C5" s="6">
        <f>SUM('Data Sheet'!C18,'Data Sheet'!C20:C24, -1*'Data Sheet'!C19)</f>
        <v>27298.09</v>
      </c>
      <c r="D5" s="6">
        <f>SUM('Data Sheet'!D18,'Data Sheet'!D20:D24, -1*'Data Sheet'!D19)</f>
        <v>26928.35</v>
      </c>
      <c r="E5" s="6">
        <f>SUM('Data Sheet'!E18,'Data Sheet'!E20:E24, -1*'Data Sheet'!E19)</f>
        <v>29802.19</v>
      </c>
      <c r="F5" s="6">
        <f>SUM('Data Sheet'!F18,'Data Sheet'!F20:F24, -1*'Data Sheet'!F19)</f>
        <v>30044.16</v>
      </c>
      <c r="G5" s="6">
        <f>SUM('Data Sheet'!G18,'Data Sheet'!G20:G24, -1*'Data Sheet'!G19)</f>
        <v>32192.670000000002</v>
      </c>
      <c r="H5" s="6">
        <f>SUM('Data Sheet'!H18,'Data Sheet'!H20:H24, -1*'Data Sheet'!H19)</f>
        <v>40021.39</v>
      </c>
      <c r="I5" s="6">
        <f>SUM('Data Sheet'!I18,'Data Sheet'!I20:I24, -1*'Data Sheet'!I19)</f>
        <v>45214.770000000004</v>
      </c>
      <c r="J5" s="6">
        <f>SUM('Data Sheet'!J18,'Data Sheet'!J20:J24, -1*'Data Sheet'!J19)</f>
        <v>42744.41</v>
      </c>
      <c r="K5" s="6">
        <f>SUM('Data Sheet'!K18,'Data Sheet'!K20:K24, -1*'Data Sheet'!K19)</f>
        <v>49483.89</v>
      </c>
      <c r="L5" s="6">
        <f>SUM(Quarters!H5:K5)</f>
        <v>52895.65</v>
      </c>
      <c r="M5" s="6">
        <f>M4-M6</f>
        <v>53597.013652967857</v>
      </c>
      <c r="N5" s="6">
        <f>N4-N6</f>
        <v>53886.182101263315</v>
      </c>
    </row>
    <row r="6" spans="1:14" s="2" customFormat="1" x14ac:dyDescent="0.35">
      <c r="A6" s="2" t="s">
        <v>8</v>
      </c>
      <c r="B6" s="1">
        <f>B4-B5</f>
        <v>14531.490000000002</v>
      </c>
      <c r="C6" s="1">
        <f t="shared" ref="C6:K6" si="0">C4-C5</f>
        <v>15469.509999999998</v>
      </c>
      <c r="D6" s="1">
        <f t="shared" si="0"/>
        <v>16520.590000000004</v>
      </c>
      <c r="E6" s="1">
        <f t="shared" si="0"/>
        <v>18537.390000000003</v>
      </c>
      <c r="F6" s="1">
        <f t="shared" si="0"/>
        <v>19343.539999999997</v>
      </c>
      <c r="G6" s="1">
        <f t="shared" si="0"/>
        <v>17064.779999999995</v>
      </c>
      <c r="H6" s="1">
        <f t="shared" si="0"/>
        <v>20623.150000000001</v>
      </c>
      <c r="I6" s="1">
        <f t="shared" si="0"/>
        <v>25704.259999999995</v>
      </c>
      <c r="J6" s="1">
        <f t="shared" si="0"/>
        <v>25187.53</v>
      </c>
      <c r="K6" s="1">
        <f t="shared" si="0"/>
        <v>25839.449999999997</v>
      </c>
      <c r="L6" s="1">
        <f>SUM(Quarters!H6:K6)</f>
        <v>26913.07</v>
      </c>
      <c r="M6" s="1">
        <f>M4*M24</f>
        <v>29921.954725612231</v>
      </c>
      <c r="N6" s="1">
        <f>N4*N24</f>
        <v>27417.048300267543</v>
      </c>
    </row>
    <row r="7" spans="1:14" x14ac:dyDescent="0.35">
      <c r="A7" t="s">
        <v>9</v>
      </c>
      <c r="B7" s="6">
        <f>'Data Sheet'!B25</f>
        <v>1483.11</v>
      </c>
      <c r="C7" s="6">
        <f>'Data Sheet'!C25</f>
        <v>1758.63</v>
      </c>
      <c r="D7" s="6">
        <f>'Data Sheet'!D25</f>
        <v>2239.81</v>
      </c>
      <c r="E7" s="6">
        <f>'Data Sheet'!E25</f>
        <v>2080.44</v>
      </c>
      <c r="F7" s="6">
        <f>'Data Sheet'!F25</f>
        <v>2417.3200000000002</v>
      </c>
      <c r="G7" s="6">
        <f>'Data Sheet'!G25</f>
        <v>2576.9499999999998</v>
      </c>
      <c r="H7" s="6">
        <f>'Data Sheet'!H25</f>
        <v>1909.72</v>
      </c>
      <c r="I7" s="6">
        <f>'Data Sheet'!I25</f>
        <v>2097.64</v>
      </c>
      <c r="J7" s="6">
        <f>'Data Sheet'!J25</f>
        <v>3330.45</v>
      </c>
      <c r="K7" s="6">
        <f>'Data Sheet'!K25</f>
        <v>17794.88</v>
      </c>
      <c r="L7" s="6">
        <f>SUM(Quarters!H7:K7)</f>
        <v>17202.939999999999</v>
      </c>
      <c r="M7" s="6">
        <v>0</v>
      </c>
      <c r="N7" s="6">
        <v>0</v>
      </c>
    </row>
    <row r="8" spans="1:14" x14ac:dyDescent="0.35">
      <c r="A8" t="s">
        <v>10</v>
      </c>
      <c r="B8" s="6">
        <f>'Data Sheet'!B26</f>
        <v>1077.4000000000001</v>
      </c>
      <c r="C8" s="6">
        <f>'Data Sheet'!C26</f>
        <v>1152.79</v>
      </c>
      <c r="D8" s="6">
        <f>'Data Sheet'!D26</f>
        <v>1236.28</v>
      </c>
      <c r="E8" s="6">
        <f>'Data Sheet'!E26</f>
        <v>1396.61</v>
      </c>
      <c r="F8" s="6">
        <f>'Data Sheet'!F26</f>
        <v>1644.91</v>
      </c>
      <c r="G8" s="6">
        <f>'Data Sheet'!G26</f>
        <v>1645.59</v>
      </c>
      <c r="H8" s="6">
        <f>'Data Sheet'!H26</f>
        <v>1732.41</v>
      </c>
      <c r="I8" s="6">
        <f>'Data Sheet'!I26</f>
        <v>1809.01</v>
      </c>
      <c r="J8" s="6">
        <f>'Data Sheet'!J26</f>
        <v>1518.05</v>
      </c>
      <c r="K8" s="6">
        <f>'Data Sheet'!K26</f>
        <v>1646.32</v>
      </c>
      <c r="L8" s="6">
        <f>SUM(Quarters!H8:K8)</f>
        <v>1699.61</v>
      </c>
      <c r="M8" s="6">
        <f>+$L8</f>
        <v>1699.61</v>
      </c>
      <c r="N8" s="6">
        <f>+$L8</f>
        <v>1699.61</v>
      </c>
    </row>
    <row r="9" spans="1:14" x14ac:dyDescent="0.35">
      <c r="A9" t="s">
        <v>11</v>
      </c>
      <c r="B9" s="6">
        <f>'Data Sheet'!B27</f>
        <v>78.13</v>
      </c>
      <c r="C9" s="6">
        <f>'Data Sheet'!C27</f>
        <v>49.03</v>
      </c>
      <c r="D9" s="6">
        <f>'Data Sheet'!D27</f>
        <v>115.01</v>
      </c>
      <c r="E9" s="6">
        <f>'Data Sheet'!E27</f>
        <v>71.400000000000006</v>
      </c>
      <c r="F9" s="6">
        <f>'Data Sheet'!F27</f>
        <v>81.38</v>
      </c>
      <c r="G9" s="6">
        <f>'Data Sheet'!G27</f>
        <v>57.97</v>
      </c>
      <c r="H9" s="6">
        <f>'Data Sheet'!H27</f>
        <v>59.99</v>
      </c>
      <c r="I9" s="6">
        <f>'Data Sheet'!I27</f>
        <v>77.77</v>
      </c>
      <c r="J9" s="6">
        <f>'Data Sheet'!J27</f>
        <v>39.11</v>
      </c>
      <c r="K9" s="6">
        <f>'Data Sheet'!K27</f>
        <v>45.06</v>
      </c>
      <c r="L9" s="6">
        <f>SUM(Quarters!H9:K9)</f>
        <v>66.900000000000006</v>
      </c>
      <c r="M9" s="6">
        <f>+$L9</f>
        <v>66.900000000000006</v>
      </c>
      <c r="N9" s="6">
        <f>+$L9</f>
        <v>66.900000000000006</v>
      </c>
    </row>
    <row r="10" spans="1:14" x14ac:dyDescent="0.35">
      <c r="A10" t="s">
        <v>12</v>
      </c>
      <c r="B10" s="6">
        <f>'Data Sheet'!B28</f>
        <v>14859.07</v>
      </c>
      <c r="C10" s="6">
        <f>'Data Sheet'!C28</f>
        <v>16026.32</v>
      </c>
      <c r="D10" s="6">
        <f>'Data Sheet'!D28</f>
        <v>17409.11</v>
      </c>
      <c r="E10" s="6">
        <f>'Data Sheet'!E28</f>
        <v>19149.82</v>
      </c>
      <c r="F10" s="6">
        <f>'Data Sheet'!F28</f>
        <v>20034.57</v>
      </c>
      <c r="G10" s="6">
        <f>'Data Sheet'!G28</f>
        <v>17938.169999999998</v>
      </c>
      <c r="H10" s="6">
        <f>'Data Sheet'!H28</f>
        <v>20740.47</v>
      </c>
      <c r="I10" s="6">
        <f>'Data Sheet'!I28</f>
        <v>25915.119999999999</v>
      </c>
      <c r="J10" s="6">
        <f>'Data Sheet'!J28</f>
        <v>26960.82</v>
      </c>
      <c r="K10" s="6">
        <f>'Data Sheet'!K28</f>
        <v>41942.949999999997</v>
      </c>
      <c r="L10" s="6">
        <f>SUM(Quarters!H10:K10)</f>
        <v>42349.5</v>
      </c>
      <c r="M10" s="6">
        <f>M6+M7-SUM(M8:M9)</f>
        <v>28155.444725612233</v>
      </c>
      <c r="N10" s="6">
        <f>N6+N7-SUM(N8:N9)</f>
        <v>25650.538300267544</v>
      </c>
    </row>
    <row r="11" spans="1:14" x14ac:dyDescent="0.35">
      <c r="A11" t="s">
        <v>13</v>
      </c>
      <c r="B11" s="6">
        <f>'Data Sheet'!B29</f>
        <v>5358.21</v>
      </c>
      <c r="C11" s="6">
        <f>'Data Sheet'!C29</f>
        <v>5549.09</v>
      </c>
      <c r="D11" s="6">
        <f>'Data Sheet'!D29</f>
        <v>5916.43</v>
      </c>
      <c r="E11" s="6">
        <f>'Data Sheet'!E29</f>
        <v>6313.92</v>
      </c>
      <c r="F11" s="6">
        <f>'Data Sheet'!F29</f>
        <v>4441.79</v>
      </c>
      <c r="G11" s="6">
        <f>'Data Sheet'!G29</f>
        <v>4555.29</v>
      </c>
      <c r="H11" s="6">
        <f>'Data Sheet'!H29</f>
        <v>5237.34</v>
      </c>
      <c r="I11" s="6">
        <f>'Data Sheet'!I29</f>
        <v>6438.4</v>
      </c>
      <c r="J11" s="6">
        <f>'Data Sheet'!J29</f>
        <v>6209.46</v>
      </c>
      <c r="K11" s="6">
        <f>'Data Sheet'!K29</f>
        <v>6890.47</v>
      </c>
      <c r="L11" s="6">
        <f>SUM(Quarters!H11:K11)</f>
        <v>6993.21</v>
      </c>
      <c r="M11" s="7">
        <f>IF($L10&gt;0,$L11/$L10,0)</f>
        <v>0.16513087521694472</v>
      </c>
      <c r="N11" s="7">
        <f>IF($L10&gt;0,$L11/$L10,0)</f>
        <v>0.16513087521694472</v>
      </c>
    </row>
    <row r="12" spans="1:14" s="2" customFormat="1" x14ac:dyDescent="0.35">
      <c r="A12" s="2" t="s">
        <v>14</v>
      </c>
      <c r="B12" s="1">
        <f>'Data Sheet'!B30</f>
        <v>9344.4500000000007</v>
      </c>
      <c r="C12" s="1">
        <f>'Data Sheet'!C30</f>
        <v>10289.44</v>
      </c>
      <c r="D12" s="1">
        <f>'Data Sheet'!D30</f>
        <v>11271.2</v>
      </c>
      <c r="E12" s="1">
        <f>'Data Sheet'!E30</f>
        <v>12592.33</v>
      </c>
      <c r="F12" s="1">
        <f>'Data Sheet'!F30</f>
        <v>15306.23</v>
      </c>
      <c r="G12" s="1">
        <f>'Data Sheet'!G30</f>
        <v>13161.19</v>
      </c>
      <c r="H12" s="1">
        <f>'Data Sheet'!H30</f>
        <v>15242.66</v>
      </c>
      <c r="I12" s="1">
        <f>'Data Sheet'!I30</f>
        <v>19191.66</v>
      </c>
      <c r="J12" s="1">
        <f>'Data Sheet'!J30</f>
        <v>20458.78</v>
      </c>
      <c r="K12" s="1">
        <f>'Data Sheet'!K30</f>
        <v>34746.629999999997</v>
      </c>
      <c r="L12" s="1">
        <f>SUM(Quarters!H12:K12)</f>
        <v>35028.870000000003</v>
      </c>
      <c r="M12" s="1">
        <f>M10-M11*M10</f>
        <v>23506.111495949575</v>
      </c>
      <c r="N12" s="1">
        <f>N10-N11*N10</f>
        <v>21414.842460958604</v>
      </c>
    </row>
    <row r="13" spans="1:14" x14ac:dyDescent="0.35">
      <c r="A13" t="s">
        <v>57</v>
      </c>
      <c r="B13" s="6">
        <f>IF('Data Sheet'!B93&gt;0,B12/'Data Sheet'!B93,0)</f>
        <v>7.7413675978394147</v>
      </c>
      <c r="C13" s="6">
        <f>IF('Data Sheet'!C93&gt;0,C12/'Data Sheet'!C93,0)</f>
        <v>8.4704875117309051</v>
      </c>
      <c r="D13" s="6">
        <f>IF('Data Sheet'!D93&gt;0,D12/'Data Sheet'!D93,0)</f>
        <v>9.2354334128135172</v>
      </c>
      <c r="E13" s="6">
        <f>IF('Data Sheet'!E93&gt;0,E12/'Data Sheet'!E93,0)</f>
        <v>10.272241528396393</v>
      </c>
      <c r="F13" s="6">
        <f>IF('Data Sheet'!F93&gt;0,F12/'Data Sheet'!F93,0)</f>
        <v>12.451985812141032</v>
      </c>
      <c r="G13" s="6">
        <f>IF('Data Sheet'!G93&gt;0,G12/'Data Sheet'!G93,0)</f>
        <v>10.692504549590536</v>
      </c>
      <c r="H13" s="6">
        <f>IF('Data Sheet'!H93&gt;0,H12/'Data Sheet'!H93,0)</f>
        <v>12.368975842509718</v>
      </c>
      <c r="I13" s="6">
        <f>IF('Data Sheet'!I93&gt;0,I12/'Data Sheet'!I93,0)</f>
        <v>15.442275506919859</v>
      </c>
      <c r="J13" s="6">
        <f>IF('Data Sheet'!J93&gt;0,J12/'Data Sheet'!J93,0)</f>
        <v>16.387081788108645</v>
      </c>
      <c r="K13" s="6">
        <f>IF('Data Sheet'!K93&gt;0,K12/'Data Sheet'!K93,0)</f>
        <v>27.765983970081745</v>
      </c>
      <c r="L13" s="6">
        <f>IF('Data Sheet'!$B6&gt;0,'Profit &amp; Loss'!L12/'Data Sheet'!$B6,0)</f>
        <v>27.957187537760561</v>
      </c>
      <c r="M13" s="6">
        <f>IF('Data Sheet'!$B6&gt;0,'Profit &amp; Loss'!M12/'Data Sheet'!$B6,0)</f>
        <v>18.760661345221003</v>
      </c>
      <c r="N13" s="6">
        <f>IF('Data Sheet'!$B6&gt;0,'Profit &amp; Loss'!N12/'Data Sheet'!$B6,0)</f>
        <v>17.091580938026762</v>
      </c>
    </row>
    <row r="14" spans="1:14" x14ac:dyDescent="0.35">
      <c r="A14" t="s">
        <v>16</v>
      </c>
      <c r="B14" s="6">
        <f>IF(B15&gt;0,B15/B13,"")</f>
        <v>26.49790200600356</v>
      </c>
      <c r="C14" s="6">
        <f t="shared" ref="C14:K14" si="1">IF(C15&gt;0,C15/C13,"")</f>
        <v>31.019466073955435</v>
      </c>
      <c r="D14" s="6">
        <f t="shared" si="1"/>
        <v>25.932729877918941</v>
      </c>
      <c r="E14" s="6">
        <f t="shared" si="1"/>
        <v>27.125530414148926</v>
      </c>
      <c r="F14" s="6">
        <f t="shared" si="1"/>
        <v>12.925649163771876</v>
      </c>
      <c r="G14" s="6">
        <f t="shared" si="1"/>
        <v>19.155474664525016</v>
      </c>
      <c r="H14" s="6">
        <f t="shared" si="1"/>
        <v>18.995913889045614</v>
      </c>
      <c r="I14" s="6">
        <f t="shared" si="1"/>
        <v>23.279600201337455</v>
      </c>
      <c r="J14" s="6">
        <f t="shared" si="1"/>
        <v>24.502837368601647</v>
      </c>
      <c r="K14" s="6">
        <f t="shared" si="1"/>
        <v>14.757265596692401</v>
      </c>
      <c r="L14" s="6">
        <f>IF(L13&gt;0,L15/L13,0)</f>
        <v>11.31909279402961</v>
      </c>
      <c r="M14" s="6">
        <f>M25</f>
        <v>18.464698990165278</v>
      </c>
      <c r="N14" s="6">
        <f>N25</f>
        <v>11.31909279402961</v>
      </c>
    </row>
    <row r="15" spans="1:14" s="2" customFormat="1" x14ac:dyDescent="0.35">
      <c r="A15" s="2" t="s">
        <v>58</v>
      </c>
      <c r="B15" s="1">
        <f>'Data Sheet'!B90</f>
        <v>205.13</v>
      </c>
      <c r="C15" s="1">
        <f>'Data Sheet'!C90</f>
        <v>262.75</v>
      </c>
      <c r="D15" s="1">
        <f>'Data Sheet'!D90</f>
        <v>239.5</v>
      </c>
      <c r="E15" s="1">
        <f>'Data Sheet'!E90</f>
        <v>278.64</v>
      </c>
      <c r="F15" s="1">
        <f>'Data Sheet'!F90</f>
        <v>160.94999999999999</v>
      </c>
      <c r="G15" s="1">
        <f>'Data Sheet'!G90</f>
        <v>204.82</v>
      </c>
      <c r="H15" s="1">
        <f>'Data Sheet'!H90</f>
        <v>234.96</v>
      </c>
      <c r="I15" s="1">
        <f>'Data Sheet'!I90</f>
        <v>359.49</v>
      </c>
      <c r="J15" s="1">
        <f>'Data Sheet'!J90</f>
        <v>401.53</v>
      </c>
      <c r="K15" s="1">
        <f>'Data Sheet'!K90</f>
        <v>409.75</v>
      </c>
      <c r="L15" s="1">
        <f>'Data Sheet'!B8</f>
        <v>316.45</v>
      </c>
      <c r="M15" s="8">
        <f>M13*M14</f>
        <v>346.40996459593504</v>
      </c>
      <c r="N15" s="9">
        <f>N13*N14</f>
        <v>193.46119063419258</v>
      </c>
    </row>
    <row r="17" spans="1:14" s="2" customFormat="1" x14ac:dyDescent="0.35">
      <c r="A17" s="2" t="s">
        <v>15</v>
      </c>
    </row>
    <row r="18" spans="1:14" x14ac:dyDescent="0.35">
      <c r="A18" t="s">
        <v>17</v>
      </c>
      <c r="B18" s="5">
        <f>IF('Data Sheet'!B30&gt;0, 'Data Sheet'!B31/'Data Sheet'!B30, 0)</f>
        <v>0.73199813793214152</v>
      </c>
      <c r="C18" s="5">
        <f>IF('Data Sheet'!C30&gt;0, 'Data Sheet'!C31/'Data Sheet'!C30, 0)</f>
        <v>0.56077104293333746</v>
      </c>
      <c r="D18" s="5">
        <f>IF('Data Sheet'!D30&gt;0, 'Data Sheet'!D31/'Data Sheet'!D30, 0)</f>
        <v>0.55763450209383203</v>
      </c>
      <c r="E18" s="5">
        <f>IF('Data Sheet'!E30&gt;0, 'Data Sheet'!E31/'Data Sheet'!E30, 0)</f>
        <v>0.55976137855345276</v>
      </c>
      <c r="F18" s="5">
        <f>IF('Data Sheet'!F30&gt;0, 'Data Sheet'!F31/'Data Sheet'!F30, 0)</f>
        <v>0.8151308323473514</v>
      </c>
      <c r="G18" s="5">
        <f>IF('Data Sheet'!G30&gt;0, 'Data Sheet'!G31/'Data Sheet'!G30, 0)</f>
        <v>1.0053771733407084</v>
      </c>
      <c r="H18" s="5">
        <f>IF('Data Sheet'!H30&gt;0, 'Data Sheet'!H31/'Data Sheet'!H30, 0)</f>
        <v>0.92974585800641096</v>
      </c>
      <c r="I18" s="5">
        <f>IF('Data Sheet'!I30&gt;0, 'Data Sheet'!I31/'Data Sheet'!I30, 0)</f>
        <v>1.0037380820627295</v>
      </c>
      <c r="J18" s="5">
        <f>IF('Data Sheet'!J30&gt;0, 'Data Sheet'!J31/'Data Sheet'!J30, 0)</f>
        <v>0.83907544829163816</v>
      </c>
      <c r="K18" s="5">
        <f>IF('Data Sheet'!K30&gt;0, 'Data Sheet'!K31/'Data Sheet'!K30, 0)</f>
        <v>0.51681932895362803</v>
      </c>
    </row>
    <row r="19" spans="1:14" x14ac:dyDescent="0.35">
      <c r="A19" t="s">
        <v>18</v>
      </c>
      <c r="B19" s="5">
        <f>IF(B6&gt;0,B6/B4,0)</f>
        <v>0.37077599822413199</v>
      </c>
      <c r="C19" s="5">
        <f t="shared" ref="C19:K19" si="2">IF(C6&gt;0,C6/C4,0)</f>
        <v>0.36171096811605047</v>
      </c>
      <c r="D19" s="5">
        <f t="shared" si="2"/>
        <v>0.38022998950031928</v>
      </c>
      <c r="E19" s="5">
        <f t="shared" si="2"/>
        <v>0.38348264507056129</v>
      </c>
      <c r="F19" s="5">
        <f t="shared" si="2"/>
        <v>0.39166715599228147</v>
      </c>
      <c r="G19" s="5">
        <f t="shared" si="2"/>
        <v>0.34644058919006154</v>
      </c>
      <c r="H19" s="5">
        <f t="shared" si="2"/>
        <v>0.3400660636555245</v>
      </c>
      <c r="I19" s="5">
        <f t="shared" si="2"/>
        <v>0.36244517162741785</v>
      </c>
      <c r="J19" s="5">
        <f t="shared" si="2"/>
        <v>0.37077595605248426</v>
      </c>
      <c r="K19" s="5">
        <f t="shared" si="2"/>
        <v>0.34304705553418102</v>
      </c>
      <c r="L19" s="5">
        <f>IF(L6&gt;0,L6/L4,0)</f>
        <v>0.33721966722433339</v>
      </c>
    </row>
    <row r="20" spans="1:14" x14ac:dyDescent="0.3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35">
      <c r="A23"/>
      <c r="B23"/>
      <c r="C23"/>
      <c r="D23"/>
      <c r="E23"/>
      <c r="F23"/>
      <c r="G23" t="s">
        <v>22</v>
      </c>
      <c r="H23" s="5">
        <f>IF(B4=0,"",POWER($K4/B4,1/9)-1)</f>
        <v>7.5290157386170398E-2</v>
      </c>
      <c r="I23" s="5">
        <f>IF(D4=0,"",POWER($K4/D4,1/7)-1)</f>
        <v>8.1772081914101014E-2</v>
      </c>
      <c r="J23" s="5">
        <f>IF(F4=0,"",POWER($K4/F4,1/5)-1)</f>
        <v>8.8083322106701667E-2</v>
      </c>
      <c r="K23" s="5">
        <f>IF(H4=0,"",POWER($K4/H4, 1/3)-1)</f>
        <v>7.4927782346726923E-2</v>
      </c>
      <c r="L23" s="5">
        <f>IF(ISERROR(MAX(IF(J4=0,"",(K4-J4)/J4),IF(K4=0,"",(L4-K4)/K4))),"",MAX(IF(J4=0,"",(K4-J4)/J4),IF(K4=0,"",(L4-K4)/K4)))</f>
        <v>0.10880596078957842</v>
      </c>
      <c r="M23" s="16">
        <f>MAX(K23:L23)</f>
        <v>0.10880596078957842</v>
      </c>
      <c r="N23" s="16">
        <f>MIN(H23:L23)</f>
        <v>7.4927782346726923E-2</v>
      </c>
    </row>
    <row r="24" spans="1:14" x14ac:dyDescent="0.35">
      <c r="G24" t="s">
        <v>18</v>
      </c>
      <c r="H24" s="5">
        <f>IF(SUM(B4:$K$4)=0,"",SUMPRODUCT(B19:$K$19,B4:$K$4)/SUM(B4:$K$4))</f>
        <v>0.36333561776087531</v>
      </c>
      <c r="I24" s="5">
        <f>IF(SUM(E4:$K$4)=0,"",SUMPRODUCT(E19:$K$19,E4:$K$4)/SUM(E4:$K$4))</f>
        <v>0.361068770445239</v>
      </c>
      <c r="J24" s="5">
        <f>IF(SUM(G4:$K$4)=0,"",SUMPRODUCT(G19:$K$19,G4:$K$4)/SUM(G4:$K$4))</f>
        <v>0.35306244239396706</v>
      </c>
      <c r="K24" s="5">
        <f>IF(SUM(I4:$K$4)=0, "", SUMPRODUCT(I19:$K$19,I4:$K$4)/SUM(I4:$K$4))</f>
        <v>0.35826537739283482</v>
      </c>
      <c r="L24" s="5">
        <f>L19</f>
        <v>0.33721966722433339</v>
      </c>
      <c r="M24" s="16">
        <f>MAX(K24:L24)</f>
        <v>0.35826537739283482</v>
      </c>
      <c r="N24" s="16">
        <f>MIN(H24:L24)</f>
        <v>0.33721966722433339</v>
      </c>
    </row>
    <row r="25" spans="1:14" x14ac:dyDescent="0.35">
      <c r="G25" t="s">
        <v>23</v>
      </c>
      <c r="H25" s="6">
        <f>IF(ISERROR(AVERAGEIF(B14:$L14,"&gt;0")),"",AVERAGEIF(B14:$L14,"&gt;0"))</f>
        <v>21.410132913639135</v>
      </c>
      <c r="I25" s="6">
        <f>IF(ISERROR(AVERAGEIF(E14:$L14,"&gt;0")),"",AVERAGEIF(E14:$L14,"&gt;0"))</f>
        <v>19.00767051151907</v>
      </c>
      <c r="J25" s="6">
        <f>IF(ISERROR(AVERAGEIF(G14:$L14,"&gt;0")),"",AVERAGEIF(G14:$L14,"&gt;0"))</f>
        <v>18.668364085705292</v>
      </c>
      <c r="K25" s="6">
        <f>IF(ISERROR(AVERAGEIF(I14:$L14,"&gt;0")),"",AVERAGEIF(I14:$L14,"&gt;0"))</f>
        <v>18.464698990165278</v>
      </c>
      <c r="L25" s="6">
        <f>L14</f>
        <v>11.31909279402961</v>
      </c>
      <c r="M25" s="1">
        <f>MAX(K25:L25)</f>
        <v>18.464698990165278</v>
      </c>
      <c r="N25" s="1">
        <f>MIN(H25:L25)</f>
        <v>11.31909279402961</v>
      </c>
    </row>
    <row r="27" spans="1:14" x14ac:dyDescent="0.35">
      <c r="A27" t="s">
        <v>99</v>
      </c>
      <c r="C27" s="34">
        <f>C4/B4-1</f>
        <v>9.1230120355888067E-2</v>
      </c>
      <c r="D27" s="34">
        <f t="shared" ref="D27:K27" si="3">D4/C4-1</f>
        <v>1.5931218960147486E-2</v>
      </c>
      <c r="E27" s="34">
        <f t="shared" si="3"/>
        <v>0.11256062863673999</v>
      </c>
      <c r="F27" s="34">
        <f t="shared" si="3"/>
        <v>2.1682439110972673E-2</v>
      </c>
      <c r="G27" s="34">
        <f t="shared" si="3"/>
        <v>-2.6372963308678443E-3</v>
      </c>
      <c r="H27" s="34">
        <f t="shared" si="3"/>
        <v>0.23117497962237188</v>
      </c>
      <c r="I27" s="34">
        <f t="shared" si="3"/>
        <v>0.1694215175842706</v>
      </c>
      <c r="J27" s="34">
        <f t="shared" si="3"/>
        <v>-4.2119724423754779E-2</v>
      </c>
      <c r="K27" s="34">
        <f t="shared" si="3"/>
        <v>0.10880596078957838</v>
      </c>
    </row>
    <row r="29" spans="1:14" x14ac:dyDescent="0.35">
      <c r="A29" t="s">
        <v>100</v>
      </c>
      <c r="E29">
        <f>'Data Sheet'!E17-'Data Sheet'!E18-'Data Sheet'!E19-'Data Sheet'!E20-'Data Sheet'!E21</f>
        <v>27895.130000000005</v>
      </c>
      <c r="F29">
        <f>'Data Sheet'!F17-'Data Sheet'!F18-'Data Sheet'!F19-'Data Sheet'!F20-'Data Sheet'!F21</f>
        <v>27946.829999999998</v>
      </c>
      <c r="G29">
        <f>'Data Sheet'!G17-'Data Sheet'!G18-'Data Sheet'!G19-'Data Sheet'!G20-'Data Sheet'!G21</f>
        <v>25548.729999999996</v>
      </c>
      <c r="H29">
        <f>'Data Sheet'!H17-'Data Sheet'!H18-'Data Sheet'!H19-'Data Sheet'!H20-'Data Sheet'!H21</f>
        <v>30110.03</v>
      </c>
      <c r="I29">
        <f>'Data Sheet'!I17-'Data Sheet'!I18-'Data Sheet'!I19-'Data Sheet'!I20-'Data Sheet'!I21</f>
        <v>37635.94</v>
      </c>
      <c r="J29">
        <f>'Data Sheet'!J17-'Data Sheet'!J18-'Data Sheet'!J19-'Data Sheet'!J20-'Data Sheet'!J21</f>
        <v>37078.94</v>
      </c>
      <c r="K29">
        <f>'Data Sheet'!K17-'Data Sheet'!K18-'Data Sheet'!K19-'Data Sheet'!K20-'Data Sheet'!K21</f>
        <v>38572.61</v>
      </c>
    </row>
    <row r="30" spans="1:14" x14ac:dyDescent="0.35">
      <c r="A30" t="s">
        <v>101</v>
      </c>
      <c r="E30" s="33">
        <f>E29/E4</f>
        <v>0.57706603987870819</v>
      </c>
      <c r="F30" s="33">
        <f t="shared" ref="F30:K30" si="4">F29/F4</f>
        <v>0.565866197454022</v>
      </c>
      <c r="G30" s="33">
        <f t="shared" si="4"/>
        <v>0.51867747924425645</v>
      </c>
      <c r="H30" s="33">
        <f t="shared" si="4"/>
        <v>0.49650026201864172</v>
      </c>
      <c r="I30" s="33">
        <f t="shared" si="4"/>
        <v>0.53068887152009836</v>
      </c>
      <c r="J30" s="33">
        <f t="shared" si="4"/>
        <v>0.54582483585777175</v>
      </c>
      <c r="K30" s="33">
        <f t="shared" si="4"/>
        <v>0.51209372818571242</v>
      </c>
    </row>
    <row r="32" spans="1:14" x14ac:dyDescent="0.35">
      <c r="A32" t="s">
        <v>104</v>
      </c>
      <c r="B32" s="33">
        <f>B6/B4</f>
        <v>0.37077599822413199</v>
      </c>
      <c r="C32" s="33">
        <f t="shared" ref="C32:K32" si="5">C6/C4</f>
        <v>0.36171096811605047</v>
      </c>
      <c r="D32" s="33">
        <f t="shared" si="5"/>
        <v>0.38022998950031928</v>
      </c>
      <c r="E32" s="33">
        <f t="shared" si="5"/>
        <v>0.38348264507056129</v>
      </c>
      <c r="F32" s="33">
        <f t="shared" si="5"/>
        <v>0.39166715599228147</v>
      </c>
      <c r="G32" s="33">
        <f t="shared" si="5"/>
        <v>0.34644058919006154</v>
      </c>
      <c r="H32" s="33">
        <f t="shared" si="5"/>
        <v>0.3400660636555245</v>
      </c>
      <c r="I32" s="33">
        <f t="shared" si="5"/>
        <v>0.36244517162741785</v>
      </c>
      <c r="J32" s="33">
        <f t="shared" si="5"/>
        <v>0.37077595605248426</v>
      </c>
      <c r="K32" s="33">
        <f t="shared" si="5"/>
        <v>0.34304705553418102</v>
      </c>
    </row>
    <row r="34" spans="1:11" x14ac:dyDescent="0.35">
      <c r="A34" t="s">
        <v>105</v>
      </c>
      <c r="B34" s="33">
        <f>(B6-B8)/B4</f>
        <v>0.34328576422289192</v>
      </c>
      <c r="C34" s="33">
        <f t="shared" ref="C34:K34" si="6">(C6-C8)/C4</f>
        <v>0.33475621732339428</v>
      </c>
      <c r="D34" s="33">
        <f t="shared" si="6"/>
        <v>0.35177636094229231</v>
      </c>
      <c r="E34" s="33">
        <f t="shared" si="6"/>
        <v>0.35459099975630737</v>
      </c>
      <c r="F34" s="33">
        <f t="shared" si="6"/>
        <v>0.35836108990700111</v>
      </c>
      <c r="G34" s="33">
        <f t="shared" si="6"/>
        <v>0.31303264785326884</v>
      </c>
      <c r="H34" s="33">
        <f t="shared" si="6"/>
        <v>0.3114994358931571</v>
      </c>
      <c r="I34" s="33">
        <f t="shared" si="6"/>
        <v>0.33693706752616326</v>
      </c>
      <c r="J34" s="33">
        <f t="shared" si="6"/>
        <v>0.34842932499793172</v>
      </c>
      <c r="K34" s="33">
        <f t="shared" si="6"/>
        <v>0.3211903508261848</v>
      </c>
    </row>
    <row r="36" spans="1:11" x14ac:dyDescent="0.35">
      <c r="A36" t="s">
        <v>107</v>
      </c>
      <c r="B36" s="33">
        <f>B12/B4</f>
        <v>0.23842687684507849</v>
      </c>
      <c r="C36" s="33">
        <f t="shared" ref="C36:K36" si="7">C12/C4</f>
        <v>0.2405896052151629</v>
      </c>
      <c r="D36" s="33">
        <f t="shared" si="7"/>
        <v>0.25941254263049918</v>
      </c>
      <c r="E36" s="33">
        <f t="shared" si="7"/>
        <v>0.26049729848707825</v>
      </c>
      <c r="F36" s="33">
        <f t="shared" si="7"/>
        <v>0.30991987883622846</v>
      </c>
      <c r="G36" s="33">
        <f t="shared" si="7"/>
        <v>0.26719186640802561</v>
      </c>
      <c r="H36" s="33">
        <f t="shared" si="7"/>
        <v>0.25134430898478244</v>
      </c>
      <c r="I36" s="33">
        <f t="shared" si="7"/>
        <v>0.27061368436652333</v>
      </c>
      <c r="J36" s="33">
        <f t="shared" si="7"/>
        <v>0.30116584334261615</v>
      </c>
      <c r="K36" s="33">
        <f t="shared" si="7"/>
        <v>0.46129964497060272</v>
      </c>
    </row>
    <row r="38" spans="1:11" x14ac:dyDescent="0.35">
      <c r="A38" t="s">
        <v>110</v>
      </c>
      <c r="C38" s="34">
        <f>C13/B13-1</f>
        <v>9.4184897523143629E-2</v>
      </c>
      <c r="D38" s="34">
        <f t="shared" ref="D38:K38" si="8">D13/C13-1</f>
        <v>9.030718716286712E-2</v>
      </c>
      <c r="E38" s="34">
        <f t="shared" si="8"/>
        <v>0.11226415363943576</v>
      </c>
      <c r="F38" s="34">
        <f t="shared" si="8"/>
        <v>0.21219753037533184</v>
      </c>
      <c r="G38" s="34">
        <f t="shared" si="8"/>
        <v>-0.14130125821657724</v>
      </c>
      <c r="H38" s="34">
        <f t="shared" si="8"/>
        <v>0.15678939252669122</v>
      </c>
      <c r="I38" s="34">
        <f t="shared" si="8"/>
        <v>0.24846840219768396</v>
      </c>
      <c r="J38" s="34">
        <f t="shared" si="8"/>
        <v>6.1183099651693551E-2</v>
      </c>
      <c r="K38" s="34">
        <f t="shared" si="8"/>
        <v>0.69438246108164581</v>
      </c>
    </row>
    <row r="40" spans="1:11" x14ac:dyDescent="0.35">
      <c r="A40" t="s">
        <v>111</v>
      </c>
      <c r="B40" s="35">
        <f>B13*B18</f>
        <v>5.666666666666667</v>
      </c>
      <c r="C40" s="35">
        <f t="shared" ref="C40:K40" si="9">C13*C18</f>
        <v>4.7500041161071502</v>
      </c>
      <c r="D40" s="35">
        <f t="shared" si="9"/>
        <v>5.1499963127750057</v>
      </c>
      <c r="E40" s="35">
        <f t="shared" si="9"/>
        <v>5.7500040787691908</v>
      </c>
      <c r="F40" s="35">
        <f t="shared" si="9"/>
        <v>10.149997559427931</v>
      </c>
      <c r="G40" s="35">
        <f t="shared" si="9"/>
        <v>10.749999999999998</v>
      </c>
      <c r="H40" s="35">
        <f t="shared" si="9"/>
        <v>11.500004057354767</v>
      </c>
      <c r="I40" s="35">
        <f t="shared" si="9"/>
        <v>15.500000000000004</v>
      </c>
      <c r="J40" s="35">
        <f t="shared" si="9"/>
        <v>13.749997997549</v>
      </c>
      <c r="K40" s="35">
        <f t="shared" si="9"/>
        <v>14.349997203154841</v>
      </c>
    </row>
    <row r="41" spans="1:11" x14ac:dyDescent="0.35">
      <c r="A41" t="s">
        <v>112</v>
      </c>
      <c r="C41" s="33">
        <f>C40/B40-1</f>
        <v>-0.16176397951050292</v>
      </c>
      <c r="D41" s="33">
        <f t="shared" ref="D41:K41" si="10">D40/C40-1</f>
        <v>8.4208810537972356E-2</v>
      </c>
      <c r="E41" s="33">
        <f t="shared" si="10"/>
        <v>0.11650644574362401</v>
      </c>
      <c r="F41" s="33">
        <f t="shared" si="10"/>
        <v>0.76521571469921024</v>
      </c>
      <c r="G41" s="33">
        <f t="shared" si="10"/>
        <v>5.9113555156941722E-2</v>
      </c>
      <c r="H41" s="33">
        <f t="shared" si="10"/>
        <v>6.9767819288815591E-2</v>
      </c>
      <c r="I41" s="33">
        <f t="shared" si="10"/>
        <v>0.34782561142550739</v>
      </c>
      <c r="J41" s="33">
        <f t="shared" si="10"/>
        <v>-0.1129033549968389</v>
      </c>
      <c r="K41" s="33">
        <f t="shared" si="10"/>
        <v>4.3636312217121276E-2</v>
      </c>
    </row>
    <row r="44" spans="1:11" x14ac:dyDescent="0.35">
      <c r="A44" t="s">
        <v>79</v>
      </c>
      <c r="E44" s="39">
        <f>'Data Sheet'!E90*'Data Sheet'!E93</f>
        <v>341573.63039999997</v>
      </c>
      <c r="F44" s="39">
        <f>'Data Sheet'!F90*'Data Sheet'!F93</f>
        <v>197842.959</v>
      </c>
      <c r="G44" s="39">
        <f>'Data Sheet'!G90*'Data Sheet'!G93</f>
        <v>252108.84160000001</v>
      </c>
      <c r="H44" s="39">
        <f>'Data Sheet'!H90*'Data Sheet'!H93</f>
        <v>289548.25679999997</v>
      </c>
      <c r="I44" s="39">
        <f>'Data Sheet'!I90*'Data Sheet'!I93</f>
        <v>446774.17200000002</v>
      </c>
      <c r="J44" s="39">
        <f>'Data Sheet'!J90*'Data Sheet'!J93</f>
        <v>501298.15909999999</v>
      </c>
      <c r="K44" s="39">
        <f>'Data Sheet'!K90*'Data Sheet'!K93</f>
        <v>512765.24750000006</v>
      </c>
    </row>
    <row r="45" spans="1:11" x14ac:dyDescent="0.35">
      <c r="A45" t="s">
        <v>119</v>
      </c>
      <c r="E45">
        <f>'Balance Sheet'!E6</f>
        <v>13.44</v>
      </c>
      <c r="F45">
        <f>'Balance Sheet'!F6</f>
        <v>277.45</v>
      </c>
      <c r="G45">
        <f>'Balance Sheet'!G6</f>
        <v>270.83</v>
      </c>
      <c r="H45">
        <f>'Balance Sheet'!H6</f>
        <v>249.44</v>
      </c>
      <c r="I45">
        <f>'Balance Sheet'!I6</f>
        <v>306.04000000000002</v>
      </c>
      <c r="J45">
        <f>'Balance Sheet'!J6</f>
        <v>303.43</v>
      </c>
      <c r="K45">
        <f>'Balance Sheet'!K6</f>
        <v>284.54000000000002</v>
      </c>
    </row>
    <row r="46" spans="1:11" x14ac:dyDescent="0.35">
      <c r="A46" t="s">
        <v>120</v>
      </c>
      <c r="E46">
        <f>'Data Sheet'!E69</f>
        <v>4152.03</v>
      </c>
      <c r="F46">
        <f>'Data Sheet'!F69</f>
        <v>7277.34</v>
      </c>
      <c r="G46">
        <f>'Data Sheet'!G69</f>
        <v>4659.0200000000004</v>
      </c>
      <c r="H46">
        <f>'Data Sheet'!H69</f>
        <v>4654.42</v>
      </c>
      <c r="I46">
        <f>'Data Sheet'!I69</f>
        <v>4880.1899999999996</v>
      </c>
      <c r="J46">
        <f>'Data Sheet'!J69</f>
        <v>7217.68</v>
      </c>
      <c r="K46">
        <f>'Data Sheet'!K69</f>
        <v>4012.36</v>
      </c>
    </row>
    <row r="47" spans="1:11" x14ac:dyDescent="0.35">
      <c r="A47" t="s">
        <v>121</v>
      </c>
      <c r="E47" s="39">
        <f>E44+E45-E46</f>
        <v>337435.04039999994</v>
      </c>
      <c r="F47" s="39">
        <f t="shared" ref="F47:K47" si="11">F44+F45-F46</f>
        <v>190843.06900000002</v>
      </c>
      <c r="G47" s="39">
        <f t="shared" si="11"/>
        <v>247720.65160000001</v>
      </c>
      <c r="H47" s="39">
        <f t="shared" si="11"/>
        <v>285143.27679999999</v>
      </c>
      <c r="I47" s="39">
        <f t="shared" si="11"/>
        <v>442200.022</v>
      </c>
      <c r="J47" s="39">
        <f t="shared" si="11"/>
        <v>494383.90909999999</v>
      </c>
      <c r="K47" s="39">
        <f t="shared" si="11"/>
        <v>509037.42750000005</v>
      </c>
    </row>
    <row r="49" spans="1:11" x14ac:dyDescent="0.35">
      <c r="A49" t="s">
        <v>122</v>
      </c>
      <c r="E49" s="40">
        <f>E47/E6</f>
        <v>18.202942291228695</v>
      </c>
      <c r="F49" s="40">
        <f t="shared" ref="F49:K49" si="12">F47/F6</f>
        <v>9.8659846646477352</v>
      </c>
      <c r="G49" s="40">
        <f t="shared" si="12"/>
        <v>14.516486681926171</v>
      </c>
      <c r="H49" s="40">
        <f t="shared" si="12"/>
        <v>13.826368755500493</v>
      </c>
      <c r="I49" s="40">
        <f t="shared" si="12"/>
        <v>17.203374926957636</v>
      </c>
      <c r="J49" s="40">
        <f t="shared" si="12"/>
        <v>19.628121896033473</v>
      </c>
      <c r="K49" s="40">
        <f t="shared" si="12"/>
        <v>19.700010158884965</v>
      </c>
    </row>
    <row r="50" spans="1:11" x14ac:dyDescent="0.35">
      <c r="A50" t="s">
        <v>123</v>
      </c>
      <c r="E50" s="40">
        <f>E47/E4</f>
        <v>6.9805124579071629</v>
      </c>
      <c r="F50" s="40">
        <f t="shared" ref="F50:K50" si="13">F47/F4</f>
        <v>3.8641821546660409</v>
      </c>
      <c r="G50" s="40">
        <f t="shared" si="13"/>
        <v>5.0291001990561837</v>
      </c>
      <c r="H50" s="40">
        <f t="shared" si="13"/>
        <v>4.7018787973327854</v>
      </c>
      <c r="I50" s="40">
        <f t="shared" si="13"/>
        <v>6.2352801779719771</v>
      </c>
      <c r="J50" s="40">
        <f t="shared" si="13"/>
        <v>7.2776356615165119</v>
      </c>
      <c r="K50" s="40">
        <f t="shared" si="13"/>
        <v>6.7580304789989407</v>
      </c>
    </row>
    <row r="52" spans="1:11" x14ac:dyDescent="0.35">
      <c r="A52" t="s">
        <v>125</v>
      </c>
      <c r="E52" s="40">
        <f>E44/'Balance Sheet'!E26</f>
        <v>5.7755936021908356</v>
      </c>
      <c r="F52" s="40">
        <f>F44/'Balance Sheet'!F26</f>
        <v>3.0309955255796939</v>
      </c>
      <c r="G52" s="40">
        <f>G44/'Balance Sheet'!G26</f>
        <v>4.177629728170289</v>
      </c>
      <c r="H52" s="40">
        <f>H44/'Balance Sheet'!H26</f>
        <v>4.6360677966753006</v>
      </c>
      <c r="I52" s="40">
        <f>I44/'Balance Sheet'!I26</f>
        <v>6.4604510488428497</v>
      </c>
      <c r="J52" s="40">
        <f>J44/'Balance Sheet'!J26</f>
        <v>6.728202170265881</v>
      </c>
      <c r="K52" s="40">
        <f>K44/'Balance Sheet'!K26</f>
        <v>7.3220745594212779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K93"/>
  <sheetViews>
    <sheetView zoomScaleNormal="100" zoomScalePageLayoutView="120" workbookViewId="0">
      <pane xSplit="1" ySplit="1" topLeftCell="E53" activePane="bottomRight" state="frozen"/>
      <selection activeCell="C4" sqref="C4"/>
      <selection pane="topRight" activeCell="C4" sqref="C4"/>
      <selection pane="bottomLeft" activeCell="C4" sqref="C4"/>
      <selection pane="bottomRight" activeCell="E17" sqref="E17"/>
    </sheetView>
  </sheetViews>
  <sheetFormatPr defaultColWidth="8.81640625" defaultRowHeight="14.5" x14ac:dyDescent="0.35"/>
  <cols>
    <col min="1" max="1" width="27.6328125" style="4" bestFit="1" customWidth="1"/>
    <col min="2" max="11" width="13.453125" style="4" bestFit="1" customWidth="1"/>
    <col min="12" max="16384" width="8.81640625" style="4"/>
  </cols>
  <sheetData>
    <row r="1" spans="1:11" s="1" customFormat="1" x14ac:dyDescent="0.35">
      <c r="A1" s="1" t="s">
        <v>0</v>
      </c>
      <c r="B1" s="1" t="s">
        <v>63</v>
      </c>
      <c r="E1" s="76" t="s">
        <v>63</v>
      </c>
      <c r="F1" s="76"/>
      <c r="G1" s="76"/>
      <c r="H1" s="76"/>
      <c r="I1" s="76"/>
      <c r="J1" s="76"/>
      <c r="K1" s="76"/>
    </row>
    <row r="2" spans="1:11" x14ac:dyDescent="0.35">
      <c r="A2" s="1" t="s">
        <v>61</v>
      </c>
      <c r="B2" s="4">
        <v>2.1</v>
      </c>
      <c r="E2" s="77" t="s">
        <v>36</v>
      </c>
      <c r="F2" s="77"/>
      <c r="G2" s="77"/>
      <c r="H2" s="77"/>
      <c r="I2" s="77"/>
      <c r="J2" s="77"/>
      <c r="K2" s="77"/>
    </row>
    <row r="3" spans="1:11" x14ac:dyDescent="0.35">
      <c r="A3" s="1" t="s">
        <v>62</v>
      </c>
      <c r="B3" s="4">
        <v>2.1</v>
      </c>
    </row>
    <row r="4" spans="1:11" x14ac:dyDescent="0.35">
      <c r="A4" s="1"/>
    </row>
    <row r="5" spans="1:11" x14ac:dyDescent="0.35">
      <c r="A5" s="1" t="s">
        <v>64</v>
      </c>
    </row>
    <row r="6" spans="1:11" x14ac:dyDescent="0.35">
      <c r="A6" s="4" t="s">
        <v>42</v>
      </c>
      <c r="B6" s="4">
        <f>IF(B9&gt;0, B9/B8, 0)</f>
        <v>1252.9468478432614</v>
      </c>
    </row>
    <row r="7" spans="1:11" x14ac:dyDescent="0.35">
      <c r="A7" s="4" t="s">
        <v>31</v>
      </c>
      <c r="B7">
        <v>1</v>
      </c>
    </row>
    <row r="8" spans="1:11" x14ac:dyDescent="0.35">
      <c r="A8" s="4" t="s">
        <v>43</v>
      </c>
      <c r="B8">
        <v>316.45</v>
      </c>
    </row>
    <row r="9" spans="1:11" x14ac:dyDescent="0.35">
      <c r="A9" s="4" t="s">
        <v>79</v>
      </c>
      <c r="B9">
        <v>396495.03</v>
      </c>
    </row>
    <row r="15" spans="1:11" x14ac:dyDescent="0.35">
      <c r="A15" s="1" t="s">
        <v>37</v>
      </c>
    </row>
    <row r="16" spans="1:11" s="18" customFormat="1" x14ac:dyDescent="0.35">
      <c r="A16" s="17" t="s">
        <v>38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35">
      <c r="A17" s="6" t="s">
        <v>6</v>
      </c>
      <c r="B17">
        <v>39192.1</v>
      </c>
      <c r="C17">
        <v>42767.6</v>
      </c>
      <c r="D17">
        <v>43448.94</v>
      </c>
      <c r="E17">
        <v>48339.58</v>
      </c>
      <c r="F17">
        <v>49387.7</v>
      </c>
      <c r="G17">
        <v>49257.45</v>
      </c>
      <c r="H17">
        <v>60644.54</v>
      </c>
      <c r="I17">
        <v>70919.03</v>
      </c>
      <c r="J17">
        <v>67931.94</v>
      </c>
      <c r="K17">
        <v>75323.34</v>
      </c>
    </row>
    <row r="18" spans="1:11" s="6" customFormat="1" x14ac:dyDescent="0.35">
      <c r="A18" s="4" t="s">
        <v>80</v>
      </c>
      <c r="B18">
        <v>13763.88</v>
      </c>
      <c r="C18">
        <v>15456.59</v>
      </c>
      <c r="D18">
        <v>14827.72</v>
      </c>
      <c r="E18">
        <v>17623.52</v>
      </c>
      <c r="F18">
        <v>18048.599999999999</v>
      </c>
      <c r="G18">
        <v>20776.71</v>
      </c>
      <c r="H18">
        <v>27071.07</v>
      </c>
      <c r="I18">
        <v>29364.36</v>
      </c>
      <c r="J18">
        <v>27348.57</v>
      </c>
      <c r="K18">
        <v>32704.37</v>
      </c>
    </row>
    <row r="19" spans="1:11" s="6" customFormat="1" x14ac:dyDescent="0.35">
      <c r="A19" s="4" t="s">
        <v>81</v>
      </c>
      <c r="B19">
        <v>195.38</v>
      </c>
      <c r="C19">
        <v>-592.57000000000005</v>
      </c>
      <c r="D19">
        <v>-1027.76</v>
      </c>
      <c r="E19">
        <v>203.19</v>
      </c>
      <c r="F19">
        <v>703.13</v>
      </c>
      <c r="G19">
        <v>645.27</v>
      </c>
      <c r="H19">
        <v>686</v>
      </c>
      <c r="I19">
        <v>358.59</v>
      </c>
      <c r="J19">
        <v>367.77</v>
      </c>
      <c r="K19">
        <v>725.65</v>
      </c>
    </row>
    <row r="20" spans="1:11" s="6" customFormat="1" x14ac:dyDescent="0.35">
      <c r="A20" s="4" t="s">
        <v>82</v>
      </c>
      <c r="B20">
        <v>571.88</v>
      </c>
      <c r="C20">
        <v>584.33000000000004</v>
      </c>
      <c r="D20">
        <v>653.5</v>
      </c>
      <c r="E20">
        <v>746.73</v>
      </c>
      <c r="F20">
        <v>780.85</v>
      </c>
      <c r="G20">
        <v>699.56</v>
      </c>
      <c r="H20">
        <v>889.77</v>
      </c>
      <c r="I20">
        <v>1232.3399999999999</v>
      </c>
      <c r="J20">
        <v>952.9</v>
      </c>
      <c r="K20">
        <v>975.35</v>
      </c>
    </row>
    <row r="21" spans="1:11" s="6" customFormat="1" x14ac:dyDescent="0.35">
      <c r="A21" s="4" t="s">
        <v>83</v>
      </c>
      <c r="B21">
        <v>1581.59</v>
      </c>
      <c r="C21">
        <v>1683.9</v>
      </c>
      <c r="D21">
        <v>1697.62</v>
      </c>
      <c r="E21">
        <v>1871.01</v>
      </c>
      <c r="F21">
        <v>1908.29</v>
      </c>
      <c r="G21">
        <v>1587.18</v>
      </c>
      <c r="H21">
        <v>1887.67</v>
      </c>
      <c r="I21">
        <v>2327.8000000000002</v>
      </c>
      <c r="J21">
        <v>2183.7600000000002</v>
      </c>
      <c r="K21">
        <v>2345.36</v>
      </c>
    </row>
    <row r="22" spans="1:11" s="6" customFormat="1" x14ac:dyDescent="0.35">
      <c r="A22" s="4" t="s">
        <v>84</v>
      </c>
      <c r="B22">
        <v>3440.97</v>
      </c>
      <c r="C22">
        <v>3631.73</v>
      </c>
      <c r="D22">
        <v>3760.9</v>
      </c>
      <c r="E22">
        <v>4177.88</v>
      </c>
      <c r="F22">
        <v>4295.79</v>
      </c>
      <c r="G22">
        <v>4463.33</v>
      </c>
      <c r="H22">
        <v>4890.55</v>
      </c>
      <c r="I22">
        <v>5736.22</v>
      </c>
      <c r="J22">
        <v>5548.53</v>
      </c>
      <c r="K22">
        <v>6169.78</v>
      </c>
    </row>
    <row r="23" spans="1:11" s="6" customFormat="1" x14ac:dyDescent="0.35">
      <c r="A23" s="4" t="s">
        <v>85</v>
      </c>
      <c r="B23">
        <v>4261.78</v>
      </c>
      <c r="C23">
        <v>4179.74</v>
      </c>
      <c r="D23">
        <v>3954.87</v>
      </c>
      <c r="E23">
        <v>4546.3900000000003</v>
      </c>
      <c r="F23">
        <v>4488.63</v>
      </c>
      <c r="G23">
        <v>4236.7700000000004</v>
      </c>
      <c r="H23">
        <v>4858.38</v>
      </c>
      <c r="I23">
        <v>5604.08</v>
      </c>
      <c r="J23">
        <v>5312.45</v>
      </c>
      <c r="K23">
        <v>5793.29</v>
      </c>
    </row>
    <row r="24" spans="1:11" s="6" customFormat="1" x14ac:dyDescent="0.35">
      <c r="A24" s="4" t="s">
        <v>86</v>
      </c>
      <c r="B24">
        <v>1235.8900000000001</v>
      </c>
      <c r="C24">
        <v>1169.23</v>
      </c>
      <c r="D24">
        <v>1005.98</v>
      </c>
      <c r="E24">
        <v>1039.8499999999999</v>
      </c>
      <c r="F24">
        <v>1225.1300000000001</v>
      </c>
      <c r="G24">
        <v>1074.3900000000001</v>
      </c>
      <c r="H24">
        <v>1109.95</v>
      </c>
      <c r="I24">
        <v>1308.56</v>
      </c>
      <c r="J24">
        <v>1765.97</v>
      </c>
      <c r="K24">
        <v>2221.39</v>
      </c>
    </row>
    <row r="25" spans="1:11" s="6" customFormat="1" x14ac:dyDescent="0.35">
      <c r="A25" s="6" t="s">
        <v>9</v>
      </c>
      <c r="B25">
        <v>1483.11</v>
      </c>
      <c r="C25">
        <v>1758.63</v>
      </c>
      <c r="D25">
        <v>2239.81</v>
      </c>
      <c r="E25">
        <v>2080.44</v>
      </c>
      <c r="F25">
        <v>2417.3200000000002</v>
      </c>
      <c r="G25">
        <v>2576.9499999999998</v>
      </c>
      <c r="H25">
        <v>1909.72</v>
      </c>
      <c r="I25">
        <v>2097.64</v>
      </c>
      <c r="J25">
        <v>3330.45</v>
      </c>
      <c r="K25">
        <v>17794.88</v>
      </c>
    </row>
    <row r="26" spans="1:11" s="6" customFormat="1" x14ac:dyDescent="0.35">
      <c r="A26" s="6" t="s">
        <v>10</v>
      </c>
      <c r="B26">
        <v>1077.4000000000001</v>
      </c>
      <c r="C26">
        <v>1152.79</v>
      </c>
      <c r="D26">
        <v>1236.28</v>
      </c>
      <c r="E26">
        <v>1396.61</v>
      </c>
      <c r="F26">
        <v>1644.91</v>
      </c>
      <c r="G26">
        <v>1645.59</v>
      </c>
      <c r="H26">
        <v>1732.41</v>
      </c>
      <c r="I26">
        <v>1809.01</v>
      </c>
      <c r="J26">
        <v>1518.05</v>
      </c>
      <c r="K26">
        <v>1646.32</v>
      </c>
    </row>
    <row r="27" spans="1:11" s="6" customFormat="1" x14ac:dyDescent="0.35">
      <c r="A27" s="6" t="s">
        <v>11</v>
      </c>
      <c r="B27">
        <v>78.13</v>
      </c>
      <c r="C27">
        <v>49.03</v>
      </c>
      <c r="D27">
        <v>115.01</v>
      </c>
      <c r="E27">
        <v>71.400000000000006</v>
      </c>
      <c r="F27">
        <v>81.38</v>
      </c>
      <c r="G27">
        <v>57.97</v>
      </c>
      <c r="H27">
        <v>59.99</v>
      </c>
      <c r="I27">
        <v>77.77</v>
      </c>
      <c r="J27">
        <v>39.11</v>
      </c>
      <c r="K27">
        <v>45.06</v>
      </c>
    </row>
    <row r="28" spans="1:11" s="6" customFormat="1" x14ac:dyDescent="0.35">
      <c r="A28" s="6" t="s">
        <v>12</v>
      </c>
      <c r="B28">
        <v>14859.07</v>
      </c>
      <c r="C28">
        <v>16026.32</v>
      </c>
      <c r="D28">
        <v>17409.11</v>
      </c>
      <c r="E28">
        <v>19149.82</v>
      </c>
      <c r="F28">
        <v>20034.57</v>
      </c>
      <c r="G28">
        <v>17938.169999999998</v>
      </c>
      <c r="H28">
        <v>20740.47</v>
      </c>
      <c r="I28">
        <v>25915.119999999999</v>
      </c>
      <c r="J28">
        <v>26960.82</v>
      </c>
      <c r="K28">
        <v>41942.949999999997</v>
      </c>
    </row>
    <row r="29" spans="1:11" s="6" customFormat="1" x14ac:dyDescent="0.35">
      <c r="A29" s="6" t="s">
        <v>13</v>
      </c>
      <c r="B29">
        <v>5358.21</v>
      </c>
      <c r="C29">
        <v>5549.09</v>
      </c>
      <c r="D29">
        <v>5916.43</v>
      </c>
      <c r="E29">
        <v>6313.92</v>
      </c>
      <c r="F29">
        <v>4441.79</v>
      </c>
      <c r="G29">
        <v>4555.29</v>
      </c>
      <c r="H29">
        <v>5237.34</v>
      </c>
      <c r="I29">
        <v>6438.4</v>
      </c>
      <c r="J29">
        <v>6209.46</v>
      </c>
      <c r="K29">
        <v>6890.47</v>
      </c>
    </row>
    <row r="30" spans="1:11" s="6" customFormat="1" x14ac:dyDescent="0.35">
      <c r="A30" s="6" t="s">
        <v>14</v>
      </c>
      <c r="B30">
        <v>9344.4500000000007</v>
      </c>
      <c r="C30">
        <v>10289.44</v>
      </c>
      <c r="D30">
        <v>11271.2</v>
      </c>
      <c r="E30">
        <v>12592.33</v>
      </c>
      <c r="F30">
        <v>15306.23</v>
      </c>
      <c r="G30">
        <v>13161.19</v>
      </c>
      <c r="H30">
        <v>15242.66</v>
      </c>
      <c r="I30">
        <v>19191.66</v>
      </c>
      <c r="J30">
        <v>20458.78</v>
      </c>
      <c r="K30">
        <v>34746.629999999997</v>
      </c>
    </row>
    <row r="31" spans="1:11" s="6" customFormat="1" x14ac:dyDescent="0.35">
      <c r="A31" s="6" t="s">
        <v>70</v>
      </c>
      <c r="B31">
        <v>6840.12</v>
      </c>
      <c r="C31">
        <v>5770.02</v>
      </c>
      <c r="D31">
        <v>6285.21</v>
      </c>
      <c r="E31">
        <v>7048.7</v>
      </c>
      <c r="F31">
        <v>12476.58</v>
      </c>
      <c r="G31">
        <v>13231.96</v>
      </c>
      <c r="H31">
        <v>14171.8</v>
      </c>
      <c r="I31">
        <v>19263.400000000001</v>
      </c>
      <c r="J31">
        <v>17166.46</v>
      </c>
      <c r="K31">
        <v>17957.73</v>
      </c>
    </row>
    <row r="32" spans="1:11" s="6" customFormat="1" x14ac:dyDescent="0.35"/>
    <row r="33" spans="1:11" x14ac:dyDescent="0.35">
      <c r="A33" s="6"/>
    </row>
    <row r="34" spans="1:11" x14ac:dyDescent="0.35">
      <c r="A34" s="6"/>
    </row>
    <row r="35" spans="1:11" x14ac:dyDescent="0.35">
      <c r="A35" s="6"/>
    </row>
    <row r="36" spans="1:11" x14ac:dyDescent="0.35">
      <c r="A36" s="6"/>
    </row>
    <row r="37" spans="1:11" x14ac:dyDescent="0.35">
      <c r="A37" s="6"/>
    </row>
    <row r="38" spans="1:11" x14ac:dyDescent="0.35">
      <c r="A38" s="6"/>
    </row>
    <row r="39" spans="1:11" x14ac:dyDescent="0.35">
      <c r="A39" s="6"/>
    </row>
    <row r="40" spans="1:11" x14ac:dyDescent="0.35">
      <c r="A40" s="1" t="s">
        <v>39</v>
      </c>
    </row>
    <row r="41" spans="1:11" s="18" customFormat="1" x14ac:dyDescent="0.35">
      <c r="A41" s="17" t="s">
        <v>38</v>
      </c>
      <c r="B41" s="12">
        <v>45199</v>
      </c>
      <c r="C41" s="12">
        <v>45291</v>
      </c>
      <c r="D41" s="12">
        <v>45382</v>
      </c>
      <c r="E41" s="12">
        <v>45473</v>
      </c>
      <c r="F41" s="12">
        <v>45565</v>
      </c>
      <c r="G41" s="12">
        <v>45657</v>
      </c>
      <c r="H41" s="12">
        <v>45747</v>
      </c>
      <c r="I41" s="12">
        <v>45838</v>
      </c>
      <c r="J41" s="12">
        <v>45930</v>
      </c>
      <c r="K41" s="12">
        <v>46022</v>
      </c>
    </row>
    <row r="42" spans="1:11" s="6" customFormat="1" x14ac:dyDescent="0.35">
      <c r="A42" s="6" t="s">
        <v>6</v>
      </c>
      <c r="B42">
        <v>17774.47</v>
      </c>
      <c r="C42">
        <v>17195.240000000002</v>
      </c>
      <c r="D42">
        <v>17037.8</v>
      </c>
      <c r="E42">
        <v>17777.810000000001</v>
      </c>
      <c r="F42">
        <v>19990.36</v>
      </c>
      <c r="G42">
        <v>18790.169999999998</v>
      </c>
      <c r="H42">
        <v>18765</v>
      </c>
      <c r="I42">
        <v>21494.79</v>
      </c>
      <c r="J42">
        <v>19501.63</v>
      </c>
      <c r="K42">
        <v>20047.3</v>
      </c>
    </row>
    <row r="43" spans="1:11" s="6" customFormat="1" x14ac:dyDescent="0.35">
      <c r="A43" s="6" t="s">
        <v>7</v>
      </c>
      <c r="B43">
        <v>11320.23</v>
      </c>
      <c r="C43">
        <v>10985.01</v>
      </c>
      <c r="D43">
        <v>10735.73</v>
      </c>
      <c r="E43">
        <v>11232.97</v>
      </c>
      <c r="F43">
        <v>13438.28</v>
      </c>
      <c r="G43">
        <v>12428.27</v>
      </c>
      <c r="H43">
        <v>12245.61</v>
      </c>
      <c r="I43">
        <v>14678.32</v>
      </c>
      <c r="J43">
        <v>12806.94</v>
      </c>
      <c r="K43">
        <v>13164.78</v>
      </c>
    </row>
    <row r="44" spans="1:11" s="6" customFormat="1" x14ac:dyDescent="0.35">
      <c r="A44" s="6" t="s">
        <v>9</v>
      </c>
      <c r="B44">
        <v>673.5</v>
      </c>
      <c r="C44">
        <v>820.26</v>
      </c>
      <c r="D44">
        <v>868</v>
      </c>
      <c r="E44">
        <v>771.13</v>
      </c>
      <c r="F44">
        <v>690.31</v>
      </c>
      <c r="G44">
        <v>803.4</v>
      </c>
      <c r="H44">
        <v>15391.28</v>
      </c>
      <c r="I44">
        <v>750.97</v>
      </c>
      <c r="J44">
        <v>738.84</v>
      </c>
      <c r="K44">
        <v>321.85000000000002</v>
      </c>
    </row>
    <row r="45" spans="1:11" s="6" customFormat="1" x14ac:dyDescent="0.35">
      <c r="A45" s="6" t="s">
        <v>10</v>
      </c>
      <c r="B45">
        <v>453.04</v>
      </c>
      <c r="C45">
        <v>384.04</v>
      </c>
      <c r="D45">
        <v>385.09</v>
      </c>
      <c r="E45">
        <v>403.13</v>
      </c>
      <c r="F45">
        <v>416.18</v>
      </c>
      <c r="G45">
        <v>415.98</v>
      </c>
      <c r="H45">
        <v>411.03</v>
      </c>
      <c r="I45">
        <v>422.96</v>
      </c>
      <c r="J45">
        <v>434.8</v>
      </c>
      <c r="K45">
        <v>430.82</v>
      </c>
    </row>
    <row r="46" spans="1:11" s="6" customFormat="1" x14ac:dyDescent="0.35">
      <c r="A46" s="6" t="s">
        <v>11</v>
      </c>
      <c r="B46">
        <v>9.8699999999999992</v>
      </c>
      <c r="C46">
        <v>11.94</v>
      </c>
      <c r="D46">
        <v>10.72</v>
      </c>
      <c r="E46">
        <v>9.6</v>
      </c>
      <c r="F46">
        <v>14.73</v>
      </c>
      <c r="G46">
        <v>9.82</v>
      </c>
      <c r="H46">
        <v>10.91</v>
      </c>
      <c r="I46">
        <v>16.47</v>
      </c>
      <c r="J46">
        <v>20.05</v>
      </c>
      <c r="K46">
        <v>19.47</v>
      </c>
    </row>
    <row r="47" spans="1:11" s="6" customFormat="1" x14ac:dyDescent="0.35">
      <c r="A47" s="6" t="s">
        <v>12</v>
      </c>
      <c r="B47">
        <v>6664.83</v>
      </c>
      <c r="C47">
        <v>6634.51</v>
      </c>
      <c r="D47">
        <v>6774.26</v>
      </c>
      <c r="E47">
        <v>6903.24</v>
      </c>
      <c r="F47">
        <v>6811.48</v>
      </c>
      <c r="G47">
        <v>6739.5</v>
      </c>
      <c r="H47">
        <v>21488.73</v>
      </c>
      <c r="I47">
        <v>7128.01</v>
      </c>
      <c r="J47">
        <v>6978.68</v>
      </c>
      <c r="K47">
        <v>6754.08</v>
      </c>
    </row>
    <row r="48" spans="1:11" s="6" customFormat="1" x14ac:dyDescent="0.35">
      <c r="A48" s="6" t="s">
        <v>13</v>
      </c>
      <c r="B48">
        <v>1700.31</v>
      </c>
      <c r="C48">
        <v>1227.99</v>
      </c>
      <c r="D48">
        <v>1583.55</v>
      </c>
      <c r="E48">
        <v>1726.25</v>
      </c>
      <c r="F48">
        <v>1757.05</v>
      </c>
      <c r="G48">
        <v>1726.32</v>
      </c>
      <c r="H48">
        <v>1680.85</v>
      </c>
      <c r="I48">
        <v>1784.6</v>
      </c>
      <c r="J48">
        <v>1792.13</v>
      </c>
      <c r="K48">
        <v>1735.63</v>
      </c>
    </row>
    <row r="49" spans="1:11" s="6" customFormat="1" x14ac:dyDescent="0.35">
      <c r="A49" s="6" t="s">
        <v>14</v>
      </c>
      <c r="B49">
        <v>4898.07</v>
      </c>
      <c r="C49">
        <v>5335.23</v>
      </c>
      <c r="D49">
        <v>5120.55</v>
      </c>
      <c r="E49">
        <v>5091.59</v>
      </c>
      <c r="F49">
        <v>4992.87</v>
      </c>
      <c r="G49">
        <v>4934.8</v>
      </c>
      <c r="H49">
        <v>19727.37</v>
      </c>
      <c r="I49">
        <v>5244.2</v>
      </c>
      <c r="J49">
        <v>5126.1099999999997</v>
      </c>
      <c r="K49">
        <v>4931.1899999999996</v>
      </c>
    </row>
    <row r="50" spans="1:11" x14ac:dyDescent="0.35">
      <c r="A50" s="6" t="s">
        <v>8</v>
      </c>
      <c r="B50">
        <v>6454.24</v>
      </c>
      <c r="C50">
        <v>6210.23</v>
      </c>
      <c r="D50">
        <v>6302.07</v>
      </c>
      <c r="E50">
        <v>6544.84</v>
      </c>
      <c r="F50">
        <v>6552.08</v>
      </c>
      <c r="G50">
        <v>6361.9</v>
      </c>
      <c r="H50">
        <v>6519.39</v>
      </c>
      <c r="I50">
        <v>6816.47</v>
      </c>
      <c r="J50">
        <v>6694.69</v>
      </c>
      <c r="K50">
        <v>6882.52</v>
      </c>
    </row>
    <row r="51" spans="1:11" x14ac:dyDescent="0.35">
      <c r="A51" s="6"/>
    </row>
    <row r="52" spans="1:11" x14ac:dyDescent="0.35">
      <c r="A52" s="6"/>
    </row>
    <row r="53" spans="1:11" x14ac:dyDescent="0.35">
      <c r="A53" s="6"/>
    </row>
    <row r="54" spans="1:11" x14ac:dyDescent="0.35">
      <c r="A54" s="6"/>
    </row>
    <row r="55" spans="1:11" x14ac:dyDescent="0.35">
      <c r="A55" s="1" t="s">
        <v>40</v>
      </c>
    </row>
    <row r="56" spans="1:11" s="18" customFormat="1" x14ac:dyDescent="0.35">
      <c r="A56" s="17" t="s">
        <v>38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5">
      <c r="A57" s="6" t="s">
        <v>24</v>
      </c>
      <c r="B57">
        <v>804.72</v>
      </c>
      <c r="C57">
        <v>1214.74</v>
      </c>
      <c r="D57">
        <v>1220.43</v>
      </c>
      <c r="E57">
        <v>1225.8599999999999</v>
      </c>
      <c r="F57">
        <v>1229.22</v>
      </c>
      <c r="G57">
        <v>1230.8800000000001</v>
      </c>
      <c r="H57">
        <v>1232.33</v>
      </c>
      <c r="I57">
        <v>1242.8</v>
      </c>
      <c r="J57">
        <v>1248.47</v>
      </c>
      <c r="K57">
        <v>1251.4100000000001</v>
      </c>
    </row>
    <row r="58" spans="1:11" x14ac:dyDescent="0.35">
      <c r="A58" s="6" t="s">
        <v>25</v>
      </c>
      <c r="B58">
        <v>41874.800000000003</v>
      </c>
      <c r="C58">
        <v>45198.19</v>
      </c>
      <c r="D58">
        <v>51289.68</v>
      </c>
      <c r="E58">
        <v>57915.01</v>
      </c>
      <c r="F58">
        <v>64044.04</v>
      </c>
      <c r="G58">
        <v>59116.46</v>
      </c>
      <c r="H58">
        <v>61223.24</v>
      </c>
      <c r="I58">
        <v>67912.460000000006</v>
      </c>
      <c r="J58">
        <v>73258.53</v>
      </c>
      <c r="K58">
        <v>68778.64</v>
      </c>
    </row>
    <row r="59" spans="1:11" x14ac:dyDescent="0.35">
      <c r="A59" s="6" t="s">
        <v>71</v>
      </c>
      <c r="B59">
        <v>83.78</v>
      </c>
      <c r="C59">
        <v>45.72</v>
      </c>
      <c r="D59">
        <v>35.92</v>
      </c>
      <c r="E59">
        <v>13.44</v>
      </c>
      <c r="F59">
        <v>277.45</v>
      </c>
      <c r="G59">
        <v>270.83</v>
      </c>
      <c r="H59">
        <v>249.44</v>
      </c>
      <c r="I59">
        <v>306.04000000000002</v>
      </c>
      <c r="J59">
        <v>303.43</v>
      </c>
      <c r="K59">
        <v>284.54000000000002</v>
      </c>
    </row>
    <row r="60" spans="1:11" x14ac:dyDescent="0.35">
      <c r="A60" s="6" t="s">
        <v>72</v>
      </c>
      <c r="B60">
        <v>8888.0400000000009</v>
      </c>
      <c r="C60">
        <v>9439.67</v>
      </c>
      <c r="D60">
        <v>11694.85</v>
      </c>
      <c r="E60">
        <v>12584.73</v>
      </c>
      <c r="F60">
        <v>11760.04</v>
      </c>
      <c r="G60">
        <v>13142.59</v>
      </c>
      <c r="H60">
        <v>14491.01</v>
      </c>
      <c r="I60">
        <v>16369.66</v>
      </c>
      <c r="J60">
        <v>16943.54</v>
      </c>
      <c r="K60">
        <v>17688.11</v>
      </c>
    </row>
    <row r="61" spans="1:11" s="1" customFormat="1" x14ac:dyDescent="0.35">
      <c r="A61" s="1" t="s">
        <v>26</v>
      </c>
      <c r="B61">
        <v>51651.34</v>
      </c>
      <c r="C61">
        <v>55898.32</v>
      </c>
      <c r="D61">
        <v>64240.88</v>
      </c>
      <c r="E61">
        <v>71739.039999999994</v>
      </c>
      <c r="F61">
        <v>77310.75</v>
      </c>
      <c r="G61">
        <v>73760.759999999995</v>
      </c>
      <c r="H61">
        <v>77196.02</v>
      </c>
      <c r="I61">
        <v>85830.96</v>
      </c>
      <c r="J61">
        <v>91753.97</v>
      </c>
      <c r="K61">
        <v>88002.7</v>
      </c>
    </row>
    <row r="62" spans="1:11" x14ac:dyDescent="0.35">
      <c r="A62" s="6" t="s">
        <v>27</v>
      </c>
      <c r="B62">
        <v>15106.63</v>
      </c>
      <c r="C62">
        <v>15893.48</v>
      </c>
      <c r="D62">
        <v>16523.96</v>
      </c>
      <c r="E62">
        <v>19374.189999999999</v>
      </c>
      <c r="F62">
        <v>21713.34</v>
      </c>
      <c r="G62">
        <v>23298.48</v>
      </c>
      <c r="H62">
        <v>24231.59</v>
      </c>
      <c r="I62">
        <v>25851.27</v>
      </c>
      <c r="J62">
        <v>27820.22</v>
      </c>
      <c r="K62">
        <v>21954.85</v>
      </c>
    </row>
    <row r="63" spans="1:11" x14ac:dyDescent="0.35">
      <c r="A63" s="6" t="s">
        <v>28</v>
      </c>
      <c r="B63">
        <v>2559.7199999999998</v>
      </c>
      <c r="C63">
        <v>3729.89</v>
      </c>
      <c r="D63">
        <v>5508.33</v>
      </c>
      <c r="E63">
        <v>4136.42</v>
      </c>
      <c r="F63">
        <v>3256.46</v>
      </c>
      <c r="G63">
        <v>4011.29</v>
      </c>
      <c r="H63">
        <v>3225.54</v>
      </c>
      <c r="I63">
        <v>3003.3</v>
      </c>
      <c r="J63">
        <v>2860.78</v>
      </c>
      <c r="K63">
        <v>1090.9100000000001</v>
      </c>
    </row>
    <row r="64" spans="1:11" x14ac:dyDescent="0.35">
      <c r="A64" s="6" t="s">
        <v>29</v>
      </c>
      <c r="B64">
        <v>11747.59</v>
      </c>
      <c r="C64">
        <v>17581.38</v>
      </c>
      <c r="D64">
        <v>22052.86</v>
      </c>
      <c r="E64">
        <v>25043.49</v>
      </c>
      <c r="F64">
        <v>28663.35</v>
      </c>
      <c r="G64">
        <v>24870.87</v>
      </c>
      <c r="H64">
        <v>24841.01</v>
      </c>
      <c r="I64">
        <v>29415.02</v>
      </c>
      <c r="J64">
        <v>31114.02</v>
      </c>
      <c r="K64">
        <v>34719.82</v>
      </c>
    </row>
    <row r="65" spans="1:11" x14ac:dyDescent="0.35">
      <c r="A65" s="6" t="s">
        <v>73</v>
      </c>
      <c r="B65">
        <v>22237.4</v>
      </c>
      <c r="C65">
        <v>18693.57</v>
      </c>
      <c r="D65">
        <v>20155.73</v>
      </c>
      <c r="E65">
        <v>23184.94</v>
      </c>
      <c r="F65">
        <v>23677.599999999999</v>
      </c>
      <c r="G65">
        <v>21580.12</v>
      </c>
      <c r="H65">
        <v>24897.88</v>
      </c>
      <c r="I65">
        <v>27561.37</v>
      </c>
      <c r="J65">
        <v>29958.95</v>
      </c>
      <c r="K65">
        <v>30237.119999999999</v>
      </c>
    </row>
    <row r="66" spans="1:11" s="1" customFormat="1" x14ac:dyDescent="0.35">
      <c r="A66" s="1" t="s">
        <v>26</v>
      </c>
      <c r="B66">
        <v>51651.34</v>
      </c>
      <c r="C66">
        <v>55898.32</v>
      </c>
      <c r="D66">
        <v>64240.88</v>
      </c>
      <c r="E66">
        <v>71739.039999999994</v>
      </c>
      <c r="F66">
        <v>77310.75</v>
      </c>
      <c r="G66">
        <v>73760.759999999995</v>
      </c>
      <c r="H66">
        <v>77196.02</v>
      </c>
      <c r="I66">
        <v>85830.96</v>
      </c>
      <c r="J66">
        <v>91753.97</v>
      </c>
      <c r="K66">
        <v>88002.7</v>
      </c>
    </row>
    <row r="67" spans="1:11" s="6" customFormat="1" x14ac:dyDescent="0.35">
      <c r="A67" s="6" t="s">
        <v>78</v>
      </c>
      <c r="B67">
        <v>1917.18</v>
      </c>
      <c r="C67">
        <v>2474.29</v>
      </c>
      <c r="D67">
        <v>2682.29</v>
      </c>
      <c r="E67">
        <v>4035.28</v>
      </c>
      <c r="F67">
        <v>2562.48</v>
      </c>
      <c r="G67">
        <v>2501.6999999999998</v>
      </c>
      <c r="H67">
        <v>2461.9</v>
      </c>
      <c r="I67">
        <v>2956.17</v>
      </c>
      <c r="J67">
        <v>4025.82</v>
      </c>
      <c r="K67">
        <v>4719.67</v>
      </c>
    </row>
    <row r="68" spans="1:11" x14ac:dyDescent="0.35">
      <c r="A68" s="6" t="s">
        <v>45</v>
      </c>
      <c r="B68">
        <v>9062.1</v>
      </c>
      <c r="C68">
        <v>8116.1</v>
      </c>
      <c r="D68">
        <v>7495.09</v>
      </c>
      <c r="E68">
        <v>7859.56</v>
      </c>
      <c r="F68">
        <v>8879.33</v>
      </c>
      <c r="G68">
        <v>10397.16</v>
      </c>
      <c r="H68">
        <v>10864.15</v>
      </c>
      <c r="I68">
        <v>11771.16</v>
      </c>
      <c r="J68">
        <v>14152.88</v>
      </c>
      <c r="K68">
        <v>15637.56</v>
      </c>
    </row>
    <row r="69" spans="1:11" x14ac:dyDescent="0.35">
      <c r="A69" s="4" t="s">
        <v>87</v>
      </c>
      <c r="B69">
        <v>6063.3</v>
      </c>
      <c r="C69">
        <v>2967.4</v>
      </c>
      <c r="D69">
        <v>2899.6</v>
      </c>
      <c r="E69">
        <v>4152.03</v>
      </c>
      <c r="F69">
        <v>7277.34</v>
      </c>
      <c r="G69">
        <v>4659.0200000000004</v>
      </c>
      <c r="H69">
        <v>4654.42</v>
      </c>
      <c r="I69">
        <v>4880.1899999999996</v>
      </c>
      <c r="J69">
        <v>7217.68</v>
      </c>
      <c r="K69">
        <v>4012.36</v>
      </c>
    </row>
    <row r="70" spans="1:11" x14ac:dyDescent="0.35">
      <c r="A70" s="4" t="s">
        <v>74</v>
      </c>
      <c r="B70">
        <v>8047206991</v>
      </c>
      <c r="C70">
        <v>12147383071</v>
      </c>
      <c r="D70">
        <v>12204294911</v>
      </c>
      <c r="E70">
        <v>12258631601</v>
      </c>
      <c r="F70">
        <v>12292231241</v>
      </c>
      <c r="G70">
        <v>12308844231</v>
      </c>
      <c r="H70">
        <v>12323255931</v>
      </c>
      <c r="I70">
        <v>12428017741</v>
      </c>
      <c r="J70">
        <v>12484700000</v>
      </c>
      <c r="K70">
        <v>12514119781</v>
      </c>
    </row>
    <row r="71" spans="1:11" x14ac:dyDescent="0.35">
      <c r="A71" s="4" t="s">
        <v>75</v>
      </c>
      <c r="C71">
        <v>4026657100</v>
      </c>
    </row>
    <row r="72" spans="1:11" x14ac:dyDescent="0.35">
      <c r="A72" s="4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5">
      <c r="A74" s="6"/>
    </row>
    <row r="75" spans="1:11" x14ac:dyDescent="0.35">
      <c r="A75" s="6"/>
    </row>
    <row r="76" spans="1:11" x14ac:dyDescent="0.35">
      <c r="A76" s="6"/>
    </row>
    <row r="77" spans="1:11" x14ac:dyDescent="0.35">
      <c r="A77" s="6"/>
    </row>
    <row r="78" spans="1:11" x14ac:dyDescent="0.35">
      <c r="A78" s="6"/>
    </row>
    <row r="79" spans="1:11" x14ac:dyDescent="0.35">
      <c r="A79" s="6"/>
    </row>
    <row r="80" spans="1:11" x14ac:dyDescent="0.35">
      <c r="A80" s="1" t="s">
        <v>41</v>
      </c>
    </row>
    <row r="81" spans="1:11" s="18" customFormat="1" x14ac:dyDescent="0.35">
      <c r="A81" s="17" t="s">
        <v>38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5">
      <c r="A82" s="6" t="s">
        <v>32</v>
      </c>
      <c r="B82">
        <v>9799.0400000000009</v>
      </c>
      <c r="C82">
        <v>10627.31</v>
      </c>
      <c r="D82">
        <v>13169.4</v>
      </c>
      <c r="E82">
        <v>12583.41</v>
      </c>
      <c r="F82">
        <v>14689.66</v>
      </c>
      <c r="G82">
        <v>12526.97</v>
      </c>
      <c r="H82">
        <v>15775.51</v>
      </c>
      <c r="I82">
        <v>18877.55</v>
      </c>
      <c r="J82">
        <v>17178.86</v>
      </c>
      <c r="K82">
        <v>17627.04</v>
      </c>
    </row>
    <row r="83" spans="1:11" s="6" customFormat="1" x14ac:dyDescent="0.35">
      <c r="A83" s="6" t="s">
        <v>33</v>
      </c>
      <c r="B83">
        <v>-3920.73</v>
      </c>
      <c r="C83">
        <v>-3250.93</v>
      </c>
      <c r="D83">
        <v>-7113.89</v>
      </c>
      <c r="E83">
        <v>-5545.68</v>
      </c>
      <c r="F83">
        <v>-6174.02</v>
      </c>
      <c r="G83">
        <v>5739.98</v>
      </c>
      <c r="H83">
        <v>-2238.4899999999998</v>
      </c>
      <c r="I83">
        <v>-5732.29</v>
      </c>
      <c r="J83">
        <v>1562.77</v>
      </c>
      <c r="K83">
        <v>-563.84</v>
      </c>
    </row>
    <row r="84" spans="1:11" s="6" customFormat="1" x14ac:dyDescent="0.35">
      <c r="A84" s="6" t="s">
        <v>34</v>
      </c>
      <c r="B84">
        <v>-5612.52</v>
      </c>
      <c r="C84">
        <v>-7301.03</v>
      </c>
      <c r="D84">
        <v>-6221.13</v>
      </c>
      <c r="E84">
        <v>-6868.64</v>
      </c>
      <c r="F84">
        <v>-8181.48</v>
      </c>
      <c r="G84">
        <v>-18633.830000000002</v>
      </c>
      <c r="H84">
        <v>-13580.5</v>
      </c>
      <c r="I84">
        <v>-13006.03</v>
      </c>
      <c r="J84">
        <v>-18550.96</v>
      </c>
      <c r="K84">
        <v>-17037.400000000001</v>
      </c>
    </row>
    <row r="85" spans="1:11" s="1" customFormat="1" x14ac:dyDescent="0.35">
      <c r="A85" s="6" t="s">
        <v>35</v>
      </c>
      <c r="B85">
        <v>265.79000000000002</v>
      </c>
      <c r="C85">
        <v>75.349999999999994</v>
      </c>
      <c r="D85">
        <v>-165.62</v>
      </c>
      <c r="E85">
        <v>169.09</v>
      </c>
      <c r="F85">
        <v>334.16</v>
      </c>
      <c r="G85">
        <v>-366.88</v>
      </c>
      <c r="H85">
        <v>-43.48</v>
      </c>
      <c r="I85">
        <v>139.22999999999999</v>
      </c>
      <c r="J85">
        <v>190.67</v>
      </c>
      <c r="K85">
        <v>25.8</v>
      </c>
    </row>
    <row r="86" spans="1:11" x14ac:dyDescent="0.35">
      <c r="A86" s="6"/>
    </row>
    <row r="87" spans="1:11" x14ac:dyDescent="0.35">
      <c r="A87" s="6"/>
    </row>
    <row r="88" spans="1:11" x14ac:dyDescent="0.35">
      <c r="A88" s="6"/>
    </row>
    <row r="89" spans="1:11" x14ac:dyDescent="0.35">
      <c r="A89" s="6"/>
    </row>
    <row r="90" spans="1:11" s="1" customFormat="1" x14ac:dyDescent="0.35">
      <c r="A90" s="1" t="s">
        <v>77</v>
      </c>
      <c r="B90">
        <v>205.13</v>
      </c>
      <c r="C90">
        <v>262.75</v>
      </c>
      <c r="D90">
        <v>239.5</v>
      </c>
      <c r="E90">
        <v>278.64</v>
      </c>
      <c r="F90">
        <v>160.94999999999999</v>
      </c>
      <c r="G90">
        <v>204.82</v>
      </c>
      <c r="H90">
        <v>234.96</v>
      </c>
      <c r="I90">
        <v>359.49</v>
      </c>
      <c r="J90">
        <v>401.53</v>
      </c>
      <c r="K90">
        <v>409.75</v>
      </c>
    </row>
    <row r="92" spans="1:11" s="1" customFormat="1" x14ac:dyDescent="0.35">
      <c r="A92" s="1" t="s">
        <v>76</v>
      </c>
    </row>
    <row r="93" spans="1:11" x14ac:dyDescent="0.35">
      <c r="A93" s="4" t="s">
        <v>89</v>
      </c>
      <c r="B93" s="24">
        <v>1207.08</v>
      </c>
      <c r="C93" s="24">
        <v>1214.74</v>
      </c>
      <c r="D93" s="24">
        <v>1220.43</v>
      </c>
      <c r="E93" s="24">
        <v>1225.8599999999999</v>
      </c>
      <c r="F93" s="24">
        <v>1229.22</v>
      </c>
      <c r="G93" s="24">
        <v>1230.8800000000001</v>
      </c>
      <c r="H93" s="24">
        <v>1232.33</v>
      </c>
      <c r="I93" s="24">
        <v>1242.8</v>
      </c>
      <c r="J93" s="24">
        <v>1248.47</v>
      </c>
      <c r="K93" s="24">
        <v>1251.4100000000001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E515D-DE4D-420B-8A1E-58066F500757}">
  <dimension ref="B1:K60"/>
  <sheetViews>
    <sheetView showGridLines="0" tabSelected="1" zoomScale="40" zoomScaleNormal="40" workbookViewId="0">
      <selection activeCell="P36" sqref="P36"/>
    </sheetView>
  </sheetViews>
  <sheetFormatPr defaultRowHeight="14.5" x14ac:dyDescent="0.35"/>
  <cols>
    <col min="1" max="1" width="1.81640625" customWidth="1"/>
    <col min="2" max="2" width="46.7265625" bestFit="1" customWidth="1"/>
    <col min="3" max="3" width="15.453125" bestFit="1" customWidth="1"/>
    <col min="4" max="4" width="14.90625" customWidth="1"/>
    <col min="5" max="5" width="8.90625" bestFit="1" customWidth="1"/>
    <col min="6" max="6" width="9.90625" bestFit="1" customWidth="1"/>
    <col min="7" max="7" width="7.6328125" bestFit="1" customWidth="1"/>
    <col min="8" max="8" width="4.1796875" customWidth="1"/>
    <col min="9" max="9" width="17.1796875" customWidth="1"/>
    <col min="10" max="10" width="10.81640625" customWidth="1"/>
    <col min="11" max="11" width="9.453125" bestFit="1" customWidth="1"/>
    <col min="12" max="12" width="4.54296875" customWidth="1"/>
  </cols>
  <sheetData>
    <row r="1" spans="2:11" ht="18.5" x14ac:dyDescent="0.45">
      <c r="B1" s="70" t="str">
        <f>UPDATE&amp;" - One Page Profile"</f>
        <v>ITC LTD - One Page Profile</v>
      </c>
      <c r="C1" s="70"/>
      <c r="D1" s="70"/>
      <c r="E1" s="70"/>
      <c r="F1" s="70"/>
      <c r="G1" s="70"/>
      <c r="H1" s="70"/>
      <c r="I1" s="70"/>
      <c r="J1" s="30"/>
      <c r="K1" s="30"/>
    </row>
    <row r="2" spans="2:11" ht="7" customHeight="1" x14ac:dyDescent="0.45">
      <c r="B2" s="28"/>
      <c r="C2" s="28"/>
      <c r="D2" s="28"/>
      <c r="E2" s="28"/>
      <c r="F2" s="28"/>
      <c r="G2" s="28"/>
      <c r="H2" s="28"/>
      <c r="I2" s="28"/>
    </row>
    <row r="3" spans="2:11" ht="85.5" customHeight="1" x14ac:dyDescent="0.35">
      <c r="B3" s="29"/>
      <c r="C3" s="71" t="str">
        <f>'Input Sheet'!C5</f>
        <v>ITC Limited is an Indian conglomerate, headquartered in Kolkata.[10] It has a presence across six business segments, namely FMCG, agribusiness, information technology, paper products, and packaging.[11] It generates a plurality of its revenue from tobacco products.</v>
      </c>
      <c r="D3" s="71"/>
      <c r="E3" s="71"/>
      <c r="F3" s="71"/>
      <c r="G3" s="71"/>
      <c r="H3" s="71"/>
      <c r="I3" s="71"/>
    </row>
    <row r="4" spans="2:11" x14ac:dyDescent="0.35">
      <c r="B4" s="32" t="s">
        <v>97</v>
      </c>
    </row>
    <row r="5" spans="2:11" ht="15.5" x14ac:dyDescent="0.35">
      <c r="B5" s="37" t="s">
        <v>95</v>
      </c>
      <c r="C5" s="38">
        <v>44286</v>
      </c>
      <c r="D5" s="38">
        <v>44651</v>
      </c>
      <c r="E5" s="38">
        <v>45016</v>
      </c>
      <c r="F5" s="38">
        <v>45382</v>
      </c>
      <c r="G5" s="38">
        <v>45747</v>
      </c>
      <c r="I5" s="72" t="s">
        <v>118</v>
      </c>
      <c r="J5" s="72"/>
      <c r="K5" s="72"/>
    </row>
    <row r="6" spans="2:11" ht="7" customHeight="1" x14ac:dyDescent="0.35"/>
    <row r="7" spans="2:11" x14ac:dyDescent="0.35">
      <c r="B7" s="48" t="s">
        <v>96</v>
      </c>
      <c r="C7" s="51">
        <f>'Profit &amp; Loss'!G4</f>
        <v>49257.45</v>
      </c>
      <c r="D7" s="51">
        <f>'Profit &amp; Loss'!H4</f>
        <v>60644.54</v>
      </c>
      <c r="E7" s="51">
        <f>'Profit &amp; Loss'!I4</f>
        <v>70919.03</v>
      </c>
      <c r="F7" s="51">
        <f>'Profit &amp; Loss'!J4</f>
        <v>67931.94</v>
      </c>
      <c r="G7" s="51">
        <f>'Profit &amp; Loss'!K4</f>
        <v>75323.34</v>
      </c>
    </row>
    <row r="8" spans="2:11" x14ac:dyDescent="0.35">
      <c r="B8" s="52" t="s">
        <v>98</v>
      </c>
      <c r="C8" s="53">
        <f>'Profit &amp; Loss'!G27</f>
        <v>-2.6372963308678443E-3</v>
      </c>
      <c r="D8" s="53">
        <f>'Profit &amp; Loss'!H27</f>
        <v>0.23117497962237188</v>
      </c>
      <c r="E8" s="53">
        <f>'Profit &amp; Loss'!I27</f>
        <v>0.1694215175842706</v>
      </c>
      <c r="F8" s="53">
        <f>'Profit &amp; Loss'!J27</f>
        <v>-4.2119724423754779E-2</v>
      </c>
      <c r="G8" s="53">
        <f>'Profit &amp; Loss'!K27</f>
        <v>0.10880596078957838</v>
      </c>
    </row>
    <row r="9" spans="2:11" x14ac:dyDescent="0.35">
      <c r="B9" s="48" t="s">
        <v>102</v>
      </c>
      <c r="C9" s="50">
        <f>'Profit &amp; Loss'!G30</f>
        <v>0.51867747924425645</v>
      </c>
      <c r="D9" s="50">
        <f>'Profit &amp; Loss'!H30</f>
        <v>0.49650026201864172</v>
      </c>
      <c r="E9" s="50">
        <f>'Profit &amp; Loss'!I30</f>
        <v>0.53068887152009836</v>
      </c>
      <c r="F9" s="50">
        <f>'Profit &amp; Loss'!J30</f>
        <v>0.54582483585777175</v>
      </c>
      <c r="G9" s="50">
        <f>'Profit &amp; Loss'!K30</f>
        <v>0.51209372818571242</v>
      </c>
    </row>
    <row r="10" spans="2:11" x14ac:dyDescent="0.35">
      <c r="B10" s="48" t="s">
        <v>103</v>
      </c>
      <c r="C10" s="54">
        <f>'Profit &amp; Loss'!G32</f>
        <v>0.34644058919006154</v>
      </c>
      <c r="D10" s="54">
        <f>'Profit &amp; Loss'!H32</f>
        <v>0.3400660636555245</v>
      </c>
      <c r="E10" s="54">
        <f>'Profit &amp; Loss'!I32</f>
        <v>0.36244517162741785</v>
      </c>
      <c r="F10" s="54">
        <f>'Profit &amp; Loss'!J32</f>
        <v>0.37077595605248426</v>
      </c>
      <c r="G10" s="54">
        <f>'Profit &amp; Loss'!K32</f>
        <v>0.34304705553418102</v>
      </c>
    </row>
    <row r="11" spans="2:11" x14ac:dyDescent="0.35">
      <c r="B11" s="48" t="s">
        <v>106</v>
      </c>
      <c r="C11" s="54">
        <f>'Profit &amp; Loss'!G34</f>
        <v>0.31303264785326884</v>
      </c>
      <c r="D11" s="54">
        <f>'Profit &amp; Loss'!H34</f>
        <v>0.3114994358931571</v>
      </c>
      <c r="E11" s="54">
        <f>'Profit &amp; Loss'!I34</f>
        <v>0.33693706752616326</v>
      </c>
      <c r="F11" s="54">
        <f>'Profit &amp; Loss'!J34</f>
        <v>0.34842932499793172</v>
      </c>
      <c r="G11" s="54">
        <f>'Profit &amp; Loss'!K34</f>
        <v>0.3211903508261848</v>
      </c>
    </row>
    <row r="12" spans="2:11" x14ac:dyDescent="0.35">
      <c r="B12" s="48" t="s">
        <v>108</v>
      </c>
      <c r="C12" s="54">
        <f>'Profit &amp; Loss'!G36</f>
        <v>0.26719186640802561</v>
      </c>
      <c r="D12" s="54">
        <f>'Profit &amp; Loss'!H36</f>
        <v>0.25134430898478244</v>
      </c>
      <c r="E12" s="54">
        <f>'Profit &amp; Loss'!I36</f>
        <v>0.27061368436652333</v>
      </c>
      <c r="F12" s="54">
        <f>'Profit &amp; Loss'!J36</f>
        <v>0.30116584334261615</v>
      </c>
      <c r="G12" s="54">
        <f>'Profit &amp; Loss'!K36</f>
        <v>0.46129964497060272</v>
      </c>
    </row>
    <row r="13" spans="2:11" x14ac:dyDescent="0.35">
      <c r="B13" s="48" t="s">
        <v>109</v>
      </c>
      <c r="C13" s="55">
        <f>Annual[[#This Row],[Column7]]</f>
        <v>10.692504549590536</v>
      </c>
      <c r="D13" s="55">
        <f>Annual[[#This Row],[Column8]]</f>
        <v>12.368975842509718</v>
      </c>
      <c r="E13" s="55">
        <f>Annual[[#This Row],[Column9]]</f>
        <v>15.442275506919859</v>
      </c>
      <c r="F13" s="55">
        <f>Annual[[#This Row],[Column10]]</f>
        <v>16.387081788108645</v>
      </c>
      <c r="G13" s="55">
        <f>Annual[[#This Row],[Column11]]</f>
        <v>27.765983970081745</v>
      </c>
    </row>
    <row r="14" spans="2:11" x14ac:dyDescent="0.35">
      <c r="B14" s="52" t="s">
        <v>113</v>
      </c>
      <c r="C14" s="53">
        <f>'Profit &amp; Loss'!G38</f>
        <v>-0.14130125821657724</v>
      </c>
      <c r="D14" s="53">
        <f>'Profit &amp; Loss'!H38</f>
        <v>0.15678939252669122</v>
      </c>
      <c r="E14" s="53">
        <f>'Profit &amp; Loss'!I38</f>
        <v>0.24846840219768396</v>
      </c>
      <c r="F14" s="53">
        <f>'Profit &amp; Loss'!J38</f>
        <v>6.1183099651693551E-2</v>
      </c>
      <c r="G14" s="53">
        <f>'Profit &amp; Loss'!K38</f>
        <v>0.69438246108164581</v>
      </c>
    </row>
    <row r="15" spans="2:11" x14ac:dyDescent="0.35">
      <c r="B15" s="48" t="s">
        <v>114</v>
      </c>
      <c r="C15" s="55">
        <f>'Profit &amp; Loss'!G40</f>
        <v>10.749999999999998</v>
      </c>
      <c r="D15" s="55">
        <f>'Profit &amp; Loss'!H40</f>
        <v>11.500004057354767</v>
      </c>
      <c r="E15" s="55">
        <f>'Profit &amp; Loss'!I40</f>
        <v>15.500000000000004</v>
      </c>
      <c r="F15" s="55">
        <f>'Profit &amp; Loss'!J40</f>
        <v>13.749997997549</v>
      </c>
      <c r="G15" s="55">
        <f>'Profit &amp; Loss'!K40</f>
        <v>14.349997203154841</v>
      </c>
    </row>
    <row r="16" spans="2:11" x14ac:dyDescent="0.35">
      <c r="B16" s="52" t="s">
        <v>115</v>
      </c>
      <c r="C16" s="53">
        <f>'Profit &amp; Loss'!G41</f>
        <v>5.9113555156941722E-2</v>
      </c>
      <c r="D16" s="53">
        <f>'Profit &amp; Loss'!H41</f>
        <v>6.9767819288815591E-2</v>
      </c>
      <c r="E16" s="53">
        <f>'Profit &amp; Loss'!I41</f>
        <v>0.34782561142550739</v>
      </c>
      <c r="F16" s="53">
        <f>'Profit &amp; Loss'!J41</f>
        <v>-0.1129033549968389</v>
      </c>
      <c r="G16" s="53">
        <f>'Profit &amp; Loss'!K41</f>
        <v>4.3636312217121276E-2</v>
      </c>
    </row>
    <row r="18" spans="2:11" ht="15.5" x14ac:dyDescent="0.35">
      <c r="B18" s="37" t="s">
        <v>126</v>
      </c>
      <c r="C18" s="38">
        <v>44286</v>
      </c>
      <c r="D18" s="38">
        <v>44651</v>
      </c>
      <c r="E18" s="38">
        <v>45016</v>
      </c>
      <c r="F18" s="38">
        <v>45382</v>
      </c>
      <c r="G18" s="38">
        <v>45747</v>
      </c>
      <c r="I18" s="72" t="s">
        <v>131</v>
      </c>
      <c r="J18" s="72"/>
      <c r="K18" s="72"/>
    </row>
    <row r="19" spans="2:11" ht="7" customHeight="1" x14ac:dyDescent="0.35"/>
    <row r="20" spans="2:11" x14ac:dyDescent="0.35">
      <c r="B20" s="48" t="s">
        <v>127</v>
      </c>
      <c r="C20" s="49">
        <f>'Profit &amp; Loss'!G14</f>
        <v>19.155474664525016</v>
      </c>
      <c r="D20" s="49">
        <f>'Profit &amp; Loss'!H14</f>
        <v>18.995913889045614</v>
      </c>
      <c r="E20" s="49">
        <f>'Profit &amp; Loss'!I14</f>
        <v>23.279600201337455</v>
      </c>
      <c r="F20" s="49">
        <f>'Profit &amp; Loss'!J14</f>
        <v>24.502837368601647</v>
      </c>
      <c r="G20" s="49">
        <f>'Profit &amp; Loss'!K14</f>
        <v>14.757265596692401</v>
      </c>
    </row>
    <row r="21" spans="2:11" x14ac:dyDescent="0.35">
      <c r="B21" s="48" t="s">
        <v>122</v>
      </c>
      <c r="C21" s="49">
        <f>'Profit &amp; Loss'!G49</f>
        <v>14.516486681926171</v>
      </c>
      <c r="D21" s="49">
        <f>'Profit &amp; Loss'!H49</f>
        <v>13.826368755500493</v>
      </c>
      <c r="E21" s="49">
        <f>'Profit &amp; Loss'!I49</f>
        <v>17.203374926957636</v>
      </c>
      <c r="F21" s="49">
        <f>'Profit &amp; Loss'!J49</f>
        <v>19.628121896033473</v>
      </c>
      <c r="G21" s="49">
        <f>'Profit &amp; Loss'!K49</f>
        <v>19.700010158884965</v>
      </c>
    </row>
    <row r="22" spans="2:11" x14ac:dyDescent="0.35">
      <c r="B22" s="48" t="s">
        <v>123</v>
      </c>
      <c r="C22" s="49">
        <f>'Profit &amp; Loss'!G50</f>
        <v>5.0291001990561837</v>
      </c>
      <c r="D22" s="49">
        <f>'Profit &amp; Loss'!H50</f>
        <v>4.7018787973327854</v>
      </c>
      <c r="E22" s="49">
        <f>'Profit &amp; Loss'!I50</f>
        <v>6.2352801779719771</v>
      </c>
      <c r="F22" s="49">
        <f>'Profit &amp; Loss'!J50</f>
        <v>7.2776356615165119</v>
      </c>
      <c r="G22" s="49">
        <f>'Profit &amp; Loss'!K50</f>
        <v>6.7580304789989407</v>
      </c>
    </row>
    <row r="23" spans="2:11" x14ac:dyDescent="0.35">
      <c r="B23" s="48" t="s">
        <v>128</v>
      </c>
      <c r="C23" s="49">
        <f>'Profit &amp; Loss'!G52</f>
        <v>4.177629728170289</v>
      </c>
      <c r="D23" s="49">
        <f>'Profit &amp; Loss'!H52</f>
        <v>4.6360677966753006</v>
      </c>
      <c r="E23" s="49">
        <f>'Profit &amp; Loss'!I52</f>
        <v>6.4604510488428497</v>
      </c>
      <c r="F23" s="49">
        <f>'Profit &amp; Loss'!J52</f>
        <v>6.728202170265881</v>
      </c>
      <c r="G23" s="49">
        <f>'Profit &amp; Loss'!K52</f>
        <v>7.3220745594212779</v>
      </c>
    </row>
    <row r="24" spans="2:11" x14ac:dyDescent="0.35">
      <c r="B24" s="48" t="s">
        <v>129</v>
      </c>
      <c r="C24" s="50">
        <f>'Balance Sheet'!G23</f>
        <v>0.21809063995198466</v>
      </c>
      <c r="D24" s="50">
        <f>'Balance Sheet'!H23</f>
        <v>0.24405605456807136</v>
      </c>
      <c r="E24" s="50">
        <f>'Balance Sheet'!I23</f>
        <v>0.2775155497933201</v>
      </c>
      <c r="F24" s="50">
        <f>'Balance Sheet'!J23</f>
        <v>0.27458869636409999</v>
      </c>
      <c r="G24" s="50">
        <f>'Balance Sheet'!K23</f>
        <v>0.49616743098141436</v>
      </c>
    </row>
    <row r="25" spans="2:11" x14ac:dyDescent="0.35">
      <c r="B25" s="48" t="s">
        <v>130</v>
      </c>
      <c r="C25" s="50">
        <f>'Balance Sheet'!G24</f>
        <v>0.28527066262298589</v>
      </c>
      <c r="D25" s="50">
        <f>'Balance Sheet'!H24</f>
        <v>0.33733252742915004</v>
      </c>
      <c r="E25" s="50">
        <f>'Balance Sheet'!I24</f>
        <v>0.39333609298769096</v>
      </c>
      <c r="F25" s="50">
        <f>'Balance Sheet'!J24</f>
        <v>0.3742927321936183</v>
      </c>
      <c r="G25" s="50">
        <f>'Balance Sheet'!K24</f>
        <v>0.57864605289976878</v>
      </c>
    </row>
    <row r="27" spans="2:11" ht="15.5" x14ac:dyDescent="0.35">
      <c r="B27" s="43" t="s">
        <v>1852</v>
      </c>
      <c r="C27" s="44" t="str">
        <f>'Share Price'!H31</f>
        <v>N. Shares (in Crs)</v>
      </c>
      <c r="D27" s="45" t="str">
        <f>'Share Price'!I31</f>
        <v>% Holding</v>
      </c>
      <c r="E27" s="68" t="str">
        <f>'Share Price'!J31</f>
        <v>Market Value (in Crs)</v>
      </c>
      <c r="F27" s="68"/>
      <c r="G27" s="68"/>
      <c r="I27" s="73" t="s">
        <v>1859</v>
      </c>
      <c r="J27" s="73"/>
      <c r="K27" s="73"/>
    </row>
    <row r="28" spans="2:11" x14ac:dyDescent="0.35">
      <c r="B28" s="48" t="str">
        <f>'Share Price'!G32</f>
        <v>Tobacco Manufacturers (India) Limited</v>
      </c>
      <c r="C28" s="56">
        <f>'Share Price'!H32</f>
        <v>222.8495863</v>
      </c>
      <c r="D28" s="54">
        <f>('Share Price'!I32)/100</f>
        <v>0.1779</v>
      </c>
      <c r="E28" s="74">
        <f>'Share Price'!J32</f>
        <v>70197.619684499994</v>
      </c>
      <c r="F28" s="74"/>
      <c r="G28" s="74"/>
    </row>
    <row r="29" spans="2:11" x14ac:dyDescent="0.35">
      <c r="B29" s="48" t="str">
        <f>'Share Price'!G33</f>
        <v>Life Insurance Corporation of India</v>
      </c>
      <c r="C29" s="56">
        <f>'Share Price'!H33</f>
        <v>198.32052530000001</v>
      </c>
      <c r="D29" s="54">
        <f>('Share Price'!I33)/100</f>
        <v>0.1583</v>
      </c>
      <c r="E29" s="74">
        <f>'Share Price'!J33</f>
        <v>62470.965469500006</v>
      </c>
      <c r="F29" s="74"/>
      <c r="G29" s="74"/>
    </row>
    <row r="30" spans="2:11" x14ac:dyDescent="0.35">
      <c r="B30" s="48" t="str">
        <f>'Share Price'!G34</f>
        <v>Specified Undertaking of the Unit Trust of India</v>
      </c>
      <c r="C30" s="56">
        <f>'Share Price'!H34</f>
        <v>97.453142700000001</v>
      </c>
      <c r="D30" s="54">
        <f>('Share Price'!I34)/100</f>
        <v>7.7800000000000008E-2</v>
      </c>
      <c r="E30" s="74">
        <f>'Share Price'!J34</f>
        <v>30697.739950499999</v>
      </c>
      <c r="F30" s="74"/>
      <c r="G30" s="74"/>
    </row>
    <row r="31" spans="2:11" x14ac:dyDescent="0.35">
      <c r="B31" s="48" t="str">
        <f>'Share Price'!G35</f>
        <v>Myddleton Investment Company Limited</v>
      </c>
      <c r="C31" s="56">
        <f>'Share Price'!H35</f>
        <v>48.631194000000001</v>
      </c>
      <c r="D31" s="54">
        <f>('Share Price'!I35)/100</f>
        <v>3.8800000000000001E-2</v>
      </c>
      <c r="E31" s="74">
        <f>'Share Price'!J35</f>
        <v>15318.82611</v>
      </c>
      <c r="F31" s="74"/>
      <c r="G31" s="74"/>
    </row>
    <row r="32" spans="2:11" x14ac:dyDescent="0.35">
      <c r="B32" s="48" t="str">
        <f>'Share Price'!G36</f>
        <v>ICICI Prudential Mutual Funds</v>
      </c>
      <c r="C32" s="56">
        <f>'Share Price'!H36</f>
        <v>44.801725699999999</v>
      </c>
      <c r="D32" s="54">
        <f>('Share Price'!I36)/100</f>
        <v>3.5799999999999998E-2</v>
      </c>
      <c r="E32" s="74">
        <f>'Share Price'!J36</f>
        <v>14112.543595499999</v>
      </c>
      <c r="F32" s="74"/>
      <c r="G32" s="74"/>
    </row>
    <row r="33" spans="2:11" x14ac:dyDescent="0.35">
      <c r="B33" s="48" t="str">
        <f>'Share Price'!G37</f>
        <v>SBI Mutual Funds</v>
      </c>
      <c r="C33" s="56">
        <f>'Share Price'!H37</f>
        <v>41.263847400000003</v>
      </c>
      <c r="D33" s="54">
        <f>('Share Price'!I37)/100</f>
        <v>3.2899999999999999E-2</v>
      </c>
      <c r="E33" s="74">
        <f>'Share Price'!J37</f>
        <v>12998.111931000001</v>
      </c>
      <c r="F33" s="74"/>
      <c r="G33" s="74"/>
    </row>
    <row r="34" spans="2:11" x14ac:dyDescent="0.35">
      <c r="B34" s="48" t="str">
        <f>'Share Price'!G38</f>
        <v>QIB - Insurance Company Registered</v>
      </c>
      <c r="C34" s="56">
        <f>'Share Price'!H38</f>
        <v>26.3704964</v>
      </c>
      <c r="D34" s="54">
        <f>('Share Price'!I38)/100</f>
        <v>2.1099999999999997E-2</v>
      </c>
      <c r="E34" s="74">
        <f>'Share Price'!J38</f>
        <v>8306.7063660000003</v>
      </c>
      <c r="F34" s="74"/>
      <c r="G34" s="74"/>
    </row>
    <row r="35" spans="2:11" x14ac:dyDescent="0.35">
      <c r="B35" s="48" t="str">
        <f>'Share Price'!G39</f>
        <v>Parag Parikh Flexi Cap Mutual Funds</v>
      </c>
      <c r="C35" s="56">
        <f>'Share Price'!H39</f>
        <v>23.861659400000001</v>
      </c>
      <c r="D35" s="54">
        <f>('Share Price'!I39)/100</f>
        <v>1.9E-2</v>
      </c>
      <c r="E35" s="74">
        <f>'Share Price'!J39</f>
        <v>7516.4227110000002</v>
      </c>
      <c r="F35" s="74"/>
      <c r="G35" s="74"/>
    </row>
    <row r="36" spans="2:11" ht="29" x14ac:dyDescent="0.35">
      <c r="B36" s="57" t="str">
        <f>'Share Price'!G40</f>
        <v>Goldman Sachs Trust II - Goldman Sachs GQG Partners International Opportunities Fund</v>
      </c>
      <c r="C36" s="56">
        <f>'Share Price'!H40</f>
        <v>21.766938700000001</v>
      </c>
      <c r="D36" s="54">
        <f>('Share Price'!I40)/100</f>
        <v>1.7399999999999999E-2</v>
      </c>
      <c r="E36" s="74">
        <f>'Share Price'!J40</f>
        <v>6856.5856905000001</v>
      </c>
      <c r="F36" s="74"/>
      <c r="G36" s="74"/>
    </row>
    <row r="37" spans="2:11" x14ac:dyDescent="0.35">
      <c r="B37" s="48" t="str">
        <f>'Share Price'!G41</f>
        <v>General Insurance Corporation of India</v>
      </c>
      <c r="C37" s="56">
        <f>'Share Price'!H41</f>
        <v>21.718550799999999</v>
      </c>
      <c r="D37" s="54">
        <f>('Share Price'!I41)/100</f>
        <v>1.7299999999999999E-2</v>
      </c>
      <c r="E37" s="74">
        <f>'Share Price'!J41</f>
        <v>6841.3435019999997</v>
      </c>
      <c r="F37" s="74"/>
      <c r="G37" s="74"/>
    </row>
    <row r="38" spans="2:11" ht="12.5" customHeight="1" x14ac:dyDescent="0.35">
      <c r="E38" s="75"/>
      <c r="F38" s="75"/>
      <c r="G38" s="75"/>
    </row>
    <row r="39" spans="2:11" x14ac:dyDescent="0.35">
      <c r="B39" s="43" t="s">
        <v>1873</v>
      </c>
      <c r="C39" s="44" t="s">
        <v>1879</v>
      </c>
      <c r="D39" s="45" t="s">
        <v>1880</v>
      </c>
      <c r="E39" s="68" t="s">
        <v>1881</v>
      </c>
      <c r="F39" s="68"/>
      <c r="G39" s="68"/>
      <c r="I39" s="43" t="s">
        <v>1860</v>
      </c>
      <c r="J39" s="47"/>
      <c r="K39" s="47"/>
    </row>
    <row r="41" spans="2:11" x14ac:dyDescent="0.35">
      <c r="B41" s="48" t="s">
        <v>1874</v>
      </c>
      <c r="C41" s="48" t="s">
        <v>1882</v>
      </c>
      <c r="D41" s="48">
        <v>25.66</v>
      </c>
      <c r="E41" s="48"/>
      <c r="F41" s="58">
        <v>377</v>
      </c>
      <c r="I41" s="48" t="s">
        <v>1861</v>
      </c>
      <c r="J41" s="48"/>
      <c r="K41" s="48">
        <v>315</v>
      </c>
    </row>
    <row r="42" spans="2:11" x14ac:dyDescent="0.35">
      <c r="B42" s="48" t="s">
        <v>1875</v>
      </c>
      <c r="C42" s="48" t="s">
        <v>1883</v>
      </c>
      <c r="D42" s="48">
        <v>8.8699999999999992</v>
      </c>
      <c r="E42" s="48"/>
      <c r="F42" s="58">
        <v>132</v>
      </c>
      <c r="I42" s="48" t="s">
        <v>1862</v>
      </c>
      <c r="J42" s="48"/>
      <c r="K42" s="59" t="s">
        <v>1863</v>
      </c>
    </row>
    <row r="43" spans="2:11" ht="15" thickBot="1" x14ac:dyDescent="0.4">
      <c r="B43" s="48" t="s">
        <v>1876</v>
      </c>
      <c r="C43" s="48" t="s">
        <v>1885</v>
      </c>
      <c r="D43" s="48">
        <v>4.9400000000000004</v>
      </c>
      <c r="E43" s="48"/>
      <c r="F43" s="58">
        <v>99</v>
      </c>
      <c r="I43" s="62" t="s">
        <v>1864</v>
      </c>
      <c r="J43" s="62"/>
      <c r="K43" s="62">
        <v>394553</v>
      </c>
    </row>
    <row r="44" spans="2:11" x14ac:dyDescent="0.35">
      <c r="B44" s="48" t="s">
        <v>1877</v>
      </c>
      <c r="C44" s="48" t="s">
        <v>1884</v>
      </c>
      <c r="D44" s="48">
        <v>11.81</v>
      </c>
      <c r="E44" s="48"/>
      <c r="F44" s="58">
        <v>174</v>
      </c>
      <c r="I44" s="64" t="s">
        <v>1865</v>
      </c>
      <c r="J44" s="65"/>
      <c r="K44" s="66">
        <f>'Data Sheet'!K69*-1</f>
        <v>-4012.36</v>
      </c>
    </row>
    <row r="45" spans="2:11" x14ac:dyDescent="0.35">
      <c r="I45" s="60" t="s">
        <v>1866</v>
      </c>
      <c r="J45" s="48"/>
      <c r="K45" s="61">
        <f>'Data Sheet'!K59</f>
        <v>284.54000000000002</v>
      </c>
    </row>
    <row r="46" spans="2:11" x14ac:dyDescent="0.35">
      <c r="B46" t="s">
        <v>1878</v>
      </c>
      <c r="I46" s="60" t="s">
        <v>1867</v>
      </c>
      <c r="J46" s="48"/>
      <c r="K46" s="61">
        <v>367.89</v>
      </c>
    </row>
    <row r="47" spans="2:11" ht="15" thickBot="1" x14ac:dyDescent="0.4">
      <c r="I47" s="62" t="s">
        <v>1868</v>
      </c>
      <c r="J47" s="63"/>
      <c r="K47" s="62">
        <f>SUM(K43:K46)</f>
        <v>391193.07</v>
      </c>
    </row>
    <row r="49" spans="2:7" x14ac:dyDescent="0.35">
      <c r="B49" s="43" t="s">
        <v>1886</v>
      </c>
      <c r="C49" s="44"/>
      <c r="D49" s="45"/>
      <c r="E49" s="68"/>
      <c r="F49" s="68"/>
      <c r="G49" s="68"/>
    </row>
    <row r="50" spans="2:7" ht="7" customHeight="1" x14ac:dyDescent="0.35"/>
    <row r="51" spans="2:7" x14ac:dyDescent="0.35">
      <c r="B51" s="67" t="s">
        <v>1887</v>
      </c>
      <c r="C51" s="67"/>
      <c r="D51" s="67"/>
      <c r="E51" s="67"/>
      <c r="F51" s="67"/>
      <c r="G51" s="67"/>
    </row>
    <row r="52" spans="2:7" x14ac:dyDescent="0.35">
      <c r="B52" s="69" t="s">
        <v>1888</v>
      </c>
      <c r="C52" s="69"/>
      <c r="D52" s="69"/>
      <c r="E52" s="69"/>
      <c r="F52" s="69"/>
      <c r="G52" s="69"/>
    </row>
    <row r="53" spans="2:7" x14ac:dyDescent="0.35">
      <c r="B53" s="67" t="s">
        <v>1889</v>
      </c>
      <c r="C53" s="67"/>
      <c r="D53" s="67"/>
      <c r="E53" s="67"/>
      <c r="F53" s="67"/>
      <c r="G53" s="67"/>
    </row>
    <row r="54" spans="2:7" x14ac:dyDescent="0.35">
      <c r="B54" s="67" t="s">
        <v>1890</v>
      </c>
      <c r="C54" s="67"/>
      <c r="D54" s="67"/>
      <c r="E54" s="67"/>
      <c r="F54" s="67"/>
      <c r="G54" s="67"/>
    </row>
    <row r="55" spans="2:7" x14ac:dyDescent="0.35">
      <c r="B55" s="67" t="s">
        <v>1891</v>
      </c>
      <c r="C55" s="67"/>
      <c r="D55" s="67"/>
      <c r="E55" s="67"/>
      <c r="F55" s="67"/>
      <c r="G55" s="67"/>
    </row>
    <row r="56" spans="2:7" x14ac:dyDescent="0.35">
      <c r="B56" s="67" t="s">
        <v>1892</v>
      </c>
      <c r="C56" s="67"/>
      <c r="D56" s="67"/>
      <c r="E56" s="67"/>
      <c r="F56" s="67"/>
      <c r="G56" s="67"/>
    </row>
    <row r="57" spans="2:7" x14ac:dyDescent="0.35">
      <c r="B57" s="67" t="s">
        <v>1893</v>
      </c>
      <c r="C57" s="67"/>
      <c r="D57" s="67"/>
      <c r="E57" s="67"/>
      <c r="F57" s="67"/>
      <c r="G57" s="67"/>
    </row>
    <row r="58" spans="2:7" x14ac:dyDescent="0.35">
      <c r="B58" s="67" t="s">
        <v>1894</v>
      </c>
      <c r="C58" s="67"/>
      <c r="D58" s="67"/>
      <c r="E58" s="67"/>
      <c r="F58" s="67"/>
      <c r="G58" s="67"/>
    </row>
    <row r="60" spans="2:7" x14ac:dyDescent="0.35">
      <c r="B60" s="30"/>
      <c r="C60" s="30"/>
      <c r="D60" s="30"/>
      <c r="E60" s="30"/>
      <c r="F60" s="30"/>
      <c r="G60" s="30"/>
    </row>
  </sheetData>
  <mergeCells count="27">
    <mergeCell ref="E34:G34"/>
    <mergeCell ref="E36:G36"/>
    <mergeCell ref="E38:G38"/>
    <mergeCell ref="E37:G37"/>
    <mergeCell ref="E32:G32"/>
    <mergeCell ref="E35:G35"/>
    <mergeCell ref="E28:G28"/>
    <mergeCell ref="E29:G29"/>
    <mergeCell ref="E30:G30"/>
    <mergeCell ref="E31:G31"/>
    <mergeCell ref="E33:G33"/>
    <mergeCell ref="B1:I1"/>
    <mergeCell ref="C3:I3"/>
    <mergeCell ref="I5:K5"/>
    <mergeCell ref="I18:K18"/>
    <mergeCell ref="E27:G27"/>
    <mergeCell ref="I27:K27"/>
    <mergeCell ref="E39:G39"/>
    <mergeCell ref="E49:G49"/>
    <mergeCell ref="B51:G51"/>
    <mergeCell ref="B52:G52"/>
    <mergeCell ref="B53:G53"/>
    <mergeCell ref="B54:G54"/>
    <mergeCell ref="B55:G55"/>
    <mergeCell ref="B56:G56"/>
    <mergeCell ref="B57:G57"/>
    <mergeCell ref="B58:G58"/>
  </mergeCells>
  <pageMargins left="1.5" right="0.7" top="0.75" bottom="0.75" header="0.3" footer="0.3"/>
  <pageSetup scale="5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FAB29-09BE-4C68-BE67-3B3FCDD9C9CA}">
  <dimension ref="B5:C98"/>
  <sheetViews>
    <sheetView workbookViewId="0">
      <selection activeCell="C5" sqref="C5"/>
    </sheetView>
  </sheetViews>
  <sheetFormatPr defaultRowHeight="14.5" x14ac:dyDescent="0.35"/>
  <cols>
    <col min="2" max="2" width="19.6328125" customWidth="1"/>
    <col min="3" max="3" width="97.1796875" customWidth="1"/>
  </cols>
  <sheetData>
    <row r="5" spans="2:3" ht="91" customHeight="1" x14ac:dyDescent="0.35">
      <c r="B5" s="26" t="s">
        <v>94</v>
      </c>
      <c r="C5" s="27" t="s">
        <v>93</v>
      </c>
    </row>
    <row r="6" spans="2:3" x14ac:dyDescent="0.35">
      <c r="C6" s="25"/>
    </row>
    <row r="7" spans="2:3" x14ac:dyDescent="0.35">
      <c r="C7" s="25"/>
    </row>
    <row r="8" spans="2:3" x14ac:dyDescent="0.35">
      <c r="C8" s="25"/>
    </row>
    <row r="9" spans="2:3" x14ac:dyDescent="0.35">
      <c r="C9" s="25"/>
    </row>
    <row r="10" spans="2:3" x14ac:dyDescent="0.35">
      <c r="C10" s="25"/>
    </row>
    <row r="11" spans="2:3" x14ac:dyDescent="0.35">
      <c r="C11" s="25"/>
    </row>
    <row r="12" spans="2:3" x14ac:dyDescent="0.35">
      <c r="C12" s="25"/>
    </row>
    <row r="13" spans="2:3" x14ac:dyDescent="0.35">
      <c r="C13" s="25"/>
    </row>
    <row r="14" spans="2:3" x14ac:dyDescent="0.35">
      <c r="C14" s="25"/>
    </row>
    <row r="15" spans="2:3" x14ac:dyDescent="0.35">
      <c r="C15" s="25"/>
    </row>
    <row r="16" spans="2:3" x14ac:dyDescent="0.35">
      <c r="C16" s="25"/>
    </row>
    <row r="17" spans="3:3" x14ac:dyDescent="0.35">
      <c r="C17" s="25"/>
    </row>
    <row r="18" spans="3:3" x14ac:dyDescent="0.35">
      <c r="C18" s="25"/>
    </row>
    <row r="19" spans="3:3" x14ac:dyDescent="0.35">
      <c r="C19" s="25"/>
    </row>
    <row r="20" spans="3:3" x14ac:dyDescent="0.35">
      <c r="C20" s="25"/>
    </row>
    <row r="21" spans="3:3" x14ac:dyDescent="0.35">
      <c r="C21" s="25"/>
    </row>
    <row r="22" spans="3:3" x14ac:dyDescent="0.35">
      <c r="C22" s="25"/>
    </row>
    <row r="23" spans="3:3" x14ac:dyDescent="0.35">
      <c r="C23" s="25"/>
    </row>
    <row r="24" spans="3:3" x14ac:dyDescent="0.35">
      <c r="C24" s="25"/>
    </row>
    <row r="25" spans="3:3" x14ac:dyDescent="0.35">
      <c r="C25" s="25"/>
    </row>
    <row r="26" spans="3:3" x14ac:dyDescent="0.35">
      <c r="C26" s="25"/>
    </row>
    <row r="27" spans="3:3" x14ac:dyDescent="0.35">
      <c r="C27" s="25"/>
    </row>
    <row r="28" spans="3:3" x14ac:dyDescent="0.35">
      <c r="C28" s="25"/>
    </row>
    <row r="29" spans="3:3" x14ac:dyDescent="0.35">
      <c r="C29" s="25"/>
    </row>
    <row r="30" spans="3:3" x14ac:dyDescent="0.35">
      <c r="C30" s="25"/>
    </row>
    <row r="31" spans="3:3" x14ac:dyDescent="0.35">
      <c r="C31" s="25"/>
    </row>
    <row r="32" spans="3:3" x14ac:dyDescent="0.35">
      <c r="C32" s="25"/>
    </row>
    <row r="33" spans="3:3" x14ac:dyDescent="0.35">
      <c r="C33" s="25"/>
    </row>
    <row r="34" spans="3:3" x14ac:dyDescent="0.35">
      <c r="C34" s="25"/>
    </row>
    <row r="35" spans="3:3" x14ac:dyDescent="0.35">
      <c r="C35" s="25"/>
    </row>
    <row r="36" spans="3:3" x14ac:dyDescent="0.35">
      <c r="C36" s="25"/>
    </row>
    <row r="37" spans="3:3" x14ac:dyDescent="0.35">
      <c r="C37" s="25"/>
    </row>
    <row r="38" spans="3:3" x14ac:dyDescent="0.35">
      <c r="C38" s="25"/>
    </row>
    <row r="39" spans="3:3" x14ac:dyDescent="0.35">
      <c r="C39" s="25"/>
    </row>
    <row r="40" spans="3:3" x14ac:dyDescent="0.35">
      <c r="C40" s="25"/>
    </row>
    <row r="41" spans="3:3" x14ac:dyDescent="0.35">
      <c r="C41" s="25"/>
    </row>
    <row r="42" spans="3:3" x14ac:dyDescent="0.35">
      <c r="C42" s="25"/>
    </row>
    <row r="43" spans="3:3" x14ac:dyDescent="0.35">
      <c r="C43" s="25"/>
    </row>
    <row r="44" spans="3:3" x14ac:dyDescent="0.35">
      <c r="C44" s="25"/>
    </row>
    <row r="45" spans="3:3" x14ac:dyDescent="0.35">
      <c r="C45" s="25"/>
    </row>
    <row r="46" spans="3:3" x14ac:dyDescent="0.35">
      <c r="C46" s="25"/>
    </row>
    <row r="47" spans="3:3" x14ac:dyDescent="0.35">
      <c r="C47" s="25"/>
    </row>
    <row r="48" spans="3:3" x14ac:dyDescent="0.35">
      <c r="C48" s="25"/>
    </row>
    <row r="49" spans="3:3" x14ac:dyDescent="0.35">
      <c r="C49" s="25"/>
    </row>
    <row r="50" spans="3:3" x14ac:dyDescent="0.35">
      <c r="C50" s="25"/>
    </row>
    <row r="51" spans="3:3" x14ac:dyDescent="0.35">
      <c r="C51" s="25"/>
    </row>
    <row r="52" spans="3:3" x14ac:dyDescent="0.35">
      <c r="C52" s="25"/>
    </row>
    <row r="53" spans="3:3" x14ac:dyDescent="0.35">
      <c r="C53" s="25"/>
    </row>
    <row r="54" spans="3:3" x14ac:dyDescent="0.35">
      <c r="C54" s="25"/>
    </row>
    <row r="55" spans="3:3" x14ac:dyDescent="0.35">
      <c r="C55" s="25"/>
    </row>
    <row r="56" spans="3:3" x14ac:dyDescent="0.35">
      <c r="C56" s="25"/>
    </row>
    <row r="57" spans="3:3" x14ac:dyDescent="0.35">
      <c r="C57" s="25"/>
    </row>
    <row r="58" spans="3:3" x14ac:dyDescent="0.35">
      <c r="C58" s="25"/>
    </row>
    <row r="59" spans="3:3" x14ac:dyDescent="0.35">
      <c r="C59" s="25"/>
    </row>
    <row r="60" spans="3:3" x14ac:dyDescent="0.35">
      <c r="C60" s="25"/>
    </row>
    <row r="61" spans="3:3" x14ac:dyDescent="0.35">
      <c r="C61" s="25"/>
    </row>
    <row r="62" spans="3:3" x14ac:dyDescent="0.35">
      <c r="C62" s="25"/>
    </row>
    <row r="63" spans="3:3" x14ac:dyDescent="0.35">
      <c r="C63" s="25"/>
    </row>
    <row r="64" spans="3:3" x14ac:dyDescent="0.35">
      <c r="C64" s="25"/>
    </row>
    <row r="65" spans="3:3" x14ac:dyDescent="0.35">
      <c r="C65" s="25"/>
    </row>
    <row r="66" spans="3:3" x14ac:dyDescent="0.35">
      <c r="C66" s="25"/>
    </row>
    <row r="67" spans="3:3" x14ac:dyDescent="0.35">
      <c r="C67" s="25"/>
    </row>
    <row r="68" spans="3:3" x14ac:dyDescent="0.35">
      <c r="C68" s="25"/>
    </row>
    <row r="69" spans="3:3" x14ac:dyDescent="0.35">
      <c r="C69" s="25"/>
    </row>
    <row r="70" spans="3:3" x14ac:dyDescent="0.35">
      <c r="C70" s="25"/>
    </row>
    <row r="71" spans="3:3" x14ac:dyDescent="0.35">
      <c r="C71" s="25"/>
    </row>
    <row r="72" spans="3:3" x14ac:dyDescent="0.35">
      <c r="C72" s="25"/>
    </row>
    <row r="73" spans="3:3" x14ac:dyDescent="0.35">
      <c r="C73" s="25"/>
    </row>
    <row r="74" spans="3:3" x14ac:dyDescent="0.35">
      <c r="C74" s="25"/>
    </row>
    <row r="75" spans="3:3" x14ac:dyDescent="0.35">
      <c r="C75" s="25"/>
    </row>
    <row r="76" spans="3:3" x14ac:dyDescent="0.35">
      <c r="C76" s="25"/>
    </row>
    <row r="77" spans="3:3" x14ac:dyDescent="0.35">
      <c r="C77" s="25"/>
    </row>
    <row r="78" spans="3:3" x14ac:dyDescent="0.35">
      <c r="C78" s="25"/>
    </row>
    <row r="79" spans="3:3" x14ac:dyDescent="0.35">
      <c r="C79" s="25"/>
    </row>
    <row r="80" spans="3:3" x14ac:dyDescent="0.35">
      <c r="C80" s="25"/>
    </row>
    <row r="81" spans="3:3" x14ac:dyDescent="0.35">
      <c r="C81" s="25"/>
    </row>
    <row r="82" spans="3:3" x14ac:dyDescent="0.35">
      <c r="C82" s="25"/>
    </row>
    <row r="83" spans="3:3" x14ac:dyDescent="0.35">
      <c r="C83" s="25"/>
    </row>
    <row r="84" spans="3:3" x14ac:dyDescent="0.35">
      <c r="C84" s="25"/>
    </row>
    <row r="85" spans="3:3" x14ac:dyDescent="0.35">
      <c r="C85" s="25"/>
    </row>
    <row r="86" spans="3:3" x14ac:dyDescent="0.35">
      <c r="C86" s="25"/>
    </row>
    <row r="87" spans="3:3" x14ac:dyDescent="0.35">
      <c r="C87" s="25"/>
    </row>
    <row r="88" spans="3:3" x14ac:dyDescent="0.35">
      <c r="C88" s="25"/>
    </row>
    <row r="89" spans="3:3" x14ac:dyDescent="0.35">
      <c r="C89" s="25"/>
    </row>
    <row r="90" spans="3:3" x14ac:dyDescent="0.35">
      <c r="C90" s="25"/>
    </row>
    <row r="91" spans="3:3" x14ac:dyDescent="0.35">
      <c r="C91" s="25"/>
    </row>
    <row r="92" spans="3:3" x14ac:dyDescent="0.35">
      <c r="C92" s="25"/>
    </row>
    <row r="93" spans="3:3" x14ac:dyDescent="0.35">
      <c r="C93" s="25"/>
    </row>
    <row r="94" spans="3:3" x14ac:dyDescent="0.35">
      <c r="C94" s="25"/>
    </row>
    <row r="95" spans="3:3" x14ac:dyDescent="0.35">
      <c r="C95" s="25"/>
    </row>
    <row r="96" spans="3:3" x14ac:dyDescent="0.35">
      <c r="C96" s="25"/>
    </row>
    <row r="97" spans="3:3" x14ac:dyDescent="0.35">
      <c r="C97" s="25"/>
    </row>
    <row r="98" spans="3:3" x14ac:dyDescent="0.35">
      <c r="C98" s="2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2F77E-0E80-4F4D-942B-0F686583D87E}">
  <dimension ref="A1:K1242"/>
  <sheetViews>
    <sheetView topLeftCell="E67" workbookViewId="0">
      <selection activeCell="G73" sqref="G73"/>
    </sheetView>
  </sheetViews>
  <sheetFormatPr defaultRowHeight="14.5" x14ac:dyDescent="0.35"/>
  <cols>
    <col min="1" max="1" width="13.81640625" customWidth="1"/>
    <col min="2" max="2" width="11.90625" style="36" customWidth="1"/>
    <col min="4" max="4" width="13.453125" bestFit="1" customWidth="1"/>
    <col min="7" max="7" width="77.7265625" customWidth="1"/>
    <col min="8" max="8" width="49.26953125" customWidth="1"/>
    <col min="9" max="9" width="15.36328125" bestFit="1" customWidth="1"/>
    <col min="10" max="10" width="18.453125" bestFit="1" customWidth="1"/>
    <col min="11" max="11" width="13.54296875" bestFit="1" customWidth="1"/>
  </cols>
  <sheetData>
    <row r="1" spans="1:5" x14ac:dyDescent="0.35">
      <c r="A1" s="20" t="s">
        <v>116</v>
      </c>
      <c r="B1" s="36" t="s">
        <v>117</v>
      </c>
      <c r="C1" t="s">
        <v>1092</v>
      </c>
      <c r="D1" s="36" t="s">
        <v>1840</v>
      </c>
    </row>
    <row r="2" spans="1:5" x14ac:dyDescent="0.35">
      <c r="A2" t="s">
        <v>1093</v>
      </c>
      <c r="B2" s="36">
        <v>314.89999999999998</v>
      </c>
      <c r="C2" s="40" t="s">
        <v>132</v>
      </c>
      <c r="D2">
        <f t="shared" ref="D2:D65" si="0">(VALUE(SUBSTITUTE(C2,"M",""))*1000000)/1000000</f>
        <v>11.54</v>
      </c>
      <c r="E2">
        <v>1000000</v>
      </c>
    </row>
    <row r="3" spans="1:5" x14ac:dyDescent="0.35">
      <c r="A3" t="s">
        <v>1094</v>
      </c>
      <c r="B3" s="36">
        <v>316.25</v>
      </c>
      <c r="C3" s="40" t="s">
        <v>1839</v>
      </c>
      <c r="D3">
        <f t="shared" si="0"/>
        <v>31.2</v>
      </c>
    </row>
    <row r="4" spans="1:5" x14ac:dyDescent="0.35">
      <c r="A4" t="s">
        <v>1095</v>
      </c>
      <c r="B4" s="36">
        <v>304.45</v>
      </c>
      <c r="C4" s="40" t="s">
        <v>133</v>
      </c>
      <c r="D4">
        <f t="shared" si="0"/>
        <v>12.91</v>
      </c>
    </row>
    <row r="5" spans="1:5" x14ac:dyDescent="0.35">
      <c r="A5" t="s">
        <v>1096</v>
      </c>
      <c r="B5" s="36">
        <v>303.85000000000002</v>
      </c>
      <c r="C5" s="40" t="s">
        <v>134</v>
      </c>
      <c r="D5">
        <f t="shared" si="0"/>
        <v>14.38</v>
      </c>
    </row>
    <row r="6" spans="1:5" x14ac:dyDescent="0.35">
      <c r="A6" t="s">
        <v>1097</v>
      </c>
      <c r="B6" s="36">
        <v>301.60000000000002</v>
      </c>
      <c r="C6" s="40" t="s">
        <v>135</v>
      </c>
      <c r="D6">
        <f t="shared" si="0"/>
        <v>17.010000000000002</v>
      </c>
    </row>
    <row r="7" spans="1:5" x14ac:dyDescent="0.35">
      <c r="A7" t="s">
        <v>1098</v>
      </c>
      <c r="B7" s="36">
        <v>305.3</v>
      </c>
      <c r="C7" s="40" t="s">
        <v>136</v>
      </c>
      <c r="D7">
        <f t="shared" si="0"/>
        <v>10.7</v>
      </c>
    </row>
    <row r="8" spans="1:5" x14ac:dyDescent="0.35">
      <c r="A8" t="s">
        <v>1099</v>
      </c>
      <c r="B8" s="36">
        <v>305.5</v>
      </c>
      <c r="C8" s="40" t="s">
        <v>137</v>
      </c>
      <c r="D8">
        <f t="shared" si="0"/>
        <v>24.5</v>
      </c>
    </row>
    <row r="9" spans="1:5" x14ac:dyDescent="0.35">
      <c r="A9" t="s">
        <v>1100</v>
      </c>
      <c r="B9" s="36">
        <v>309.64999999999998</v>
      </c>
      <c r="C9" s="40" t="s">
        <v>138</v>
      </c>
      <c r="D9">
        <f t="shared" si="0"/>
        <v>24.41</v>
      </c>
    </row>
    <row r="10" spans="1:5" x14ac:dyDescent="0.35">
      <c r="A10" t="s">
        <v>1101</v>
      </c>
      <c r="B10" s="36">
        <v>305</v>
      </c>
      <c r="C10" s="40" t="s">
        <v>139</v>
      </c>
      <c r="D10">
        <f t="shared" si="0"/>
        <v>13.54</v>
      </c>
    </row>
    <row r="11" spans="1:5" x14ac:dyDescent="0.35">
      <c r="A11" t="s">
        <v>1102</v>
      </c>
      <c r="B11" s="36">
        <v>306.8</v>
      </c>
      <c r="C11" s="40" t="s">
        <v>140</v>
      </c>
      <c r="D11">
        <f t="shared" si="0"/>
        <v>35.11</v>
      </c>
    </row>
    <row r="12" spans="1:5" x14ac:dyDescent="0.35">
      <c r="A12" t="s">
        <v>1103</v>
      </c>
      <c r="B12" s="36">
        <v>303.39999999999998</v>
      </c>
      <c r="C12" s="40" t="s">
        <v>141</v>
      </c>
      <c r="D12">
        <f t="shared" si="0"/>
        <v>16.510000000000002</v>
      </c>
    </row>
    <row r="13" spans="1:5" x14ac:dyDescent="0.35">
      <c r="A13" t="s">
        <v>1104</v>
      </c>
      <c r="B13" s="36">
        <v>302.05</v>
      </c>
      <c r="C13" s="40" t="s">
        <v>142</v>
      </c>
      <c r="D13">
        <f t="shared" si="0"/>
        <v>18.7</v>
      </c>
    </row>
    <row r="14" spans="1:5" x14ac:dyDescent="0.35">
      <c r="A14" t="s">
        <v>1105</v>
      </c>
      <c r="B14" s="36">
        <v>298.64999999999998</v>
      </c>
      <c r="C14" s="40" t="s">
        <v>143</v>
      </c>
      <c r="D14">
        <f t="shared" si="0"/>
        <v>16.52</v>
      </c>
    </row>
    <row r="15" spans="1:5" x14ac:dyDescent="0.35">
      <c r="A15" s="41">
        <v>46299</v>
      </c>
      <c r="B15" s="36">
        <v>304.25</v>
      </c>
      <c r="C15" s="40" t="s">
        <v>144</v>
      </c>
      <c r="D15">
        <f t="shared" si="0"/>
        <v>17.739999999999998</v>
      </c>
    </row>
    <row r="16" spans="1:5" x14ac:dyDescent="0.35">
      <c r="A16" s="41">
        <v>46269</v>
      </c>
      <c r="B16" s="36">
        <v>303</v>
      </c>
      <c r="C16" s="40" t="s">
        <v>145</v>
      </c>
      <c r="D16">
        <f t="shared" si="0"/>
        <v>17.690000000000001</v>
      </c>
    </row>
    <row r="17" spans="1:10" x14ac:dyDescent="0.35">
      <c r="A17" s="41">
        <v>46238</v>
      </c>
      <c r="B17" s="36">
        <v>302.45</v>
      </c>
      <c r="C17" s="40" t="s">
        <v>146</v>
      </c>
      <c r="D17">
        <f t="shared" si="0"/>
        <v>22.31</v>
      </c>
    </row>
    <row r="18" spans="1:10" x14ac:dyDescent="0.35">
      <c r="A18" s="41">
        <v>46207</v>
      </c>
      <c r="B18" s="36">
        <v>298.45</v>
      </c>
      <c r="C18" s="40" t="s">
        <v>147</v>
      </c>
      <c r="D18">
        <f t="shared" si="0"/>
        <v>26.96</v>
      </c>
    </row>
    <row r="19" spans="1:10" x14ac:dyDescent="0.35">
      <c r="A19" s="41">
        <v>46177</v>
      </c>
      <c r="B19" s="36">
        <v>294.85000000000002</v>
      </c>
      <c r="C19" s="40" t="s">
        <v>148</v>
      </c>
      <c r="D19">
        <f t="shared" si="0"/>
        <v>18.05</v>
      </c>
    </row>
    <row r="20" spans="1:10" x14ac:dyDescent="0.35">
      <c r="A20" s="41">
        <v>46057</v>
      </c>
      <c r="B20" s="36">
        <v>292.85000000000002</v>
      </c>
      <c r="C20" s="40" t="s">
        <v>149</v>
      </c>
      <c r="D20">
        <f t="shared" si="0"/>
        <v>18.079999999999998</v>
      </c>
    </row>
    <row r="21" spans="1:10" x14ac:dyDescent="0.35">
      <c r="A21" s="41">
        <v>46026</v>
      </c>
      <c r="B21" s="36">
        <v>291.7</v>
      </c>
      <c r="C21" s="40" t="s">
        <v>150</v>
      </c>
      <c r="D21">
        <f t="shared" si="0"/>
        <v>18.600000000000001</v>
      </c>
    </row>
    <row r="22" spans="1:10" x14ac:dyDescent="0.35">
      <c r="A22" t="s">
        <v>1106</v>
      </c>
      <c r="B22" s="36">
        <v>287.7</v>
      </c>
      <c r="C22" s="40" t="s">
        <v>151</v>
      </c>
      <c r="D22">
        <f t="shared" si="0"/>
        <v>24.59</v>
      </c>
    </row>
    <row r="23" spans="1:10" x14ac:dyDescent="0.35">
      <c r="A23" t="s">
        <v>1107</v>
      </c>
      <c r="B23" s="36">
        <v>294.7</v>
      </c>
      <c r="C23" s="40" t="s">
        <v>152</v>
      </c>
      <c r="D23">
        <f t="shared" si="0"/>
        <v>22.18</v>
      </c>
    </row>
    <row r="24" spans="1:10" x14ac:dyDescent="0.35">
      <c r="A24" t="s">
        <v>1108</v>
      </c>
      <c r="B24" s="36">
        <v>295.7</v>
      </c>
      <c r="C24" s="40" t="s">
        <v>153</v>
      </c>
      <c r="D24">
        <f t="shared" si="0"/>
        <v>26.18</v>
      </c>
    </row>
    <row r="25" spans="1:10" x14ac:dyDescent="0.35">
      <c r="A25" t="s">
        <v>1109</v>
      </c>
      <c r="B25" s="36">
        <v>291.25</v>
      </c>
      <c r="C25" s="40" t="s">
        <v>154</v>
      </c>
      <c r="D25">
        <f t="shared" si="0"/>
        <v>33.340000000000003</v>
      </c>
    </row>
    <row r="26" spans="1:10" x14ac:dyDescent="0.35">
      <c r="A26" t="s">
        <v>1110</v>
      </c>
      <c r="B26" s="36">
        <v>290.45</v>
      </c>
      <c r="C26" s="40" t="s">
        <v>155</v>
      </c>
      <c r="D26">
        <f t="shared" si="0"/>
        <v>31.79</v>
      </c>
    </row>
    <row r="27" spans="1:10" x14ac:dyDescent="0.35">
      <c r="A27" t="s">
        <v>1111</v>
      </c>
      <c r="B27" s="36">
        <v>299.95</v>
      </c>
      <c r="C27" s="40" t="s">
        <v>156</v>
      </c>
      <c r="D27">
        <f t="shared" si="0"/>
        <v>58.68</v>
      </c>
    </row>
    <row r="28" spans="1:10" x14ac:dyDescent="0.35">
      <c r="A28" t="s">
        <v>1112</v>
      </c>
      <c r="B28" s="36">
        <v>298</v>
      </c>
      <c r="C28" s="40" t="s">
        <v>157</v>
      </c>
      <c r="D28">
        <f t="shared" si="0"/>
        <v>17.850000000000001</v>
      </c>
    </row>
    <row r="29" spans="1:10" x14ac:dyDescent="0.35">
      <c r="A29" t="s">
        <v>1113</v>
      </c>
      <c r="B29" s="36">
        <v>304.05</v>
      </c>
      <c r="C29" s="40" t="s">
        <v>158</v>
      </c>
      <c r="D29">
        <f t="shared" si="0"/>
        <v>16.7</v>
      </c>
    </row>
    <row r="30" spans="1:10" x14ac:dyDescent="0.35">
      <c r="A30" t="s">
        <v>1114</v>
      </c>
      <c r="B30" s="36">
        <v>304.85000000000002</v>
      </c>
      <c r="C30" s="40" t="s">
        <v>159</v>
      </c>
      <c r="D30">
        <f t="shared" si="0"/>
        <v>25.65</v>
      </c>
    </row>
    <row r="31" spans="1:10" x14ac:dyDescent="0.35">
      <c r="A31" t="s">
        <v>1115</v>
      </c>
      <c r="B31" s="36">
        <v>308.25</v>
      </c>
      <c r="C31" s="40" t="s">
        <v>160</v>
      </c>
      <c r="D31">
        <f t="shared" si="0"/>
        <v>37.47</v>
      </c>
      <c r="G31" t="s">
        <v>1841</v>
      </c>
      <c r="H31" t="s">
        <v>1853</v>
      </c>
      <c r="I31" t="s">
        <v>1855</v>
      </c>
      <c r="J31" t="s">
        <v>1854</v>
      </c>
    </row>
    <row r="32" spans="1:10" x14ac:dyDescent="0.35">
      <c r="A32" t="s">
        <v>1116</v>
      </c>
      <c r="B32" s="36">
        <v>301.45</v>
      </c>
      <c r="C32" s="40" t="s">
        <v>161</v>
      </c>
      <c r="D32">
        <f t="shared" si="0"/>
        <v>25.66</v>
      </c>
      <c r="G32" t="s">
        <v>1842</v>
      </c>
      <c r="H32">
        <v>222.8495863</v>
      </c>
      <c r="I32">
        <v>17.79</v>
      </c>
      <c r="J32" s="40">
        <f t="shared" ref="J32:J41" si="1">315*H32</f>
        <v>70197.619684499994</v>
      </c>
    </row>
    <row r="33" spans="1:10" x14ac:dyDescent="0.35">
      <c r="A33" s="41">
        <v>46359</v>
      </c>
      <c r="B33" s="36">
        <v>304.10000000000002</v>
      </c>
      <c r="C33" s="40" t="s">
        <v>162</v>
      </c>
      <c r="D33">
        <f t="shared" si="0"/>
        <v>23.32</v>
      </c>
      <c r="G33" t="s">
        <v>1843</v>
      </c>
      <c r="H33">
        <v>198.32052530000001</v>
      </c>
      <c r="I33">
        <v>15.83</v>
      </c>
      <c r="J33" s="40">
        <f t="shared" si="1"/>
        <v>62470.965469500006</v>
      </c>
    </row>
    <row r="34" spans="1:10" x14ac:dyDescent="0.35">
      <c r="A34" s="41">
        <v>46329</v>
      </c>
      <c r="B34" s="36">
        <v>309</v>
      </c>
      <c r="C34" s="40" t="s">
        <v>163</v>
      </c>
      <c r="D34">
        <f t="shared" si="0"/>
        <v>14.84</v>
      </c>
      <c r="G34" t="s">
        <v>1844</v>
      </c>
      <c r="H34">
        <v>97.453142700000001</v>
      </c>
      <c r="I34">
        <v>7.78</v>
      </c>
      <c r="J34" s="40">
        <f t="shared" si="1"/>
        <v>30697.739950499999</v>
      </c>
    </row>
    <row r="35" spans="1:10" x14ac:dyDescent="0.35">
      <c r="A35" s="41">
        <v>46298</v>
      </c>
      <c r="B35" s="36">
        <v>309.05</v>
      </c>
      <c r="C35" s="40" t="s">
        <v>164</v>
      </c>
      <c r="D35">
        <f t="shared" si="0"/>
        <v>18.350000000000001</v>
      </c>
      <c r="G35" t="s">
        <v>1845</v>
      </c>
      <c r="H35">
        <v>48.631194000000001</v>
      </c>
      <c r="I35">
        <v>3.88</v>
      </c>
      <c r="J35" s="40">
        <f t="shared" si="1"/>
        <v>15318.82611</v>
      </c>
    </row>
    <row r="36" spans="1:10" x14ac:dyDescent="0.35">
      <c r="A36" s="41">
        <v>46268</v>
      </c>
      <c r="B36" s="36">
        <v>306</v>
      </c>
      <c r="C36" s="40" t="s">
        <v>165</v>
      </c>
      <c r="D36">
        <f t="shared" si="0"/>
        <v>14.08</v>
      </c>
      <c r="G36" t="s">
        <v>1846</v>
      </c>
      <c r="H36">
        <v>44.801725699999999</v>
      </c>
      <c r="I36">
        <v>3.58</v>
      </c>
      <c r="J36" s="40">
        <f t="shared" si="1"/>
        <v>14112.543595499999</v>
      </c>
    </row>
    <row r="37" spans="1:10" x14ac:dyDescent="0.35">
      <c r="A37" s="41">
        <v>46176</v>
      </c>
      <c r="B37" s="36">
        <v>309.7</v>
      </c>
      <c r="C37" s="40" t="s">
        <v>166</v>
      </c>
      <c r="D37">
        <f t="shared" si="0"/>
        <v>21.29</v>
      </c>
      <c r="G37" t="s">
        <v>1847</v>
      </c>
      <c r="H37">
        <v>41.263847400000003</v>
      </c>
      <c r="I37">
        <v>3.29</v>
      </c>
      <c r="J37" s="40">
        <f t="shared" si="1"/>
        <v>12998.111931000001</v>
      </c>
    </row>
    <row r="38" spans="1:10" x14ac:dyDescent="0.35">
      <c r="A38" s="41">
        <v>46145</v>
      </c>
      <c r="B38" s="36">
        <v>311.5</v>
      </c>
      <c r="C38" s="40" t="s">
        <v>167</v>
      </c>
      <c r="D38">
        <f t="shared" si="0"/>
        <v>19.940000000000001</v>
      </c>
      <c r="G38" t="s">
        <v>1848</v>
      </c>
      <c r="H38">
        <v>26.3704964</v>
      </c>
      <c r="I38">
        <v>2.11</v>
      </c>
      <c r="J38" s="40">
        <f t="shared" si="1"/>
        <v>8306.7063660000003</v>
      </c>
    </row>
    <row r="39" spans="1:10" x14ac:dyDescent="0.35">
      <c r="A39" s="41">
        <v>46115</v>
      </c>
      <c r="B39" s="36">
        <v>311.95</v>
      </c>
      <c r="C39" s="40" t="s">
        <v>168</v>
      </c>
      <c r="D39">
        <f t="shared" si="0"/>
        <v>24.17</v>
      </c>
      <c r="G39" t="s">
        <v>1849</v>
      </c>
      <c r="H39">
        <v>23.861659400000001</v>
      </c>
      <c r="I39">
        <v>1.9</v>
      </c>
      <c r="J39" s="40">
        <f t="shared" si="1"/>
        <v>7516.4227110000002</v>
      </c>
    </row>
    <row r="40" spans="1:10" x14ac:dyDescent="0.35">
      <c r="A40" s="41">
        <v>46056</v>
      </c>
      <c r="B40" s="36">
        <v>314.89999999999998</v>
      </c>
      <c r="C40" s="40" t="s">
        <v>169</v>
      </c>
      <c r="D40">
        <f t="shared" si="0"/>
        <v>22.19</v>
      </c>
      <c r="G40" t="s">
        <v>1850</v>
      </c>
      <c r="H40">
        <v>21.766938700000001</v>
      </c>
      <c r="I40">
        <v>1.74</v>
      </c>
      <c r="J40" s="40">
        <f t="shared" si="1"/>
        <v>6856.5856905000001</v>
      </c>
    </row>
    <row r="41" spans="1:10" x14ac:dyDescent="0.35">
      <c r="A41" t="s">
        <v>1117</v>
      </c>
      <c r="B41" s="36">
        <v>313.60000000000002</v>
      </c>
      <c r="C41" s="40" t="s">
        <v>170</v>
      </c>
      <c r="D41">
        <f t="shared" si="0"/>
        <v>13.89</v>
      </c>
      <c r="G41" t="s">
        <v>1851</v>
      </c>
      <c r="H41">
        <v>21.718550799999999</v>
      </c>
      <c r="I41">
        <v>1.73</v>
      </c>
      <c r="J41" s="40">
        <f t="shared" si="1"/>
        <v>6841.3435019999997</v>
      </c>
    </row>
    <row r="42" spans="1:10" x14ac:dyDescent="0.35">
      <c r="A42" t="s">
        <v>1118</v>
      </c>
      <c r="B42" s="36">
        <v>318.3</v>
      </c>
      <c r="C42" s="40" t="s">
        <v>171</v>
      </c>
      <c r="D42">
        <f t="shared" si="0"/>
        <v>11.27</v>
      </c>
    </row>
    <row r="43" spans="1:10" x14ac:dyDescent="0.35">
      <c r="A43" t="s">
        <v>1119</v>
      </c>
      <c r="B43" s="36">
        <v>319.75</v>
      </c>
      <c r="C43" s="40" t="s">
        <v>172</v>
      </c>
      <c r="D43">
        <f t="shared" si="0"/>
        <v>13.49</v>
      </c>
    </row>
    <row r="44" spans="1:10" x14ac:dyDescent="0.35">
      <c r="A44" t="s">
        <v>1120</v>
      </c>
      <c r="B44" s="36">
        <v>323.5</v>
      </c>
      <c r="C44" s="40" t="s">
        <v>173</v>
      </c>
      <c r="D44">
        <f t="shared" si="0"/>
        <v>13.14</v>
      </c>
    </row>
    <row r="45" spans="1:10" x14ac:dyDescent="0.35">
      <c r="A45" t="s">
        <v>1121</v>
      </c>
      <c r="B45" s="36">
        <v>325.39999999999998</v>
      </c>
      <c r="C45" s="40" t="s">
        <v>172</v>
      </c>
      <c r="D45">
        <f t="shared" si="0"/>
        <v>13.49</v>
      </c>
    </row>
    <row r="46" spans="1:10" x14ac:dyDescent="0.35">
      <c r="A46" t="s">
        <v>1122</v>
      </c>
      <c r="B46" s="36">
        <v>327</v>
      </c>
      <c r="C46" s="40" t="s">
        <v>174</v>
      </c>
      <c r="D46">
        <f t="shared" si="0"/>
        <v>11.28</v>
      </c>
    </row>
    <row r="47" spans="1:10" x14ac:dyDescent="0.35">
      <c r="A47" t="s">
        <v>1123</v>
      </c>
      <c r="B47" s="36">
        <v>326</v>
      </c>
      <c r="C47" s="40" t="s">
        <v>175</v>
      </c>
      <c r="D47">
        <f t="shared" si="0"/>
        <v>19.91</v>
      </c>
    </row>
    <row r="48" spans="1:10" x14ac:dyDescent="0.35">
      <c r="A48" t="s">
        <v>1124</v>
      </c>
      <c r="B48" s="36">
        <v>332.45</v>
      </c>
      <c r="C48" s="40" t="s">
        <v>176</v>
      </c>
      <c r="D48">
        <f t="shared" si="0"/>
        <v>35.47</v>
      </c>
      <c r="G48" t="s">
        <v>1856</v>
      </c>
      <c r="H48" s="46">
        <v>0.3483</v>
      </c>
    </row>
    <row r="49" spans="1:11" x14ac:dyDescent="0.35">
      <c r="A49" t="s">
        <v>1125</v>
      </c>
      <c r="B49" s="36">
        <v>325.45</v>
      </c>
      <c r="C49" s="40" t="s">
        <v>177</v>
      </c>
      <c r="D49">
        <f t="shared" si="0"/>
        <v>39.36</v>
      </c>
      <c r="G49" t="s">
        <v>1857</v>
      </c>
      <c r="H49" s="5">
        <v>0.49149999999999999</v>
      </c>
    </row>
    <row r="50" spans="1:11" x14ac:dyDescent="0.35">
      <c r="A50" t="s">
        <v>1126</v>
      </c>
      <c r="B50" s="36">
        <v>317.95</v>
      </c>
      <c r="C50" s="40" t="s">
        <v>178</v>
      </c>
      <c r="D50">
        <f t="shared" si="0"/>
        <v>11.69</v>
      </c>
      <c r="G50" t="s">
        <v>1858</v>
      </c>
      <c r="H50" s="5">
        <v>0.16</v>
      </c>
    </row>
    <row r="51" spans="1:11" x14ac:dyDescent="0.35">
      <c r="A51" t="s">
        <v>1127</v>
      </c>
      <c r="B51" s="36">
        <v>313.75</v>
      </c>
      <c r="C51" s="40" t="s">
        <v>179</v>
      </c>
      <c r="D51">
        <f t="shared" si="0"/>
        <v>8.73</v>
      </c>
      <c r="H51" s="5"/>
    </row>
    <row r="52" spans="1:11" x14ac:dyDescent="0.35">
      <c r="A52" s="41">
        <v>46358</v>
      </c>
      <c r="B52" s="36">
        <v>317.45</v>
      </c>
      <c r="C52" s="40" t="s">
        <v>180</v>
      </c>
      <c r="D52">
        <f t="shared" si="0"/>
        <v>13.29</v>
      </c>
      <c r="I52" s="31"/>
      <c r="K52" s="42"/>
    </row>
    <row r="53" spans="1:11" x14ac:dyDescent="0.35">
      <c r="A53" s="41">
        <v>46328</v>
      </c>
      <c r="B53" s="36">
        <v>318.25</v>
      </c>
      <c r="C53" s="40" t="s">
        <v>181</v>
      </c>
      <c r="D53">
        <f t="shared" si="0"/>
        <v>24.84</v>
      </c>
      <c r="I53" s="31"/>
      <c r="K53" s="42"/>
    </row>
    <row r="54" spans="1:11" x14ac:dyDescent="0.35">
      <c r="A54" s="41">
        <v>46297</v>
      </c>
      <c r="B54" s="36">
        <v>321.39999999999998</v>
      </c>
      <c r="C54" s="40" t="s">
        <v>182</v>
      </c>
      <c r="D54">
        <f t="shared" si="0"/>
        <v>11.49</v>
      </c>
      <c r="I54" s="31"/>
      <c r="K54" s="42"/>
    </row>
    <row r="55" spans="1:11" x14ac:dyDescent="0.35">
      <c r="A55" s="41">
        <v>46267</v>
      </c>
      <c r="B55" s="36">
        <v>322.8</v>
      </c>
      <c r="C55" s="40" t="s">
        <v>183</v>
      </c>
      <c r="D55">
        <f t="shared" si="0"/>
        <v>20.059999999999999</v>
      </c>
      <c r="I55" s="31"/>
      <c r="K55" s="42"/>
    </row>
    <row r="56" spans="1:11" x14ac:dyDescent="0.35">
      <c r="A56" s="41">
        <v>46175</v>
      </c>
      <c r="B56" s="36">
        <v>325.8</v>
      </c>
      <c r="C56" s="40" t="s">
        <v>184</v>
      </c>
      <c r="D56">
        <f t="shared" si="0"/>
        <v>68.06</v>
      </c>
      <c r="I56" s="31"/>
      <c r="K56" s="42"/>
    </row>
    <row r="57" spans="1:11" x14ac:dyDescent="0.35">
      <c r="A57" s="41">
        <v>46144</v>
      </c>
      <c r="B57" s="36">
        <v>310.2</v>
      </c>
      <c r="C57" s="40" t="s">
        <v>185</v>
      </c>
      <c r="D57">
        <f t="shared" si="0"/>
        <v>15.82</v>
      </c>
      <c r="I57" s="31"/>
      <c r="K57" s="42"/>
    </row>
    <row r="58" spans="1:11" x14ac:dyDescent="0.35">
      <c r="A58" s="41">
        <v>46114</v>
      </c>
      <c r="B58" s="36">
        <v>313.85000000000002</v>
      </c>
      <c r="C58" s="40" t="s">
        <v>186</v>
      </c>
      <c r="D58">
        <f t="shared" si="0"/>
        <v>11.2</v>
      </c>
      <c r="I58" s="31"/>
      <c r="K58" s="42"/>
    </row>
    <row r="59" spans="1:11" x14ac:dyDescent="0.35">
      <c r="A59" s="41">
        <v>46083</v>
      </c>
      <c r="B59" s="36">
        <v>316.64999999999998</v>
      </c>
      <c r="C59" s="40" t="s">
        <v>187</v>
      </c>
      <c r="D59">
        <f t="shared" si="0"/>
        <v>33.17</v>
      </c>
      <c r="I59" s="31"/>
      <c r="K59" s="42"/>
    </row>
    <row r="60" spans="1:11" x14ac:dyDescent="0.35">
      <c r="A60" s="41">
        <v>46055</v>
      </c>
      <c r="B60" s="36">
        <v>314.7</v>
      </c>
      <c r="C60" s="40" t="s">
        <v>188</v>
      </c>
      <c r="D60">
        <f t="shared" si="0"/>
        <v>35.229999999999997</v>
      </c>
      <c r="I60" s="31"/>
      <c r="K60" s="42"/>
    </row>
    <row r="61" spans="1:11" x14ac:dyDescent="0.35">
      <c r="A61" s="41">
        <v>46024</v>
      </c>
      <c r="B61" s="36">
        <v>309.45</v>
      </c>
      <c r="C61" s="40" t="s">
        <v>189</v>
      </c>
      <c r="D61">
        <f t="shared" si="0"/>
        <v>33.28</v>
      </c>
      <c r="I61" s="31"/>
      <c r="K61" s="42"/>
    </row>
    <row r="62" spans="1:11" x14ac:dyDescent="0.35">
      <c r="A62" t="s">
        <v>1128</v>
      </c>
      <c r="B62" s="36">
        <v>322.14999999999998</v>
      </c>
      <c r="C62" s="40" t="s">
        <v>190</v>
      </c>
      <c r="D62">
        <f t="shared" si="0"/>
        <v>41.98</v>
      </c>
    </row>
    <row r="63" spans="1:11" x14ac:dyDescent="0.35">
      <c r="A63" t="s">
        <v>1129</v>
      </c>
      <c r="B63" s="36">
        <v>318.60000000000002</v>
      </c>
      <c r="C63" s="40" t="s">
        <v>191</v>
      </c>
      <c r="D63">
        <f t="shared" si="0"/>
        <v>17.72</v>
      </c>
    </row>
    <row r="64" spans="1:11" x14ac:dyDescent="0.35">
      <c r="A64" t="s">
        <v>1130</v>
      </c>
      <c r="B64" s="36">
        <v>321.14999999999998</v>
      </c>
      <c r="C64" s="40" t="s">
        <v>192</v>
      </c>
      <c r="D64">
        <f t="shared" si="0"/>
        <v>28.4</v>
      </c>
    </row>
    <row r="65" spans="1:7" x14ac:dyDescent="0.35">
      <c r="A65" t="s">
        <v>1131</v>
      </c>
      <c r="B65" s="36">
        <v>318.64999999999998</v>
      </c>
      <c r="C65" s="40" t="s">
        <v>193</v>
      </c>
      <c r="D65">
        <f t="shared" si="0"/>
        <v>47.85</v>
      </c>
    </row>
    <row r="66" spans="1:7" x14ac:dyDescent="0.35">
      <c r="A66" t="s">
        <v>1132</v>
      </c>
      <c r="B66" s="36">
        <v>323.39999999999998</v>
      </c>
      <c r="C66" s="40" t="s">
        <v>194</v>
      </c>
      <c r="D66">
        <f t="shared" ref="D66:D129" si="2">(VALUE(SUBSTITUTE(C66,"M",""))*1000000)/1000000</f>
        <v>11.95</v>
      </c>
    </row>
    <row r="67" spans="1:7" x14ac:dyDescent="0.35">
      <c r="A67" t="s">
        <v>1133</v>
      </c>
      <c r="B67" s="36">
        <v>324.85000000000002</v>
      </c>
      <c r="C67" s="40" t="s">
        <v>195</v>
      </c>
      <c r="D67">
        <f t="shared" si="2"/>
        <v>18.62</v>
      </c>
    </row>
    <row r="68" spans="1:7" x14ac:dyDescent="0.35">
      <c r="A68" t="s">
        <v>1134</v>
      </c>
      <c r="B68" s="36">
        <v>324.75</v>
      </c>
      <c r="C68" s="40" t="s">
        <v>196</v>
      </c>
      <c r="D68">
        <f t="shared" si="2"/>
        <v>14.18</v>
      </c>
    </row>
    <row r="69" spans="1:7" x14ac:dyDescent="0.35">
      <c r="A69" t="s">
        <v>1135</v>
      </c>
      <c r="B69" s="36">
        <v>326.3</v>
      </c>
      <c r="C69" s="40" t="s">
        <v>197</v>
      </c>
      <c r="D69">
        <f t="shared" si="2"/>
        <v>18.77</v>
      </c>
    </row>
    <row r="70" spans="1:7" x14ac:dyDescent="0.35">
      <c r="A70" t="s">
        <v>1136</v>
      </c>
      <c r="B70" s="36">
        <v>333.2</v>
      </c>
      <c r="C70" s="40" t="s">
        <v>198</v>
      </c>
      <c r="D70">
        <f t="shared" si="2"/>
        <v>15.51</v>
      </c>
    </row>
    <row r="71" spans="1:7" x14ac:dyDescent="0.35">
      <c r="A71" t="s">
        <v>1137</v>
      </c>
      <c r="B71" s="36">
        <v>329.2</v>
      </c>
      <c r="C71" s="40" t="s">
        <v>199</v>
      </c>
      <c r="D71">
        <f t="shared" si="2"/>
        <v>30.53</v>
      </c>
    </row>
    <row r="72" spans="1:7" x14ac:dyDescent="0.35">
      <c r="A72" t="s">
        <v>1138</v>
      </c>
      <c r="B72" s="36">
        <v>334.75</v>
      </c>
      <c r="C72" s="40" t="s">
        <v>200</v>
      </c>
      <c r="D72">
        <f t="shared" si="2"/>
        <v>14.91</v>
      </c>
    </row>
    <row r="73" spans="1:7" x14ac:dyDescent="0.35">
      <c r="A73" t="s">
        <v>1139</v>
      </c>
      <c r="B73" s="36">
        <v>334.7</v>
      </c>
      <c r="C73" s="40" t="s">
        <v>201</v>
      </c>
      <c r="D73">
        <f t="shared" si="2"/>
        <v>24.92</v>
      </c>
      <c r="G73" t="s">
        <v>1869</v>
      </c>
    </row>
    <row r="74" spans="1:7" x14ac:dyDescent="0.35">
      <c r="A74" s="41">
        <v>46357</v>
      </c>
      <c r="B74" s="36">
        <v>338.4</v>
      </c>
      <c r="C74" s="40" t="s">
        <v>202</v>
      </c>
      <c r="D74">
        <f t="shared" si="2"/>
        <v>16.16</v>
      </c>
      <c r="G74" t="s">
        <v>1870</v>
      </c>
    </row>
    <row r="75" spans="1:7" x14ac:dyDescent="0.35">
      <c r="A75" s="41">
        <v>46266</v>
      </c>
      <c r="B75" s="36">
        <v>337.15</v>
      </c>
      <c r="C75" s="40" t="s">
        <v>203</v>
      </c>
      <c r="D75">
        <f t="shared" si="2"/>
        <v>35.19</v>
      </c>
      <c r="G75" t="s">
        <v>1871</v>
      </c>
    </row>
    <row r="76" spans="1:7" x14ac:dyDescent="0.35">
      <c r="A76" s="41">
        <v>46235</v>
      </c>
      <c r="B76" s="36">
        <v>340.9</v>
      </c>
      <c r="C76" s="40" t="s">
        <v>204</v>
      </c>
      <c r="D76">
        <f t="shared" si="2"/>
        <v>36.71</v>
      </c>
      <c r="G76" t="s">
        <v>1872</v>
      </c>
    </row>
    <row r="77" spans="1:7" x14ac:dyDescent="0.35">
      <c r="A77" s="41">
        <v>46204</v>
      </c>
      <c r="B77" s="36">
        <v>341.25</v>
      </c>
      <c r="C77" s="40" t="s">
        <v>205</v>
      </c>
      <c r="D77">
        <f t="shared" si="2"/>
        <v>29.44</v>
      </c>
    </row>
    <row r="78" spans="1:7" x14ac:dyDescent="0.35">
      <c r="A78" s="41">
        <v>46174</v>
      </c>
      <c r="B78" s="36">
        <v>342.45</v>
      </c>
      <c r="C78" s="40" t="s">
        <v>206</v>
      </c>
      <c r="D78">
        <f t="shared" si="2"/>
        <v>72.58</v>
      </c>
    </row>
    <row r="79" spans="1:7" x14ac:dyDescent="0.35">
      <c r="A79" s="41">
        <v>46143</v>
      </c>
      <c r="B79" s="36">
        <v>349.7</v>
      </c>
      <c r="C79" s="40" t="s">
        <v>207</v>
      </c>
      <c r="D79">
        <f t="shared" si="2"/>
        <v>48.36</v>
      </c>
    </row>
    <row r="80" spans="1:7" x14ac:dyDescent="0.35">
      <c r="A80" s="41">
        <v>46054</v>
      </c>
      <c r="B80" s="36">
        <v>350.05</v>
      </c>
      <c r="C80" s="40" t="s">
        <v>208</v>
      </c>
      <c r="D80">
        <f t="shared" si="2"/>
        <v>118.79</v>
      </c>
    </row>
    <row r="81" spans="1:4" x14ac:dyDescent="0.35">
      <c r="A81" s="41">
        <v>46023</v>
      </c>
      <c r="B81" s="36">
        <v>363.85</v>
      </c>
      <c r="C81" s="40" t="s">
        <v>209</v>
      </c>
      <c r="D81">
        <f t="shared" si="2"/>
        <v>282.63</v>
      </c>
    </row>
    <row r="82" spans="1:4" x14ac:dyDescent="0.35">
      <c r="A82" t="s">
        <v>1140</v>
      </c>
      <c r="B82" s="36">
        <v>403</v>
      </c>
      <c r="C82" s="40" t="s">
        <v>210</v>
      </c>
      <c r="D82">
        <f t="shared" si="2"/>
        <v>9.9499999999999993</v>
      </c>
    </row>
    <row r="83" spans="1:4" x14ac:dyDescent="0.35">
      <c r="A83" t="s">
        <v>1141</v>
      </c>
      <c r="B83" s="36">
        <v>400.6</v>
      </c>
      <c r="C83" s="40" t="s">
        <v>211</v>
      </c>
      <c r="D83">
        <f t="shared" si="2"/>
        <v>12.34</v>
      </c>
    </row>
    <row r="84" spans="1:4" x14ac:dyDescent="0.35">
      <c r="A84" t="s">
        <v>1142</v>
      </c>
      <c r="B84" s="36">
        <v>402.6</v>
      </c>
      <c r="C84" s="40" t="s">
        <v>212</v>
      </c>
      <c r="D84">
        <f t="shared" si="2"/>
        <v>6.65</v>
      </c>
    </row>
    <row r="85" spans="1:4" x14ac:dyDescent="0.35">
      <c r="A85" t="s">
        <v>1143</v>
      </c>
      <c r="B85" s="36">
        <v>404.15</v>
      </c>
      <c r="C85" s="40" t="s">
        <v>213</v>
      </c>
      <c r="D85">
        <f t="shared" si="2"/>
        <v>3.15</v>
      </c>
    </row>
    <row r="86" spans="1:4" x14ac:dyDescent="0.35">
      <c r="A86" t="s">
        <v>1144</v>
      </c>
      <c r="B86" s="36">
        <v>406.6</v>
      </c>
      <c r="C86" s="40" t="s">
        <v>214</v>
      </c>
      <c r="D86">
        <f t="shared" si="2"/>
        <v>5.78</v>
      </c>
    </row>
    <row r="87" spans="1:4" x14ac:dyDescent="0.35">
      <c r="A87" t="s">
        <v>1145</v>
      </c>
      <c r="B87" s="36">
        <v>407.35</v>
      </c>
      <c r="C87" s="40" t="s">
        <v>215</v>
      </c>
      <c r="D87">
        <f t="shared" si="2"/>
        <v>10.08</v>
      </c>
    </row>
    <row r="88" spans="1:4" x14ac:dyDescent="0.35">
      <c r="A88" t="s">
        <v>1146</v>
      </c>
      <c r="B88" s="36">
        <v>402.7</v>
      </c>
      <c r="C88" s="40" t="s">
        <v>216</v>
      </c>
      <c r="D88">
        <f t="shared" si="2"/>
        <v>6.85</v>
      </c>
    </row>
    <row r="89" spans="1:4" x14ac:dyDescent="0.35">
      <c r="A89" t="s">
        <v>1147</v>
      </c>
      <c r="B89" s="36">
        <v>401.05</v>
      </c>
      <c r="C89" s="40" t="s">
        <v>217</v>
      </c>
      <c r="D89">
        <f t="shared" si="2"/>
        <v>10.65</v>
      </c>
    </row>
    <row r="90" spans="1:4" x14ac:dyDescent="0.35">
      <c r="A90" t="s">
        <v>1148</v>
      </c>
      <c r="B90" s="36">
        <v>400.4</v>
      </c>
      <c r="C90" s="40" t="s">
        <v>218</v>
      </c>
      <c r="D90">
        <f t="shared" si="2"/>
        <v>7.23</v>
      </c>
    </row>
    <row r="91" spans="1:4" x14ac:dyDescent="0.35">
      <c r="A91" t="s">
        <v>1149</v>
      </c>
      <c r="B91" s="36">
        <v>399.8</v>
      </c>
      <c r="C91" s="40" t="s">
        <v>219</v>
      </c>
      <c r="D91">
        <f t="shared" si="2"/>
        <v>8.09</v>
      </c>
    </row>
    <row r="92" spans="1:4" x14ac:dyDescent="0.35">
      <c r="A92" t="s">
        <v>1150</v>
      </c>
      <c r="B92" s="36">
        <v>401.7</v>
      </c>
      <c r="C92" s="40" t="s">
        <v>220</v>
      </c>
      <c r="D92">
        <f t="shared" si="2"/>
        <v>12.35</v>
      </c>
    </row>
    <row r="93" spans="1:4" x14ac:dyDescent="0.35">
      <c r="A93" t="s">
        <v>1151</v>
      </c>
      <c r="B93" s="36">
        <v>402.3</v>
      </c>
      <c r="C93" s="40" t="s">
        <v>221</v>
      </c>
      <c r="D93">
        <f t="shared" si="2"/>
        <v>7.76</v>
      </c>
    </row>
    <row r="94" spans="1:4" x14ac:dyDescent="0.35">
      <c r="A94" s="41">
        <v>46003</v>
      </c>
      <c r="B94" s="36">
        <v>400.1</v>
      </c>
      <c r="C94" s="40" t="s">
        <v>222</v>
      </c>
      <c r="D94">
        <f t="shared" si="2"/>
        <v>12.41</v>
      </c>
    </row>
    <row r="95" spans="1:4" x14ac:dyDescent="0.35">
      <c r="A95" s="41">
        <v>45973</v>
      </c>
      <c r="B95" s="36">
        <v>402.9</v>
      </c>
      <c r="C95" s="40" t="s">
        <v>223</v>
      </c>
      <c r="D95">
        <f t="shared" si="2"/>
        <v>6.98</v>
      </c>
    </row>
    <row r="96" spans="1:4" x14ac:dyDescent="0.35">
      <c r="A96" s="41">
        <v>45942</v>
      </c>
      <c r="B96" s="36">
        <v>403.15</v>
      </c>
      <c r="C96" s="40" t="s">
        <v>224</v>
      </c>
      <c r="D96">
        <f t="shared" si="2"/>
        <v>6.97</v>
      </c>
    </row>
    <row r="97" spans="1:4" x14ac:dyDescent="0.35">
      <c r="A97" s="41">
        <v>45912</v>
      </c>
      <c r="B97" s="36">
        <v>401.05</v>
      </c>
      <c r="C97" s="40" t="s">
        <v>225</v>
      </c>
      <c r="D97">
        <f t="shared" si="2"/>
        <v>9.43</v>
      </c>
    </row>
    <row r="98" spans="1:4" x14ac:dyDescent="0.35">
      <c r="A98" s="41">
        <v>45881</v>
      </c>
      <c r="B98" s="36">
        <v>402.3</v>
      </c>
      <c r="C98" s="40" t="s">
        <v>226</v>
      </c>
      <c r="D98">
        <f t="shared" si="2"/>
        <v>6.06</v>
      </c>
    </row>
    <row r="99" spans="1:4" x14ac:dyDescent="0.35">
      <c r="A99" s="41">
        <v>45789</v>
      </c>
      <c r="B99" s="36">
        <v>404.95</v>
      </c>
      <c r="C99" s="40" t="s">
        <v>227</v>
      </c>
      <c r="D99">
        <f t="shared" si="2"/>
        <v>4.42</v>
      </c>
    </row>
    <row r="100" spans="1:4" x14ac:dyDescent="0.35">
      <c r="A100" s="41">
        <v>45759</v>
      </c>
      <c r="B100" s="36">
        <v>403.05</v>
      </c>
      <c r="C100" s="40" t="s">
        <v>228</v>
      </c>
      <c r="D100">
        <f t="shared" si="2"/>
        <v>8.06</v>
      </c>
    </row>
    <row r="101" spans="1:4" x14ac:dyDescent="0.35">
      <c r="A101" s="41">
        <v>45728</v>
      </c>
      <c r="B101" s="36">
        <v>400.5</v>
      </c>
      <c r="C101" s="40" t="s">
        <v>229</v>
      </c>
      <c r="D101">
        <f t="shared" si="2"/>
        <v>10.77</v>
      </c>
    </row>
    <row r="102" spans="1:4" x14ac:dyDescent="0.35">
      <c r="A102" s="41">
        <v>45700</v>
      </c>
      <c r="B102" s="36">
        <v>400.95</v>
      </c>
      <c r="C102" s="40" t="s">
        <v>219</v>
      </c>
      <c r="D102">
        <f t="shared" si="2"/>
        <v>8.09</v>
      </c>
    </row>
    <row r="103" spans="1:4" x14ac:dyDescent="0.35">
      <c r="A103" s="41">
        <v>45669</v>
      </c>
      <c r="B103" s="36">
        <v>404.25</v>
      </c>
      <c r="C103" s="40" t="s">
        <v>230</v>
      </c>
      <c r="D103">
        <f t="shared" si="2"/>
        <v>13.44</v>
      </c>
    </row>
    <row r="104" spans="1:4" x14ac:dyDescent="0.35">
      <c r="A104" t="s">
        <v>1152</v>
      </c>
      <c r="B104" s="36">
        <v>404.25</v>
      </c>
      <c r="C104" s="40" t="s">
        <v>231</v>
      </c>
      <c r="D104">
        <f t="shared" si="2"/>
        <v>6.88</v>
      </c>
    </row>
    <row r="105" spans="1:4" x14ac:dyDescent="0.35">
      <c r="A105" t="s">
        <v>1153</v>
      </c>
      <c r="B105" s="36">
        <v>404.3</v>
      </c>
      <c r="C105" s="40" t="s">
        <v>232</v>
      </c>
      <c r="D105">
        <f t="shared" si="2"/>
        <v>8.68</v>
      </c>
    </row>
    <row r="106" spans="1:4" x14ac:dyDescent="0.35">
      <c r="A106" t="s">
        <v>1154</v>
      </c>
      <c r="B106" s="36">
        <v>402.3</v>
      </c>
      <c r="C106" s="40" t="s">
        <v>233</v>
      </c>
      <c r="D106">
        <f t="shared" si="2"/>
        <v>11.44</v>
      </c>
    </row>
    <row r="107" spans="1:4" x14ac:dyDescent="0.35">
      <c r="A107" t="s">
        <v>1155</v>
      </c>
      <c r="B107" s="36">
        <v>400.8</v>
      </c>
      <c r="C107" s="40" t="s">
        <v>234</v>
      </c>
      <c r="D107">
        <f t="shared" si="2"/>
        <v>8.1999999999999993</v>
      </c>
    </row>
    <row r="108" spans="1:4" x14ac:dyDescent="0.35">
      <c r="A108" t="s">
        <v>1156</v>
      </c>
      <c r="B108" s="36">
        <v>403.55</v>
      </c>
      <c r="C108" s="40" t="s">
        <v>235</v>
      </c>
      <c r="D108">
        <f t="shared" si="2"/>
        <v>11.04</v>
      </c>
    </row>
    <row r="109" spans="1:4" x14ac:dyDescent="0.35">
      <c r="A109" t="s">
        <v>1157</v>
      </c>
      <c r="B109" s="36">
        <v>407.85</v>
      </c>
      <c r="C109" s="40" t="s">
        <v>236</v>
      </c>
      <c r="D109">
        <f t="shared" si="2"/>
        <v>5.81</v>
      </c>
    </row>
    <row r="110" spans="1:4" x14ac:dyDescent="0.35">
      <c r="A110" t="s">
        <v>1158</v>
      </c>
      <c r="B110" s="36">
        <v>405.45</v>
      </c>
      <c r="C110" s="40" t="s">
        <v>237</v>
      </c>
      <c r="D110">
        <f t="shared" si="2"/>
        <v>6.69</v>
      </c>
    </row>
    <row r="111" spans="1:4" x14ac:dyDescent="0.35">
      <c r="A111" t="s">
        <v>1159</v>
      </c>
      <c r="B111" s="36">
        <v>403.55</v>
      </c>
      <c r="C111" s="40" t="s">
        <v>238</v>
      </c>
      <c r="D111">
        <f t="shared" si="2"/>
        <v>7.88</v>
      </c>
    </row>
    <row r="112" spans="1:4" x14ac:dyDescent="0.35">
      <c r="A112" t="s">
        <v>1160</v>
      </c>
      <c r="B112" s="36">
        <v>405.85</v>
      </c>
      <c r="C112" s="40" t="s">
        <v>239</v>
      </c>
      <c r="D112">
        <f t="shared" si="2"/>
        <v>7.66</v>
      </c>
    </row>
    <row r="113" spans="1:4" x14ac:dyDescent="0.35">
      <c r="A113" t="s">
        <v>1161</v>
      </c>
      <c r="B113" s="36">
        <v>407.1</v>
      </c>
      <c r="C113" s="40" t="s">
        <v>240</v>
      </c>
      <c r="D113">
        <f t="shared" si="2"/>
        <v>7.86</v>
      </c>
    </row>
    <row r="114" spans="1:4" x14ac:dyDescent="0.35">
      <c r="A114" t="s">
        <v>1162</v>
      </c>
      <c r="B114" s="36">
        <v>408.15</v>
      </c>
      <c r="C114" s="40" t="s">
        <v>241</v>
      </c>
      <c r="D114">
        <f t="shared" si="2"/>
        <v>64.02</v>
      </c>
    </row>
    <row r="115" spans="1:4" x14ac:dyDescent="0.35">
      <c r="A115" t="s">
        <v>1163</v>
      </c>
      <c r="B115" s="36">
        <v>405.7</v>
      </c>
      <c r="C115" s="40" t="s">
        <v>242</v>
      </c>
      <c r="D115">
        <f t="shared" si="2"/>
        <v>6.62</v>
      </c>
    </row>
    <row r="116" spans="1:4" x14ac:dyDescent="0.35">
      <c r="A116" s="41">
        <v>46002</v>
      </c>
      <c r="B116" s="36">
        <v>407</v>
      </c>
      <c r="C116" s="40" t="s">
        <v>243</v>
      </c>
      <c r="D116">
        <f t="shared" si="2"/>
        <v>7.99</v>
      </c>
    </row>
    <row r="117" spans="1:4" x14ac:dyDescent="0.35">
      <c r="A117" s="41">
        <v>45972</v>
      </c>
      <c r="B117" s="36">
        <v>406.85</v>
      </c>
      <c r="C117" s="40" t="s">
        <v>244</v>
      </c>
      <c r="D117">
        <f t="shared" si="2"/>
        <v>12.01</v>
      </c>
    </row>
    <row r="118" spans="1:4" x14ac:dyDescent="0.35">
      <c r="A118" s="41">
        <v>45941</v>
      </c>
      <c r="B118" s="36">
        <v>405.55</v>
      </c>
      <c r="C118" s="40" t="s">
        <v>212</v>
      </c>
      <c r="D118">
        <f t="shared" si="2"/>
        <v>6.65</v>
      </c>
    </row>
    <row r="119" spans="1:4" x14ac:dyDescent="0.35">
      <c r="A119" s="41">
        <v>45849</v>
      </c>
      <c r="B119" s="36">
        <v>404.05</v>
      </c>
      <c r="C119" s="40" t="s">
        <v>245</v>
      </c>
      <c r="D119">
        <f t="shared" si="2"/>
        <v>8.41</v>
      </c>
    </row>
    <row r="120" spans="1:4" x14ac:dyDescent="0.35">
      <c r="A120" s="41">
        <v>45819</v>
      </c>
      <c r="B120" s="36">
        <v>407.5</v>
      </c>
      <c r="C120" s="40" t="s">
        <v>246</v>
      </c>
      <c r="D120">
        <f t="shared" si="2"/>
        <v>10.1</v>
      </c>
    </row>
    <row r="121" spans="1:4" x14ac:dyDescent="0.35">
      <c r="A121" s="41">
        <v>45758</v>
      </c>
      <c r="B121" s="36">
        <v>408.9</v>
      </c>
      <c r="C121" s="40" t="s">
        <v>247</v>
      </c>
      <c r="D121">
        <f t="shared" si="2"/>
        <v>10.09</v>
      </c>
    </row>
    <row r="122" spans="1:4" x14ac:dyDescent="0.35">
      <c r="A122" s="41">
        <v>45727</v>
      </c>
      <c r="B122" s="36">
        <v>413.95</v>
      </c>
      <c r="C122" s="40" t="s">
        <v>248</v>
      </c>
      <c r="D122">
        <f t="shared" si="2"/>
        <v>7.64</v>
      </c>
    </row>
    <row r="123" spans="1:4" x14ac:dyDescent="0.35">
      <c r="A123" t="s">
        <v>1164</v>
      </c>
      <c r="B123" s="36">
        <v>420.35</v>
      </c>
      <c r="C123" s="40" t="s">
        <v>150</v>
      </c>
      <c r="D123">
        <f t="shared" si="2"/>
        <v>18.600000000000001</v>
      </c>
    </row>
    <row r="124" spans="1:4" x14ac:dyDescent="0.35">
      <c r="A124" t="s">
        <v>1165</v>
      </c>
      <c r="B124" s="36">
        <v>418.75</v>
      </c>
      <c r="C124" s="40" t="s">
        <v>249</v>
      </c>
      <c r="D124">
        <f t="shared" si="2"/>
        <v>12.94</v>
      </c>
    </row>
    <row r="125" spans="1:4" x14ac:dyDescent="0.35">
      <c r="A125" t="s">
        <v>1166</v>
      </c>
      <c r="B125" s="36">
        <v>421.6</v>
      </c>
      <c r="C125" s="40" t="s">
        <v>250</v>
      </c>
      <c r="D125">
        <f t="shared" si="2"/>
        <v>11.47</v>
      </c>
    </row>
    <row r="126" spans="1:4" x14ac:dyDescent="0.35">
      <c r="A126" t="s">
        <v>1167</v>
      </c>
      <c r="B126" s="36">
        <v>417.9</v>
      </c>
      <c r="C126" s="40" t="s">
        <v>251</v>
      </c>
      <c r="D126">
        <f t="shared" si="2"/>
        <v>17.16</v>
      </c>
    </row>
    <row r="127" spans="1:4" x14ac:dyDescent="0.35">
      <c r="A127" t="s">
        <v>1168</v>
      </c>
      <c r="B127" s="36">
        <v>420.65</v>
      </c>
      <c r="C127" s="40" t="s">
        <v>252</v>
      </c>
      <c r="D127">
        <f t="shared" si="2"/>
        <v>11.6</v>
      </c>
    </row>
    <row r="128" spans="1:4" x14ac:dyDescent="0.35">
      <c r="A128" t="s">
        <v>1169</v>
      </c>
      <c r="B128" s="36">
        <v>416.8</v>
      </c>
      <c r="C128" s="40" t="s">
        <v>253</v>
      </c>
      <c r="D128">
        <f t="shared" si="2"/>
        <v>14.94</v>
      </c>
    </row>
    <row r="129" spans="1:4" x14ac:dyDescent="0.35">
      <c r="A129" t="s">
        <v>1170</v>
      </c>
      <c r="B129" s="36">
        <v>415.95</v>
      </c>
      <c r="C129" s="40" t="s">
        <v>254</v>
      </c>
      <c r="D129">
        <f t="shared" si="2"/>
        <v>24.31</v>
      </c>
    </row>
    <row r="130" spans="1:4" x14ac:dyDescent="0.35">
      <c r="A130" t="s">
        <v>1171</v>
      </c>
      <c r="B130" s="36">
        <v>412.85</v>
      </c>
      <c r="C130" s="40" t="s">
        <v>255</v>
      </c>
      <c r="D130">
        <f t="shared" ref="D130:D193" si="3">(VALUE(SUBSTITUTE(C130,"M",""))*1000000)/1000000</f>
        <v>1.1399999999999999</v>
      </c>
    </row>
    <row r="131" spans="1:4" x14ac:dyDescent="0.35">
      <c r="A131" t="s">
        <v>1172</v>
      </c>
      <c r="B131" s="36">
        <v>413.05</v>
      </c>
      <c r="C131" s="40" t="s">
        <v>256</v>
      </c>
      <c r="D131">
        <f t="shared" si="3"/>
        <v>13.08</v>
      </c>
    </row>
    <row r="132" spans="1:4" x14ac:dyDescent="0.35">
      <c r="A132" t="s">
        <v>1173</v>
      </c>
      <c r="B132" s="36">
        <v>412.15</v>
      </c>
      <c r="C132" s="40" t="s">
        <v>257</v>
      </c>
      <c r="D132">
        <f t="shared" si="3"/>
        <v>21.07</v>
      </c>
    </row>
    <row r="133" spans="1:4" x14ac:dyDescent="0.35">
      <c r="A133" t="s">
        <v>1174</v>
      </c>
      <c r="B133" s="36">
        <v>405.15</v>
      </c>
      <c r="C133" s="40" t="s">
        <v>258</v>
      </c>
      <c r="D133">
        <f t="shared" si="3"/>
        <v>22.96</v>
      </c>
    </row>
    <row r="134" spans="1:4" x14ac:dyDescent="0.35">
      <c r="A134" t="s">
        <v>1175</v>
      </c>
      <c r="B134" s="36">
        <v>399.9</v>
      </c>
      <c r="C134" s="40" t="s">
        <v>259</v>
      </c>
      <c r="D134">
        <f t="shared" si="3"/>
        <v>16.04</v>
      </c>
    </row>
    <row r="135" spans="1:4" x14ac:dyDescent="0.35">
      <c r="A135" t="s">
        <v>1176</v>
      </c>
      <c r="B135" s="36">
        <v>396.8</v>
      </c>
      <c r="C135" s="40" t="s">
        <v>260</v>
      </c>
      <c r="D135">
        <f t="shared" si="3"/>
        <v>10.29</v>
      </c>
    </row>
    <row r="136" spans="1:4" x14ac:dyDescent="0.35">
      <c r="A136" t="s">
        <v>1177</v>
      </c>
      <c r="B136" s="36">
        <v>399.25</v>
      </c>
      <c r="C136" s="40" t="s">
        <v>261</v>
      </c>
      <c r="D136">
        <f t="shared" si="3"/>
        <v>9.51</v>
      </c>
    </row>
    <row r="137" spans="1:4" x14ac:dyDescent="0.35">
      <c r="A137" s="41">
        <v>45940</v>
      </c>
      <c r="B137" s="36">
        <v>402.8</v>
      </c>
      <c r="C137" s="40" t="s">
        <v>262</v>
      </c>
      <c r="D137">
        <f t="shared" si="3"/>
        <v>15.09</v>
      </c>
    </row>
    <row r="138" spans="1:4" x14ac:dyDescent="0.35">
      <c r="A138" s="41">
        <v>45910</v>
      </c>
      <c r="B138" s="36">
        <v>399.9</v>
      </c>
      <c r="C138" s="40" t="s">
        <v>263</v>
      </c>
      <c r="D138">
        <f t="shared" si="3"/>
        <v>15.66</v>
      </c>
    </row>
    <row r="139" spans="1:4" x14ac:dyDescent="0.35">
      <c r="A139" s="41">
        <v>45879</v>
      </c>
      <c r="B139" s="36">
        <v>399.75</v>
      </c>
      <c r="C139" s="40" t="s">
        <v>264</v>
      </c>
      <c r="D139">
        <f t="shared" si="3"/>
        <v>8.4</v>
      </c>
    </row>
    <row r="140" spans="1:4" x14ac:dyDescent="0.35">
      <c r="A140" s="41">
        <v>45848</v>
      </c>
      <c r="B140" s="36">
        <v>399.8</v>
      </c>
      <c r="C140" s="40" t="s">
        <v>265</v>
      </c>
      <c r="D140">
        <f t="shared" si="3"/>
        <v>12.3</v>
      </c>
    </row>
    <row r="141" spans="1:4" x14ac:dyDescent="0.35">
      <c r="A141" s="41">
        <v>45818</v>
      </c>
      <c r="B141" s="36">
        <v>400.75</v>
      </c>
      <c r="C141" s="40" t="s">
        <v>266</v>
      </c>
      <c r="D141">
        <f t="shared" si="3"/>
        <v>13.99</v>
      </c>
    </row>
    <row r="142" spans="1:4" x14ac:dyDescent="0.35">
      <c r="A142" s="41">
        <v>45726</v>
      </c>
      <c r="B142" s="36">
        <v>404.3</v>
      </c>
      <c r="C142" s="40" t="s">
        <v>267</v>
      </c>
      <c r="D142">
        <f t="shared" si="3"/>
        <v>16.989999999999998</v>
      </c>
    </row>
    <row r="143" spans="1:4" x14ac:dyDescent="0.35">
      <c r="A143" s="41">
        <v>45667</v>
      </c>
      <c r="B143" s="36">
        <v>405.6</v>
      </c>
      <c r="C143" s="40" t="s">
        <v>268</v>
      </c>
      <c r="D143">
        <f t="shared" si="3"/>
        <v>17.64</v>
      </c>
    </row>
    <row r="144" spans="1:4" x14ac:dyDescent="0.35">
      <c r="A144" t="s">
        <v>1178</v>
      </c>
      <c r="B144" s="36">
        <v>401.55</v>
      </c>
      <c r="C144" s="40" t="s">
        <v>269</v>
      </c>
      <c r="D144">
        <f t="shared" si="3"/>
        <v>9.4700000000000006</v>
      </c>
    </row>
    <row r="145" spans="1:4" x14ac:dyDescent="0.35">
      <c r="A145" t="s">
        <v>1179</v>
      </c>
      <c r="B145" s="36">
        <v>407.25</v>
      </c>
      <c r="C145" s="40" t="s">
        <v>270</v>
      </c>
      <c r="D145">
        <f t="shared" si="3"/>
        <v>19.72</v>
      </c>
    </row>
    <row r="146" spans="1:4" x14ac:dyDescent="0.35">
      <c r="A146" t="s">
        <v>1180</v>
      </c>
      <c r="B146" s="36">
        <v>405.1</v>
      </c>
      <c r="C146" s="40" t="s">
        <v>271</v>
      </c>
      <c r="D146">
        <f t="shared" si="3"/>
        <v>14.41</v>
      </c>
    </row>
    <row r="147" spans="1:4" x14ac:dyDescent="0.35">
      <c r="A147" t="s">
        <v>1181</v>
      </c>
      <c r="B147" s="36">
        <v>400.1</v>
      </c>
      <c r="C147" s="40" t="s">
        <v>272</v>
      </c>
      <c r="D147">
        <f t="shared" si="3"/>
        <v>22.01</v>
      </c>
    </row>
    <row r="148" spans="1:4" x14ac:dyDescent="0.35">
      <c r="A148" t="s">
        <v>1182</v>
      </c>
      <c r="B148" s="36">
        <v>401</v>
      </c>
      <c r="C148" s="40" t="s">
        <v>273</v>
      </c>
      <c r="D148">
        <f t="shared" si="3"/>
        <v>12.38</v>
      </c>
    </row>
    <row r="149" spans="1:4" x14ac:dyDescent="0.35">
      <c r="A149" t="s">
        <v>1183</v>
      </c>
      <c r="B149" s="36">
        <v>403.2</v>
      </c>
      <c r="C149" s="40" t="s">
        <v>253</v>
      </c>
      <c r="D149">
        <f t="shared" si="3"/>
        <v>14.94</v>
      </c>
    </row>
    <row r="150" spans="1:4" x14ac:dyDescent="0.35">
      <c r="A150" t="s">
        <v>1184</v>
      </c>
      <c r="B150" s="36">
        <v>406.95</v>
      </c>
      <c r="C150" s="40" t="s">
        <v>274</v>
      </c>
      <c r="D150">
        <f t="shared" si="3"/>
        <v>8.93</v>
      </c>
    </row>
    <row r="151" spans="1:4" x14ac:dyDescent="0.35">
      <c r="A151" t="s">
        <v>1185</v>
      </c>
      <c r="B151" s="36">
        <v>410.65</v>
      </c>
      <c r="C151" s="40" t="s">
        <v>275</v>
      </c>
      <c r="D151">
        <f t="shared" si="3"/>
        <v>19.510000000000002</v>
      </c>
    </row>
    <row r="152" spans="1:4" x14ac:dyDescent="0.35">
      <c r="A152" t="s">
        <v>1186</v>
      </c>
      <c r="B152" s="36">
        <v>411.55</v>
      </c>
      <c r="C152" s="40" t="s">
        <v>276</v>
      </c>
      <c r="D152">
        <f t="shared" si="3"/>
        <v>15.65</v>
      </c>
    </row>
    <row r="153" spans="1:4" x14ac:dyDescent="0.35">
      <c r="A153" t="s">
        <v>1187</v>
      </c>
      <c r="B153" s="36">
        <v>409.3</v>
      </c>
      <c r="C153" s="40" t="s">
        <v>277</v>
      </c>
      <c r="D153">
        <f t="shared" si="3"/>
        <v>14.11</v>
      </c>
    </row>
    <row r="154" spans="1:4" x14ac:dyDescent="0.35">
      <c r="A154" t="s">
        <v>1188</v>
      </c>
      <c r="B154" s="36">
        <v>413.1</v>
      </c>
      <c r="C154" s="40" t="s">
        <v>278</v>
      </c>
      <c r="D154">
        <f t="shared" si="3"/>
        <v>8.24</v>
      </c>
    </row>
    <row r="155" spans="1:4" x14ac:dyDescent="0.35">
      <c r="A155" t="s">
        <v>1189</v>
      </c>
      <c r="B155" s="36">
        <v>412.65</v>
      </c>
      <c r="C155" s="40" t="s">
        <v>279</v>
      </c>
      <c r="D155">
        <f t="shared" si="3"/>
        <v>5.71</v>
      </c>
    </row>
    <row r="156" spans="1:4" x14ac:dyDescent="0.35">
      <c r="A156" s="41">
        <v>46000</v>
      </c>
      <c r="B156" s="36">
        <v>413.75</v>
      </c>
      <c r="C156" s="40" t="s">
        <v>280</v>
      </c>
      <c r="D156">
        <f t="shared" si="3"/>
        <v>7.8</v>
      </c>
    </row>
    <row r="157" spans="1:4" x14ac:dyDescent="0.35">
      <c r="A157" s="41">
        <v>45970</v>
      </c>
      <c r="B157" s="36">
        <v>415.05</v>
      </c>
      <c r="C157" s="40" t="s">
        <v>281</v>
      </c>
      <c r="D157">
        <f t="shared" si="3"/>
        <v>8.27</v>
      </c>
    </row>
    <row r="158" spans="1:4" x14ac:dyDescent="0.35">
      <c r="A158" s="41">
        <v>45939</v>
      </c>
      <c r="B158" s="36">
        <v>413.05</v>
      </c>
      <c r="C158" s="40" t="s">
        <v>282</v>
      </c>
      <c r="D158">
        <f t="shared" si="3"/>
        <v>9.25</v>
      </c>
    </row>
    <row r="159" spans="1:4" x14ac:dyDescent="0.35">
      <c r="A159" s="41">
        <v>45909</v>
      </c>
      <c r="B159" s="36">
        <v>410.05</v>
      </c>
      <c r="C159" s="40" t="s">
        <v>283</v>
      </c>
      <c r="D159">
        <f t="shared" si="3"/>
        <v>8.83</v>
      </c>
    </row>
    <row r="160" spans="1:4" x14ac:dyDescent="0.35">
      <c r="A160" s="41">
        <v>45878</v>
      </c>
      <c r="B160" s="36">
        <v>407.55</v>
      </c>
      <c r="C160" s="40" t="s">
        <v>284</v>
      </c>
      <c r="D160">
        <f t="shared" si="3"/>
        <v>7.42</v>
      </c>
    </row>
    <row r="161" spans="1:4" x14ac:dyDescent="0.35">
      <c r="A161" s="41">
        <v>45786</v>
      </c>
      <c r="B161" s="36">
        <v>407.35</v>
      </c>
      <c r="C161" s="40" t="s">
        <v>285</v>
      </c>
      <c r="D161">
        <f t="shared" si="3"/>
        <v>16</v>
      </c>
    </row>
    <row r="162" spans="1:4" x14ac:dyDescent="0.35">
      <c r="A162" s="41">
        <v>45756</v>
      </c>
      <c r="B162" s="36">
        <v>415.9</v>
      </c>
      <c r="C162" s="40" t="s">
        <v>286</v>
      </c>
      <c r="D162">
        <f t="shared" si="3"/>
        <v>27.27</v>
      </c>
    </row>
    <row r="163" spans="1:4" x14ac:dyDescent="0.35">
      <c r="A163" s="41">
        <v>45725</v>
      </c>
      <c r="B163" s="36">
        <v>411.75</v>
      </c>
      <c r="C163" s="40" t="s">
        <v>249</v>
      </c>
      <c r="D163">
        <f t="shared" si="3"/>
        <v>12.94</v>
      </c>
    </row>
    <row r="164" spans="1:4" x14ac:dyDescent="0.35">
      <c r="A164" s="41">
        <v>45697</v>
      </c>
      <c r="B164" s="36">
        <v>406.75</v>
      </c>
      <c r="C164" s="40" t="s">
        <v>287</v>
      </c>
      <c r="D164">
        <f t="shared" si="3"/>
        <v>19.809999999999999</v>
      </c>
    </row>
    <row r="165" spans="1:4" x14ac:dyDescent="0.35">
      <c r="A165" s="41">
        <v>45666</v>
      </c>
      <c r="B165" s="36">
        <v>405.85</v>
      </c>
      <c r="C165" s="40" t="s">
        <v>288</v>
      </c>
      <c r="D165">
        <f t="shared" si="3"/>
        <v>12.27</v>
      </c>
    </row>
    <row r="166" spans="1:4" x14ac:dyDescent="0.35">
      <c r="A166" t="s">
        <v>1190</v>
      </c>
      <c r="B166" s="36">
        <v>409.75</v>
      </c>
      <c r="C166" s="40" t="s">
        <v>289</v>
      </c>
      <c r="D166">
        <f t="shared" si="3"/>
        <v>25.26</v>
      </c>
    </row>
    <row r="167" spans="1:4" x14ac:dyDescent="0.35">
      <c r="A167" t="s">
        <v>1191</v>
      </c>
      <c r="B167" s="36">
        <v>400.9</v>
      </c>
      <c r="C167" s="40" t="s">
        <v>290</v>
      </c>
      <c r="D167">
        <f t="shared" si="3"/>
        <v>12.47</v>
      </c>
    </row>
    <row r="168" spans="1:4" x14ac:dyDescent="0.35">
      <c r="A168" t="s">
        <v>1192</v>
      </c>
      <c r="B168" s="36">
        <v>403.35</v>
      </c>
      <c r="C168" s="40" t="s">
        <v>291</v>
      </c>
      <c r="D168">
        <f t="shared" si="3"/>
        <v>13.72</v>
      </c>
    </row>
    <row r="169" spans="1:4" x14ac:dyDescent="0.35">
      <c r="A169" t="s">
        <v>1193</v>
      </c>
      <c r="B169" s="36">
        <v>399.35</v>
      </c>
      <c r="C169" s="40" t="s">
        <v>292</v>
      </c>
      <c r="D169">
        <f t="shared" si="3"/>
        <v>10.44</v>
      </c>
    </row>
    <row r="170" spans="1:4" x14ac:dyDescent="0.35">
      <c r="A170" t="s">
        <v>1194</v>
      </c>
      <c r="B170" s="36">
        <v>398.3</v>
      </c>
      <c r="C170" s="40" t="s">
        <v>293</v>
      </c>
      <c r="D170">
        <f t="shared" si="3"/>
        <v>13.09</v>
      </c>
    </row>
    <row r="171" spans="1:4" x14ac:dyDescent="0.35">
      <c r="A171" t="s">
        <v>1195</v>
      </c>
      <c r="B171" s="36">
        <v>405.55</v>
      </c>
      <c r="C171" s="40" t="s">
        <v>294</v>
      </c>
      <c r="D171">
        <f t="shared" si="3"/>
        <v>15.03</v>
      </c>
    </row>
    <row r="172" spans="1:4" x14ac:dyDescent="0.35">
      <c r="A172" t="s">
        <v>1196</v>
      </c>
      <c r="B172" s="36">
        <v>406.05</v>
      </c>
      <c r="C172" s="40" t="s">
        <v>295</v>
      </c>
      <c r="D172">
        <f t="shared" si="3"/>
        <v>18.190000000000001</v>
      </c>
    </row>
    <row r="173" spans="1:4" x14ac:dyDescent="0.35">
      <c r="A173" t="s">
        <v>1197</v>
      </c>
      <c r="B173" s="36">
        <v>409.1</v>
      </c>
      <c r="C173" s="40" t="s">
        <v>296</v>
      </c>
      <c r="D173">
        <f t="shared" si="3"/>
        <v>16.68</v>
      </c>
    </row>
    <row r="174" spans="1:4" x14ac:dyDescent="0.35">
      <c r="A174" t="s">
        <v>1198</v>
      </c>
      <c r="B174" s="36">
        <v>406.3</v>
      </c>
      <c r="C174" s="40" t="s">
        <v>297</v>
      </c>
      <c r="D174">
        <f t="shared" si="3"/>
        <v>30.95</v>
      </c>
    </row>
    <row r="175" spans="1:4" x14ac:dyDescent="0.35">
      <c r="A175" t="s">
        <v>1199</v>
      </c>
      <c r="B175" s="36">
        <v>411.45</v>
      </c>
      <c r="C175" s="40" t="s">
        <v>298</v>
      </c>
      <c r="D175">
        <f t="shared" si="3"/>
        <v>9.58</v>
      </c>
    </row>
    <row r="176" spans="1:4" x14ac:dyDescent="0.35">
      <c r="A176" t="s">
        <v>1200</v>
      </c>
      <c r="B176" s="36">
        <v>414.1</v>
      </c>
      <c r="C176" s="40" t="s">
        <v>299</v>
      </c>
      <c r="D176">
        <f t="shared" si="3"/>
        <v>10.87</v>
      </c>
    </row>
    <row r="177" spans="1:4" x14ac:dyDescent="0.35">
      <c r="A177" s="41">
        <v>45999</v>
      </c>
      <c r="B177" s="36">
        <v>416.35</v>
      </c>
      <c r="C177" s="40" t="s">
        <v>300</v>
      </c>
      <c r="D177">
        <f t="shared" si="3"/>
        <v>13.64</v>
      </c>
    </row>
    <row r="178" spans="1:4" x14ac:dyDescent="0.35">
      <c r="A178" s="41">
        <v>45969</v>
      </c>
      <c r="B178" s="36">
        <v>416.85</v>
      </c>
      <c r="C178" s="40" t="s">
        <v>301</v>
      </c>
      <c r="D178">
        <f t="shared" si="3"/>
        <v>8.51</v>
      </c>
    </row>
    <row r="179" spans="1:4" x14ac:dyDescent="0.35">
      <c r="A179" s="41">
        <v>45877</v>
      </c>
      <c r="B179" s="36">
        <v>414.5</v>
      </c>
      <c r="C179" s="40" t="s">
        <v>302</v>
      </c>
      <c r="D179">
        <f t="shared" si="3"/>
        <v>9.81</v>
      </c>
    </row>
    <row r="180" spans="1:4" x14ac:dyDescent="0.35">
      <c r="A180" s="41">
        <v>45846</v>
      </c>
      <c r="B180" s="36">
        <v>413.6</v>
      </c>
      <c r="C180" s="40" t="s">
        <v>303</v>
      </c>
      <c r="D180">
        <f t="shared" si="3"/>
        <v>11.51</v>
      </c>
    </row>
    <row r="181" spans="1:4" x14ac:dyDescent="0.35">
      <c r="A181" s="41">
        <v>45816</v>
      </c>
      <c r="B181" s="36">
        <v>412</v>
      </c>
      <c r="C181" s="40" t="s">
        <v>304</v>
      </c>
      <c r="D181">
        <f t="shared" si="3"/>
        <v>9.08</v>
      </c>
    </row>
    <row r="182" spans="1:4" x14ac:dyDescent="0.35">
      <c r="A182" s="41">
        <v>45785</v>
      </c>
      <c r="B182" s="36">
        <v>414.15</v>
      </c>
      <c r="C182" s="40" t="s">
        <v>305</v>
      </c>
      <c r="D182">
        <f t="shared" si="3"/>
        <v>8.5</v>
      </c>
    </row>
    <row r="183" spans="1:4" x14ac:dyDescent="0.35">
      <c r="A183" s="41">
        <v>45755</v>
      </c>
      <c r="B183" s="36">
        <v>416.85</v>
      </c>
      <c r="C183" s="40" t="s">
        <v>164</v>
      </c>
      <c r="D183">
        <f t="shared" si="3"/>
        <v>18.350000000000001</v>
      </c>
    </row>
    <row r="184" spans="1:4" x14ac:dyDescent="0.35">
      <c r="A184" s="41">
        <v>45665</v>
      </c>
      <c r="B184" s="36">
        <v>416.45</v>
      </c>
      <c r="C184" s="40" t="s">
        <v>306</v>
      </c>
      <c r="D184">
        <f t="shared" si="3"/>
        <v>14.32</v>
      </c>
    </row>
    <row r="185" spans="1:4" x14ac:dyDescent="0.35">
      <c r="A185" t="s">
        <v>1201</v>
      </c>
      <c r="B185" s="36">
        <v>411.95</v>
      </c>
      <c r="C185" s="40" t="s">
        <v>307</v>
      </c>
      <c r="D185">
        <f t="shared" si="3"/>
        <v>19.36</v>
      </c>
    </row>
    <row r="186" spans="1:4" x14ac:dyDescent="0.35">
      <c r="A186" t="s">
        <v>1202</v>
      </c>
      <c r="B186" s="36">
        <v>407.6</v>
      </c>
      <c r="C186" s="40" t="s">
        <v>308</v>
      </c>
      <c r="D186">
        <f t="shared" si="3"/>
        <v>10.92</v>
      </c>
    </row>
    <row r="187" spans="1:4" x14ac:dyDescent="0.35">
      <c r="A187" t="s">
        <v>1203</v>
      </c>
      <c r="B187" s="36">
        <v>408.45</v>
      </c>
      <c r="C187" s="40" t="s">
        <v>309</v>
      </c>
      <c r="D187">
        <f t="shared" si="3"/>
        <v>6.81</v>
      </c>
    </row>
    <row r="188" spans="1:4" x14ac:dyDescent="0.35">
      <c r="A188" t="s">
        <v>1204</v>
      </c>
      <c r="B188" s="36">
        <v>409.9</v>
      </c>
      <c r="C188" s="40" t="s">
        <v>310</v>
      </c>
      <c r="D188">
        <f t="shared" si="3"/>
        <v>8.1199999999999992</v>
      </c>
    </row>
    <row r="189" spans="1:4" x14ac:dyDescent="0.35">
      <c r="A189" t="s">
        <v>1205</v>
      </c>
      <c r="B189" s="36">
        <v>409.4</v>
      </c>
      <c r="C189" s="40" t="s">
        <v>311</v>
      </c>
      <c r="D189">
        <f t="shared" si="3"/>
        <v>5.82</v>
      </c>
    </row>
    <row r="190" spans="1:4" x14ac:dyDescent="0.35">
      <c r="A190" t="s">
        <v>1206</v>
      </c>
      <c r="B190" s="36">
        <v>409.95</v>
      </c>
      <c r="C190" s="40" t="s">
        <v>312</v>
      </c>
      <c r="D190">
        <f t="shared" si="3"/>
        <v>9.01</v>
      </c>
    </row>
    <row r="191" spans="1:4" x14ac:dyDescent="0.35">
      <c r="A191" t="s">
        <v>1207</v>
      </c>
      <c r="B191" s="36">
        <v>414.95</v>
      </c>
      <c r="C191" s="40" t="s">
        <v>313</v>
      </c>
      <c r="D191">
        <f t="shared" si="3"/>
        <v>12.2</v>
      </c>
    </row>
    <row r="192" spans="1:4" x14ac:dyDescent="0.35">
      <c r="A192" t="s">
        <v>1208</v>
      </c>
      <c r="B192" s="36">
        <v>416</v>
      </c>
      <c r="C192" s="40" t="s">
        <v>314</v>
      </c>
      <c r="D192">
        <f t="shared" si="3"/>
        <v>9.8699999999999992</v>
      </c>
    </row>
    <row r="193" spans="1:4" x14ac:dyDescent="0.35">
      <c r="A193" t="s">
        <v>1209</v>
      </c>
      <c r="B193" s="36">
        <v>420.1</v>
      </c>
      <c r="C193" s="40" t="s">
        <v>315</v>
      </c>
      <c r="D193">
        <f t="shared" si="3"/>
        <v>4.82</v>
      </c>
    </row>
    <row r="194" spans="1:4" x14ac:dyDescent="0.35">
      <c r="A194" t="s">
        <v>1210</v>
      </c>
      <c r="B194" s="36">
        <v>422.75</v>
      </c>
      <c r="C194" s="40" t="s">
        <v>316</v>
      </c>
      <c r="D194">
        <f t="shared" ref="D194:D257" si="4">(VALUE(SUBSTITUTE(C194,"M",""))*1000000)/1000000</f>
        <v>6.73</v>
      </c>
    </row>
    <row r="195" spans="1:4" x14ac:dyDescent="0.35">
      <c r="A195" t="s">
        <v>1211</v>
      </c>
      <c r="B195" s="36">
        <v>423.95</v>
      </c>
      <c r="C195" s="40" t="s">
        <v>317</v>
      </c>
      <c r="D195">
        <f t="shared" si="4"/>
        <v>7.24</v>
      </c>
    </row>
    <row r="196" spans="1:4" x14ac:dyDescent="0.35">
      <c r="A196" t="s">
        <v>1212</v>
      </c>
      <c r="B196" s="36">
        <v>424.6</v>
      </c>
      <c r="C196" s="40" t="s">
        <v>318</v>
      </c>
      <c r="D196">
        <f t="shared" si="4"/>
        <v>9.7799999999999994</v>
      </c>
    </row>
    <row r="197" spans="1:4" x14ac:dyDescent="0.35">
      <c r="A197" t="s">
        <v>1213</v>
      </c>
      <c r="B197" s="36">
        <v>422.1</v>
      </c>
      <c r="C197" s="40" t="s">
        <v>319</v>
      </c>
      <c r="D197">
        <f t="shared" si="4"/>
        <v>8.5299999999999994</v>
      </c>
    </row>
    <row r="198" spans="1:4" x14ac:dyDescent="0.35">
      <c r="A198" t="s">
        <v>1214</v>
      </c>
      <c r="B198" s="36">
        <v>419.4</v>
      </c>
      <c r="C198" s="40" t="s">
        <v>320</v>
      </c>
      <c r="D198">
        <f t="shared" si="4"/>
        <v>6.9</v>
      </c>
    </row>
    <row r="199" spans="1:4" x14ac:dyDescent="0.35">
      <c r="A199" s="41">
        <v>45968</v>
      </c>
      <c r="B199" s="36">
        <v>416.8</v>
      </c>
      <c r="C199" s="40" t="s">
        <v>321</v>
      </c>
      <c r="D199">
        <f t="shared" si="4"/>
        <v>8.58</v>
      </c>
    </row>
    <row r="200" spans="1:4" x14ac:dyDescent="0.35">
      <c r="A200" s="41">
        <v>45937</v>
      </c>
      <c r="B200" s="36">
        <v>416.85</v>
      </c>
      <c r="C200" s="40" t="s">
        <v>322</v>
      </c>
      <c r="D200">
        <f t="shared" si="4"/>
        <v>6.22</v>
      </c>
    </row>
    <row r="201" spans="1:4" x14ac:dyDescent="0.35">
      <c r="A201" s="41">
        <v>45907</v>
      </c>
      <c r="B201" s="36">
        <v>419.45</v>
      </c>
      <c r="C201" s="40" t="s">
        <v>323</v>
      </c>
      <c r="D201">
        <f t="shared" si="4"/>
        <v>9.93</v>
      </c>
    </row>
    <row r="202" spans="1:4" x14ac:dyDescent="0.35">
      <c r="A202" s="41">
        <v>45876</v>
      </c>
      <c r="B202" s="36">
        <v>417.2</v>
      </c>
      <c r="C202" s="40" t="s">
        <v>309</v>
      </c>
      <c r="D202">
        <f t="shared" si="4"/>
        <v>6.81</v>
      </c>
    </row>
    <row r="203" spans="1:4" x14ac:dyDescent="0.35">
      <c r="A203" s="41">
        <v>45845</v>
      </c>
      <c r="B203" s="36">
        <v>416.15</v>
      </c>
      <c r="C203" s="40" t="s">
        <v>216</v>
      </c>
      <c r="D203">
        <f t="shared" si="4"/>
        <v>6.85</v>
      </c>
    </row>
    <row r="204" spans="1:4" x14ac:dyDescent="0.35">
      <c r="A204" s="41">
        <v>45754</v>
      </c>
      <c r="B204" s="36">
        <v>412.55</v>
      </c>
      <c r="C204" s="40" t="s">
        <v>324</v>
      </c>
      <c r="D204">
        <f t="shared" si="4"/>
        <v>8.26</v>
      </c>
    </row>
    <row r="205" spans="1:4" x14ac:dyDescent="0.35">
      <c r="A205" s="41">
        <v>45723</v>
      </c>
      <c r="B205" s="36">
        <v>413.35</v>
      </c>
      <c r="C205" s="40" t="s">
        <v>325</v>
      </c>
      <c r="D205">
        <f t="shared" si="4"/>
        <v>14.19</v>
      </c>
    </row>
    <row r="206" spans="1:4" x14ac:dyDescent="0.35">
      <c r="A206" s="41">
        <v>45695</v>
      </c>
      <c r="B206" s="36">
        <v>412.95</v>
      </c>
      <c r="C206" s="40" t="s">
        <v>326</v>
      </c>
      <c r="D206">
        <f t="shared" si="4"/>
        <v>15.99</v>
      </c>
    </row>
    <row r="207" spans="1:4" x14ac:dyDescent="0.35">
      <c r="A207" s="41">
        <v>45664</v>
      </c>
      <c r="B207" s="36">
        <v>415.1</v>
      </c>
      <c r="C207" s="40" t="s">
        <v>327</v>
      </c>
      <c r="D207">
        <f t="shared" si="4"/>
        <v>13.67</v>
      </c>
    </row>
    <row r="208" spans="1:4" x14ac:dyDescent="0.35">
      <c r="A208" t="s">
        <v>1215</v>
      </c>
      <c r="B208" s="36">
        <v>416.45</v>
      </c>
      <c r="C208" s="40" t="s">
        <v>328</v>
      </c>
      <c r="D208">
        <f t="shared" si="4"/>
        <v>12.32</v>
      </c>
    </row>
    <row r="209" spans="1:4" x14ac:dyDescent="0.35">
      <c r="A209" t="s">
        <v>1216</v>
      </c>
      <c r="B209" s="36">
        <v>418.65</v>
      </c>
      <c r="C209" s="40" t="s">
        <v>329</v>
      </c>
      <c r="D209">
        <f t="shared" si="4"/>
        <v>21.41</v>
      </c>
    </row>
    <row r="210" spans="1:4" x14ac:dyDescent="0.35">
      <c r="A210" t="s">
        <v>1217</v>
      </c>
      <c r="B210" s="36">
        <v>420.3</v>
      </c>
      <c r="C210" s="40" t="s">
        <v>330</v>
      </c>
      <c r="D210">
        <f t="shared" si="4"/>
        <v>13.7</v>
      </c>
    </row>
    <row r="211" spans="1:4" x14ac:dyDescent="0.35">
      <c r="A211" t="s">
        <v>1218</v>
      </c>
      <c r="B211" s="36">
        <v>416.35</v>
      </c>
      <c r="C211" s="40" t="s">
        <v>210</v>
      </c>
      <c r="D211">
        <f t="shared" si="4"/>
        <v>9.9499999999999993</v>
      </c>
    </row>
    <row r="212" spans="1:4" x14ac:dyDescent="0.35">
      <c r="A212" t="s">
        <v>1219</v>
      </c>
      <c r="B212" s="36">
        <v>414.35</v>
      </c>
      <c r="C212" s="40" t="s">
        <v>331</v>
      </c>
      <c r="D212">
        <f t="shared" si="4"/>
        <v>16.690000000000001</v>
      </c>
    </row>
    <row r="213" spans="1:4" x14ac:dyDescent="0.35">
      <c r="A213" t="s">
        <v>1220</v>
      </c>
      <c r="B213" s="36">
        <v>413.9</v>
      </c>
      <c r="C213" s="40" t="s">
        <v>163</v>
      </c>
      <c r="D213">
        <f t="shared" si="4"/>
        <v>14.84</v>
      </c>
    </row>
    <row r="214" spans="1:4" x14ac:dyDescent="0.35">
      <c r="A214" t="s">
        <v>1221</v>
      </c>
      <c r="B214" s="36">
        <v>418.55</v>
      </c>
      <c r="C214" s="40" t="s">
        <v>332</v>
      </c>
      <c r="D214">
        <f t="shared" si="4"/>
        <v>13.2</v>
      </c>
    </row>
    <row r="215" spans="1:4" x14ac:dyDescent="0.35">
      <c r="A215" t="s">
        <v>1222</v>
      </c>
      <c r="B215" s="36">
        <v>416</v>
      </c>
      <c r="C215" s="40" t="s">
        <v>333</v>
      </c>
      <c r="D215">
        <f t="shared" si="4"/>
        <v>12.6</v>
      </c>
    </row>
    <row r="216" spans="1:4" x14ac:dyDescent="0.35">
      <c r="A216" t="s">
        <v>1223</v>
      </c>
      <c r="B216" s="36">
        <v>415.9</v>
      </c>
      <c r="C216" s="40" t="s">
        <v>334</v>
      </c>
      <c r="D216">
        <f t="shared" si="4"/>
        <v>8.0399999999999991</v>
      </c>
    </row>
    <row r="217" spans="1:4" x14ac:dyDescent="0.35">
      <c r="A217" t="s">
        <v>1224</v>
      </c>
      <c r="B217" s="36">
        <v>417.4</v>
      </c>
      <c r="C217" s="40" t="s">
        <v>335</v>
      </c>
      <c r="D217">
        <f t="shared" si="4"/>
        <v>9.0299999999999994</v>
      </c>
    </row>
    <row r="218" spans="1:4" x14ac:dyDescent="0.35">
      <c r="A218" t="s">
        <v>1225</v>
      </c>
      <c r="B218" s="36">
        <v>418.2</v>
      </c>
      <c r="C218" s="40" t="s">
        <v>336</v>
      </c>
      <c r="D218">
        <f t="shared" si="4"/>
        <v>7.01</v>
      </c>
    </row>
    <row r="219" spans="1:4" x14ac:dyDescent="0.35">
      <c r="A219" t="s">
        <v>1226</v>
      </c>
      <c r="B219" s="36">
        <v>413.9</v>
      </c>
      <c r="C219" s="40" t="s">
        <v>337</v>
      </c>
      <c r="D219">
        <f t="shared" si="4"/>
        <v>17.87</v>
      </c>
    </row>
    <row r="220" spans="1:4" x14ac:dyDescent="0.35">
      <c r="A220" s="41">
        <v>45997</v>
      </c>
      <c r="B220" s="36">
        <v>421</v>
      </c>
      <c r="C220" s="40" t="s">
        <v>338</v>
      </c>
      <c r="D220">
        <f t="shared" si="4"/>
        <v>18.510000000000002</v>
      </c>
    </row>
    <row r="221" spans="1:4" x14ac:dyDescent="0.35">
      <c r="A221" s="41">
        <v>45967</v>
      </c>
      <c r="B221" s="36">
        <v>426.15</v>
      </c>
      <c r="C221" s="40" t="s">
        <v>339</v>
      </c>
      <c r="D221">
        <f t="shared" si="4"/>
        <v>20.79</v>
      </c>
    </row>
    <row r="222" spans="1:4" x14ac:dyDescent="0.35">
      <c r="A222" s="41">
        <v>45936</v>
      </c>
      <c r="B222" s="36">
        <v>427</v>
      </c>
      <c r="C222" s="40" t="s">
        <v>340</v>
      </c>
      <c r="D222">
        <f t="shared" si="4"/>
        <v>13.04</v>
      </c>
    </row>
    <row r="223" spans="1:4" x14ac:dyDescent="0.35">
      <c r="A223" s="41">
        <v>45906</v>
      </c>
      <c r="B223" s="36">
        <v>423.05</v>
      </c>
      <c r="C223" s="40" t="s">
        <v>341</v>
      </c>
      <c r="D223">
        <f t="shared" si="4"/>
        <v>10.47</v>
      </c>
    </row>
    <row r="224" spans="1:4" x14ac:dyDescent="0.35">
      <c r="A224" s="41">
        <v>45814</v>
      </c>
      <c r="B224" s="36">
        <v>421.05</v>
      </c>
      <c r="C224" s="40" t="s">
        <v>342</v>
      </c>
      <c r="D224">
        <f t="shared" si="4"/>
        <v>8.77</v>
      </c>
    </row>
    <row r="225" spans="1:4" x14ac:dyDescent="0.35">
      <c r="A225" s="41">
        <v>45783</v>
      </c>
      <c r="B225" s="36">
        <v>419.1</v>
      </c>
      <c r="C225" s="40" t="s">
        <v>343</v>
      </c>
      <c r="D225">
        <f t="shared" si="4"/>
        <v>13.21</v>
      </c>
    </row>
    <row r="226" spans="1:4" x14ac:dyDescent="0.35">
      <c r="A226" s="41">
        <v>45753</v>
      </c>
      <c r="B226" s="36">
        <v>417</v>
      </c>
      <c r="C226" s="40" t="s">
        <v>333</v>
      </c>
      <c r="D226">
        <f t="shared" si="4"/>
        <v>12.6</v>
      </c>
    </row>
    <row r="227" spans="1:4" x14ac:dyDescent="0.35">
      <c r="A227" s="41">
        <v>45722</v>
      </c>
      <c r="B227" s="36">
        <v>416.95</v>
      </c>
      <c r="C227" s="40" t="s">
        <v>344</v>
      </c>
      <c r="D227">
        <f t="shared" si="4"/>
        <v>13.22</v>
      </c>
    </row>
    <row r="228" spans="1:4" x14ac:dyDescent="0.35">
      <c r="A228" s="41">
        <v>45694</v>
      </c>
      <c r="B228" s="36">
        <v>419.3</v>
      </c>
      <c r="C228" s="40" t="s">
        <v>345</v>
      </c>
      <c r="D228">
        <f t="shared" si="4"/>
        <v>14.97</v>
      </c>
    </row>
    <row r="229" spans="1:4" x14ac:dyDescent="0.35">
      <c r="A229" t="s">
        <v>1227</v>
      </c>
      <c r="B229" s="36">
        <v>418.05</v>
      </c>
      <c r="C229" s="40" t="s">
        <v>346</v>
      </c>
      <c r="D229">
        <f t="shared" si="4"/>
        <v>30.66</v>
      </c>
    </row>
    <row r="230" spans="1:4" x14ac:dyDescent="0.35">
      <c r="A230" t="s">
        <v>1228</v>
      </c>
      <c r="B230" s="36">
        <v>418.75</v>
      </c>
      <c r="C230" s="40" t="s">
        <v>347</v>
      </c>
      <c r="D230">
        <f t="shared" si="4"/>
        <v>21.48</v>
      </c>
    </row>
    <row r="231" spans="1:4" x14ac:dyDescent="0.35">
      <c r="A231" t="s">
        <v>1229</v>
      </c>
      <c r="B231" s="36">
        <v>420.2</v>
      </c>
      <c r="C231" s="40" t="s">
        <v>348</v>
      </c>
      <c r="D231">
        <f t="shared" si="4"/>
        <v>431.85</v>
      </c>
    </row>
    <row r="232" spans="1:4" x14ac:dyDescent="0.35">
      <c r="A232" t="s">
        <v>1230</v>
      </c>
      <c r="B232" s="36">
        <v>433.9</v>
      </c>
      <c r="C232" s="40" t="s">
        <v>349</v>
      </c>
      <c r="D232">
        <f t="shared" si="4"/>
        <v>26.99</v>
      </c>
    </row>
    <row r="233" spans="1:4" x14ac:dyDescent="0.35">
      <c r="A233" t="s">
        <v>1231</v>
      </c>
      <c r="B233" s="36">
        <v>442.9</v>
      </c>
      <c r="C233" s="40" t="s">
        <v>350</v>
      </c>
      <c r="D233">
        <f t="shared" si="4"/>
        <v>13.11</v>
      </c>
    </row>
    <row r="234" spans="1:4" x14ac:dyDescent="0.35">
      <c r="A234" t="s">
        <v>1232</v>
      </c>
      <c r="B234" s="36">
        <v>436.3</v>
      </c>
      <c r="C234" s="40" t="s">
        <v>351</v>
      </c>
      <c r="D234">
        <f t="shared" si="4"/>
        <v>18.54</v>
      </c>
    </row>
    <row r="235" spans="1:4" x14ac:dyDescent="0.35">
      <c r="A235" t="s">
        <v>1233</v>
      </c>
      <c r="B235" s="36">
        <v>426.1</v>
      </c>
      <c r="C235" s="40" t="s">
        <v>352</v>
      </c>
      <c r="D235">
        <f t="shared" si="4"/>
        <v>19.45</v>
      </c>
    </row>
    <row r="236" spans="1:4" x14ac:dyDescent="0.35">
      <c r="A236" t="s">
        <v>1234</v>
      </c>
      <c r="B236" s="36">
        <v>433</v>
      </c>
      <c r="C236" s="40" t="s">
        <v>214</v>
      </c>
      <c r="D236">
        <f t="shared" si="4"/>
        <v>5.78</v>
      </c>
    </row>
    <row r="237" spans="1:4" x14ac:dyDescent="0.35">
      <c r="A237" t="s">
        <v>1235</v>
      </c>
      <c r="B237" s="36">
        <v>434.9</v>
      </c>
      <c r="C237" s="40" t="s">
        <v>314</v>
      </c>
      <c r="D237">
        <f t="shared" si="4"/>
        <v>9.8699999999999992</v>
      </c>
    </row>
    <row r="238" spans="1:4" x14ac:dyDescent="0.35">
      <c r="A238" t="s">
        <v>1236</v>
      </c>
      <c r="B238" s="36">
        <v>435.35</v>
      </c>
      <c r="C238" s="40" t="s">
        <v>353</v>
      </c>
      <c r="D238">
        <f t="shared" si="4"/>
        <v>7.54</v>
      </c>
    </row>
    <row r="239" spans="1:4" x14ac:dyDescent="0.35">
      <c r="A239" t="s">
        <v>1237</v>
      </c>
      <c r="B239" s="36">
        <v>435.7</v>
      </c>
      <c r="C239" s="40" t="s">
        <v>354</v>
      </c>
      <c r="D239">
        <f t="shared" si="4"/>
        <v>16.399999999999999</v>
      </c>
    </row>
    <row r="240" spans="1:4" x14ac:dyDescent="0.35">
      <c r="A240" t="s">
        <v>1238</v>
      </c>
      <c r="B240" s="36">
        <v>432.65</v>
      </c>
      <c r="C240" s="40" t="s">
        <v>355</v>
      </c>
      <c r="D240">
        <f t="shared" si="4"/>
        <v>24.26</v>
      </c>
    </row>
    <row r="241" spans="1:4" x14ac:dyDescent="0.35">
      <c r="A241" t="s">
        <v>1239</v>
      </c>
      <c r="B241" s="36">
        <v>429.1</v>
      </c>
      <c r="C241" s="40" t="s">
        <v>356</v>
      </c>
      <c r="D241">
        <f t="shared" si="4"/>
        <v>9.56</v>
      </c>
    </row>
    <row r="242" spans="1:4" x14ac:dyDescent="0.35">
      <c r="A242" t="s">
        <v>1240</v>
      </c>
      <c r="B242" s="36">
        <v>427.9</v>
      </c>
      <c r="C242" s="40" t="s">
        <v>357</v>
      </c>
      <c r="D242">
        <f t="shared" si="4"/>
        <v>14.98</v>
      </c>
    </row>
    <row r="243" spans="1:4" x14ac:dyDescent="0.35">
      <c r="A243" s="41">
        <v>45996</v>
      </c>
      <c r="B243" s="36">
        <v>435.5</v>
      </c>
      <c r="C243" s="40" t="s">
        <v>358</v>
      </c>
      <c r="D243">
        <f t="shared" si="4"/>
        <v>8.0299999999999994</v>
      </c>
    </row>
    <row r="244" spans="1:4" x14ac:dyDescent="0.35">
      <c r="A244" s="41">
        <v>45905</v>
      </c>
      <c r="B244" s="36">
        <v>423.55</v>
      </c>
      <c r="C244" s="40" t="s">
        <v>359</v>
      </c>
      <c r="D244">
        <f t="shared" si="4"/>
        <v>8.23</v>
      </c>
    </row>
    <row r="245" spans="1:4" x14ac:dyDescent="0.35">
      <c r="A245" s="41">
        <v>45874</v>
      </c>
      <c r="B245" s="36">
        <v>430.6</v>
      </c>
      <c r="C245" s="40" t="s">
        <v>167</v>
      </c>
      <c r="D245">
        <f t="shared" si="4"/>
        <v>19.940000000000001</v>
      </c>
    </row>
    <row r="246" spans="1:4" x14ac:dyDescent="0.35">
      <c r="A246" s="41">
        <v>45843</v>
      </c>
      <c r="B246" s="36">
        <v>431.15</v>
      </c>
      <c r="C246" s="40" t="s">
        <v>360</v>
      </c>
      <c r="D246">
        <f t="shared" si="4"/>
        <v>9.7100000000000009</v>
      </c>
    </row>
    <row r="247" spans="1:4" x14ac:dyDescent="0.35">
      <c r="A247" s="41">
        <v>45813</v>
      </c>
      <c r="B247" s="36">
        <v>435.55</v>
      </c>
      <c r="C247" s="40" t="s">
        <v>294</v>
      </c>
      <c r="D247">
        <f t="shared" si="4"/>
        <v>15.03</v>
      </c>
    </row>
    <row r="248" spans="1:4" x14ac:dyDescent="0.35">
      <c r="A248" s="41">
        <v>45782</v>
      </c>
      <c r="B248" s="36">
        <v>436.95</v>
      </c>
      <c r="C248" s="40" t="s">
        <v>361</v>
      </c>
      <c r="D248">
        <f t="shared" si="4"/>
        <v>11.53</v>
      </c>
    </row>
    <row r="249" spans="1:4" x14ac:dyDescent="0.35">
      <c r="A249" s="41">
        <v>45693</v>
      </c>
      <c r="B249" s="36">
        <v>430.25</v>
      </c>
      <c r="C249" s="40" t="s">
        <v>362</v>
      </c>
      <c r="D249">
        <f t="shared" si="4"/>
        <v>12.77</v>
      </c>
    </row>
    <row r="250" spans="1:4" x14ac:dyDescent="0.35">
      <c r="A250" t="s">
        <v>1241</v>
      </c>
      <c r="B250" s="36">
        <v>425.8</v>
      </c>
      <c r="C250" s="40" t="s">
        <v>363</v>
      </c>
      <c r="D250">
        <f t="shared" si="4"/>
        <v>10.029999999999999</v>
      </c>
    </row>
    <row r="251" spans="1:4" x14ac:dyDescent="0.35">
      <c r="A251" t="s">
        <v>1242</v>
      </c>
      <c r="B251" s="36">
        <v>426</v>
      </c>
      <c r="C251" s="40" t="s">
        <v>364</v>
      </c>
      <c r="D251">
        <f t="shared" si="4"/>
        <v>11.19</v>
      </c>
    </row>
    <row r="252" spans="1:4" x14ac:dyDescent="0.35">
      <c r="A252" t="s">
        <v>1243</v>
      </c>
      <c r="B252" s="36">
        <v>428.8</v>
      </c>
      <c r="C252" s="40" t="s">
        <v>365</v>
      </c>
      <c r="D252">
        <f t="shared" si="4"/>
        <v>6.29</v>
      </c>
    </row>
    <row r="253" spans="1:4" x14ac:dyDescent="0.35">
      <c r="A253" t="s">
        <v>1244</v>
      </c>
      <c r="B253" s="36">
        <v>427.8</v>
      </c>
      <c r="C253" s="40" t="s">
        <v>366</v>
      </c>
      <c r="D253">
        <f t="shared" si="4"/>
        <v>22.94</v>
      </c>
    </row>
    <row r="254" spans="1:4" x14ac:dyDescent="0.35">
      <c r="A254" t="s">
        <v>1245</v>
      </c>
      <c r="B254" s="36">
        <v>430.05</v>
      </c>
      <c r="C254" s="40" t="s">
        <v>367</v>
      </c>
      <c r="D254">
        <f t="shared" si="4"/>
        <v>26.06</v>
      </c>
    </row>
    <row r="255" spans="1:4" x14ac:dyDescent="0.35">
      <c r="A255" t="s">
        <v>1246</v>
      </c>
      <c r="B255" s="36">
        <v>430.85</v>
      </c>
      <c r="C255" s="40" t="s">
        <v>368</v>
      </c>
      <c r="D255">
        <f t="shared" si="4"/>
        <v>19.57</v>
      </c>
    </row>
    <row r="256" spans="1:4" x14ac:dyDescent="0.35">
      <c r="A256" t="s">
        <v>1247</v>
      </c>
      <c r="B256" s="36">
        <v>433.6</v>
      </c>
      <c r="C256" s="40" t="s">
        <v>369</v>
      </c>
      <c r="D256">
        <f t="shared" si="4"/>
        <v>32.03</v>
      </c>
    </row>
    <row r="257" spans="1:4" x14ac:dyDescent="0.35">
      <c r="A257" t="s">
        <v>1248</v>
      </c>
      <c r="B257" s="36">
        <v>422.85</v>
      </c>
      <c r="C257" s="40" t="s">
        <v>370</v>
      </c>
      <c r="D257">
        <f t="shared" si="4"/>
        <v>27.39</v>
      </c>
    </row>
    <row r="258" spans="1:4" x14ac:dyDescent="0.35">
      <c r="A258" t="s">
        <v>1249</v>
      </c>
      <c r="B258" s="36">
        <v>427.25</v>
      </c>
      <c r="C258" s="40" t="s">
        <v>371</v>
      </c>
      <c r="D258">
        <f t="shared" ref="D258:D321" si="5">(VALUE(SUBSTITUTE(C258,"M",""))*1000000)/1000000</f>
        <v>22.41</v>
      </c>
    </row>
    <row r="259" spans="1:4" x14ac:dyDescent="0.35">
      <c r="A259" t="s">
        <v>1250</v>
      </c>
      <c r="B259" s="36">
        <v>424.45</v>
      </c>
      <c r="C259" s="40" t="s">
        <v>372</v>
      </c>
      <c r="D259">
        <f t="shared" si="5"/>
        <v>13.03</v>
      </c>
    </row>
    <row r="260" spans="1:4" x14ac:dyDescent="0.35">
      <c r="A260" t="s">
        <v>1251</v>
      </c>
      <c r="B260" s="36">
        <v>420.4</v>
      </c>
      <c r="C260" s="40" t="s">
        <v>178</v>
      </c>
      <c r="D260">
        <f t="shared" si="5"/>
        <v>11.69</v>
      </c>
    </row>
    <row r="261" spans="1:4" x14ac:dyDescent="0.35">
      <c r="A261" s="41">
        <v>45965</v>
      </c>
      <c r="B261" s="36">
        <v>421.55</v>
      </c>
      <c r="C261" s="40" t="s">
        <v>373</v>
      </c>
      <c r="D261">
        <f t="shared" si="5"/>
        <v>8.94</v>
      </c>
    </row>
    <row r="262" spans="1:4" x14ac:dyDescent="0.35">
      <c r="A262" s="41">
        <v>45904</v>
      </c>
      <c r="B262" s="36">
        <v>416.3</v>
      </c>
      <c r="C262" s="40" t="s">
        <v>374</v>
      </c>
      <c r="D262">
        <f t="shared" si="5"/>
        <v>21.79</v>
      </c>
    </row>
    <row r="263" spans="1:4" x14ac:dyDescent="0.35">
      <c r="A263" s="41">
        <v>45873</v>
      </c>
      <c r="B263" s="36">
        <v>412.55</v>
      </c>
      <c r="C263" s="40" t="s">
        <v>150</v>
      </c>
      <c r="D263">
        <f t="shared" si="5"/>
        <v>18.600000000000001</v>
      </c>
    </row>
    <row r="264" spans="1:4" x14ac:dyDescent="0.35">
      <c r="A264" s="41">
        <v>45842</v>
      </c>
      <c r="B264" s="36">
        <v>406.05</v>
      </c>
      <c r="C264" s="40" t="s">
        <v>375</v>
      </c>
      <c r="D264">
        <f t="shared" si="5"/>
        <v>26.76</v>
      </c>
    </row>
    <row r="265" spans="1:4" x14ac:dyDescent="0.35">
      <c r="A265" s="41">
        <v>45751</v>
      </c>
      <c r="B265" s="36">
        <v>409.7</v>
      </c>
      <c r="C265" s="40" t="s">
        <v>376</v>
      </c>
      <c r="D265">
        <f t="shared" si="5"/>
        <v>18.63</v>
      </c>
    </row>
    <row r="266" spans="1:4" x14ac:dyDescent="0.35">
      <c r="A266" s="41">
        <v>45720</v>
      </c>
      <c r="B266" s="36">
        <v>409.4</v>
      </c>
      <c r="C266" s="40" t="s">
        <v>377</v>
      </c>
      <c r="D266">
        <f t="shared" si="5"/>
        <v>7.06</v>
      </c>
    </row>
    <row r="267" spans="1:4" x14ac:dyDescent="0.35">
      <c r="A267" s="41">
        <v>45692</v>
      </c>
      <c r="B267" s="36">
        <v>409.05</v>
      </c>
      <c r="C267" s="40" t="s">
        <v>378</v>
      </c>
      <c r="D267">
        <f t="shared" si="5"/>
        <v>8</v>
      </c>
    </row>
    <row r="268" spans="1:4" x14ac:dyDescent="0.35">
      <c r="A268" s="41">
        <v>45661</v>
      </c>
      <c r="B268" s="36">
        <v>406.65</v>
      </c>
      <c r="C268" s="40" t="s">
        <v>379</v>
      </c>
      <c r="D268">
        <f t="shared" si="5"/>
        <v>15.21</v>
      </c>
    </row>
    <row r="269" spans="1:4" x14ac:dyDescent="0.35">
      <c r="A269" t="s">
        <v>1252</v>
      </c>
      <c r="B269" s="36">
        <v>409.75</v>
      </c>
      <c r="C269" s="40" t="s">
        <v>380</v>
      </c>
      <c r="D269">
        <f t="shared" si="5"/>
        <v>12.98</v>
      </c>
    </row>
    <row r="270" spans="1:4" x14ac:dyDescent="0.35">
      <c r="A270" t="s">
        <v>1253</v>
      </c>
      <c r="B270" s="36">
        <v>409.45</v>
      </c>
      <c r="C270" s="40" t="s">
        <v>381</v>
      </c>
      <c r="D270">
        <f t="shared" si="5"/>
        <v>18.64</v>
      </c>
    </row>
    <row r="271" spans="1:4" x14ac:dyDescent="0.35">
      <c r="A271" t="s">
        <v>1254</v>
      </c>
      <c r="B271" s="36">
        <v>407.35</v>
      </c>
      <c r="C271" s="40" t="s">
        <v>170</v>
      </c>
      <c r="D271">
        <f t="shared" si="5"/>
        <v>13.89</v>
      </c>
    </row>
    <row r="272" spans="1:4" x14ac:dyDescent="0.35">
      <c r="A272" t="s">
        <v>1255</v>
      </c>
      <c r="B272" s="36">
        <v>409.8</v>
      </c>
      <c r="C272" s="40" t="s">
        <v>382</v>
      </c>
      <c r="D272">
        <f t="shared" si="5"/>
        <v>20.34</v>
      </c>
    </row>
    <row r="273" spans="1:4" x14ac:dyDescent="0.35">
      <c r="A273" t="s">
        <v>1256</v>
      </c>
      <c r="B273" s="36">
        <v>410.9</v>
      </c>
      <c r="C273" s="40" t="s">
        <v>383</v>
      </c>
      <c r="D273">
        <f t="shared" si="5"/>
        <v>14.36</v>
      </c>
    </row>
    <row r="274" spans="1:4" x14ac:dyDescent="0.35">
      <c r="A274" t="s">
        <v>1257</v>
      </c>
      <c r="B274" s="36">
        <v>405.55</v>
      </c>
      <c r="C274" s="40" t="s">
        <v>384</v>
      </c>
      <c r="D274">
        <f t="shared" si="5"/>
        <v>25.3</v>
      </c>
    </row>
    <row r="275" spans="1:4" x14ac:dyDescent="0.35">
      <c r="A275" t="s">
        <v>1258</v>
      </c>
      <c r="B275" s="36">
        <v>403.95</v>
      </c>
      <c r="C275" s="40" t="s">
        <v>267</v>
      </c>
      <c r="D275">
        <f t="shared" si="5"/>
        <v>16.989999999999998</v>
      </c>
    </row>
    <row r="276" spans="1:4" x14ac:dyDescent="0.35">
      <c r="A276" t="s">
        <v>1259</v>
      </c>
      <c r="B276" s="36">
        <v>403.05</v>
      </c>
      <c r="C276" s="40" t="s">
        <v>385</v>
      </c>
      <c r="D276">
        <f t="shared" si="5"/>
        <v>12.83</v>
      </c>
    </row>
    <row r="277" spans="1:4" x14ac:dyDescent="0.35">
      <c r="A277" t="s">
        <v>1260</v>
      </c>
      <c r="B277" s="36">
        <v>409.1</v>
      </c>
      <c r="C277" s="40" t="s">
        <v>386</v>
      </c>
      <c r="D277">
        <f t="shared" si="5"/>
        <v>13.86</v>
      </c>
    </row>
    <row r="278" spans="1:4" x14ac:dyDescent="0.35">
      <c r="A278" t="s">
        <v>1261</v>
      </c>
      <c r="B278" s="36">
        <v>407.95</v>
      </c>
      <c r="C278" s="40" t="s">
        <v>387</v>
      </c>
      <c r="D278">
        <f t="shared" si="5"/>
        <v>5.26</v>
      </c>
    </row>
    <row r="279" spans="1:4" x14ac:dyDescent="0.35">
      <c r="A279" t="s">
        <v>1262</v>
      </c>
      <c r="B279" s="36">
        <v>412.05</v>
      </c>
      <c r="C279" s="40" t="s">
        <v>234</v>
      </c>
      <c r="D279">
        <f t="shared" si="5"/>
        <v>8.1999999999999993</v>
      </c>
    </row>
    <row r="280" spans="1:4" x14ac:dyDescent="0.35">
      <c r="A280" s="41">
        <v>45994</v>
      </c>
      <c r="B280" s="36">
        <v>412.4</v>
      </c>
      <c r="C280" s="40" t="s">
        <v>388</v>
      </c>
      <c r="D280">
        <f t="shared" si="5"/>
        <v>13.84</v>
      </c>
    </row>
    <row r="281" spans="1:4" x14ac:dyDescent="0.35">
      <c r="A281" s="41">
        <v>45964</v>
      </c>
      <c r="B281" s="36">
        <v>406.2</v>
      </c>
      <c r="C281" s="40" t="s">
        <v>389</v>
      </c>
      <c r="D281">
        <f t="shared" si="5"/>
        <v>11.1</v>
      </c>
    </row>
    <row r="282" spans="1:4" x14ac:dyDescent="0.35">
      <c r="A282" s="41">
        <v>45933</v>
      </c>
      <c r="B282" s="36">
        <v>405</v>
      </c>
      <c r="C282" s="40" t="s">
        <v>390</v>
      </c>
      <c r="D282">
        <f t="shared" si="5"/>
        <v>9.7899999999999991</v>
      </c>
    </row>
    <row r="283" spans="1:4" x14ac:dyDescent="0.35">
      <c r="A283" s="41">
        <v>45841</v>
      </c>
      <c r="B283" s="36">
        <v>403.9</v>
      </c>
      <c r="C283" s="40" t="s">
        <v>391</v>
      </c>
      <c r="D283">
        <f t="shared" si="5"/>
        <v>11.18</v>
      </c>
    </row>
    <row r="284" spans="1:4" x14ac:dyDescent="0.35">
      <c r="A284" s="41">
        <v>45811</v>
      </c>
      <c r="B284" s="36">
        <v>405.7</v>
      </c>
      <c r="C284" s="40" t="s">
        <v>337</v>
      </c>
      <c r="D284">
        <f t="shared" si="5"/>
        <v>17.87</v>
      </c>
    </row>
    <row r="285" spans="1:4" x14ac:dyDescent="0.35">
      <c r="A285" s="41">
        <v>45780</v>
      </c>
      <c r="B285" s="36">
        <v>405.05</v>
      </c>
      <c r="C285" s="40" t="s">
        <v>392</v>
      </c>
      <c r="D285">
        <f t="shared" si="5"/>
        <v>15.67</v>
      </c>
    </row>
    <row r="286" spans="1:4" x14ac:dyDescent="0.35">
      <c r="A286" s="41">
        <v>45750</v>
      </c>
      <c r="B286" s="36">
        <v>394.85</v>
      </c>
      <c r="C286" s="40" t="s">
        <v>393</v>
      </c>
      <c r="D286">
        <f t="shared" si="5"/>
        <v>13.4</v>
      </c>
    </row>
    <row r="287" spans="1:4" x14ac:dyDescent="0.35">
      <c r="A287" s="41">
        <v>45719</v>
      </c>
      <c r="B287" s="36">
        <v>397.45</v>
      </c>
      <c r="C287" s="40" t="s">
        <v>136</v>
      </c>
      <c r="D287">
        <f t="shared" si="5"/>
        <v>10.7</v>
      </c>
    </row>
    <row r="288" spans="1:4" x14ac:dyDescent="0.35">
      <c r="A288" t="s">
        <v>1263</v>
      </c>
      <c r="B288" s="36">
        <v>395</v>
      </c>
      <c r="C288" s="40" t="s">
        <v>394</v>
      </c>
      <c r="D288">
        <f t="shared" si="5"/>
        <v>31.95</v>
      </c>
    </row>
    <row r="289" spans="1:4" x14ac:dyDescent="0.35">
      <c r="A289" t="s">
        <v>1264</v>
      </c>
      <c r="B289" s="36">
        <v>401.6</v>
      </c>
      <c r="C289" s="40" t="s">
        <v>395</v>
      </c>
      <c r="D289">
        <f t="shared" si="5"/>
        <v>19.05</v>
      </c>
    </row>
    <row r="290" spans="1:4" x14ac:dyDescent="0.35">
      <c r="A290" t="s">
        <v>1265</v>
      </c>
      <c r="B290" s="36">
        <v>404.85</v>
      </c>
      <c r="C290" s="40" t="s">
        <v>396</v>
      </c>
      <c r="D290">
        <f t="shared" si="5"/>
        <v>15.76</v>
      </c>
    </row>
    <row r="291" spans="1:4" x14ac:dyDescent="0.35">
      <c r="A291" t="s">
        <v>1266</v>
      </c>
      <c r="B291" s="36">
        <v>401.9</v>
      </c>
      <c r="C291" s="40" t="s">
        <v>397</v>
      </c>
      <c r="D291">
        <f t="shared" si="5"/>
        <v>7.04</v>
      </c>
    </row>
    <row r="292" spans="1:4" x14ac:dyDescent="0.35">
      <c r="A292" t="s">
        <v>1267</v>
      </c>
      <c r="B292" s="36">
        <v>400.9</v>
      </c>
      <c r="C292" s="40" t="s">
        <v>278</v>
      </c>
      <c r="D292">
        <f t="shared" si="5"/>
        <v>8.24</v>
      </c>
    </row>
    <row r="293" spans="1:4" x14ac:dyDescent="0.35">
      <c r="A293" t="s">
        <v>1268</v>
      </c>
      <c r="B293" s="36">
        <v>402.05</v>
      </c>
      <c r="C293" s="40" t="s">
        <v>398</v>
      </c>
      <c r="D293">
        <f t="shared" si="5"/>
        <v>15.36</v>
      </c>
    </row>
    <row r="294" spans="1:4" x14ac:dyDescent="0.35">
      <c r="A294" t="s">
        <v>1269</v>
      </c>
      <c r="B294" s="36">
        <v>406.4</v>
      </c>
      <c r="C294" s="40" t="s">
        <v>399</v>
      </c>
      <c r="D294">
        <f t="shared" si="5"/>
        <v>7.08</v>
      </c>
    </row>
    <row r="295" spans="1:4" x14ac:dyDescent="0.35">
      <c r="A295" t="s">
        <v>1270</v>
      </c>
      <c r="B295" s="36">
        <v>405.25</v>
      </c>
      <c r="C295" s="40" t="s">
        <v>400</v>
      </c>
      <c r="D295">
        <f t="shared" si="5"/>
        <v>13</v>
      </c>
    </row>
    <row r="296" spans="1:4" x14ac:dyDescent="0.35">
      <c r="A296" t="s">
        <v>1271</v>
      </c>
      <c r="B296" s="36">
        <v>408.6</v>
      </c>
      <c r="C296" s="40" t="s">
        <v>401</v>
      </c>
      <c r="D296">
        <f t="shared" si="5"/>
        <v>11.98</v>
      </c>
    </row>
    <row r="297" spans="1:4" x14ac:dyDescent="0.35">
      <c r="A297" t="s">
        <v>1272</v>
      </c>
      <c r="B297" s="36">
        <v>410.25</v>
      </c>
      <c r="C297" s="40" t="s">
        <v>402</v>
      </c>
      <c r="D297">
        <f t="shared" si="5"/>
        <v>14.12</v>
      </c>
    </row>
    <row r="298" spans="1:4" x14ac:dyDescent="0.35">
      <c r="A298" t="s">
        <v>1273</v>
      </c>
      <c r="B298" s="36">
        <v>409.7</v>
      </c>
      <c r="C298" s="40" t="s">
        <v>403</v>
      </c>
      <c r="D298">
        <f t="shared" si="5"/>
        <v>12.99</v>
      </c>
    </row>
    <row r="299" spans="1:4" x14ac:dyDescent="0.35">
      <c r="A299" s="41">
        <v>45993</v>
      </c>
      <c r="B299" s="36">
        <v>409.9</v>
      </c>
      <c r="C299" s="40" t="s">
        <v>404</v>
      </c>
      <c r="D299">
        <f t="shared" si="5"/>
        <v>13.88</v>
      </c>
    </row>
    <row r="300" spans="1:4" x14ac:dyDescent="0.35">
      <c r="A300" s="41">
        <v>45963</v>
      </c>
      <c r="B300" s="36">
        <v>418.3</v>
      </c>
      <c r="C300" s="40" t="s">
        <v>405</v>
      </c>
      <c r="D300">
        <f t="shared" si="5"/>
        <v>14.29</v>
      </c>
    </row>
    <row r="301" spans="1:4" x14ac:dyDescent="0.35">
      <c r="A301" s="41">
        <v>45932</v>
      </c>
      <c r="B301" s="36">
        <v>427.2</v>
      </c>
      <c r="C301" s="40" t="s">
        <v>406</v>
      </c>
      <c r="D301">
        <f t="shared" si="5"/>
        <v>12.23</v>
      </c>
    </row>
    <row r="302" spans="1:4" x14ac:dyDescent="0.35">
      <c r="A302" s="41">
        <v>45840</v>
      </c>
      <c r="B302" s="36">
        <v>430.85</v>
      </c>
      <c r="C302" s="40" t="s">
        <v>407</v>
      </c>
      <c r="D302">
        <f t="shared" si="5"/>
        <v>18.88</v>
      </c>
    </row>
    <row r="303" spans="1:4" x14ac:dyDescent="0.35">
      <c r="A303" s="41">
        <v>45810</v>
      </c>
      <c r="B303" s="36">
        <v>441.1</v>
      </c>
      <c r="C303" s="40" t="s">
        <v>408</v>
      </c>
      <c r="D303">
        <f t="shared" si="5"/>
        <v>17.47</v>
      </c>
    </row>
    <row r="304" spans="1:4" x14ac:dyDescent="0.35">
      <c r="A304" s="41">
        <v>45779</v>
      </c>
      <c r="B304" s="36">
        <v>448.15</v>
      </c>
      <c r="C304" s="40" t="s">
        <v>409</v>
      </c>
      <c r="D304">
        <f t="shared" si="5"/>
        <v>12.84</v>
      </c>
    </row>
    <row r="305" spans="1:4" x14ac:dyDescent="0.35">
      <c r="A305" s="41">
        <v>45749</v>
      </c>
      <c r="B305" s="36">
        <v>455.15</v>
      </c>
      <c r="C305" s="40" t="s">
        <v>410</v>
      </c>
      <c r="D305">
        <f t="shared" si="5"/>
        <v>18.920000000000002</v>
      </c>
    </row>
    <row r="306" spans="1:4" x14ac:dyDescent="0.35">
      <c r="A306" s="41">
        <v>45718</v>
      </c>
      <c r="B306" s="36">
        <v>454.35</v>
      </c>
      <c r="C306" s="40" t="s">
        <v>267</v>
      </c>
      <c r="D306">
        <f t="shared" si="5"/>
        <v>16.989999999999998</v>
      </c>
    </row>
    <row r="307" spans="1:4" x14ac:dyDescent="0.35">
      <c r="A307" s="41">
        <v>45659</v>
      </c>
      <c r="B307" s="36">
        <v>462.55</v>
      </c>
      <c r="C307" s="40" t="s">
        <v>411</v>
      </c>
      <c r="D307">
        <f t="shared" si="5"/>
        <v>30.39</v>
      </c>
    </row>
    <row r="308" spans="1:4" x14ac:dyDescent="0.35">
      <c r="A308" t="s">
        <v>1274</v>
      </c>
      <c r="B308" s="36">
        <v>447.5</v>
      </c>
      <c r="C308" s="40" t="s">
        <v>412</v>
      </c>
      <c r="D308">
        <f t="shared" si="5"/>
        <v>13.55</v>
      </c>
    </row>
    <row r="309" spans="1:4" x14ac:dyDescent="0.35">
      <c r="A309" t="s">
        <v>1275</v>
      </c>
      <c r="B309" s="36">
        <v>436.2</v>
      </c>
      <c r="C309" s="40" t="s">
        <v>413</v>
      </c>
      <c r="D309">
        <f t="shared" si="5"/>
        <v>22.5</v>
      </c>
    </row>
    <row r="310" spans="1:4" x14ac:dyDescent="0.35">
      <c r="A310" t="s">
        <v>1276</v>
      </c>
      <c r="B310" s="36">
        <v>433.35</v>
      </c>
      <c r="C310" s="40" t="s">
        <v>414</v>
      </c>
      <c r="D310">
        <f t="shared" si="5"/>
        <v>15.16</v>
      </c>
    </row>
    <row r="311" spans="1:4" x14ac:dyDescent="0.35">
      <c r="A311" t="s">
        <v>1277</v>
      </c>
      <c r="B311" s="36">
        <v>435.45</v>
      </c>
      <c r="C311" s="40" t="s">
        <v>415</v>
      </c>
      <c r="D311">
        <f t="shared" si="5"/>
        <v>20.81</v>
      </c>
    </row>
    <row r="312" spans="1:4" x14ac:dyDescent="0.35">
      <c r="A312" t="s">
        <v>1278</v>
      </c>
      <c r="B312" s="36">
        <v>440.1</v>
      </c>
      <c r="C312" s="40" t="s">
        <v>416</v>
      </c>
      <c r="D312">
        <f t="shared" si="5"/>
        <v>10.48</v>
      </c>
    </row>
    <row r="313" spans="1:4" x14ac:dyDescent="0.35">
      <c r="A313" t="s">
        <v>1279</v>
      </c>
      <c r="B313" s="36">
        <v>441.6</v>
      </c>
      <c r="C313" s="40" t="s">
        <v>417</v>
      </c>
      <c r="D313">
        <f t="shared" si="5"/>
        <v>9.67</v>
      </c>
    </row>
    <row r="314" spans="1:4" x14ac:dyDescent="0.35">
      <c r="A314" t="s">
        <v>1280</v>
      </c>
      <c r="B314" s="36">
        <v>440.2</v>
      </c>
      <c r="C314" s="40" t="s">
        <v>418</v>
      </c>
      <c r="D314">
        <f t="shared" si="5"/>
        <v>8.89</v>
      </c>
    </row>
    <row r="315" spans="1:4" x14ac:dyDescent="0.35">
      <c r="A315" t="s">
        <v>1281</v>
      </c>
      <c r="B315" s="36">
        <v>437</v>
      </c>
      <c r="C315" s="40" t="s">
        <v>419</v>
      </c>
      <c r="D315">
        <f t="shared" si="5"/>
        <v>9.6199999999999992</v>
      </c>
    </row>
    <row r="316" spans="1:4" x14ac:dyDescent="0.35">
      <c r="A316" t="s">
        <v>1282</v>
      </c>
      <c r="B316" s="36">
        <v>437.55</v>
      </c>
      <c r="C316" s="40" t="s">
        <v>420</v>
      </c>
      <c r="D316">
        <f t="shared" si="5"/>
        <v>15.69</v>
      </c>
    </row>
    <row r="317" spans="1:4" x14ac:dyDescent="0.35">
      <c r="A317" t="s">
        <v>1283</v>
      </c>
      <c r="B317" s="36">
        <v>437.7</v>
      </c>
      <c r="C317" s="40" t="s">
        <v>421</v>
      </c>
      <c r="D317">
        <f t="shared" si="5"/>
        <v>8.74</v>
      </c>
    </row>
    <row r="318" spans="1:4" x14ac:dyDescent="0.35">
      <c r="A318" t="s">
        <v>1284</v>
      </c>
      <c r="B318" s="36">
        <v>440.2</v>
      </c>
      <c r="C318" s="40" t="s">
        <v>171</v>
      </c>
      <c r="D318">
        <f t="shared" si="5"/>
        <v>11.27</v>
      </c>
    </row>
    <row r="319" spans="1:4" x14ac:dyDescent="0.35">
      <c r="A319" t="s">
        <v>1285</v>
      </c>
      <c r="B319" s="36">
        <v>432.85</v>
      </c>
      <c r="C319" s="40" t="s">
        <v>422</v>
      </c>
      <c r="D319">
        <f t="shared" si="5"/>
        <v>15.77</v>
      </c>
    </row>
    <row r="320" spans="1:4" x14ac:dyDescent="0.35">
      <c r="A320" t="s">
        <v>1286</v>
      </c>
      <c r="B320" s="36">
        <v>437.35</v>
      </c>
      <c r="C320" s="40" t="s">
        <v>390</v>
      </c>
      <c r="D320">
        <f t="shared" si="5"/>
        <v>9.7899999999999991</v>
      </c>
    </row>
    <row r="321" spans="1:4" x14ac:dyDescent="0.35">
      <c r="A321" t="s">
        <v>1287</v>
      </c>
      <c r="B321" s="36">
        <v>436.6</v>
      </c>
      <c r="C321" s="40" t="s">
        <v>148</v>
      </c>
      <c r="D321">
        <f t="shared" si="5"/>
        <v>18.05</v>
      </c>
    </row>
    <row r="322" spans="1:4" x14ac:dyDescent="0.35">
      <c r="A322" t="s">
        <v>1288</v>
      </c>
      <c r="B322" s="36">
        <v>439.05</v>
      </c>
      <c r="C322" s="40" t="s">
        <v>423</v>
      </c>
      <c r="D322">
        <f t="shared" ref="D322:D385" si="6">(VALUE(SUBSTITUTE(C322,"M",""))*1000000)/1000000</f>
        <v>17.8</v>
      </c>
    </row>
    <row r="323" spans="1:4" x14ac:dyDescent="0.35">
      <c r="A323" s="41">
        <v>45931</v>
      </c>
      <c r="B323" s="36">
        <v>444.9</v>
      </c>
      <c r="C323" s="40" t="s">
        <v>424</v>
      </c>
      <c r="D323">
        <f t="shared" si="6"/>
        <v>9.15</v>
      </c>
    </row>
    <row r="324" spans="1:4" x14ac:dyDescent="0.35">
      <c r="A324" s="41">
        <v>45901</v>
      </c>
      <c r="B324" s="36">
        <v>450.1</v>
      </c>
      <c r="C324" s="40" t="s">
        <v>425</v>
      </c>
      <c r="D324">
        <f t="shared" si="6"/>
        <v>19.73</v>
      </c>
    </row>
    <row r="325" spans="1:4" x14ac:dyDescent="0.35">
      <c r="A325" s="41">
        <v>45870</v>
      </c>
      <c r="B325" s="36">
        <v>449.55</v>
      </c>
      <c r="C325" s="40" t="s">
        <v>426</v>
      </c>
      <c r="D325">
        <f t="shared" si="6"/>
        <v>13.48</v>
      </c>
    </row>
    <row r="326" spans="1:4" x14ac:dyDescent="0.35">
      <c r="A326" s="41">
        <v>45839</v>
      </c>
      <c r="B326" s="36">
        <v>441.1</v>
      </c>
      <c r="C326" s="40" t="s">
        <v>405</v>
      </c>
      <c r="D326">
        <f t="shared" si="6"/>
        <v>14.29</v>
      </c>
    </row>
    <row r="327" spans="1:4" x14ac:dyDescent="0.35">
      <c r="A327" s="41">
        <v>45809</v>
      </c>
      <c r="B327" s="36">
        <v>442.65</v>
      </c>
      <c r="C327" s="40" t="s">
        <v>272</v>
      </c>
      <c r="D327">
        <f t="shared" si="6"/>
        <v>22.01</v>
      </c>
    </row>
    <row r="328" spans="1:4" x14ac:dyDescent="0.35">
      <c r="A328" s="41">
        <v>45717</v>
      </c>
      <c r="B328" s="36">
        <v>455.6</v>
      </c>
      <c r="C328" s="40" t="s">
        <v>427</v>
      </c>
      <c r="D328">
        <f t="shared" si="6"/>
        <v>37.07</v>
      </c>
    </row>
    <row r="329" spans="1:4" x14ac:dyDescent="0.35">
      <c r="A329" s="41">
        <v>45689</v>
      </c>
      <c r="B329" s="36">
        <v>462.65</v>
      </c>
      <c r="C329" s="40" t="s">
        <v>428</v>
      </c>
      <c r="D329">
        <f t="shared" si="6"/>
        <v>26.12</v>
      </c>
    </row>
    <row r="330" spans="1:4" x14ac:dyDescent="0.35">
      <c r="A330" s="41">
        <v>45658</v>
      </c>
      <c r="B330" s="36">
        <v>457.82</v>
      </c>
      <c r="C330" s="40" t="s">
        <v>429</v>
      </c>
      <c r="D330">
        <f t="shared" si="6"/>
        <v>18.23</v>
      </c>
    </row>
    <row r="331" spans="1:4" x14ac:dyDescent="0.35">
      <c r="A331" t="s">
        <v>1289</v>
      </c>
      <c r="B331" s="36">
        <v>457.54</v>
      </c>
      <c r="C331" s="40" t="s">
        <v>430</v>
      </c>
      <c r="D331">
        <f t="shared" si="6"/>
        <v>13.28</v>
      </c>
    </row>
    <row r="332" spans="1:4" x14ac:dyDescent="0.35">
      <c r="A332" t="s">
        <v>1290</v>
      </c>
      <c r="B332" s="36">
        <v>451.25</v>
      </c>
      <c r="C332" s="40" t="s">
        <v>431</v>
      </c>
      <c r="D332">
        <f t="shared" si="6"/>
        <v>13.07</v>
      </c>
    </row>
    <row r="333" spans="1:4" x14ac:dyDescent="0.35">
      <c r="A333" t="s">
        <v>1291</v>
      </c>
      <c r="B333" s="36">
        <v>452.76</v>
      </c>
      <c r="C333" s="40" t="s">
        <v>432</v>
      </c>
      <c r="D333">
        <f t="shared" si="6"/>
        <v>16.28</v>
      </c>
    </row>
    <row r="334" spans="1:4" x14ac:dyDescent="0.35">
      <c r="A334" t="s">
        <v>1292</v>
      </c>
      <c r="B334" s="36">
        <v>451.2</v>
      </c>
      <c r="C334" s="40" t="s">
        <v>433</v>
      </c>
      <c r="D334">
        <f t="shared" si="6"/>
        <v>8.85</v>
      </c>
    </row>
    <row r="335" spans="1:4" x14ac:dyDescent="0.35">
      <c r="A335" t="s">
        <v>1293</v>
      </c>
      <c r="B335" s="36">
        <v>452.62</v>
      </c>
      <c r="C335" s="40" t="s">
        <v>434</v>
      </c>
      <c r="D335">
        <f t="shared" si="6"/>
        <v>11.56</v>
      </c>
    </row>
    <row r="336" spans="1:4" x14ac:dyDescent="0.35">
      <c r="A336" t="s">
        <v>1294</v>
      </c>
      <c r="B336" s="36">
        <v>448.65</v>
      </c>
      <c r="C336" s="40" t="s">
        <v>435</v>
      </c>
      <c r="D336">
        <f t="shared" si="6"/>
        <v>18.84</v>
      </c>
    </row>
    <row r="337" spans="1:4" x14ac:dyDescent="0.35">
      <c r="A337" t="s">
        <v>1295</v>
      </c>
      <c r="B337" s="36">
        <v>439.57</v>
      </c>
      <c r="C337" s="40" t="s">
        <v>436</v>
      </c>
      <c r="D337">
        <f t="shared" si="6"/>
        <v>19.48</v>
      </c>
    </row>
    <row r="338" spans="1:4" x14ac:dyDescent="0.35">
      <c r="A338" t="s">
        <v>1296</v>
      </c>
      <c r="B338" s="36">
        <v>441.36</v>
      </c>
      <c r="C338" s="40" t="s">
        <v>437</v>
      </c>
      <c r="D338">
        <f t="shared" si="6"/>
        <v>14.6</v>
      </c>
    </row>
    <row r="339" spans="1:4" x14ac:dyDescent="0.35">
      <c r="A339" t="s">
        <v>1297</v>
      </c>
      <c r="B339" s="36">
        <v>445.1</v>
      </c>
      <c r="C339" s="40" t="s">
        <v>438</v>
      </c>
      <c r="D339">
        <f t="shared" si="6"/>
        <v>12.37</v>
      </c>
    </row>
    <row r="340" spans="1:4" x14ac:dyDescent="0.35">
      <c r="A340" t="s">
        <v>1298</v>
      </c>
      <c r="B340" s="36">
        <v>444.2</v>
      </c>
      <c r="C340" s="40" t="s">
        <v>439</v>
      </c>
      <c r="D340">
        <f t="shared" si="6"/>
        <v>19.84</v>
      </c>
    </row>
    <row r="341" spans="1:4" x14ac:dyDescent="0.35">
      <c r="A341" t="s">
        <v>1299</v>
      </c>
      <c r="B341" s="36">
        <v>444.72</v>
      </c>
      <c r="C341" s="40" t="s">
        <v>312</v>
      </c>
      <c r="D341">
        <f t="shared" si="6"/>
        <v>9.01</v>
      </c>
    </row>
    <row r="342" spans="1:4" x14ac:dyDescent="0.35">
      <c r="A342" t="s">
        <v>1300</v>
      </c>
      <c r="B342" s="36">
        <v>444.63</v>
      </c>
      <c r="C342" s="40" t="s">
        <v>440</v>
      </c>
      <c r="D342">
        <f t="shared" si="6"/>
        <v>31.75</v>
      </c>
    </row>
    <row r="343" spans="1:4" x14ac:dyDescent="0.35">
      <c r="A343" s="41">
        <v>45638</v>
      </c>
      <c r="B343" s="36">
        <v>435.73</v>
      </c>
      <c r="C343" s="40" t="s">
        <v>441</v>
      </c>
      <c r="D343">
        <f t="shared" si="6"/>
        <v>12.88</v>
      </c>
    </row>
    <row r="344" spans="1:4" x14ac:dyDescent="0.35">
      <c r="A344" s="41">
        <v>45608</v>
      </c>
      <c r="B344" s="36">
        <v>440.13</v>
      </c>
      <c r="C344" s="40" t="s">
        <v>442</v>
      </c>
      <c r="D344">
        <f t="shared" si="6"/>
        <v>6.75</v>
      </c>
    </row>
    <row r="345" spans="1:4" x14ac:dyDescent="0.35">
      <c r="A345" s="41">
        <v>45577</v>
      </c>
      <c r="B345" s="36">
        <v>440.32</v>
      </c>
      <c r="C345" s="40" t="s">
        <v>443</v>
      </c>
      <c r="D345">
        <f t="shared" si="6"/>
        <v>8.82</v>
      </c>
    </row>
    <row r="346" spans="1:4" x14ac:dyDescent="0.35">
      <c r="A346" s="41">
        <v>45547</v>
      </c>
      <c r="B346" s="36">
        <v>439.85</v>
      </c>
      <c r="C346" s="40" t="s">
        <v>444</v>
      </c>
      <c r="D346">
        <f t="shared" si="6"/>
        <v>11.7</v>
      </c>
    </row>
    <row r="347" spans="1:4" x14ac:dyDescent="0.35">
      <c r="A347" s="41">
        <v>45455</v>
      </c>
      <c r="B347" s="36">
        <v>445.71</v>
      </c>
      <c r="C347" s="40" t="s">
        <v>445</v>
      </c>
      <c r="D347">
        <f t="shared" si="6"/>
        <v>7.55</v>
      </c>
    </row>
    <row r="348" spans="1:4" x14ac:dyDescent="0.35">
      <c r="A348" s="41">
        <v>45424</v>
      </c>
      <c r="B348" s="36">
        <v>442.26</v>
      </c>
      <c r="C348" s="40" t="s">
        <v>446</v>
      </c>
      <c r="D348">
        <f t="shared" si="6"/>
        <v>26.42</v>
      </c>
    </row>
    <row r="349" spans="1:4" x14ac:dyDescent="0.35">
      <c r="A349" s="41">
        <v>45394</v>
      </c>
      <c r="B349" s="36">
        <v>441.88</v>
      </c>
      <c r="C349" s="40" t="s">
        <v>230</v>
      </c>
      <c r="D349">
        <f t="shared" si="6"/>
        <v>13.44</v>
      </c>
    </row>
    <row r="350" spans="1:4" x14ac:dyDescent="0.35">
      <c r="A350" s="41">
        <v>45363</v>
      </c>
      <c r="B350" s="36">
        <v>447.04</v>
      </c>
      <c r="C350" s="40" t="s">
        <v>447</v>
      </c>
      <c r="D350">
        <f t="shared" si="6"/>
        <v>22.22</v>
      </c>
    </row>
    <row r="351" spans="1:4" x14ac:dyDescent="0.35">
      <c r="A351" s="41">
        <v>45334</v>
      </c>
      <c r="B351" s="36">
        <v>451.44</v>
      </c>
      <c r="C351" s="40" t="s">
        <v>448</v>
      </c>
      <c r="D351">
        <f t="shared" si="6"/>
        <v>5.48</v>
      </c>
    </row>
    <row r="352" spans="1:4" x14ac:dyDescent="0.35">
      <c r="A352" t="s">
        <v>1301</v>
      </c>
      <c r="B352" s="36">
        <v>451.01</v>
      </c>
      <c r="C352" s="40" t="s">
        <v>449</v>
      </c>
      <c r="D352">
        <f t="shared" si="6"/>
        <v>8.35</v>
      </c>
    </row>
    <row r="353" spans="1:4" x14ac:dyDescent="0.35">
      <c r="A353" t="s">
        <v>1302</v>
      </c>
      <c r="B353" s="36">
        <v>449.26</v>
      </c>
      <c r="C353" s="40" t="s">
        <v>271</v>
      </c>
      <c r="D353">
        <f t="shared" si="6"/>
        <v>14.41</v>
      </c>
    </row>
    <row r="354" spans="1:4" x14ac:dyDescent="0.35">
      <c r="A354" t="s">
        <v>1303</v>
      </c>
      <c r="B354" s="36">
        <v>451.2</v>
      </c>
      <c r="C354" s="40" t="s">
        <v>450</v>
      </c>
      <c r="D354">
        <f t="shared" si="6"/>
        <v>7.07</v>
      </c>
    </row>
    <row r="355" spans="1:4" x14ac:dyDescent="0.35">
      <c r="A355" t="s">
        <v>1304</v>
      </c>
      <c r="B355" s="36">
        <v>451.25</v>
      </c>
      <c r="C355" s="40" t="s">
        <v>451</v>
      </c>
      <c r="D355">
        <f t="shared" si="6"/>
        <v>6.54</v>
      </c>
    </row>
    <row r="356" spans="1:4" x14ac:dyDescent="0.35">
      <c r="A356" t="s">
        <v>1305</v>
      </c>
      <c r="B356" s="36">
        <v>451.06</v>
      </c>
      <c r="C356" s="40" t="s">
        <v>170</v>
      </c>
      <c r="D356">
        <f t="shared" si="6"/>
        <v>13.89</v>
      </c>
    </row>
    <row r="357" spans="1:4" x14ac:dyDescent="0.35">
      <c r="A357" t="s">
        <v>1306</v>
      </c>
      <c r="B357" s="36">
        <v>449.02</v>
      </c>
      <c r="C357" s="40" t="s">
        <v>452</v>
      </c>
      <c r="D357">
        <f t="shared" si="6"/>
        <v>19.46</v>
      </c>
    </row>
    <row r="358" spans="1:4" x14ac:dyDescent="0.35">
      <c r="A358" t="s">
        <v>1307</v>
      </c>
      <c r="B358" s="36">
        <v>432.47</v>
      </c>
      <c r="C358" s="40" t="s">
        <v>453</v>
      </c>
      <c r="D358">
        <f t="shared" si="6"/>
        <v>19.559999999999999</v>
      </c>
    </row>
    <row r="359" spans="1:4" x14ac:dyDescent="0.35">
      <c r="A359" t="s">
        <v>1308</v>
      </c>
      <c r="B359" s="36">
        <v>442.12</v>
      </c>
      <c r="C359" s="40" t="s">
        <v>454</v>
      </c>
      <c r="D359">
        <f t="shared" si="6"/>
        <v>6.86</v>
      </c>
    </row>
    <row r="360" spans="1:4" x14ac:dyDescent="0.35">
      <c r="A360" t="s">
        <v>1309</v>
      </c>
      <c r="B360" s="36">
        <v>441.36</v>
      </c>
      <c r="C360" s="40" t="s">
        <v>455</v>
      </c>
      <c r="D360">
        <f t="shared" si="6"/>
        <v>8.14</v>
      </c>
    </row>
    <row r="361" spans="1:4" x14ac:dyDescent="0.35">
      <c r="A361" t="s">
        <v>1310</v>
      </c>
      <c r="B361" s="36">
        <v>440.8</v>
      </c>
      <c r="C361" s="40" t="s">
        <v>456</v>
      </c>
      <c r="D361">
        <f t="shared" si="6"/>
        <v>11.64</v>
      </c>
    </row>
    <row r="362" spans="1:4" x14ac:dyDescent="0.35">
      <c r="A362" t="s">
        <v>1311</v>
      </c>
      <c r="B362" s="36">
        <v>446.71</v>
      </c>
      <c r="C362" s="40" t="s">
        <v>457</v>
      </c>
      <c r="D362">
        <f t="shared" si="6"/>
        <v>11.12</v>
      </c>
    </row>
    <row r="363" spans="1:4" x14ac:dyDescent="0.35">
      <c r="A363" s="41">
        <v>45637</v>
      </c>
      <c r="B363" s="36">
        <v>447.32</v>
      </c>
      <c r="C363" s="40" t="s">
        <v>458</v>
      </c>
      <c r="D363">
        <f t="shared" si="6"/>
        <v>5.04</v>
      </c>
    </row>
    <row r="364" spans="1:4" x14ac:dyDescent="0.35">
      <c r="A364" s="41">
        <v>45607</v>
      </c>
      <c r="B364" s="36">
        <v>451.2</v>
      </c>
      <c r="C364" s="40" t="s">
        <v>459</v>
      </c>
      <c r="D364">
        <f t="shared" si="6"/>
        <v>5.49</v>
      </c>
    </row>
    <row r="365" spans="1:4" x14ac:dyDescent="0.35">
      <c r="A365" s="41">
        <v>45515</v>
      </c>
      <c r="B365" s="36">
        <v>452.24</v>
      </c>
      <c r="C365" s="40" t="s">
        <v>460</v>
      </c>
      <c r="D365">
        <f t="shared" si="6"/>
        <v>6.09</v>
      </c>
    </row>
    <row r="366" spans="1:4" x14ac:dyDescent="0.35">
      <c r="A366" s="41">
        <v>45484</v>
      </c>
      <c r="B366" s="36">
        <v>452.1</v>
      </c>
      <c r="C366" s="40" t="s">
        <v>461</v>
      </c>
      <c r="D366">
        <f t="shared" si="6"/>
        <v>8.92</v>
      </c>
    </row>
    <row r="367" spans="1:4" x14ac:dyDescent="0.35">
      <c r="A367" s="41">
        <v>45454</v>
      </c>
      <c r="B367" s="36">
        <v>455.13</v>
      </c>
      <c r="C367" s="40" t="s">
        <v>462</v>
      </c>
      <c r="D367">
        <f t="shared" si="6"/>
        <v>11.31</v>
      </c>
    </row>
    <row r="368" spans="1:4" x14ac:dyDescent="0.35">
      <c r="A368" s="41">
        <v>45423</v>
      </c>
      <c r="B368" s="36">
        <v>454.27</v>
      </c>
      <c r="C368" s="40" t="s">
        <v>463</v>
      </c>
      <c r="D368">
        <f t="shared" si="6"/>
        <v>7.33</v>
      </c>
    </row>
    <row r="369" spans="1:4" x14ac:dyDescent="0.35">
      <c r="A369" s="41">
        <v>45393</v>
      </c>
      <c r="B369" s="36">
        <v>458.44</v>
      </c>
      <c r="C369" s="40" t="s">
        <v>464</v>
      </c>
      <c r="D369">
        <f t="shared" si="6"/>
        <v>8.43</v>
      </c>
    </row>
    <row r="370" spans="1:4" x14ac:dyDescent="0.35">
      <c r="A370" s="41">
        <v>45302</v>
      </c>
      <c r="B370" s="36">
        <v>463.83</v>
      </c>
      <c r="C370" s="40" t="s">
        <v>465</v>
      </c>
      <c r="D370">
        <f t="shared" si="6"/>
        <v>1.46</v>
      </c>
    </row>
    <row r="371" spans="1:4" x14ac:dyDescent="0.35">
      <c r="A371" t="s">
        <v>1312</v>
      </c>
      <c r="B371" s="36">
        <v>462.41</v>
      </c>
      <c r="C371" s="40" t="s">
        <v>466</v>
      </c>
      <c r="D371">
        <f t="shared" si="6"/>
        <v>7.81</v>
      </c>
    </row>
    <row r="372" spans="1:4" x14ac:dyDescent="0.35">
      <c r="A372" t="s">
        <v>1313</v>
      </c>
      <c r="B372" s="36">
        <v>465.01</v>
      </c>
      <c r="C372" s="40" t="s">
        <v>467</v>
      </c>
      <c r="D372">
        <f t="shared" si="6"/>
        <v>6.39</v>
      </c>
    </row>
    <row r="373" spans="1:4" x14ac:dyDescent="0.35">
      <c r="A373" t="s">
        <v>1314</v>
      </c>
      <c r="B373" s="36">
        <v>461.61</v>
      </c>
      <c r="C373" s="40" t="s">
        <v>468</v>
      </c>
      <c r="D373">
        <f t="shared" si="6"/>
        <v>6.87</v>
      </c>
    </row>
    <row r="374" spans="1:4" x14ac:dyDescent="0.35">
      <c r="A374" t="s">
        <v>1315</v>
      </c>
      <c r="B374" s="36">
        <v>458.01</v>
      </c>
      <c r="C374" s="40" t="s">
        <v>469</v>
      </c>
      <c r="D374">
        <f t="shared" si="6"/>
        <v>8.61</v>
      </c>
    </row>
    <row r="375" spans="1:4" x14ac:dyDescent="0.35">
      <c r="A375" t="s">
        <v>1316</v>
      </c>
      <c r="B375" s="36">
        <v>456.26</v>
      </c>
      <c r="C375" s="40" t="s">
        <v>470</v>
      </c>
      <c r="D375">
        <f t="shared" si="6"/>
        <v>30.96</v>
      </c>
    </row>
    <row r="376" spans="1:4" x14ac:dyDescent="0.35">
      <c r="A376" t="s">
        <v>1317</v>
      </c>
      <c r="B376" s="36">
        <v>446.23</v>
      </c>
      <c r="C376" s="40" t="s">
        <v>293</v>
      </c>
      <c r="D376">
        <f t="shared" si="6"/>
        <v>13.09</v>
      </c>
    </row>
    <row r="377" spans="1:4" x14ac:dyDescent="0.35">
      <c r="A377" t="s">
        <v>1318</v>
      </c>
      <c r="B377" s="36">
        <v>454.42</v>
      </c>
      <c r="C377" s="40" t="s">
        <v>471</v>
      </c>
      <c r="D377">
        <f t="shared" si="6"/>
        <v>10.16</v>
      </c>
    </row>
    <row r="378" spans="1:4" x14ac:dyDescent="0.35">
      <c r="A378" t="s">
        <v>1319</v>
      </c>
      <c r="B378" s="36">
        <v>455.79</v>
      </c>
      <c r="C378" s="40" t="s">
        <v>265</v>
      </c>
      <c r="D378">
        <f t="shared" si="6"/>
        <v>12.3</v>
      </c>
    </row>
    <row r="379" spans="1:4" x14ac:dyDescent="0.35">
      <c r="A379" t="s">
        <v>1320</v>
      </c>
      <c r="B379" s="36">
        <v>457.54</v>
      </c>
      <c r="C379" s="40" t="s">
        <v>472</v>
      </c>
      <c r="D379">
        <f t="shared" si="6"/>
        <v>7.4</v>
      </c>
    </row>
    <row r="380" spans="1:4" x14ac:dyDescent="0.35">
      <c r="A380" t="s">
        <v>1321</v>
      </c>
      <c r="B380" s="36">
        <v>460.42</v>
      </c>
      <c r="C380" s="40" t="s">
        <v>473</v>
      </c>
      <c r="D380">
        <f t="shared" si="6"/>
        <v>21.78</v>
      </c>
    </row>
    <row r="381" spans="1:4" x14ac:dyDescent="0.35">
      <c r="A381" t="s">
        <v>1322</v>
      </c>
      <c r="B381" s="36">
        <v>462.51</v>
      </c>
      <c r="C381" s="40" t="s">
        <v>474</v>
      </c>
      <c r="D381">
        <f t="shared" si="6"/>
        <v>7.39</v>
      </c>
    </row>
    <row r="382" spans="1:4" x14ac:dyDescent="0.35">
      <c r="A382" t="s">
        <v>1323</v>
      </c>
      <c r="B382" s="36">
        <v>466.57</v>
      </c>
      <c r="C382" s="40" t="s">
        <v>475</v>
      </c>
      <c r="D382">
        <f t="shared" si="6"/>
        <v>6.68</v>
      </c>
    </row>
    <row r="383" spans="1:4" x14ac:dyDescent="0.35">
      <c r="A383" t="s">
        <v>1324</v>
      </c>
      <c r="B383" s="36">
        <v>471.64</v>
      </c>
      <c r="C383" s="40" t="s">
        <v>334</v>
      </c>
      <c r="D383">
        <f t="shared" si="6"/>
        <v>8.0399999999999991</v>
      </c>
    </row>
    <row r="384" spans="1:4" x14ac:dyDescent="0.35">
      <c r="A384" t="s">
        <v>1325</v>
      </c>
      <c r="B384" s="36">
        <v>470.12</v>
      </c>
      <c r="C384" s="40" t="s">
        <v>476</v>
      </c>
      <c r="D384">
        <f t="shared" si="6"/>
        <v>6.71</v>
      </c>
    </row>
    <row r="385" spans="1:4" x14ac:dyDescent="0.35">
      <c r="A385" s="41">
        <v>45606</v>
      </c>
      <c r="B385" s="36">
        <v>461.84</v>
      </c>
      <c r="C385" s="40" t="s">
        <v>477</v>
      </c>
      <c r="D385">
        <f t="shared" si="6"/>
        <v>14.39</v>
      </c>
    </row>
    <row r="386" spans="1:4" x14ac:dyDescent="0.35">
      <c r="A386" s="41">
        <v>45575</v>
      </c>
      <c r="B386" s="36">
        <v>465.49</v>
      </c>
      <c r="C386" s="40" t="s">
        <v>478</v>
      </c>
      <c r="D386">
        <f t="shared" ref="D386:D449" si="7">(VALUE(SUBSTITUTE(C386,"M",""))*1000000)/1000000</f>
        <v>12.8</v>
      </c>
    </row>
    <row r="387" spans="1:4" x14ac:dyDescent="0.35">
      <c r="A387" s="41">
        <v>45545</v>
      </c>
      <c r="B387" s="36">
        <v>465.15</v>
      </c>
      <c r="C387" s="40" t="s">
        <v>479</v>
      </c>
      <c r="D387">
        <f t="shared" si="7"/>
        <v>23.95</v>
      </c>
    </row>
    <row r="388" spans="1:4" x14ac:dyDescent="0.35">
      <c r="A388" s="41">
        <v>45514</v>
      </c>
      <c r="B388" s="36">
        <v>480.53</v>
      </c>
      <c r="C388" s="40" t="s">
        <v>480</v>
      </c>
      <c r="D388">
        <f t="shared" si="7"/>
        <v>9.5</v>
      </c>
    </row>
    <row r="389" spans="1:4" x14ac:dyDescent="0.35">
      <c r="A389" s="41">
        <v>45483</v>
      </c>
      <c r="B389" s="36">
        <v>482.66</v>
      </c>
      <c r="C389" s="40" t="s">
        <v>481</v>
      </c>
      <c r="D389">
        <f t="shared" si="7"/>
        <v>16.48</v>
      </c>
    </row>
    <row r="390" spans="1:4" x14ac:dyDescent="0.35">
      <c r="A390" s="41">
        <v>45392</v>
      </c>
      <c r="B390" s="36">
        <v>476.36</v>
      </c>
      <c r="C390" s="40" t="s">
        <v>429</v>
      </c>
      <c r="D390">
        <f t="shared" si="7"/>
        <v>18.23</v>
      </c>
    </row>
    <row r="391" spans="1:4" x14ac:dyDescent="0.35">
      <c r="A391" s="41">
        <v>45361</v>
      </c>
      <c r="B391" s="36">
        <v>485.07</v>
      </c>
      <c r="C391" s="40" t="s">
        <v>482</v>
      </c>
      <c r="D391">
        <f t="shared" si="7"/>
        <v>15.87</v>
      </c>
    </row>
    <row r="392" spans="1:4" x14ac:dyDescent="0.35">
      <c r="A392" s="41">
        <v>45301</v>
      </c>
      <c r="B392" s="36">
        <v>488.33</v>
      </c>
      <c r="C392" s="40" t="s">
        <v>483</v>
      </c>
      <c r="D392">
        <f t="shared" si="7"/>
        <v>5.09</v>
      </c>
    </row>
    <row r="393" spans="1:4" x14ac:dyDescent="0.35">
      <c r="A393" t="s">
        <v>1326</v>
      </c>
      <c r="B393" s="36">
        <v>490.18</v>
      </c>
      <c r="C393" s="40" t="s">
        <v>484</v>
      </c>
      <c r="D393">
        <f t="shared" si="7"/>
        <v>10.53</v>
      </c>
    </row>
    <row r="394" spans="1:4" x14ac:dyDescent="0.35">
      <c r="A394" t="s">
        <v>1327</v>
      </c>
      <c r="B394" s="36">
        <v>494.48</v>
      </c>
      <c r="C394" s="40" t="s">
        <v>485</v>
      </c>
      <c r="D394">
        <f t="shared" si="7"/>
        <v>17.25</v>
      </c>
    </row>
    <row r="395" spans="1:4" x14ac:dyDescent="0.35">
      <c r="A395" t="s">
        <v>1328</v>
      </c>
      <c r="B395" s="36">
        <v>494.53</v>
      </c>
      <c r="C395" s="40" t="s">
        <v>486</v>
      </c>
      <c r="D395">
        <f t="shared" si="7"/>
        <v>15.49</v>
      </c>
    </row>
    <row r="396" spans="1:4" x14ac:dyDescent="0.35">
      <c r="A396" t="s">
        <v>1329</v>
      </c>
      <c r="B396" s="36">
        <v>489.61</v>
      </c>
      <c r="C396" s="40" t="s">
        <v>487</v>
      </c>
      <c r="D396">
        <f t="shared" si="7"/>
        <v>8.48</v>
      </c>
    </row>
    <row r="397" spans="1:4" x14ac:dyDescent="0.35">
      <c r="A397" t="s">
        <v>1330</v>
      </c>
      <c r="B397" s="36">
        <v>487.43</v>
      </c>
      <c r="C397" s="40" t="s">
        <v>488</v>
      </c>
      <c r="D397">
        <f t="shared" si="7"/>
        <v>6.76</v>
      </c>
    </row>
    <row r="398" spans="1:4" x14ac:dyDescent="0.35">
      <c r="A398" t="s">
        <v>1331</v>
      </c>
      <c r="B398" s="36">
        <v>489.04</v>
      </c>
      <c r="C398" s="40" t="s">
        <v>280</v>
      </c>
      <c r="D398">
        <f t="shared" si="7"/>
        <v>7.8</v>
      </c>
    </row>
    <row r="399" spans="1:4" x14ac:dyDescent="0.35">
      <c r="A399" t="s">
        <v>1332</v>
      </c>
      <c r="B399" s="36">
        <v>486.63</v>
      </c>
      <c r="C399" s="40" t="s">
        <v>489</v>
      </c>
      <c r="D399">
        <f t="shared" si="7"/>
        <v>23.81</v>
      </c>
    </row>
    <row r="400" spans="1:4" x14ac:dyDescent="0.35">
      <c r="A400" t="s">
        <v>1333</v>
      </c>
      <c r="B400" s="36">
        <v>480.81</v>
      </c>
      <c r="C400" s="40" t="s">
        <v>490</v>
      </c>
      <c r="D400">
        <f t="shared" si="7"/>
        <v>13.93</v>
      </c>
    </row>
    <row r="401" spans="1:4" x14ac:dyDescent="0.35">
      <c r="A401" t="s">
        <v>1334</v>
      </c>
      <c r="B401" s="36">
        <v>479.96</v>
      </c>
      <c r="C401" s="40" t="s">
        <v>491</v>
      </c>
      <c r="D401">
        <f t="shared" si="7"/>
        <v>5.43</v>
      </c>
    </row>
    <row r="402" spans="1:4" x14ac:dyDescent="0.35">
      <c r="A402" t="s">
        <v>1335</v>
      </c>
      <c r="B402" s="36">
        <v>480.34</v>
      </c>
      <c r="C402" s="40" t="s">
        <v>492</v>
      </c>
      <c r="D402">
        <f t="shared" si="7"/>
        <v>10.49</v>
      </c>
    </row>
    <row r="403" spans="1:4" x14ac:dyDescent="0.35">
      <c r="A403" t="s">
        <v>1336</v>
      </c>
      <c r="B403" s="36">
        <v>483.51</v>
      </c>
      <c r="C403" s="40" t="s">
        <v>493</v>
      </c>
      <c r="D403">
        <f t="shared" si="7"/>
        <v>7.53</v>
      </c>
    </row>
    <row r="404" spans="1:4" x14ac:dyDescent="0.35">
      <c r="A404" t="s">
        <v>1337</v>
      </c>
      <c r="B404" s="36">
        <v>486.11</v>
      </c>
      <c r="C404" s="40" t="s">
        <v>283</v>
      </c>
      <c r="D404">
        <f t="shared" si="7"/>
        <v>8.83</v>
      </c>
    </row>
    <row r="405" spans="1:4" x14ac:dyDescent="0.35">
      <c r="A405" s="41">
        <v>45635</v>
      </c>
      <c r="B405" s="36">
        <v>491.45</v>
      </c>
      <c r="C405" s="40" t="s">
        <v>494</v>
      </c>
      <c r="D405">
        <f t="shared" si="7"/>
        <v>18.38</v>
      </c>
    </row>
    <row r="406" spans="1:4" x14ac:dyDescent="0.35">
      <c r="A406" s="41">
        <v>45605</v>
      </c>
      <c r="B406" s="36">
        <v>486.58</v>
      </c>
      <c r="C406" s="40" t="s">
        <v>495</v>
      </c>
      <c r="D406">
        <f t="shared" si="7"/>
        <v>14.92</v>
      </c>
    </row>
    <row r="407" spans="1:4" x14ac:dyDescent="0.35">
      <c r="A407" s="41">
        <v>45574</v>
      </c>
      <c r="B407" s="36">
        <v>485.87</v>
      </c>
      <c r="C407" s="40" t="s">
        <v>496</v>
      </c>
      <c r="D407">
        <f t="shared" si="7"/>
        <v>10.91</v>
      </c>
    </row>
    <row r="408" spans="1:4" x14ac:dyDescent="0.35">
      <c r="A408" s="41">
        <v>45544</v>
      </c>
      <c r="B408" s="36">
        <v>484.12</v>
      </c>
      <c r="C408" s="40" t="s">
        <v>497</v>
      </c>
      <c r="D408">
        <f t="shared" si="7"/>
        <v>13.74</v>
      </c>
    </row>
    <row r="409" spans="1:4" x14ac:dyDescent="0.35">
      <c r="A409" s="41">
        <v>45452</v>
      </c>
      <c r="B409" s="36">
        <v>474.61</v>
      </c>
      <c r="C409" s="40" t="s">
        <v>291</v>
      </c>
      <c r="D409">
        <f t="shared" si="7"/>
        <v>13.72</v>
      </c>
    </row>
    <row r="410" spans="1:4" x14ac:dyDescent="0.35">
      <c r="A410" s="41">
        <v>45421</v>
      </c>
      <c r="B410" s="36">
        <v>483.6</v>
      </c>
      <c r="C410" s="40" t="s">
        <v>498</v>
      </c>
      <c r="D410">
        <f t="shared" si="7"/>
        <v>10.9</v>
      </c>
    </row>
    <row r="411" spans="1:4" x14ac:dyDescent="0.35">
      <c r="A411" s="41">
        <v>45391</v>
      </c>
      <c r="B411" s="36">
        <v>479.01</v>
      </c>
      <c r="C411" s="40" t="s">
        <v>245</v>
      </c>
      <c r="D411">
        <f t="shared" si="7"/>
        <v>8.41</v>
      </c>
    </row>
    <row r="412" spans="1:4" x14ac:dyDescent="0.35">
      <c r="A412" s="41">
        <v>45360</v>
      </c>
      <c r="B412" s="36">
        <v>481.9</v>
      </c>
      <c r="C412" s="40" t="s">
        <v>499</v>
      </c>
      <c r="D412">
        <f t="shared" si="7"/>
        <v>12.02</v>
      </c>
    </row>
    <row r="413" spans="1:4" x14ac:dyDescent="0.35">
      <c r="A413" s="41">
        <v>45331</v>
      </c>
      <c r="B413" s="36">
        <v>482.51</v>
      </c>
      <c r="C413" s="40" t="s">
        <v>500</v>
      </c>
      <c r="D413">
        <f t="shared" si="7"/>
        <v>15.89</v>
      </c>
    </row>
    <row r="414" spans="1:4" x14ac:dyDescent="0.35">
      <c r="A414" t="s">
        <v>1338</v>
      </c>
      <c r="B414" s="36">
        <v>474.8</v>
      </c>
      <c r="C414" s="40" t="s">
        <v>501</v>
      </c>
      <c r="D414">
        <f t="shared" si="7"/>
        <v>14.95</v>
      </c>
    </row>
    <row r="415" spans="1:4" x14ac:dyDescent="0.35">
      <c r="A415" t="s">
        <v>1339</v>
      </c>
      <c r="B415" s="36">
        <v>477.83</v>
      </c>
      <c r="C415" s="40" t="s">
        <v>502</v>
      </c>
      <c r="D415">
        <f t="shared" si="7"/>
        <v>18.670000000000002</v>
      </c>
    </row>
    <row r="416" spans="1:4" x14ac:dyDescent="0.35">
      <c r="A416" t="s">
        <v>1340</v>
      </c>
      <c r="B416" s="36">
        <v>470.45</v>
      </c>
      <c r="C416" s="40" t="s">
        <v>503</v>
      </c>
      <c r="D416">
        <f t="shared" si="7"/>
        <v>7.78</v>
      </c>
    </row>
    <row r="417" spans="1:4" x14ac:dyDescent="0.35">
      <c r="A417" t="s">
        <v>1341</v>
      </c>
      <c r="B417" s="36">
        <v>473.57</v>
      </c>
      <c r="C417" s="40" t="s">
        <v>504</v>
      </c>
      <c r="D417">
        <f t="shared" si="7"/>
        <v>7.95</v>
      </c>
    </row>
    <row r="418" spans="1:4" x14ac:dyDescent="0.35">
      <c r="A418" t="s">
        <v>1342</v>
      </c>
      <c r="B418" s="36">
        <v>478.4</v>
      </c>
      <c r="C418" s="40" t="s">
        <v>505</v>
      </c>
      <c r="D418">
        <f t="shared" si="7"/>
        <v>7.83</v>
      </c>
    </row>
    <row r="419" spans="1:4" x14ac:dyDescent="0.35">
      <c r="A419" t="s">
        <v>1343</v>
      </c>
      <c r="B419" s="36">
        <v>478.49</v>
      </c>
      <c r="C419" s="40" t="s">
        <v>506</v>
      </c>
      <c r="D419">
        <f t="shared" si="7"/>
        <v>7.89</v>
      </c>
    </row>
    <row r="420" spans="1:4" x14ac:dyDescent="0.35">
      <c r="A420" t="s">
        <v>1344</v>
      </c>
      <c r="B420" s="36">
        <v>477.31</v>
      </c>
      <c r="C420" s="40" t="s">
        <v>507</v>
      </c>
      <c r="D420">
        <f t="shared" si="7"/>
        <v>8.36</v>
      </c>
    </row>
    <row r="421" spans="1:4" x14ac:dyDescent="0.35">
      <c r="A421" t="s">
        <v>1345</v>
      </c>
      <c r="B421" s="36">
        <v>478.11</v>
      </c>
      <c r="C421" s="40" t="s">
        <v>508</v>
      </c>
      <c r="D421">
        <f t="shared" si="7"/>
        <v>8.4700000000000006</v>
      </c>
    </row>
    <row r="422" spans="1:4" x14ac:dyDescent="0.35">
      <c r="A422" t="s">
        <v>1346</v>
      </c>
      <c r="B422" s="36">
        <v>471.87</v>
      </c>
      <c r="C422" s="40" t="s">
        <v>509</v>
      </c>
      <c r="D422">
        <f t="shared" si="7"/>
        <v>6.63</v>
      </c>
    </row>
    <row r="423" spans="1:4" x14ac:dyDescent="0.35">
      <c r="A423" t="s">
        <v>1347</v>
      </c>
      <c r="B423" s="36">
        <v>474.38</v>
      </c>
      <c r="C423" s="40" t="s">
        <v>510</v>
      </c>
      <c r="D423">
        <f t="shared" si="7"/>
        <v>10.199999999999999</v>
      </c>
    </row>
    <row r="424" spans="1:4" x14ac:dyDescent="0.35">
      <c r="A424" t="s">
        <v>1348</v>
      </c>
      <c r="B424" s="36">
        <v>475.51</v>
      </c>
      <c r="C424" s="40" t="s">
        <v>173</v>
      </c>
      <c r="D424">
        <f t="shared" si="7"/>
        <v>13.14</v>
      </c>
    </row>
    <row r="425" spans="1:4" x14ac:dyDescent="0.35">
      <c r="A425" t="s">
        <v>1349</v>
      </c>
      <c r="B425" s="36">
        <v>465.63</v>
      </c>
      <c r="C425" s="40" t="s">
        <v>282</v>
      </c>
      <c r="D425">
        <f t="shared" si="7"/>
        <v>9.25</v>
      </c>
    </row>
    <row r="426" spans="1:4" x14ac:dyDescent="0.35">
      <c r="A426" t="s">
        <v>1350</v>
      </c>
      <c r="B426" s="36">
        <v>463.55</v>
      </c>
      <c r="C426" s="40" t="s">
        <v>221</v>
      </c>
      <c r="D426">
        <f t="shared" si="7"/>
        <v>7.76</v>
      </c>
    </row>
    <row r="427" spans="1:4" x14ac:dyDescent="0.35">
      <c r="A427" s="41">
        <v>45634</v>
      </c>
      <c r="B427" s="36">
        <v>467.9</v>
      </c>
      <c r="C427" s="40" t="s">
        <v>304</v>
      </c>
      <c r="D427">
        <f t="shared" si="7"/>
        <v>9.08</v>
      </c>
    </row>
    <row r="428" spans="1:4" x14ac:dyDescent="0.35">
      <c r="A428" s="41">
        <v>45543</v>
      </c>
      <c r="B428" s="36">
        <v>469.13</v>
      </c>
      <c r="C428" s="40" t="s">
        <v>511</v>
      </c>
      <c r="D428">
        <f t="shared" si="7"/>
        <v>9.1999999999999993</v>
      </c>
    </row>
    <row r="429" spans="1:4" x14ac:dyDescent="0.35">
      <c r="A429" s="41">
        <v>45512</v>
      </c>
      <c r="B429" s="36">
        <v>468.04</v>
      </c>
      <c r="C429" s="40" t="s">
        <v>512</v>
      </c>
      <c r="D429">
        <f t="shared" si="7"/>
        <v>20.56</v>
      </c>
    </row>
    <row r="430" spans="1:4" x14ac:dyDescent="0.35">
      <c r="A430" s="41">
        <v>45481</v>
      </c>
      <c r="B430" s="36">
        <v>466.05</v>
      </c>
      <c r="C430" s="40" t="s">
        <v>498</v>
      </c>
      <c r="D430">
        <f t="shared" si="7"/>
        <v>10.9</v>
      </c>
    </row>
    <row r="431" spans="1:4" x14ac:dyDescent="0.35">
      <c r="A431" s="41">
        <v>45451</v>
      </c>
      <c r="B431" s="36">
        <v>460.05</v>
      </c>
      <c r="C431" s="40" t="s">
        <v>291</v>
      </c>
      <c r="D431">
        <f t="shared" si="7"/>
        <v>13.72</v>
      </c>
    </row>
    <row r="432" spans="1:4" x14ac:dyDescent="0.35">
      <c r="A432" s="41">
        <v>45420</v>
      </c>
      <c r="B432" s="36">
        <v>459.76</v>
      </c>
      <c r="C432" s="40" t="s">
        <v>513</v>
      </c>
      <c r="D432">
        <f t="shared" si="7"/>
        <v>24.09</v>
      </c>
    </row>
    <row r="433" spans="1:4" x14ac:dyDescent="0.35">
      <c r="A433" s="41">
        <v>45330</v>
      </c>
      <c r="B433" s="36">
        <v>462.7</v>
      </c>
      <c r="C433" s="40" t="s">
        <v>514</v>
      </c>
      <c r="D433">
        <f t="shared" si="7"/>
        <v>21.32</v>
      </c>
    </row>
    <row r="434" spans="1:4" x14ac:dyDescent="0.35">
      <c r="A434" s="41">
        <v>45299</v>
      </c>
      <c r="B434" s="36">
        <v>467.05</v>
      </c>
      <c r="C434" s="40" t="s">
        <v>515</v>
      </c>
      <c r="D434">
        <f t="shared" si="7"/>
        <v>11.67</v>
      </c>
    </row>
    <row r="435" spans="1:4" x14ac:dyDescent="0.35">
      <c r="A435" t="s">
        <v>1351</v>
      </c>
      <c r="B435" s="36">
        <v>468.61</v>
      </c>
      <c r="C435" s="40" t="s">
        <v>132</v>
      </c>
      <c r="D435">
        <f t="shared" si="7"/>
        <v>11.54</v>
      </c>
    </row>
    <row r="436" spans="1:4" x14ac:dyDescent="0.35">
      <c r="A436" t="s">
        <v>1352</v>
      </c>
      <c r="B436" s="36">
        <v>463.45</v>
      </c>
      <c r="C436" s="40" t="s">
        <v>516</v>
      </c>
      <c r="D436">
        <f t="shared" si="7"/>
        <v>13.38</v>
      </c>
    </row>
    <row r="437" spans="1:4" x14ac:dyDescent="0.35">
      <c r="A437" t="s">
        <v>1353</v>
      </c>
      <c r="B437" s="36">
        <v>469.27</v>
      </c>
      <c r="C437" s="40" t="s">
        <v>517</v>
      </c>
      <c r="D437">
        <f t="shared" si="7"/>
        <v>12.5</v>
      </c>
    </row>
    <row r="438" spans="1:4" x14ac:dyDescent="0.35">
      <c r="A438" t="s">
        <v>1354</v>
      </c>
      <c r="B438" s="36">
        <v>475.09</v>
      </c>
      <c r="C438" s="40" t="s">
        <v>518</v>
      </c>
      <c r="D438">
        <f t="shared" si="7"/>
        <v>20.74</v>
      </c>
    </row>
    <row r="439" spans="1:4" x14ac:dyDescent="0.35">
      <c r="A439" t="s">
        <v>1355</v>
      </c>
      <c r="B439" s="36">
        <v>463.5</v>
      </c>
      <c r="C439" s="40" t="s">
        <v>519</v>
      </c>
      <c r="D439">
        <f t="shared" si="7"/>
        <v>17.88</v>
      </c>
    </row>
    <row r="440" spans="1:4" x14ac:dyDescent="0.35">
      <c r="A440" t="s">
        <v>1356</v>
      </c>
      <c r="B440" s="36">
        <v>467.38</v>
      </c>
      <c r="C440" s="40" t="s">
        <v>520</v>
      </c>
      <c r="D440">
        <f t="shared" si="7"/>
        <v>42.07</v>
      </c>
    </row>
    <row r="441" spans="1:4" x14ac:dyDescent="0.35">
      <c r="A441" t="s">
        <v>1357</v>
      </c>
      <c r="B441" s="36">
        <v>465.63</v>
      </c>
      <c r="C441" s="40" t="s">
        <v>521</v>
      </c>
      <c r="D441">
        <f t="shared" si="7"/>
        <v>54.04</v>
      </c>
    </row>
    <row r="442" spans="1:4" x14ac:dyDescent="0.35">
      <c r="A442" t="s">
        <v>1358</v>
      </c>
      <c r="B442" s="36">
        <v>441.36</v>
      </c>
      <c r="C442" s="40" t="s">
        <v>522</v>
      </c>
      <c r="D442">
        <f t="shared" si="7"/>
        <v>18.07</v>
      </c>
    </row>
    <row r="443" spans="1:4" x14ac:dyDescent="0.35">
      <c r="A443" t="s">
        <v>1359</v>
      </c>
      <c r="B443" s="36">
        <v>448.93</v>
      </c>
      <c r="C443" s="40" t="s">
        <v>523</v>
      </c>
      <c r="D443">
        <f t="shared" si="7"/>
        <v>24.98</v>
      </c>
    </row>
    <row r="444" spans="1:4" x14ac:dyDescent="0.35">
      <c r="A444" t="s">
        <v>1360</v>
      </c>
      <c r="B444" s="36">
        <v>444.86</v>
      </c>
      <c r="C444" s="40" t="s">
        <v>524</v>
      </c>
      <c r="D444">
        <f t="shared" si="7"/>
        <v>21.09</v>
      </c>
    </row>
    <row r="445" spans="1:4" x14ac:dyDescent="0.35">
      <c r="A445" t="s">
        <v>1361</v>
      </c>
      <c r="B445" s="36">
        <v>440.42</v>
      </c>
      <c r="C445" s="40" t="s">
        <v>400</v>
      </c>
      <c r="D445">
        <f t="shared" si="7"/>
        <v>13</v>
      </c>
    </row>
    <row r="446" spans="1:4" x14ac:dyDescent="0.35">
      <c r="A446" t="s">
        <v>1362</v>
      </c>
      <c r="B446" s="36">
        <v>438.38</v>
      </c>
      <c r="C446" s="40" t="s">
        <v>525</v>
      </c>
      <c r="D446">
        <f t="shared" si="7"/>
        <v>16.25</v>
      </c>
    </row>
    <row r="447" spans="1:4" x14ac:dyDescent="0.35">
      <c r="A447" s="41">
        <v>45633</v>
      </c>
      <c r="B447" s="36">
        <v>434.27</v>
      </c>
      <c r="C447" s="40" t="s">
        <v>526</v>
      </c>
      <c r="D447">
        <f t="shared" si="7"/>
        <v>18.96</v>
      </c>
    </row>
    <row r="448" spans="1:4" x14ac:dyDescent="0.35">
      <c r="A448" s="41">
        <v>45603</v>
      </c>
      <c r="B448" s="36">
        <v>433.89</v>
      </c>
      <c r="C448" s="40" t="s">
        <v>527</v>
      </c>
      <c r="D448">
        <f t="shared" si="7"/>
        <v>18.829999999999998</v>
      </c>
    </row>
    <row r="449" spans="1:4" x14ac:dyDescent="0.35">
      <c r="A449" s="41">
        <v>45572</v>
      </c>
      <c r="B449" s="36">
        <v>427.08</v>
      </c>
      <c r="C449" s="40" t="s">
        <v>528</v>
      </c>
      <c r="D449">
        <f t="shared" si="7"/>
        <v>11.62</v>
      </c>
    </row>
    <row r="450" spans="1:4" x14ac:dyDescent="0.35">
      <c r="A450" s="41">
        <v>45542</v>
      </c>
      <c r="B450" s="36">
        <v>428.17</v>
      </c>
      <c r="C450" s="40" t="s">
        <v>529</v>
      </c>
      <c r="D450">
        <f t="shared" ref="D450:D513" si="8">(VALUE(SUBSTITUTE(C450,"M",""))*1000000)/1000000</f>
        <v>26.47</v>
      </c>
    </row>
    <row r="451" spans="1:4" x14ac:dyDescent="0.35">
      <c r="A451" s="41">
        <v>45511</v>
      </c>
      <c r="B451" s="36">
        <v>419.65</v>
      </c>
      <c r="C451" s="40" t="s">
        <v>530</v>
      </c>
      <c r="D451">
        <f t="shared" si="8"/>
        <v>20.52</v>
      </c>
    </row>
    <row r="452" spans="1:4" x14ac:dyDescent="0.35">
      <c r="A452" s="41">
        <v>45419</v>
      </c>
      <c r="B452" s="36">
        <v>410.24</v>
      </c>
      <c r="C452" s="40" t="s">
        <v>531</v>
      </c>
      <c r="D452">
        <f t="shared" si="8"/>
        <v>12.93</v>
      </c>
    </row>
    <row r="453" spans="1:4" x14ac:dyDescent="0.35">
      <c r="A453" s="41">
        <v>45389</v>
      </c>
      <c r="B453" s="36">
        <v>405.89</v>
      </c>
      <c r="C453" s="40" t="s">
        <v>532</v>
      </c>
      <c r="D453">
        <f t="shared" si="8"/>
        <v>9.1300000000000008</v>
      </c>
    </row>
    <row r="454" spans="1:4" x14ac:dyDescent="0.35">
      <c r="A454" s="41">
        <v>45358</v>
      </c>
      <c r="B454" s="36">
        <v>405.18</v>
      </c>
      <c r="C454" s="40" t="s">
        <v>533</v>
      </c>
      <c r="D454">
        <f t="shared" si="8"/>
        <v>7.16</v>
      </c>
    </row>
    <row r="455" spans="1:4" x14ac:dyDescent="0.35">
      <c r="A455" s="41">
        <v>45329</v>
      </c>
      <c r="B455" s="36">
        <v>402.53</v>
      </c>
      <c r="C455" s="40" t="s">
        <v>534</v>
      </c>
      <c r="D455">
        <f t="shared" si="8"/>
        <v>10.76</v>
      </c>
    </row>
    <row r="456" spans="1:4" x14ac:dyDescent="0.35">
      <c r="A456" s="41">
        <v>45298</v>
      </c>
      <c r="B456" s="36">
        <v>405.89</v>
      </c>
      <c r="C456" s="40" t="s">
        <v>535</v>
      </c>
      <c r="D456">
        <f t="shared" si="8"/>
        <v>12.89</v>
      </c>
    </row>
    <row r="457" spans="1:4" x14ac:dyDescent="0.35">
      <c r="A457" t="s">
        <v>1363</v>
      </c>
      <c r="B457" s="36">
        <v>401.96</v>
      </c>
      <c r="C457" s="40" t="s">
        <v>337</v>
      </c>
      <c r="D457">
        <f t="shared" si="8"/>
        <v>17.87</v>
      </c>
    </row>
    <row r="458" spans="1:4" x14ac:dyDescent="0.35">
      <c r="A458" t="s">
        <v>1364</v>
      </c>
      <c r="B458" s="36">
        <v>402.62</v>
      </c>
      <c r="C458" s="40" t="s">
        <v>536</v>
      </c>
      <c r="D458">
        <f t="shared" si="8"/>
        <v>37.01</v>
      </c>
    </row>
    <row r="459" spans="1:4" x14ac:dyDescent="0.35">
      <c r="A459" t="s">
        <v>1365</v>
      </c>
      <c r="B459" s="36">
        <v>401.06</v>
      </c>
      <c r="C459" s="40" t="s">
        <v>537</v>
      </c>
      <c r="D459">
        <f t="shared" si="8"/>
        <v>11.08</v>
      </c>
    </row>
    <row r="460" spans="1:4" x14ac:dyDescent="0.35">
      <c r="A460" t="s">
        <v>1366</v>
      </c>
      <c r="B460" s="36">
        <v>400.45</v>
      </c>
      <c r="C460" s="40" t="s">
        <v>538</v>
      </c>
      <c r="D460">
        <f t="shared" si="8"/>
        <v>10.26</v>
      </c>
    </row>
    <row r="461" spans="1:4" x14ac:dyDescent="0.35">
      <c r="A461" t="s">
        <v>1367</v>
      </c>
      <c r="B461" s="36">
        <v>400.45</v>
      </c>
      <c r="C461" s="40" t="s">
        <v>539</v>
      </c>
      <c r="D461">
        <f t="shared" si="8"/>
        <v>9.36</v>
      </c>
    </row>
    <row r="462" spans="1:4" x14ac:dyDescent="0.35">
      <c r="A462" t="s">
        <v>1368</v>
      </c>
      <c r="B462" s="36">
        <v>396.95</v>
      </c>
      <c r="C462" s="40" t="s">
        <v>540</v>
      </c>
      <c r="D462">
        <f t="shared" si="8"/>
        <v>25.21</v>
      </c>
    </row>
    <row r="463" spans="1:4" x14ac:dyDescent="0.35">
      <c r="A463" t="s">
        <v>1369</v>
      </c>
      <c r="B463" s="36">
        <v>400.45</v>
      </c>
      <c r="C463" s="40" t="s">
        <v>541</v>
      </c>
      <c r="D463">
        <f t="shared" si="8"/>
        <v>14.59</v>
      </c>
    </row>
    <row r="464" spans="1:4" x14ac:dyDescent="0.35">
      <c r="A464" t="s">
        <v>1370</v>
      </c>
      <c r="B464" s="36">
        <v>400.78</v>
      </c>
      <c r="C464" s="40" t="s">
        <v>496</v>
      </c>
      <c r="D464">
        <f t="shared" si="8"/>
        <v>10.91</v>
      </c>
    </row>
    <row r="465" spans="1:4" x14ac:dyDescent="0.35">
      <c r="A465" t="s">
        <v>1371</v>
      </c>
      <c r="B465" s="36">
        <v>405.6</v>
      </c>
      <c r="C465" s="40" t="s">
        <v>542</v>
      </c>
      <c r="D465">
        <f t="shared" si="8"/>
        <v>14.1</v>
      </c>
    </row>
    <row r="466" spans="1:4" x14ac:dyDescent="0.35">
      <c r="A466" t="s">
        <v>1372</v>
      </c>
      <c r="B466" s="36">
        <v>407.87</v>
      </c>
      <c r="C466" s="40" t="s">
        <v>543</v>
      </c>
      <c r="D466">
        <f t="shared" si="8"/>
        <v>9.2200000000000006</v>
      </c>
    </row>
    <row r="467" spans="1:4" x14ac:dyDescent="0.35">
      <c r="A467" t="s">
        <v>1373</v>
      </c>
      <c r="B467" s="36">
        <v>407.07</v>
      </c>
      <c r="C467" s="40" t="s">
        <v>544</v>
      </c>
      <c r="D467">
        <f t="shared" si="8"/>
        <v>9.2799999999999994</v>
      </c>
    </row>
    <row r="468" spans="1:4" x14ac:dyDescent="0.35">
      <c r="A468" s="41">
        <v>45632</v>
      </c>
      <c r="B468" s="36">
        <v>408.96</v>
      </c>
      <c r="C468" s="40" t="s">
        <v>545</v>
      </c>
      <c r="D468">
        <f t="shared" si="8"/>
        <v>10.35</v>
      </c>
    </row>
    <row r="469" spans="1:4" x14ac:dyDescent="0.35">
      <c r="A469" s="41">
        <v>45602</v>
      </c>
      <c r="B469" s="36">
        <v>409.62</v>
      </c>
      <c r="C469" s="40" t="s">
        <v>546</v>
      </c>
      <c r="D469">
        <f t="shared" si="8"/>
        <v>12.67</v>
      </c>
    </row>
    <row r="470" spans="1:4" x14ac:dyDescent="0.35">
      <c r="A470" s="41">
        <v>45571</v>
      </c>
      <c r="B470" s="36">
        <v>413.31</v>
      </c>
      <c r="C470" s="40" t="s">
        <v>547</v>
      </c>
      <c r="D470">
        <f t="shared" si="8"/>
        <v>11.43</v>
      </c>
    </row>
    <row r="471" spans="1:4" x14ac:dyDescent="0.35">
      <c r="A471" s="41">
        <v>45479</v>
      </c>
      <c r="B471" s="36">
        <v>415.44</v>
      </c>
      <c r="C471" s="40" t="s">
        <v>548</v>
      </c>
      <c r="D471">
        <f t="shared" si="8"/>
        <v>28.45</v>
      </c>
    </row>
    <row r="472" spans="1:4" x14ac:dyDescent="0.35">
      <c r="A472" s="41">
        <v>45449</v>
      </c>
      <c r="B472" s="36">
        <v>411.89</v>
      </c>
      <c r="C472" s="40" t="s">
        <v>549</v>
      </c>
      <c r="D472">
        <f t="shared" si="8"/>
        <v>31.12</v>
      </c>
    </row>
    <row r="473" spans="1:4" x14ac:dyDescent="0.35">
      <c r="A473" s="41">
        <v>45418</v>
      </c>
      <c r="B473" s="36">
        <v>407.07</v>
      </c>
      <c r="C473" s="40" t="s">
        <v>550</v>
      </c>
      <c r="D473">
        <f t="shared" si="8"/>
        <v>27.15</v>
      </c>
    </row>
    <row r="474" spans="1:4" x14ac:dyDescent="0.35">
      <c r="A474" s="41">
        <v>45388</v>
      </c>
      <c r="B474" s="36">
        <v>392.79</v>
      </c>
      <c r="C474" s="40" t="s">
        <v>551</v>
      </c>
      <c r="D474">
        <f t="shared" si="8"/>
        <v>46.02</v>
      </c>
    </row>
    <row r="475" spans="1:4" x14ac:dyDescent="0.35">
      <c r="A475" s="41">
        <v>45357</v>
      </c>
      <c r="B475" s="36">
        <v>407.12</v>
      </c>
      <c r="C475" s="40" t="s">
        <v>552</v>
      </c>
      <c r="D475">
        <f t="shared" si="8"/>
        <v>15.52</v>
      </c>
    </row>
    <row r="476" spans="1:4" x14ac:dyDescent="0.35">
      <c r="A476" t="s">
        <v>1374</v>
      </c>
      <c r="B476" s="36">
        <v>403.43</v>
      </c>
      <c r="C476" s="40" t="s">
        <v>553</v>
      </c>
      <c r="D476">
        <f t="shared" si="8"/>
        <v>28.21</v>
      </c>
    </row>
    <row r="477" spans="1:4" x14ac:dyDescent="0.35">
      <c r="A477" t="s">
        <v>1375</v>
      </c>
      <c r="B477" s="36">
        <v>400.97</v>
      </c>
      <c r="C477" s="40" t="s">
        <v>530</v>
      </c>
      <c r="D477">
        <f t="shared" si="8"/>
        <v>20.52</v>
      </c>
    </row>
    <row r="478" spans="1:4" x14ac:dyDescent="0.35">
      <c r="A478" t="s">
        <v>1376</v>
      </c>
      <c r="B478" s="36">
        <v>407.68</v>
      </c>
      <c r="C478" s="40" t="s">
        <v>554</v>
      </c>
      <c r="D478">
        <f t="shared" si="8"/>
        <v>10.43</v>
      </c>
    </row>
    <row r="479" spans="1:4" x14ac:dyDescent="0.35">
      <c r="A479" t="s">
        <v>1377</v>
      </c>
      <c r="B479" s="36">
        <v>405.84</v>
      </c>
      <c r="C479" s="40" t="s">
        <v>555</v>
      </c>
      <c r="D479">
        <f t="shared" si="8"/>
        <v>9.31</v>
      </c>
    </row>
    <row r="480" spans="1:4" x14ac:dyDescent="0.35">
      <c r="A480" t="s">
        <v>1378</v>
      </c>
      <c r="B480" s="36">
        <v>408.2</v>
      </c>
      <c r="C480" s="40" t="s">
        <v>556</v>
      </c>
      <c r="D480">
        <f t="shared" si="8"/>
        <v>11.83</v>
      </c>
    </row>
    <row r="481" spans="1:4" x14ac:dyDescent="0.35">
      <c r="A481" t="s">
        <v>1379</v>
      </c>
      <c r="B481" s="36">
        <v>412.65</v>
      </c>
      <c r="C481" s="40" t="s">
        <v>557</v>
      </c>
      <c r="D481">
        <f t="shared" si="8"/>
        <v>12.76</v>
      </c>
    </row>
    <row r="482" spans="1:4" x14ac:dyDescent="0.35">
      <c r="A482" t="s">
        <v>1380</v>
      </c>
      <c r="B482" s="36">
        <v>417.52</v>
      </c>
      <c r="C482" s="40" t="s">
        <v>558</v>
      </c>
      <c r="D482">
        <f t="shared" si="8"/>
        <v>26.23</v>
      </c>
    </row>
    <row r="483" spans="1:4" x14ac:dyDescent="0.35">
      <c r="A483" t="s">
        <v>1381</v>
      </c>
      <c r="B483" s="36">
        <v>416.15</v>
      </c>
      <c r="C483" s="40" t="s">
        <v>559</v>
      </c>
      <c r="D483">
        <f t="shared" si="8"/>
        <v>10.63</v>
      </c>
    </row>
    <row r="484" spans="1:4" x14ac:dyDescent="0.35">
      <c r="A484" t="s">
        <v>1382</v>
      </c>
      <c r="B484" s="36">
        <v>411.33</v>
      </c>
      <c r="C484" s="40" t="s">
        <v>534</v>
      </c>
      <c r="D484">
        <f t="shared" si="8"/>
        <v>10.76</v>
      </c>
    </row>
    <row r="485" spans="1:4" x14ac:dyDescent="0.35">
      <c r="A485" t="s">
        <v>1383</v>
      </c>
      <c r="B485" s="36">
        <v>436.65</v>
      </c>
      <c r="C485" s="40" t="s">
        <v>560</v>
      </c>
      <c r="D485" t="e">
        <f t="shared" si="8"/>
        <v>#VALUE!</v>
      </c>
    </row>
    <row r="486" spans="1:4" x14ac:dyDescent="0.35">
      <c r="A486" t="s">
        <v>1384</v>
      </c>
      <c r="B486" s="36">
        <v>412.74</v>
      </c>
      <c r="C486" s="40" t="s">
        <v>561</v>
      </c>
      <c r="D486">
        <f t="shared" si="8"/>
        <v>11.45</v>
      </c>
    </row>
    <row r="487" spans="1:4" x14ac:dyDescent="0.35">
      <c r="A487" t="s">
        <v>1385</v>
      </c>
      <c r="B487" s="36">
        <v>408.16</v>
      </c>
      <c r="C487" s="40" t="s">
        <v>562</v>
      </c>
      <c r="D487">
        <f t="shared" si="8"/>
        <v>23.03</v>
      </c>
    </row>
    <row r="488" spans="1:4" x14ac:dyDescent="0.35">
      <c r="A488" t="s">
        <v>1386</v>
      </c>
      <c r="B488" s="36">
        <v>404.7</v>
      </c>
      <c r="C488" s="40" t="s">
        <v>563</v>
      </c>
      <c r="D488">
        <f t="shared" si="8"/>
        <v>7.57</v>
      </c>
    </row>
    <row r="489" spans="1:4" x14ac:dyDescent="0.35">
      <c r="A489" t="s">
        <v>1387</v>
      </c>
      <c r="B489" s="36">
        <v>406.5</v>
      </c>
      <c r="C489" s="40" t="s">
        <v>564</v>
      </c>
      <c r="D489">
        <f t="shared" si="8"/>
        <v>11</v>
      </c>
    </row>
    <row r="490" spans="1:4" x14ac:dyDescent="0.35">
      <c r="A490" t="s">
        <v>1388</v>
      </c>
      <c r="B490" s="36">
        <v>408.54</v>
      </c>
      <c r="C490" s="40" t="s">
        <v>565</v>
      </c>
      <c r="D490">
        <f t="shared" si="8"/>
        <v>7.3</v>
      </c>
    </row>
    <row r="491" spans="1:4" x14ac:dyDescent="0.35">
      <c r="A491" s="41">
        <v>45570</v>
      </c>
      <c r="B491" s="36">
        <v>409.95</v>
      </c>
      <c r="C491" s="40" t="s">
        <v>266</v>
      </c>
      <c r="D491">
        <f t="shared" si="8"/>
        <v>13.99</v>
      </c>
    </row>
    <row r="492" spans="1:4" x14ac:dyDescent="0.35">
      <c r="A492" s="41">
        <v>45540</v>
      </c>
      <c r="B492" s="36">
        <v>402.15</v>
      </c>
      <c r="C492" s="40" t="s">
        <v>566</v>
      </c>
      <c r="D492">
        <f t="shared" si="8"/>
        <v>23.41</v>
      </c>
    </row>
    <row r="493" spans="1:4" x14ac:dyDescent="0.35">
      <c r="A493" s="41">
        <v>45509</v>
      </c>
      <c r="B493" s="36">
        <v>417.19</v>
      </c>
      <c r="C493" s="40" t="s">
        <v>567</v>
      </c>
      <c r="D493">
        <f t="shared" si="8"/>
        <v>10.51</v>
      </c>
    </row>
    <row r="494" spans="1:4" x14ac:dyDescent="0.35">
      <c r="A494" s="41">
        <v>45478</v>
      </c>
      <c r="B494" s="36">
        <v>416.58</v>
      </c>
      <c r="C494" s="40" t="s">
        <v>568</v>
      </c>
      <c r="D494">
        <f t="shared" si="8"/>
        <v>25.97</v>
      </c>
    </row>
    <row r="495" spans="1:4" x14ac:dyDescent="0.35">
      <c r="A495" s="41">
        <v>45448</v>
      </c>
      <c r="B495" s="36">
        <v>411.28</v>
      </c>
      <c r="C495" s="40" t="s">
        <v>569</v>
      </c>
      <c r="D495">
        <f t="shared" si="8"/>
        <v>10.36</v>
      </c>
    </row>
    <row r="496" spans="1:4" x14ac:dyDescent="0.35">
      <c r="A496" s="41">
        <v>45356</v>
      </c>
      <c r="B496" s="36">
        <v>412.89</v>
      </c>
      <c r="C496" s="40" t="s">
        <v>570</v>
      </c>
      <c r="D496">
        <f t="shared" si="8"/>
        <v>22.9</v>
      </c>
    </row>
    <row r="497" spans="1:4" x14ac:dyDescent="0.35">
      <c r="A497" s="41">
        <v>45327</v>
      </c>
      <c r="B497" s="36">
        <v>415.3</v>
      </c>
      <c r="C497" s="40" t="s">
        <v>571</v>
      </c>
      <c r="D497">
        <f t="shared" si="8"/>
        <v>23.23</v>
      </c>
    </row>
    <row r="498" spans="1:4" x14ac:dyDescent="0.35">
      <c r="A498" t="s">
        <v>1389</v>
      </c>
      <c r="B498" s="36">
        <v>412.13</v>
      </c>
      <c r="C498" s="40" t="s">
        <v>572</v>
      </c>
      <c r="D498">
        <f t="shared" si="8"/>
        <v>12.06</v>
      </c>
    </row>
    <row r="499" spans="1:4" x14ac:dyDescent="0.35">
      <c r="A499" t="s">
        <v>1390</v>
      </c>
      <c r="B499" s="36">
        <v>414.54</v>
      </c>
      <c r="C499" s="40" t="s">
        <v>573</v>
      </c>
      <c r="D499">
        <f t="shared" si="8"/>
        <v>11.63</v>
      </c>
    </row>
    <row r="500" spans="1:4" x14ac:dyDescent="0.35">
      <c r="A500" t="s">
        <v>1391</v>
      </c>
      <c r="B500" s="36">
        <v>416.25</v>
      </c>
      <c r="C500" s="40" t="s">
        <v>574</v>
      </c>
      <c r="D500">
        <f t="shared" si="8"/>
        <v>14.77</v>
      </c>
    </row>
    <row r="501" spans="1:4" x14ac:dyDescent="0.35">
      <c r="A501" t="s">
        <v>1392</v>
      </c>
      <c r="B501" s="36">
        <v>413.93</v>
      </c>
      <c r="C501" s="40" t="s">
        <v>575</v>
      </c>
      <c r="D501">
        <f t="shared" si="8"/>
        <v>29.21</v>
      </c>
    </row>
    <row r="502" spans="1:4" x14ac:dyDescent="0.35">
      <c r="A502" t="s">
        <v>1393</v>
      </c>
      <c r="B502" s="36">
        <v>405.74</v>
      </c>
      <c r="C502" s="40" t="s">
        <v>576</v>
      </c>
      <c r="D502">
        <f t="shared" si="8"/>
        <v>5.85</v>
      </c>
    </row>
    <row r="503" spans="1:4" x14ac:dyDescent="0.35">
      <c r="A503" t="s">
        <v>1394</v>
      </c>
      <c r="B503" s="36">
        <v>406.03</v>
      </c>
      <c r="C503" s="40" t="s">
        <v>499</v>
      </c>
      <c r="D503">
        <f t="shared" si="8"/>
        <v>12.02</v>
      </c>
    </row>
    <row r="504" spans="1:4" x14ac:dyDescent="0.35">
      <c r="A504" t="s">
        <v>1395</v>
      </c>
      <c r="B504" s="36">
        <v>402.34</v>
      </c>
      <c r="C504" s="40" t="s">
        <v>577</v>
      </c>
      <c r="D504">
        <f t="shared" si="8"/>
        <v>7.11</v>
      </c>
    </row>
    <row r="505" spans="1:4" x14ac:dyDescent="0.35">
      <c r="A505" t="s">
        <v>1396</v>
      </c>
      <c r="B505" s="36">
        <v>401.82</v>
      </c>
      <c r="C505" s="40" t="s">
        <v>578</v>
      </c>
      <c r="D505">
        <f t="shared" si="8"/>
        <v>16.579999999999998</v>
      </c>
    </row>
    <row r="506" spans="1:4" x14ac:dyDescent="0.35">
      <c r="A506" t="s">
        <v>1397</v>
      </c>
      <c r="B506" s="36">
        <v>396.24</v>
      </c>
      <c r="C506" s="40" t="s">
        <v>579</v>
      </c>
      <c r="D506">
        <f t="shared" si="8"/>
        <v>21.31</v>
      </c>
    </row>
    <row r="507" spans="1:4" x14ac:dyDescent="0.35">
      <c r="A507" t="s">
        <v>1398</v>
      </c>
      <c r="B507" s="36">
        <v>402.91</v>
      </c>
      <c r="C507" s="40" t="s">
        <v>580</v>
      </c>
      <c r="D507">
        <f t="shared" si="8"/>
        <v>9.9700000000000006</v>
      </c>
    </row>
    <row r="508" spans="1:4" x14ac:dyDescent="0.35">
      <c r="A508" t="s">
        <v>1399</v>
      </c>
      <c r="B508" s="36">
        <v>402.91</v>
      </c>
      <c r="C508" s="40" t="s">
        <v>581</v>
      </c>
      <c r="D508">
        <f t="shared" si="8"/>
        <v>8.75</v>
      </c>
    </row>
    <row r="509" spans="1:4" x14ac:dyDescent="0.35">
      <c r="A509" s="41">
        <v>45630</v>
      </c>
      <c r="B509" s="36">
        <v>406.88</v>
      </c>
      <c r="C509" s="40" t="s">
        <v>582</v>
      </c>
      <c r="D509">
        <f t="shared" si="8"/>
        <v>18.09</v>
      </c>
    </row>
    <row r="510" spans="1:4" x14ac:dyDescent="0.35">
      <c r="A510" s="41">
        <v>45569</v>
      </c>
      <c r="B510" s="36">
        <v>413.36</v>
      </c>
      <c r="C510" s="40" t="s">
        <v>583</v>
      </c>
      <c r="D510">
        <f t="shared" si="8"/>
        <v>14.01</v>
      </c>
    </row>
    <row r="511" spans="1:4" x14ac:dyDescent="0.35">
      <c r="A511" s="41">
        <v>45539</v>
      </c>
      <c r="B511" s="36">
        <v>403.33</v>
      </c>
      <c r="C511" s="40" t="s">
        <v>476</v>
      </c>
      <c r="D511">
        <f t="shared" si="8"/>
        <v>6.71</v>
      </c>
    </row>
    <row r="512" spans="1:4" x14ac:dyDescent="0.35">
      <c r="A512" s="41">
        <v>45508</v>
      </c>
      <c r="B512" s="36">
        <v>405.93</v>
      </c>
      <c r="C512" s="40" t="s">
        <v>584</v>
      </c>
      <c r="D512">
        <f t="shared" si="8"/>
        <v>8.52</v>
      </c>
    </row>
    <row r="513" spans="1:4" x14ac:dyDescent="0.35">
      <c r="A513" s="41">
        <v>45416</v>
      </c>
      <c r="B513" s="36">
        <v>404.47</v>
      </c>
      <c r="C513" s="40" t="s">
        <v>585</v>
      </c>
      <c r="D513">
        <f t="shared" si="8"/>
        <v>16.149999999999999</v>
      </c>
    </row>
    <row r="514" spans="1:4" x14ac:dyDescent="0.35">
      <c r="A514" s="41">
        <v>45386</v>
      </c>
      <c r="B514" s="36">
        <v>399.93</v>
      </c>
      <c r="C514" s="40" t="s">
        <v>586</v>
      </c>
      <c r="D514">
        <f t="shared" ref="D514:D577" si="9">(VALUE(SUBSTITUTE(C514,"M",""))*1000000)/1000000</f>
        <v>18.36</v>
      </c>
    </row>
    <row r="515" spans="1:4" x14ac:dyDescent="0.35">
      <c r="A515" s="41">
        <v>45355</v>
      </c>
      <c r="B515" s="36">
        <v>402.24</v>
      </c>
      <c r="C515" s="40" t="s">
        <v>587</v>
      </c>
      <c r="D515">
        <f t="shared" si="9"/>
        <v>12.66</v>
      </c>
    </row>
    <row r="516" spans="1:4" x14ac:dyDescent="0.35">
      <c r="A516" s="41">
        <v>45326</v>
      </c>
      <c r="B516" s="36">
        <v>402.86</v>
      </c>
      <c r="C516" s="40" t="s">
        <v>433</v>
      </c>
      <c r="D516">
        <f t="shared" si="9"/>
        <v>8.85</v>
      </c>
    </row>
    <row r="517" spans="1:4" x14ac:dyDescent="0.35">
      <c r="A517" s="41">
        <v>45295</v>
      </c>
      <c r="B517" s="36">
        <v>403.66</v>
      </c>
      <c r="C517" s="40" t="s">
        <v>588</v>
      </c>
      <c r="D517">
        <f t="shared" si="9"/>
        <v>9.3800000000000008</v>
      </c>
    </row>
    <row r="518" spans="1:4" x14ac:dyDescent="0.35">
      <c r="A518" t="s">
        <v>1400</v>
      </c>
      <c r="B518" s="36">
        <v>405.23</v>
      </c>
      <c r="C518" s="40" t="s">
        <v>589</v>
      </c>
      <c r="D518">
        <f t="shared" si="9"/>
        <v>27.93</v>
      </c>
    </row>
    <row r="519" spans="1:4" x14ac:dyDescent="0.35">
      <c r="A519" t="s">
        <v>1401</v>
      </c>
      <c r="B519" s="36">
        <v>404.89</v>
      </c>
      <c r="C519" s="40" t="s">
        <v>406</v>
      </c>
      <c r="D519">
        <f t="shared" si="9"/>
        <v>12.23</v>
      </c>
    </row>
    <row r="520" spans="1:4" x14ac:dyDescent="0.35">
      <c r="A520" t="s">
        <v>1402</v>
      </c>
      <c r="B520" s="36">
        <v>404.56</v>
      </c>
      <c r="C520" s="40" t="s">
        <v>590</v>
      </c>
      <c r="D520">
        <f t="shared" si="9"/>
        <v>10.27</v>
      </c>
    </row>
    <row r="521" spans="1:4" x14ac:dyDescent="0.35">
      <c r="A521" t="s">
        <v>1403</v>
      </c>
      <c r="B521" s="36">
        <v>405.46</v>
      </c>
      <c r="C521" s="40" t="s">
        <v>591</v>
      </c>
      <c r="D521">
        <f t="shared" si="9"/>
        <v>38.86</v>
      </c>
    </row>
    <row r="522" spans="1:4" x14ac:dyDescent="0.35">
      <c r="A522" t="s">
        <v>1404</v>
      </c>
      <c r="B522" s="36">
        <v>398.51</v>
      </c>
      <c r="C522" s="40" t="s">
        <v>592</v>
      </c>
      <c r="D522">
        <f t="shared" si="9"/>
        <v>19.23</v>
      </c>
    </row>
    <row r="523" spans="1:4" x14ac:dyDescent="0.35">
      <c r="A523" t="s">
        <v>1405</v>
      </c>
      <c r="B523" s="36">
        <v>393.26</v>
      </c>
      <c r="C523" s="40" t="s">
        <v>593</v>
      </c>
      <c r="D523">
        <f t="shared" si="9"/>
        <v>19.61</v>
      </c>
    </row>
    <row r="524" spans="1:4" x14ac:dyDescent="0.35">
      <c r="A524" t="s">
        <v>1406</v>
      </c>
      <c r="B524" s="36">
        <v>387.44</v>
      </c>
      <c r="C524" s="40" t="s">
        <v>594</v>
      </c>
      <c r="D524">
        <f t="shared" si="9"/>
        <v>20.99</v>
      </c>
    </row>
    <row r="525" spans="1:4" x14ac:dyDescent="0.35">
      <c r="A525" t="s">
        <v>1407</v>
      </c>
      <c r="B525" s="36">
        <v>394.91</v>
      </c>
      <c r="C525" s="40" t="s">
        <v>595</v>
      </c>
      <c r="D525">
        <f t="shared" si="9"/>
        <v>15.93</v>
      </c>
    </row>
    <row r="526" spans="1:4" x14ac:dyDescent="0.35">
      <c r="A526" t="s">
        <v>1408</v>
      </c>
      <c r="B526" s="36">
        <v>396.47</v>
      </c>
      <c r="C526" s="40" t="s">
        <v>596</v>
      </c>
      <c r="D526">
        <f t="shared" si="9"/>
        <v>73.25</v>
      </c>
    </row>
    <row r="527" spans="1:4" x14ac:dyDescent="0.35">
      <c r="A527" t="s">
        <v>1409</v>
      </c>
      <c r="B527" s="36">
        <v>396.99</v>
      </c>
      <c r="C527" s="40" t="s">
        <v>597</v>
      </c>
      <c r="D527">
        <f t="shared" si="9"/>
        <v>30.76</v>
      </c>
    </row>
    <row r="528" spans="1:4" x14ac:dyDescent="0.35">
      <c r="A528" t="s">
        <v>1410</v>
      </c>
      <c r="B528" s="36">
        <v>399.64</v>
      </c>
      <c r="C528" s="40" t="s">
        <v>598</v>
      </c>
      <c r="D528">
        <f t="shared" si="9"/>
        <v>101.61</v>
      </c>
    </row>
    <row r="529" spans="1:4" x14ac:dyDescent="0.35">
      <c r="A529" s="41">
        <v>45629</v>
      </c>
      <c r="B529" s="36">
        <v>382.61</v>
      </c>
      <c r="C529" s="40" t="s">
        <v>599</v>
      </c>
      <c r="D529">
        <f t="shared" si="9"/>
        <v>34.880000000000003</v>
      </c>
    </row>
    <row r="530" spans="1:4" x14ac:dyDescent="0.35">
      <c r="A530" s="41">
        <v>45599</v>
      </c>
      <c r="B530" s="36">
        <v>387.3</v>
      </c>
      <c r="C530" s="40" t="s">
        <v>600</v>
      </c>
      <c r="D530">
        <f t="shared" si="9"/>
        <v>17.62</v>
      </c>
    </row>
    <row r="531" spans="1:4" x14ac:dyDescent="0.35">
      <c r="A531" s="41">
        <v>45476</v>
      </c>
      <c r="B531" s="36">
        <v>391.22</v>
      </c>
      <c r="C531" s="40" t="s">
        <v>601</v>
      </c>
      <c r="D531">
        <f t="shared" si="9"/>
        <v>23.02</v>
      </c>
    </row>
    <row r="532" spans="1:4" x14ac:dyDescent="0.35">
      <c r="A532" s="41">
        <v>45446</v>
      </c>
      <c r="B532" s="36">
        <v>385.83</v>
      </c>
      <c r="C532" s="40" t="s">
        <v>602</v>
      </c>
      <c r="D532">
        <f t="shared" si="9"/>
        <v>11.11</v>
      </c>
    </row>
    <row r="533" spans="1:4" x14ac:dyDescent="0.35">
      <c r="A533" s="41">
        <v>45415</v>
      </c>
      <c r="B533" s="36">
        <v>384.22</v>
      </c>
      <c r="C533" s="40" t="s">
        <v>603</v>
      </c>
      <c r="D533">
        <f t="shared" si="9"/>
        <v>9.73</v>
      </c>
    </row>
    <row r="534" spans="1:4" x14ac:dyDescent="0.35">
      <c r="A534" s="41">
        <v>45385</v>
      </c>
      <c r="B534" s="36">
        <v>387.01</v>
      </c>
      <c r="C534" s="40" t="s">
        <v>604</v>
      </c>
      <c r="D534">
        <f t="shared" si="9"/>
        <v>6.84</v>
      </c>
    </row>
    <row r="535" spans="1:4" x14ac:dyDescent="0.35">
      <c r="A535" s="41">
        <v>45325</v>
      </c>
      <c r="B535" s="36">
        <v>412.05</v>
      </c>
      <c r="C535" s="40" t="s">
        <v>605</v>
      </c>
      <c r="D535" t="e">
        <f t="shared" si="9"/>
        <v>#VALUE!</v>
      </c>
    </row>
    <row r="536" spans="1:4" x14ac:dyDescent="0.35">
      <c r="A536" s="41">
        <v>45294</v>
      </c>
      <c r="B536" s="36">
        <v>387.39</v>
      </c>
      <c r="C536" s="40" t="s">
        <v>606</v>
      </c>
      <c r="D536">
        <f t="shared" si="9"/>
        <v>12.4</v>
      </c>
    </row>
    <row r="537" spans="1:4" x14ac:dyDescent="0.35">
      <c r="A537" t="s">
        <v>1411</v>
      </c>
      <c r="B537" s="36">
        <v>384.36</v>
      </c>
      <c r="C537" s="40" t="s">
        <v>607</v>
      </c>
      <c r="D537">
        <f t="shared" si="9"/>
        <v>14.9</v>
      </c>
    </row>
    <row r="538" spans="1:4" x14ac:dyDescent="0.35">
      <c r="A538" t="s">
        <v>1412</v>
      </c>
      <c r="B538" s="36">
        <v>386.26</v>
      </c>
      <c r="C538" s="40" t="s">
        <v>608</v>
      </c>
      <c r="D538">
        <f t="shared" si="9"/>
        <v>8.6199999999999992</v>
      </c>
    </row>
    <row r="539" spans="1:4" x14ac:dyDescent="0.35">
      <c r="A539" t="s">
        <v>1413</v>
      </c>
      <c r="B539" s="36">
        <v>388.95</v>
      </c>
      <c r="C539" s="40" t="s">
        <v>503</v>
      </c>
      <c r="D539">
        <f t="shared" si="9"/>
        <v>7.78</v>
      </c>
    </row>
    <row r="540" spans="1:4" x14ac:dyDescent="0.35">
      <c r="A540" t="s">
        <v>1414</v>
      </c>
      <c r="B540" s="36">
        <v>387.11</v>
      </c>
      <c r="C540" s="40" t="s">
        <v>609</v>
      </c>
      <c r="D540">
        <f t="shared" si="9"/>
        <v>7.98</v>
      </c>
    </row>
    <row r="541" spans="1:4" x14ac:dyDescent="0.35">
      <c r="A541" t="s">
        <v>1415</v>
      </c>
      <c r="B541" s="36">
        <v>389.19</v>
      </c>
      <c r="C541" s="40" t="s">
        <v>610</v>
      </c>
      <c r="D541">
        <f t="shared" si="9"/>
        <v>11.15</v>
      </c>
    </row>
    <row r="542" spans="1:4" x14ac:dyDescent="0.35">
      <c r="A542" t="s">
        <v>1416</v>
      </c>
      <c r="B542" s="36">
        <v>392.08</v>
      </c>
      <c r="C542" s="40" t="s">
        <v>150</v>
      </c>
      <c r="D542">
        <f t="shared" si="9"/>
        <v>18.600000000000001</v>
      </c>
    </row>
    <row r="543" spans="1:4" x14ac:dyDescent="0.35">
      <c r="A543" t="s">
        <v>1417</v>
      </c>
      <c r="B543" s="36">
        <v>381.57</v>
      </c>
      <c r="C543" s="40" t="s">
        <v>611</v>
      </c>
      <c r="D543">
        <f t="shared" si="9"/>
        <v>19.41</v>
      </c>
    </row>
    <row r="544" spans="1:4" x14ac:dyDescent="0.35">
      <c r="A544" t="s">
        <v>1418</v>
      </c>
      <c r="B544" s="36">
        <v>384.18</v>
      </c>
      <c r="C544" s="40" t="s">
        <v>165</v>
      </c>
      <c r="D544">
        <f t="shared" si="9"/>
        <v>14.08</v>
      </c>
    </row>
    <row r="545" spans="1:4" x14ac:dyDescent="0.35">
      <c r="A545" t="s">
        <v>1419</v>
      </c>
      <c r="B545" s="36">
        <v>387.16</v>
      </c>
      <c r="C545" s="40" t="s">
        <v>612</v>
      </c>
      <c r="D545">
        <f t="shared" si="9"/>
        <v>16.95</v>
      </c>
    </row>
    <row r="546" spans="1:4" x14ac:dyDescent="0.35">
      <c r="A546" t="s">
        <v>1420</v>
      </c>
      <c r="B546" s="36">
        <v>382.76</v>
      </c>
      <c r="C546" s="40" t="s">
        <v>613</v>
      </c>
      <c r="D546">
        <f t="shared" si="9"/>
        <v>37.520000000000003</v>
      </c>
    </row>
    <row r="547" spans="1:4" x14ac:dyDescent="0.35">
      <c r="A547" t="s">
        <v>1421</v>
      </c>
      <c r="B547" s="36">
        <v>382.1</v>
      </c>
      <c r="C547" s="40" t="s">
        <v>614</v>
      </c>
      <c r="D547">
        <f t="shared" si="9"/>
        <v>20.38</v>
      </c>
    </row>
    <row r="548" spans="1:4" x14ac:dyDescent="0.35">
      <c r="A548" t="s">
        <v>1422</v>
      </c>
      <c r="B548" s="36">
        <v>389.33</v>
      </c>
      <c r="C548" s="40" t="s">
        <v>615</v>
      </c>
      <c r="D548">
        <f t="shared" si="9"/>
        <v>12.15</v>
      </c>
    </row>
    <row r="549" spans="1:4" x14ac:dyDescent="0.35">
      <c r="A549" t="s">
        <v>1423</v>
      </c>
      <c r="B549" s="36">
        <v>384.79</v>
      </c>
      <c r="C549" s="40" t="s">
        <v>616</v>
      </c>
      <c r="D549">
        <f t="shared" si="9"/>
        <v>15.61</v>
      </c>
    </row>
    <row r="550" spans="1:4" x14ac:dyDescent="0.35">
      <c r="A550" s="41">
        <v>45628</v>
      </c>
      <c r="B550" s="36">
        <v>384.89</v>
      </c>
      <c r="C550" s="40" t="s">
        <v>496</v>
      </c>
      <c r="D550">
        <f t="shared" si="9"/>
        <v>10.91</v>
      </c>
    </row>
    <row r="551" spans="1:4" x14ac:dyDescent="0.35">
      <c r="A551" s="41">
        <v>45537</v>
      </c>
      <c r="B551" s="36">
        <v>393.07</v>
      </c>
      <c r="C551" s="40" t="s">
        <v>617</v>
      </c>
      <c r="D551">
        <f t="shared" si="9"/>
        <v>32.28</v>
      </c>
    </row>
    <row r="552" spans="1:4" x14ac:dyDescent="0.35">
      <c r="A552" s="41">
        <v>45506</v>
      </c>
      <c r="B552" s="36">
        <v>392.17</v>
      </c>
      <c r="C552" s="40" t="s">
        <v>618</v>
      </c>
      <c r="D552">
        <f t="shared" si="9"/>
        <v>48.18</v>
      </c>
    </row>
    <row r="553" spans="1:4" x14ac:dyDescent="0.35">
      <c r="A553" s="41">
        <v>45475</v>
      </c>
      <c r="B553" s="36">
        <v>408.49</v>
      </c>
      <c r="C553" s="40" t="s">
        <v>441</v>
      </c>
      <c r="D553">
        <f t="shared" si="9"/>
        <v>12.88</v>
      </c>
    </row>
    <row r="554" spans="1:4" x14ac:dyDescent="0.35">
      <c r="A554" s="41">
        <v>45445</v>
      </c>
      <c r="B554" s="36">
        <v>408.11</v>
      </c>
      <c r="C554" s="40" t="s">
        <v>619</v>
      </c>
      <c r="D554">
        <f t="shared" si="9"/>
        <v>18.760000000000002</v>
      </c>
    </row>
    <row r="555" spans="1:4" x14ac:dyDescent="0.35">
      <c r="A555" s="41">
        <v>45414</v>
      </c>
      <c r="B555" s="36">
        <v>414.4</v>
      </c>
      <c r="C555" s="40" t="s">
        <v>620</v>
      </c>
      <c r="D555">
        <f t="shared" si="9"/>
        <v>12.04</v>
      </c>
    </row>
    <row r="556" spans="1:4" x14ac:dyDescent="0.35">
      <c r="A556" s="41">
        <v>45324</v>
      </c>
      <c r="B556" s="36">
        <v>416.34</v>
      </c>
      <c r="C556" s="40" t="s">
        <v>251</v>
      </c>
      <c r="D556">
        <f t="shared" si="9"/>
        <v>17.16</v>
      </c>
    </row>
    <row r="557" spans="1:4" x14ac:dyDescent="0.35">
      <c r="A557" s="41">
        <v>45293</v>
      </c>
      <c r="B557" s="36">
        <v>418.99</v>
      </c>
      <c r="C557" s="40" t="s">
        <v>621</v>
      </c>
      <c r="D557">
        <f t="shared" si="9"/>
        <v>19.170000000000002</v>
      </c>
    </row>
    <row r="558" spans="1:4" x14ac:dyDescent="0.35">
      <c r="A558" t="s">
        <v>1424</v>
      </c>
      <c r="B558" s="36">
        <v>417.71</v>
      </c>
      <c r="C558" s="40" t="s">
        <v>622</v>
      </c>
      <c r="D558">
        <f t="shared" si="9"/>
        <v>19.88</v>
      </c>
    </row>
    <row r="559" spans="1:4" x14ac:dyDescent="0.35">
      <c r="A559" t="s">
        <v>1425</v>
      </c>
      <c r="B559" s="36">
        <v>414.4</v>
      </c>
      <c r="C559" s="40" t="s">
        <v>623</v>
      </c>
      <c r="D559">
        <f t="shared" si="9"/>
        <v>43.51</v>
      </c>
    </row>
    <row r="560" spans="1:4" x14ac:dyDescent="0.35">
      <c r="A560" t="s">
        <v>1426</v>
      </c>
      <c r="B560" s="36">
        <v>425.52</v>
      </c>
      <c r="C560" s="40" t="s">
        <v>337</v>
      </c>
      <c r="D560">
        <f t="shared" si="9"/>
        <v>17.87</v>
      </c>
    </row>
    <row r="561" spans="1:4" x14ac:dyDescent="0.35">
      <c r="A561" t="s">
        <v>1427</v>
      </c>
      <c r="B561" s="36">
        <v>431.05</v>
      </c>
      <c r="C561" s="40" t="s">
        <v>624</v>
      </c>
      <c r="D561">
        <f t="shared" si="9"/>
        <v>19.68</v>
      </c>
    </row>
    <row r="562" spans="1:4" x14ac:dyDescent="0.35">
      <c r="A562" t="s">
        <v>1428</v>
      </c>
      <c r="B562" s="36">
        <v>438.57</v>
      </c>
      <c r="C562" s="40" t="s">
        <v>625</v>
      </c>
      <c r="D562">
        <f t="shared" si="9"/>
        <v>21.63</v>
      </c>
    </row>
    <row r="563" spans="1:4" x14ac:dyDescent="0.35">
      <c r="A563" t="s">
        <v>1429</v>
      </c>
      <c r="B563" s="36">
        <v>434.5</v>
      </c>
      <c r="C563" s="40" t="s">
        <v>264</v>
      </c>
      <c r="D563">
        <f t="shared" si="9"/>
        <v>8.4</v>
      </c>
    </row>
    <row r="564" spans="1:4" x14ac:dyDescent="0.35">
      <c r="A564" t="s">
        <v>1430</v>
      </c>
      <c r="B564" s="36">
        <v>468.4</v>
      </c>
      <c r="C564" s="40" t="s">
        <v>626</v>
      </c>
      <c r="D564">
        <f t="shared" si="9"/>
        <v>3.3</v>
      </c>
    </row>
    <row r="565" spans="1:4" x14ac:dyDescent="0.35">
      <c r="A565" t="s">
        <v>1431</v>
      </c>
      <c r="B565" s="36">
        <v>446.05</v>
      </c>
      <c r="C565" s="40" t="s">
        <v>313</v>
      </c>
      <c r="D565">
        <f t="shared" si="9"/>
        <v>12.2</v>
      </c>
    </row>
    <row r="566" spans="1:4" x14ac:dyDescent="0.35">
      <c r="A566" t="s">
        <v>1432</v>
      </c>
      <c r="B566" s="36">
        <v>440.37</v>
      </c>
      <c r="C566" s="40" t="s">
        <v>627</v>
      </c>
      <c r="D566">
        <f t="shared" si="9"/>
        <v>9.14</v>
      </c>
    </row>
    <row r="567" spans="1:4" x14ac:dyDescent="0.35">
      <c r="A567" t="s">
        <v>1433</v>
      </c>
      <c r="B567" s="36">
        <v>441.41</v>
      </c>
      <c r="C567" s="40" t="s">
        <v>602</v>
      </c>
      <c r="D567">
        <f t="shared" si="9"/>
        <v>11.11</v>
      </c>
    </row>
    <row r="568" spans="1:4" x14ac:dyDescent="0.35">
      <c r="A568" t="s">
        <v>1434</v>
      </c>
      <c r="B568" s="36">
        <v>446.8</v>
      </c>
      <c r="C568" s="40" t="s">
        <v>628</v>
      </c>
      <c r="D568">
        <f t="shared" si="9"/>
        <v>12.07</v>
      </c>
    </row>
    <row r="569" spans="1:4" x14ac:dyDescent="0.35">
      <c r="A569" t="s">
        <v>1435</v>
      </c>
      <c r="B569" s="36">
        <v>442.36</v>
      </c>
      <c r="C569" s="40" t="s">
        <v>320</v>
      </c>
      <c r="D569">
        <f t="shared" si="9"/>
        <v>6.9</v>
      </c>
    </row>
    <row r="570" spans="1:4" x14ac:dyDescent="0.35">
      <c r="A570" s="41">
        <v>45627</v>
      </c>
      <c r="B570" s="36">
        <v>441.5</v>
      </c>
      <c r="C570" s="40" t="s">
        <v>629</v>
      </c>
      <c r="D570">
        <f t="shared" si="9"/>
        <v>9.35</v>
      </c>
    </row>
    <row r="571" spans="1:4" x14ac:dyDescent="0.35">
      <c r="A571" s="41">
        <v>45597</v>
      </c>
      <c r="B571" s="36">
        <v>437.67</v>
      </c>
      <c r="C571" s="40" t="s">
        <v>630</v>
      </c>
      <c r="D571">
        <f t="shared" si="9"/>
        <v>6.53</v>
      </c>
    </row>
    <row r="572" spans="1:4" x14ac:dyDescent="0.35">
      <c r="A572" s="41">
        <v>45566</v>
      </c>
      <c r="B572" s="36">
        <v>438.29</v>
      </c>
      <c r="C572" s="40" t="s">
        <v>631</v>
      </c>
      <c r="D572">
        <f t="shared" si="9"/>
        <v>5.9</v>
      </c>
    </row>
    <row r="573" spans="1:4" x14ac:dyDescent="0.35">
      <c r="A573" s="41">
        <v>45536</v>
      </c>
      <c r="B573" s="36">
        <v>439.47</v>
      </c>
      <c r="C573" s="40" t="s">
        <v>632</v>
      </c>
      <c r="D573">
        <f t="shared" si="9"/>
        <v>5.7</v>
      </c>
    </row>
    <row r="574" spans="1:4" x14ac:dyDescent="0.35">
      <c r="A574" s="41">
        <v>45505</v>
      </c>
      <c r="B574" s="36">
        <v>440.37</v>
      </c>
      <c r="C574" s="40" t="s">
        <v>378</v>
      </c>
      <c r="D574">
        <f t="shared" si="9"/>
        <v>8</v>
      </c>
    </row>
    <row r="575" spans="1:4" x14ac:dyDescent="0.35">
      <c r="A575" s="41">
        <v>45413</v>
      </c>
      <c r="B575" s="36">
        <v>448.36</v>
      </c>
      <c r="C575" s="40" t="s">
        <v>633</v>
      </c>
      <c r="D575">
        <f t="shared" si="9"/>
        <v>9.2100000000000009</v>
      </c>
    </row>
    <row r="576" spans="1:4" x14ac:dyDescent="0.35">
      <c r="A576" s="41">
        <v>45383</v>
      </c>
      <c r="B576" s="36">
        <v>450.68</v>
      </c>
      <c r="C576" s="40" t="s">
        <v>634</v>
      </c>
      <c r="D576">
        <f t="shared" si="9"/>
        <v>11.79</v>
      </c>
    </row>
    <row r="577" spans="1:4" x14ac:dyDescent="0.35">
      <c r="A577" s="41">
        <v>45352</v>
      </c>
      <c r="B577" s="36">
        <v>451.48</v>
      </c>
      <c r="C577" s="40" t="s">
        <v>635</v>
      </c>
      <c r="D577">
        <f t="shared" si="9"/>
        <v>24.04</v>
      </c>
    </row>
    <row r="578" spans="1:4" x14ac:dyDescent="0.35">
      <c r="A578" s="41">
        <v>45323</v>
      </c>
      <c r="B578" s="36">
        <v>444.96</v>
      </c>
      <c r="C578" s="40" t="s">
        <v>636</v>
      </c>
      <c r="D578">
        <f t="shared" ref="D578:D641" si="10">(VALUE(SUBSTITUTE(C578,"M",""))*1000000)/1000000</f>
        <v>10.52</v>
      </c>
    </row>
    <row r="579" spans="1:4" x14ac:dyDescent="0.35">
      <c r="A579" s="41">
        <v>45292</v>
      </c>
      <c r="B579" s="36">
        <v>442.78</v>
      </c>
      <c r="C579" s="40" t="s">
        <v>629</v>
      </c>
      <c r="D579">
        <f t="shared" si="10"/>
        <v>9.35</v>
      </c>
    </row>
    <row r="580" spans="1:4" x14ac:dyDescent="0.35">
      <c r="A580" t="s">
        <v>1436</v>
      </c>
      <c r="B580" s="36">
        <v>437.15</v>
      </c>
      <c r="C580" s="40" t="s">
        <v>535</v>
      </c>
      <c r="D580">
        <f t="shared" si="10"/>
        <v>12.89</v>
      </c>
    </row>
    <row r="581" spans="1:4" x14ac:dyDescent="0.35">
      <c r="A581" t="s">
        <v>1437</v>
      </c>
      <c r="B581" s="36">
        <v>439.05</v>
      </c>
      <c r="C581" s="40" t="s">
        <v>637</v>
      </c>
      <c r="D581">
        <f t="shared" si="10"/>
        <v>20.7</v>
      </c>
    </row>
    <row r="582" spans="1:4" x14ac:dyDescent="0.35">
      <c r="A582" t="s">
        <v>1438</v>
      </c>
      <c r="B582" s="36">
        <v>432.42</v>
      </c>
      <c r="C582" s="40" t="s">
        <v>353</v>
      </c>
      <c r="D582">
        <f t="shared" si="10"/>
        <v>7.54</v>
      </c>
    </row>
    <row r="583" spans="1:4" x14ac:dyDescent="0.35">
      <c r="A583" t="s">
        <v>1439</v>
      </c>
      <c r="B583" s="36">
        <v>431.81</v>
      </c>
      <c r="C583" s="40" t="s">
        <v>638</v>
      </c>
      <c r="D583">
        <f t="shared" si="10"/>
        <v>5.87</v>
      </c>
    </row>
    <row r="584" spans="1:4" x14ac:dyDescent="0.35">
      <c r="A584" t="s">
        <v>1440</v>
      </c>
      <c r="B584" s="36">
        <v>430.63</v>
      </c>
      <c r="C584" s="40" t="s">
        <v>639</v>
      </c>
      <c r="D584">
        <f t="shared" si="10"/>
        <v>11.03</v>
      </c>
    </row>
    <row r="585" spans="1:4" x14ac:dyDescent="0.35">
      <c r="A585" t="s">
        <v>1441</v>
      </c>
      <c r="B585" s="36">
        <v>427.08</v>
      </c>
      <c r="C585" s="40" t="s">
        <v>610</v>
      </c>
      <c r="D585">
        <f t="shared" si="10"/>
        <v>11.15</v>
      </c>
    </row>
    <row r="586" spans="1:4" x14ac:dyDescent="0.35">
      <c r="A586" t="s">
        <v>1442</v>
      </c>
      <c r="B586" s="36">
        <v>426.65</v>
      </c>
      <c r="C586" s="40" t="s">
        <v>640</v>
      </c>
      <c r="D586">
        <f t="shared" si="10"/>
        <v>10.37</v>
      </c>
    </row>
    <row r="587" spans="1:4" x14ac:dyDescent="0.35">
      <c r="A587" t="s">
        <v>1443</v>
      </c>
      <c r="B587" s="36">
        <v>431.48</v>
      </c>
      <c r="C587" s="40" t="s">
        <v>590</v>
      </c>
      <c r="D587">
        <f t="shared" si="10"/>
        <v>10.27</v>
      </c>
    </row>
    <row r="588" spans="1:4" x14ac:dyDescent="0.35">
      <c r="A588" t="s">
        <v>1444</v>
      </c>
      <c r="B588" s="36">
        <v>427.27</v>
      </c>
      <c r="C588" s="40" t="s">
        <v>641</v>
      </c>
      <c r="D588">
        <f t="shared" si="10"/>
        <v>12.03</v>
      </c>
    </row>
    <row r="589" spans="1:4" x14ac:dyDescent="0.35">
      <c r="A589" t="s">
        <v>1445</v>
      </c>
      <c r="B589" s="36">
        <v>433.46</v>
      </c>
      <c r="C589" s="40" t="s">
        <v>642</v>
      </c>
      <c r="D589">
        <f t="shared" si="10"/>
        <v>15.79</v>
      </c>
    </row>
    <row r="590" spans="1:4" x14ac:dyDescent="0.35">
      <c r="A590" t="s">
        <v>1446</v>
      </c>
      <c r="B590" s="36">
        <v>435.26</v>
      </c>
      <c r="C590" s="40" t="s">
        <v>643</v>
      </c>
      <c r="D590">
        <f t="shared" si="10"/>
        <v>14.37</v>
      </c>
    </row>
    <row r="591" spans="1:4" x14ac:dyDescent="0.35">
      <c r="A591" t="s">
        <v>1447</v>
      </c>
      <c r="B591" s="36">
        <v>431.05</v>
      </c>
      <c r="C591" s="40" t="s">
        <v>174</v>
      </c>
      <c r="D591">
        <f t="shared" si="10"/>
        <v>11.28</v>
      </c>
    </row>
    <row r="592" spans="1:4" x14ac:dyDescent="0.35">
      <c r="A592" s="41">
        <v>45272</v>
      </c>
      <c r="B592" s="36">
        <v>428.64</v>
      </c>
      <c r="C592" s="40" t="s">
        <v>471</v>
      </c>
      <c r="D592">
        <f t="shared" si="10"/>
        <v>10.16</v>
      </c>
    </row>
    <row r="593" spans="1:4" x14ac:dyDescent="0.35">
      <c r="A593" s="41">
        <v>45242</v>
      </c>
      <c r="B593" s="36">
        <v>428.02</v>
      </c>
      <c r="C593" s="40" t="s">
        <v>644</v>
      </c>
      <c r="D593">
        <f t="shared" si="10"/>
        <v>6.6</v>
      </c>
    </row>
    <row r="594" spans="1:4" x14ac:dyDescent="0.35">
      <c r="A594" s="41">
        <v>45150</v>
      </c>
      <c r="B594" s="36">
        <v>424.9</v>
      </c>
      <c r="C594" s="40" t="s">
        <v>502</v>
      </c>
      <c r="D594">
        <f t="shared" si="10"/>
        <v>18.670000000000002</v>
      </c>
    </row>
    <row r="595" spans="1:4" x14ac:dyDescent="0.35">
      <c r="A595" s="41">
        <v>45119</v>
      </c>
      <c r="B595" s="36">
        <v>433.37</v>
      </c>
      <c r="C595" s="40" t="s">
        <v>462</v>
      </c>
      <c r="D595">
        <f t="shared" si="10"/>
        <v>11.31</v>
      </c>
    </row>
    <row r="596" spans="1:4" x14ac:dyDescent="0.35">
      <c r="A596" s="41">
        <v>45089</v>
      </c>
      <c r="B596" s="36">
        <v>438.24</v>
      </c>
      <c r="C596" s="40" t="s">
        <v>645</v>
      </c>
      <c r="D596">
        <f t="shared" si="10"/>
        <v>20.420000000000002</v>
      </c>
    </row>
    <row r="597" spans="1:4" x14ac:dyDescent="0.35">
      <c r="A597" s="41">
        <v>45058</v>
      </c>
      <c r="B597" s="36">
        <v>427.36</v>
      </c>
      <c r="C597" s="40" t="s">
        <v>646</v>
      </c>
      <c r="D597">
        <f t="shared" si="10"/>
        <v>12.14</v>
      </c>
    </row>
    <row r="598" spans="1:4" x14ac:dyDescent="0.35">
      <c r="A598" s="41">
        <v>45028</v>
      </c>
      <c r="B598" s="36">
        <v>429.54</v>
      </c>
      <c r="C598" s="40" t="s">
        <v>478</v>
      </c>
      <c r="D598">
        <f t="shared" si="10"/>
        <v>12.8</v>
      </c>
    </row>
    <row r="599" spans="1:4" x14ac:dyDescent="0.35">
      <c r="A599" s="41">
        <v>44938</v>
      </c>
      <c r="B599" s="36">
        <v>425.52</v>
      </c>
      <c r="C599" s="40" t="s">
        <v>647</v>
      </c>
      <c r="D599">
        <f t="shared" si="10"/>
        <v>19.34</v>
      </c>
    </row>
    <row r="600" spans="1:4" x14ac:dyDescent="0.35">
      <c r="A600" t="s">
        <v>1448</v>
      </c>
      <c r="B600" s="36">
        <v>412.27</v>
      </c>
      <c r="C600" s="40" t="s">
        <v>648</v>
      </c>
      <c r="D600">
        <f t="shared" si="10"/>
        <v>15.13</v>
      </c>
    </row>
    <row r="601" spans="1:4" x14ac:dyDescent="0.35">
      <c r="A601" t="s">
        <v>1449</v>
      </c>
      <c r="B601" s="36">
        <v>413.6</v>
      </c>
      <c r="C601" s="40" t="s">
        <v>649</v>
      </c>
      <c r="D601">
        <f t="shared" si="10"/>
        <v>13.79</v>
      </c>
    </row>
    <row r="602" spans="1:4" x14ac:dyDescent="0.35">
      <c r="A602" t="s">
        <v>1450</v>
      </c>
      <c r="B602" s="36">
        <v>411.75</v>
      </c>
      <c r="C602" s="40" t="s">
        <v>581</v>
      </c>
      <c r="D602">
        <f t="shared" si="10"/>
        <v>8.75</v>
      </c>
    </row>
    <row r="603" spans="1:4" x14ac:dyDescent="0.35">
      <c r="A603" t="s">
        <v>1451</v>
      </c>
      <c r="B603" s="36">
        <v>414.16</v>
      </c>
      <c r="C603" s="40" t="s">
        <v>650</v>
      </c>
      <c r="D603">
        <f t="shared" si="10"/>
        <v>6.82</v>
      </c>
    </row>
    <row r="604" spans="1:4" x14ac:dyDescent="0.35">
      <c r="A604" t="s">
        <v>1452</v>
      </c>
      <c r="B604" s="36">
        <v>416.58</v>
      </c>
      <c r="C604" s="40" t="s">
        <v>651</v>
      </c>
      <c r="D604">
        <f t="shared" si="10"/>
        <v>6.37</v>
      </c>
    </row>
    <row r="605" spans="1:4" x14ac:dyDescent="0.35">
      <c r="A605" t="s">
        <v>1453</v>
      </c>
      <c r="B605" s="36">
        <v>415.96</v>
      </c>
      <c r="C605" s="40" t="s">
        <v>652</v>
      </c>
      <c r="D605">
        <f t="shared" si="10"/>
        <v>4.8899999999999997</v>
      </c>
    </row>
    <row r="606" spans="1:4" x14ac:dyDescent="0.35">
      <c r="A606" t="s">
        <v>1454</v>
      </c>
      <c r="B606" s="36">
        <v>412.7</v>
      </c>
      <c r="C606" s="40" t="s">
        <v>653</v>
      </c>
      <c r="D606">
        <f t="shared" si="10"/>
        <v>6</v>
      </c>
    </row>
    <row r="607" spans="1:4" x14ac:dyDescent="0.35">
      <c r="A607" t="s">
        <v>1455</v>
      </c>
      <c r="B607" s="36">
        <v>413.22</v>
      </c>
      <c r="C607" s="40" t="s">
        <v>654</v>
      </c>
      <c r="D607">
        <f t="shared" si="10"/>
        <v>4.34</v>
      </c>
    </row>
    <row r="608" spans="1:4" x14ac:dyDescent="0.35">
      <c r="A608" t="s">
        <v>1456</v>
      </c>
      <c r="B608" s="36">
        <v>415.54</v>
      </c>
      <c r="C608" s="40" t="s">
        <v>655</v>
      </c>
      <c r="D608">
        <f t="shared" si="10"/>
        <v>6.66</v>
      </c>
    </row>
    <row r="609" spans="1:4" x14ac:dyDescent="0.35">
      <c r="A609" t="s">
        <v>1457</v>
      </c>
      <c r="B609" s="36">
        <v>414.97</v>
      </c>
      <c r="C609" s="40" t="s">
        <v>656</v>
      </c>
      <c r="D609">
        <f t="shared" si="10"/>
        <v>10.86</v>
      </c>
    </row>
    <row r="610" spans="1:4" x14ac:dyDescent="0.35">
      <c r="A610" t="s">
        <v>1458</v>
      </c>
      <c r="B610" s="36">
        <v>418.09</v>
      </c>
      <c r="C610" s="40" t="s">
        <v>657</v>
      </c>
      <c r="D610">
        <f t="shared" si="10"/>
        <v>7.44</v>
      </c>
    </row>
    <row r="611" spans="1:4" x14ac:dyDescent="0.35">
      <c r="A611" t="s">
        <v>1459</v>
      </c>
      <c r="B611" s="36">
        <v>412.46</v>
      </c>
      <c r="C611" s="40" t="s">
        <v>658</v>
      </c>
      <c r="D611">
        <f t="shared" si="10"/>
        <v>3.74</v>
      </c>
    </row>
    <row r="612" spans="1:4" x14ac:dyDescent="0.35">
      <c r="A612" s="41">
        <v>45271</v>
      </c>
      <c r="B612" s="36">
        <v>438.45</v>
      </c>
      <c r="C612" s="40" t="s">
        <v>659</v>
      </c>
      <c r="D612">
        <f t="shared" si="10"/>
        <v>1.18</v>
      </c>
    </row>
    <row r="613" spans="1:4" x14ac:dyDescent="0.35">
      <c r="A613" s="41">
        <v>45210</v>
      </c>
      <c r="B613" s="36">
        <v>412.98</v>
      </c>
      <c r="C613" s="40" t="s">
        <v>660</v>
      </c>
      <c r="D613">
        <f t="shared" si="10"/>
        <v>4.08</v>
      </c>
    </row>
    <row r="614" spans="1:4" x14ac:dyDescent="0.35">
      <c r="A614" s="41">
        <v>45180</v>
      </c>
      <c r="B614" s="36">
        <v>410.95</v>
      </c>
      <c r="C614" s="40" t="s">
        <v>661</v>
      </c>
      <c r="D614">
        <f t="shared" si="10"/>
        <v>7.79</v>
      </c>
    </row>
    <row r="615" spans="1:4" x14ac:dyDescent="0.35">
      <c r="A615" s="41">
        <v>45149</v>
      </c>
      <c r="B615" s="36">
        <v>413.36</v>
      </c>
      <c r="C615" s="40" t="s">
        <v>223</v>
      </c>
      <c r="D615">
        <f t="shared" si="10"/>
        <v>6.98</v>
      </c>
    </row>
    <row r="616" spans="1:4" x14ac:dyDescent="0.35">
      <c r="A616" s="41">
        <v>45118</v>
      </c>
      <c r="B616" s="36">
        <v>409.34</v>
      </c>
      <c r="C616" s="40" t="s">
        <v>662</v>
      </c>
      <c r="D616">
        <f t="shared" si="10"/>
        <v>5.12</v>
      </c>
    </row>
    <row r="617" spans="1:4" x14ac:dyDescent="0.35">
      <c r="A617" s="41">
        <v>45088</v>
      </c>
      <c r="B617" s="36">
        <v>411.85</v>
      </c>
      <c r="C617" s="40" t="s">
        <v>663</v>
      </c>
      <c r="D617">
        <f t="shared" si="10"/>
        <v>7.31</v>
      </c>
    </row>
    <row r="618" spans="1:4" x14ac:dyDescent="0.35">
      <c r="A618" s="41">
        <v>44996</v>
      </c>
      <c r="B618" s="36">
        <v>409.86</v>
      </c>
      <c r="C618" s="40" t="s">
        <v>664</v>
      </c>
      <c r="D618">
        <f t="shared" si="10"/>
        <v>13.8</v>
      </c>
    </row>
    <row r="619" spans="1:4" x14ac:dyDescent="0.35">
      <c r="A619" s="41">
        <v>44968</v>
      </c>
      <c r="B619" s="36">
        <v>407.87</v>
      </c>
      <c r="C619" s="40" t="s">
        <v>665</v>
      </c>
      <c r="D619">
        <f t="shared" si="10"/>
        <v>8.15</v>
      </c>
    </row>
    <row r="620" spans="1:4" x14ac:dyDescent="0.35">
      <c r="A620" s="41">
        <v>44937</v>
      </c>
      <c r="B620" s="36">
        <v>404.99</v>
      </c>
      <c r="C620" s="40" t="s">
        <v>243</v>
      </c>
      <c r="D620">
        <f t="shared" si="10"/>
        <v>7.99</v>
      </c>
    </row>
    <row r="621" spans="1:4" x14ac:dyDescent="0.35">
      <c r="A621" t="s">
        <v>1460</v>
      </c>
      <c r="B621" s="36">
        <v>405.27</v>
      </c>
      <c r="C621" s="40" t="s">
        <v>608</v>
      </c>
      <c r="D621">
        <f t="shared" si="10"/>
        <v>8.6199999999999992</v>
      </c>
    </row>
    <row r="622" spans="1:4" x14ac:dyDescent="0.35">
      <c r="A622" t="s">
        <v>1461</v>
      </c>
      <c r="B622" s="36">
        <v>407.21</v>
      </c>
      <c r="C622" s="40" t="s">
        <v>666</v>
      </c>
      <c r="D622">
        <f t="shared" si="10"/>
        <v>7.62</v>
      </c>
    </row>
    <row r="623" spans="1:4" x14ac:dyDescent="0.35">
      <c r="A623" t="s">
        <v>1462</v>
      </c>
      <c r="B623" s="36">
        <v>410.33</v>
      </c>
      <c r="C623" s="40" t="s">
        <v>667</v>
      </c>
      <c r="D623">
        <f t="shared" si="10"/>
        <v>13.13</v>
      </c>
    </row>
    <row r="624" spans="1:4" x14ac:dyDescent="0.35">
      <c r="A624" t="s">
        <v>1463</v>
      </c>
      <c r="B624" s="36">
        <v>410.9</v>
      </c>
      <c r="C624" s="40" t="s">
        <v>668</v>
      </c>
      <c r="D624">
        <f t="shared" si="10"/>
        <v>18.8</v>
      </c>
    </row>
    <row r="625" spans="1:4" x14ac:dyDescent="0.35">
      <c r="A625" t="s">
        <v>1464</v>
      </c>
      <c r="B625" s="36">
        <v>409.34</v>
      </c>
      <c r="C625" s="40" t="s">
        <v>669</v>
      </c>
      <c r="D625">
        <f t="shared" si="10"/>
        <v>10.89</v>
      </c>
    </row>
    <row r="626" spans="1:4" x14ac:dyDescent="0.35">
      <c r="A626" t="s">
        <v>1465</v>
      </c>
      <c r="B626" s="36">
        <v>412.37</v>
      </c>
      <c r="C626" s="40" t="s">
        <v>670</v>
      </c>
      <c r="D626">
        <f t="shared" si="10"/>
        <v>7.28</v>
      </c>
    </row>
    <row r="627" spans="1:4" x14ac:dyDescent="0.35">
      <c r="A627" t="s">
        <v>1466</v>
      </c>
      <c r="B627" s="36">
        <v>414.64</v>
      </c>
      <c r="C627" s="40" t="s">
        <v>671</v>
      </c>
      <c r="D627">
        <f t="shared" si="10"/>
        <v>13.02</v>
      </c>
    </row>
    <row r="628" spans="1:4" x14ac:dyDescent="0.35">
      <c r="A628" t="s">
        <v>1467</v>
      </c>
      <c r="B628" s="36">
        <v>426.08</v>
      </c>
      <c r="C628" s="40" t="s">
        <v>269</v>
      </c>
      <c r="D628">
        <f t="shared" si="10"/>
        <v>9.4700000000000006</v>
      </c>
    </row>
    <row r="629" spans="1:4" x14ac:dyDescent="0.35">
      <c r="A629" t="s">
        <v>1468</v>
      </c>
      <c r="B629" s="36">
        <v>427.27</v>
      </c>
      <c r="C629" s="40" t="s">
        <v>672</v>
      </c>
      <c r="D629">
        <f t="shared" si="10"/>
        <v>6.89</v>
      </c>
    </row>
    <row r="630" spans="1:4" x14ac:dyDescent="0.35">
      <c r="A630" t="s">
        <v>1469</v>
      </c>
      <c r="B630" s="36">
        <v>428.97</v>
      </c>
      <c r="C630" s="40" t="s">
        <v>673</v>
      </c>
      <c r="D630">
        <f t="shared" si="10"/>
        <v>6.94</v>
      </c>
    </row>
    <row r="631" spans="1:4" x14ac:dyDescent="0.35">
      <c r="A631" t="s">
        <v>1470</v>
      </c>
      <c r="B631" s="36">
        <v>424.71</v>
      </c>
      <c r="C631" s="40" t="s">
        <v>674</v>
      </c>
      <c r="D631">
        <f t="shared" si="10"/>
        <v>4.21</v>
      </c>
    </row>
    <row r="632" spans="1:4" x14ac:dyDescent="0.35">
      <c r="A632" t="s">
        <v>1471</v>
      </c>
      <c r="B632" s="36">
        <v>424.14</v>
      </c>
      <c r="C632" s="40" t="s">
        <v>675</v>
      </c>
      <c r="D632">
        <f t="shared" si="10"/>
        <v>7.63</v>
      </c>
    </row>
    <row r="633" spans="1:4" x14ac:dyDescent="0.35">
      <c r="A633" s="41">
        <v>45270</v>
      </c>
      <c r="B633" s="36">
        <v>426.37</v>
      </c>
      <c r="C633" s="40" t="s">
        <v>676</v>
      </c>
      <c r="D633">
        <f t="shared" si="10"/>
        <v>11.77</v>
      </c>
    </row>
    <row r="634" spans="1:4" x14ac:dyDescent="0.35">
      <c r="A634" s="41">
        <v>45240</v>
      </c>
      <c r="B634" s="36">
        <v>424.05</v>
      </c>
      <c r="C634" s="40" t="s">
        <v>677</v>
      </c>
      <c r="D634">
        <f t="shared" si="10"/>
        <v>7.65</v>
      </c>
    </row>
    <row r="635" spans="1:4" x14ac:dyDescent="0.35">
      <c r="A635" s="41">
        <v>45209</v>
      </c>
      <c r="B635" s="36">
        <v>420.41</v>
      </c>
      <c r="C635" s="40" t="s">
        <v>678</v>
      </c>
      <c r="D635">
        <f t="shared" si="10"/>
        <v>5.01</v>
      </c>
    </row>
    <row r="636" spans="1:4" x14ac:dyDescent="0.35">
      <c r="A636" s="41">
        <v>45179</v>
      </c>
      <c r="B636" s="36">
        <v>416.67</v>
      </c>
      <c r="C636" s="40" t="s">
        <v>679</v>
      </c>
      <c r="D636">
        <f t="shared" si="10"/>
        <v>5.61</v>
      </c>
    </row>
    <row r="637" spans="1:4" x14ac:dyDescent="0.35">
      <c r="A637" s="41">
        <v>45087</v>
      </c>
      <c r="B637" s="36">
        <v>418.28</v>
      </c>
      <c r="C637" s="40" t="s">
        <v>680</v>
      </c>
      <c r="D637">
        <f t="shared" si="10"/>
        <v>8.42</v>
      </c>
    </row>
    <row r="638" spans="1:4" x14ac:dyDescent="0.35">
      <c r="A638" s="41">
        <v>45056</v>
      </c>
      <c r="B638" s="36">
        <v>412.51</v>
      </c>
      <c r="C638" s="40" t="s">
        <v>363</v>
      </c>
      <c r="D638">
        <f t="shared" si="10"/>
        <v>10.029999999999999</v>
      </c>
    </row>
    <row r="639" spans="1:4" x14ac:dyDescent="0.35">
      <c r="A639" s="41">
        <v>45026</v>
      </c>
      <c r="B639" s="36">
        <v>412.56</v>
      </c>
      <c r="C639" s="40" t="s">
        <v>393</v>
      </c>
      <c r="D639">
        <f t="shared" si="10"/>
        <v>13.4</v>
      </c>
    </row>
    <row r="640" spans="1:4" x14ac:dyDescent="0.35">
      <c r="A640" s="41">
        <v>44995</v>
      </c>
      <c r="B640" s="36">
        <v>416.01</v>
      </c>
      <c r="C640" s="40" t="s">
        <v>681</v>
      </c>
      <c r="D640">
        <f t="shared" si="10"/>
        <v>7.48</v>
      </c>
    </row>
    <row r="641" spans="1:4" x14ac:dyDescent="0.35">
      <c r="A641" t="s">
        <v>1472</v>
      </c>
      <c r="B641" s="36">
        <v>420.41</v>
      </c>
      <c r="C641" s="40" t="s">
        <v>682</v>
      </c>
      <c r="D641">
        <f t="shared" si="10"/>
        <v>8.16</v>
      </c>
    </row>
    <row r="642" spans="1:4" x14ac:dyDescent="0.35">
      <c r="A642" t="s">
        <v>1473</v>
      </c>
      <c r="B642" s="36">
        <v>416.95</v>
      </c>
      <c r="C642" s="40" t="s">
        <v>683</v>
      </c>
      <c r="D642">
        <f t="shared" ref="D642:D705" si="11">(VALUE(SUBSTITUTE(C642,"M",""))*1000000)/1000000</f>
        <v>10.220000000000001</v>
      </c>
    </row>
    <row r="643" spans="1:4" x14ac:dyDescent="0.35">
      <c r="A643" t="s">
        <v>1474</v>
      </c>
      <c r="B643" s="36">
        <v>424.9</v>
      </c>
      <c r="C643" s="40" t="s">
        <v>492</v>
      </c>
      <c r="D643">
        <f t="shared" si="11"/>
        <v>10.49</v>
      </c>
    </row>
    <row r="644" spans="1:4" x14ac:dyDescent="0.35">
      <c r="A644" t="s">
        <v>1475</v>
      </c>
      <c r="B644" s="36">
        <v>418.56</v>
      </c>
      <c r="C644" s="40" t="s">
        <v>684</v>
      </c>
      <c r="D644">
        <f t="shared" si="11"/>
        <v>5.33</v>
      </c>
    </row>
    <row r="645" spans="1:4" x14ac:dyDescent="0.35">
      <c r="A645" t="s">
        <v>1476</v>
      </c>
      <c r="B645" s="36">
        <v>418.7</v>
      </c>
      <c r="C645" s="40" t="s">
        <v>214</v>
      </c>
      <c r="D645">
        <f t="shared" si="11"/>
        <v>5.78</v>
      </c>
    </row>
    <row r="646" spans="1:4" x14ac:dyDescent="0.35">
      <c r="A646" t="s">
        <v>1477</v>
      </c>
      <c r="B646" s="36">
        <v>419.18</v>
      </c>
      <c r="C646" s="40" t="s">
        <v>685</v>
      </c>
      <c r="D646">
        <f t="shared" si="11"/>
        <v>7.51</v>
      </c>
    </row>
    <row r="647" spans="1:4" x14ac:dyDescent="0.35">
      <c r="A647" t="s">
        <v>1478</v>
      </c>
      <c r="B647" s="36">
        <v>423.34</v>
      </c>
      <c r="C647" s="40" t="s">
        <v>686</v>
      </c>
      <c r="D647">
        <f t="shared" si="11"/>
        <v>10.72</v>
      </c>
    </row>
    <row r="648" spans="1:4" x14ac:dyDescent="0.35">
      <c r="A648" t="s">
        <v>1479</v>
      </c>
      <c r="B648" s="36">
        <v>428.5</v>
      </c>
      <c r="C648" s="40" t="s">
        <v>687</v>
      </c>
      <c r="D648">
        <f t="shared" si="11"/>
        <v>9.9600000000000009</v>
      </c>
    </row>
    <row r="649" spans="1:4" x14ac:dyDescent="0.35">
      <c r="A649" t="s">
        <v>1480</v>
      </c>
      <c r="B649" s="36">
        <v>427.64</v>
      </c>
      <c r="C649" s="40" t="s">
        <v>234</v>
      </c>
      <c r="D649">
        <f t="shared" si="11"/>
        <v>8.1999999999999993</v>
      </c>
    </row>
    <row r="650" spans="1:4" x14ac:dyDescent="0.35">
      <c r="A650" t="s">
        <v>1481</v>
      </c>
      <c r="B650" s="36">
        <v>424.14</v>
      </c>
      <c r="C650" s="40" t="s">
        <v>688</v>
      </c>
      <c r="D650">
        <f t="shared" si="11"/>
        <v>15.08</v>
      </c>
    </row>
    <row r="651" spans="1:4" x14ac:dyDescent="0.35">
      <c r="A651" t="s">
        <v>1482</v>
      </c>
      <c r="B651" s="36">
        <v>425.66</v>
      </c>
      <c r="C651" s="40" t="s">
        <v>689</v>
      </c>
      <c r="D651">
        <f t="shared" si="11"/>
        <v>14.43</v>
      </c>
    </row>
    <row r="652" spans="1:4" x14ac:dyDescent="0.35">
      <c r="A652" t="s">
        <v>1483</v>
      </c>
      <c r="B652" s="36">
        <v>429.02</v>
      </c>
      <c r="C652" s="40" t="s">
        <v>690</v>
      </c>
      <c r="D652">
        <f t="shared" si="11"/>
        <v>11.81</v>
      </c>
    </row>
    <row r="653" spans="1:4" x14ac:dyDescent="0.35">
      <c r="A653" s="41">
        <v>45269</v>
      </c>
      <c r="B653" s="36">
        <v>426.79</v>
      </c>
      <c r="C653" s="40" t="s">
        <v>271</v>
      </c>
      <c r="D653">
        <f t="shared" si="11"/>
        <v>14.41</v>
      </c>
    </row>
    <row r="654" spans="1:4" x14ac:dyDescent="0.35">
      <c r="A654" s="41">
        <v>45239</v>
      </c>
      <c r="B654" s="36">
        <v>423.06</v>
      </c>
      <c r="C654" s="40" t="s">
        <v>691</v>
      </c>
      <c r="D654">
        <f t="shared" si="11"/>
        <v>9.32</v>
      </c>
    </row>
    <row r="655" spans="1:4" x14ac:dyDescent="0.35">
      <c r="A655" s="41">
        <v>45147</v>
      </c>
      <c r="B655" s="36">
        <v>418.75</v>
      </c>
      <c r="C655" s="40" t="s">
        <v>692</v>
      </c>
      <c r="D655">
        <f t="shared" si="11"/>
        <v>9.94</v>
      </c>
    </row>
    <row r="656" spans="1:4" x14ac:dyDescent="0.35">
      <c r="A656" s="41">
        <v>45116</v>
      </c>
      <c r="B656" s="36">
        <v>421.83</v>
      </c>
      <c r="C656" s="40" t="s">
        <v>219</v>
      </c>
      <c r="D656">
        <f t="shared" si="11"/>
        <v>8.09</v>
      </c>
    </row>
    <row r="657" spans="1:4" x14ac:dyDescent="0.35">
      <c r="A657" s="41">
        <v>45086</v>
      </c>
      <c r="B657" s="36">
        <v>423.29</v>
      </c>
      <c r="C657" s="40" t="s">
        <v>693</v>
      </c>
      <c r="D657">
        <f t="shared" si="11"/>
        <v>12.86</v>
      </c>
    </row>
    <row r="658" spans="1:4" x14ac:dyDescent="0.35">
      <c r="A658" s="41">
        <v>45055</v>
      </c>
      <c r="B658" s="36">
        <v>419.18</v>
      </c>
      <c r="C658" s="40" t="s">
        <v>694</v>
      </c>
      <c r="D658">
        <f t="shared" si="11"/>
        <v>8.3800000000000008</v>
      </c>
    </row>
    <row r="659" spans="1:4" x14ac:dyDescent="0.35">
      <c r="A659" s="41">
        <v>45025</v>
      </c>
      <c r="B659" s="36">
        <v>413.88</v>
      </c>
      <c r="C659" s="40" t="s">
        <v>695</v>
      </c>
      <c r="D659">
        <f t="shared" si="11"/>
        <v>13.6</v>
      </c>
    </row>
    <row r="660" spans="1:4" x14ac:dyDescent="0.35">
      <c r="A660" s="41">
        <v>44935</v>
      </c>
      <c r="B660" s="36">
        <v>417.24</v>
      </c>
      <c r="C660" s="40" t="s">
        <v>233</v>
      </c>
      <c r="D660">
        <f t="shared" si="11"/>
        <v>11.44</v>
      </c>
    </row>
    <row r="661" spans="1:4" x14ac:dyDescent="0.35">
      <c r="A661" t="s">
        <v>1484</v>
      </c>
      <c r="B661" s="36">
        <v>415.96</v>
      </c>
      <c r="C661" s="40" t="s">
        <v>696</v>
      </c>
      <c r="D661">
        <f t="shared" si="11"/>
        <v>19.899999999999999</v>
      </c>
    </row>
    <row r="662" spans="1:4" x14ac:dyDescent="0.35">
      <c r="A662" t="s">
        <v>1485</v>
      </c>
      <c r="B662" s="36">
        <v>418.89</v>
      </c>
      <c r="C662" s="40" t="s">
        <v>697</v>
      </c>
      <c r="D662">
        <f t="shared" si="11"/>
        <v>7.36</v>
      </c>
    </row>
    <row r="663" spans="1:4" x14ac:dyDescent="0.35">
      <c r="A663" t="s">
        <v>1486</v>
      </c>
      <c r="B663" s="36">
        <v>416.34</v>
      </c>
      <c r="C663" s="40" t="s">
        <v>698</v>
      </c>
      <c r="D663">
        <f t="shared" si="11"/>
        <v>9.48</v>
      </c>
    </row>
    <row r="664" spans="1:4" x14ac:dyDescent="0.35">
      <c r="A664" t="s">
        <v>1487</v>
      </c>
      <c r="B664" s="36">
        <v>417.57</v>
      </c>
      <c r="C664" s="40" t="s">
        <v>699</v>
      </c>
      <c r="D664">
        <f t="shared" si="11"/>
        <v>6.91</v>
      </c>
    </row>
    <row r="665" spans="1:4" x14ac:dyDescent="0.35">
      <c r="A665" t="s">
        <v>1488</v>
      </c>
      <c r="B665" s="36">
        <v>419.42</v>
      </c>
      <c r="C665" s="40" t="s">
        <v>700</v>
      </c>
      <c r="D665">
        <f t="shared" si="11"/>
        <v>9.27</v>
      </c>
    </row>
    <row r="666" spans="1:4" x14ac:dyDescent="0.35">
      <c r="A666" t="s">
        <v>1489</v>
      </c>
      <c r="B666" s="36">
        <v>426.56</v>
      </c>
      <c r="C666" s="40" t="s">
        <v>460</v>
      </c>
      <c r="D666">
        <f t="shared" si="11"/>
        <v>6.09</v>
      </c>
    </row>
    <row r="667" spans="1:4" x14ac:dyDescent="0.35">
      <c r="A667" t="s">
        <v>1490</v>
      </c>
      <c r="B667" s="36">
        <v>426.13</v>
      </c>
      <c r="C667" s="40" t="s">
        <v>701</v>
      </c>
      <c r="D667">
        <f t="shared" si="11"/>
        <v>8.4499999999999993</v>
      </c>
    </row>
    <row r="668" spans="1:4" x14ac:dyDescent="0.35">
      <c r="A668" t="s">
        <v>1491</v>
      </c>
      <c r="B668" s="36">
        <v>429.73</v>
      </c>
      <c r="C668" s="40" t="s">
        <v>702</v>
      </c>
      <c r="D668">
        <f t="shared" si="11"/>
        <v>9.85</v>
      </c>
    </row>
    <row r="669" spans="1:4" x14ac:dyDescent="0.35">
      <c r="A669" t="s">
        <v>1492</v>
      </c>
      <c r="B669" s="36">
        <v>423.63</v>
      </c>
      <c r="C669" s="40" t="s">
        <v>703</v>
      </c>
      <c r="D669">
        <f t="shared" si="11"/>
        <v>9.57</v>
      </c>
    </row>
    <row r="670" spans="1:4" x14ac:dyDescent="0.35">
      <c r="A670" t="s">
        <v>1493</v>
      </c>
      <c r="B670" s="36">
        <v>417.81</v>
      </c>
      <c r="C670" s="40" t="s">
        <v>704</v>
      </c>
      <c r="D670">
        <f t="shared" si="11"/>
        <v>19.32</v>
      </c>
    </row>
    <row r="671" spans="1:4" x14ac:dyDescent="0.35">
      <c r="A671" t="s">
        <v>1494</v>
      </c>
      <c r="B671" s="36">
        <v>417.19</v>
      </c>
      <c r="C671" s="40" t="s">
        <v>705</v>
      </c>
      <c r="D671">
        <f t="shared" si="11"/>
        <v>16.27</v>
      </c>
    </row>
    <row r="672" spans="1:4" x14ac:dyDescent="0.35">
      <c r="A672" t="s">
        <v>1495</v>
      </c>
      <c r="B672" s="36">
        <v>425.94</v>
      </c>
      <c r="C672" s="40" t="s">
        <v>495</v>
      </c>
      <c r="D672">
        <f t="shared" si="11"/>
        <v>14.92</v>
      </c>
    </row>
    <row r="673" spans="1:4" x14ac:dyDescent="0.35">
      <c r="A673" t="s">
        <v>1496</v>
      </c>
      <c r="B673" s="36">
        <v>424.95</v>
      </c>
      <c r="C673" s="40" t="s">
        <v>706</v>
      </c>
      <c r="D673">
        <f t="shared" si="11"/>
        <v>7.56</v>
      </c>
    </row>
    <row r="674" spans="1:4" x14ac:dyDescent="0.35">
      <c r="A674" s="41">
        <v>45238</v>
      </c>
      <c r="B674" s="36">
        <v>424.52</v>
      </c>
      <c r="C674" s="40" t="s">
        <v>707</v>
      </c>
      <c r="D674">
        <f t="shared" si="11"/>
        <v>11.58</v>
      </c>
    </row>
    <row r="675" spans="1:4" x14ac:dyDescent="0.35">
      <c r="A675" s="41">
        <v>45207</v>
      </c>
      <c r="B675" s="36">
        <v>427.36</v>
      </c>
      <c r="C675" s="40" t="s">
        <v>708</v>
      </c>
      <c r="D675">
        <f t="shared" si="11"/>
        <v>13.19</v>
      </c>
    </row>
    <row r="676" spans="1:4" x14ac:dyDescent="0.35">
      <c r="A676" s="41">
        <v>45177</v>
      </c>
      <c r="B676" s="36">
        <v>433.89</v>
      </c>
      <c r="C676" s="40" t="s">
        <v>709</v>
      </c>
      <c r="D676">
        <f t="shared" si="11"/>
        <v>9.76</v>
      </c>
    </row>
    <row r="677" spans="1:4" x14ac:dyDescent="0.35">
      <c r="A677" s="41">
        <v>45146</v>
      </c>
      <c r="B677" s="36">
        <v>427.93</v>
      </c>
      <c r="C677" s="40" t="s">
        <v>467</v>
      </c>
      <c r="D677">
        <f t="shared" si="11"/>
        <v>6.39</v>
      </c>
    </row>
    <row r="678" spans="1:4" x14ac:dyDescent="0.35">
      <c r="A678" s="41">
        <v>45115</v>
      </c>
      <c r="B678" s="36">
        <v>430.34</v>
      </c>
      <c r="C678" s="40" t="s">
        <v>710</v>
      </c>
      <c r="D678">
        <f t="shared" si="11"/>
        <v>9.16</v>
      </c>
    </row>
    <row r="679" spans="1:4" x14ac:dyDescent="0.35">
      <c r="A679" s="41">
        <v>45024</v>
      </c>
      <c r="B679" s="36">
        <v>430.39</v>
      </c>
      <c r="C679" s="40" t="s">
        <v>711</v>
      </c>
      <c r="D679">
        <f t="shared" si="11"/>
        <v>6.83</v>
      </c>
    </row>
    <row r="680" spans="1:4" x14ac:dyDescent="0.35">
      <c r="A680" s="41">
        <v>44993</v>
      </c>
      <c r="B680" s="36">
        <v>431.43</v>
      </c>
      <c r="C680" s="40" t="s">
        <v>712</v>
      </c>
      <c r="D680">
        <f t="shared" si="11"/>
        <v>10.62</v>
      </c>
    </row>
    <row r="681" spans="1:4" x14ac:dyDescent="0.35">
      <c r="A681" s="41">
        <v>44965</v>
      </c>
      <c r="B681" s="36">
        <v>435.26</v>
      </c>
      <c r="C681" s="40" t="s">
        <v>713</v>
      </c>
      <c r="D681">
        <f t="shared" si="11"/>
        <v>10.32</v>
      </c>
    </row>
    <row r="682" spans="1:4" x14ac:dyDescent="0.35">
      <c r="A682" s="41">
        <v>44934</v>
      </c>
      <c r="B682" s="36">
        <v>439.71</v>
      </c>
      <c r="C682" s="40" t="s">
        <v>714</v>
      </c>
      <c r="D682">
        <f t="shared" si="11"/>
        <v>6.44</v>
      </c>
    </row>
    <row r="683" spans="1:4" x14ac:dyDescent="0.35">
      <c r="A683" t="s">
        <v>1497</v>
      </c>
      <c r="B683" s="36">
        <v>440.56</v>
      </c>
      <c r="C683" s="40" t="s">
        <v>715</v>
      </c>
      <c r="D683">
        <f t="shared" si="11"/>
        <v>8.19</v>
      </c>
    </row>
    <row r="684" spans="1:4" x14ac:dyDescent="0.35">
      <c r="A684" t="s">
        <v>1498</v>
      </c>
      <c r="B684" s="36">
        <v>443.16</v>
      </c>
      <c r="C684" s="40" t="s">
        <v>716</v>
      </c>
      <c r="D684">
        <f t="shared" si="11"/>
        <v>9.98</v>
      </c>
    </row>
    <row r="685" spans="1:4" x14ac:dyDescent="0.35">
      <c r="A685" t="s">
        <v>1499</v>
      </c>
      <c r="B685" s="36">
        <v>439.94</v>
      </c>
      <c r="C685" s="40" t="s">
        <v>266</v>
      </c>
      <c r="D685">
        <f t="shared" si="11"/>
        <v>13.99</v>
      </c>
    </row>
    <row r="686" spans="1:4" x14ac:dyDescent="0.35">
      <c r="A686" t="s">
        <v>1500</v>
      </c>
      <c r="B686" s="36">
        <v>446.76</v>
      </c>
      <c r="C686" s="40" t="s">
        <v>717</v>
      </c>
      <c r="D686">
        <f t="shared" si="11"/>
        <v>18.14</v>
      </c>
    </row>
    <row r="687" spans="1:4" x14ac:dyDescent="0.35">
      <c r="A687" t="s">
        <v>1501</v>
      </c>
      <c r="B687" s="36">
        <v>437.34</v>
      </c>
      <c r="C687" s="40" t="s">
        <v>718</v>
      </c>
      <c r="D687">
        <f t="shared" si="11"/>
        <v>43.53</v>
      </c>
    </row>
    <row r="688" spans="1:4" x14ac:dyDescent="0.35">
      <c r="A688" t="s">
        <v>1502</v>
      </c>
      <c r="B688" s="36">
        <v>445.9</v>
      </c>
      <c r="C688" s="40" t="s">
        <v>719</v>
      </c>
      <c r="D688">
        <f t="shared" si="11"/>
        <v>38.979999999999997</v>
      </c>
    </row>
    <row r="689" spans="1:4" x14ac:dyDescent="0.35">
      <c r="A689" t="s">
        <v>1503</v>
      </c>
      <c r="B689" s="36">
        <v>463.97</v>
      </c>
      <c r="C689" s="40" t="s">
        <v>720</v>
      </c>
      <c r="D689">
        <f t="shared" si="11"/>
        <v>13.97</v>
      </c>
    </row>
    <row r="690" spans="1:4" x14ac:dyDescent="0.35">
      <c r="A690" t="s">
        <v>1504</v>
      </c>
      <c r="B690" s="36">
        <v>465.58</v>
      </c>
      <c r="C690" s="40" t="s">
        <v>721</v>
      </c>
      <c r="D690">
        <f t="shared" si="11"/>
        <v>20.25</v>
      </c>
    </row>
    <row r="691" spans="1:4" x14ac:dyDescent="0.35">
      <c r="A691" t="s">
        <v>1505</v>
      </c>
      <c r="B691" s="36">
        <v>453</v>
      </c>
      <c r="C691" s="40" t="s">
        <v>722</v>
      </c>
      <c r="D691">
        <f t="shared" si="11"/>
        <v>13.87</v>
      </c>
    </row>
    <row r="692" spans="1:4" x14ac:dyDescent="0.35">
      <c r="A692" t="s">
        <v>1506</v>
      </c>
      <c r="B692" s="36">
        <v>446.99</v>
      </c>
      <c r="C692" s="40" t="s">
        <v>723</v>
      </c>
      <c r="D692">
        <f t="shared" si="11"/>
        <v>5.35</v>
      </c>
    </row>
    <row r="693" spans="1:4" x14ac:dyDescent="0.35">
      <c r="A693" t="s">
        <v>1507</v>
      </c>
      <c r="B693" s="36">
        <v>446.85</v>
      </c>
      <c r="C693" s="40" t="s">
        <v>460</v>
      </c>
      <c r="D693">
        <f t="shared" si="11"/>
        <v>6.09</v>
      </c>
    </row>
    <row r="694" spans="1:4" x14ac:dyDescent="0.35">
      <c r="A694" t="s">
        <v>1508</v>
      </c>
      <c r="B694" s="36">
        <v>447.37</v>
      </c>
      <c r="C694" s="40" t="s">
        <v>724</v>
      </c>
      <c r="D694">
        <f t="shared" si="11"/>
        <v>5.08</v>
      </c>
    </row>
    <row r="695" spans="1:4" x14ac:dyDescent="0.35">
      <c r="A695" t="s">
        <v>1509</v>
      </c>
      <c r="B695" s="36">
        <v>446.52</v>
      </c>
      <c r="C695" s="40" t="s">
        <v>725</v>
      </c>
      <c r="D695">
        <f t="shared" si="11"/>
        <v>7.91</v>
      </c>
    </row>
    <row r="696" spans="1:4" x14ac:dyDescent="0.35">
      <c r="A696" s="41">
        <v>45267</v>
      </c>
      <c r="B696" s="36">
        <v>446.8</v>
      </c>
      <c r="C696" s="40" t="s">
        <v>211</v>
      </c>
      <c r="D696">
        <f t="shared" si="11"/>
        <v>12.34</v>
      </c>
    </row>
    <row r="697" spans="1:4" x14ac:dyDescent="0.35">
      <c r="A697" s="41">
        <v>45237</v>
      </c>
      <c r="B697" s="36">
        <v>447.61</v>
      </c>
      <c r="C697" s="40" t="s">
        <v>726</v>
      </c>
      <c r="D697">
        <f t="shared" si="11"/>
        <v>8.4600000000000009</v>
      </c>
    </row>
    <row r="698" spans="1:4" x14ac:dyDescent="0.35">
      <c r="A698" s="41">
        <v>45206</v>
      </c>
      <c r="B698" s="36">
        <v>440.7</v>
      </c>
      <c r="C698" s="40" t="s">
        <v>727</v>
      </c>
      <c r="D698">
        <f t="shared" si="11"/>
        <v>6.52</v>
      </c>
    </row>
    <row r="699" spans="1:4" x14ac:dyDescent="0.35">
      <c r="A699" s="41">
        <v>45114</v>
      </c>
      <c r="B699" s="36">
        <v>443.11</v>
      </c>
      <c r="C699" s="40" t="s">
        <v>728</v>
      </c>
      <c r="D699">
        <f t="shared" si="11"/>
        <v>7.32</v>
      </c>
    </row>
    <row r="700" spans="1:4" x14ac:dyDescent="0.35">
      <c r="A700" s="41">
        <v>45084</v>
      </c>
      <c r="B700" s="36">
        <v>448.32</v>
      </c>
      <c r="C700" s="40" t="s">
        <v>269</v>
      </c>
      <c r="D700">
        <f t="shared" si="11"/>
        <v>9.4700000000000006</v>
      </c>
    </row>
    <row r="701" spans="1:4" x14ac:dyDescent="0.35">
      <c r="A701" s="41">
        <v>45053</v>
      </c>
      <c r="B701" s="36">
        <v>449.45</v>
      </c>
      <c r="C701" s="40" t="s">
        <v>525</v>
      </c>
      <c r="D701">
        <f t="shared" si="11"/>
        <v>16.25</v>
      </c>
    </row>
    <row r="702" spans="1:4" x14ac:dyDescent="0.35">
      <c r="A702" s="41">
        <v>45023</v>
      </c>
      <c r="B702" s="36">
        <v>441.17</v>
      </c>
      <c r="C702" s="40" t="s">
        <v>729</v>
      </c>
      <c r="D702">
        <f t="shared" si="11"/>
        <v>7.73</v>
      </c>
    </row>
    <row r="703" spans="1:4" x14ac:dyDescent="0.35">
      <c r="A703" s="41">
        <v>44992</v>
      </c>
      <c r="B703" s="36">
        <v>438.24</v>
      </c>
      <c r="C703" s="40" t="s">
        <v>136</v>
      </c>
      <c r="D703">
        <f t="shared" si="11"/>
        <v>10.7</v>
      </c>
    </row>
    <row r="704" spans="1:4" x14ac:dyDescent="0.35">
      <c r="A704" t="s">
        <v>1510</v>
      </c>
      <c r="B704" s="36">
        <v>427.22</v>
      </c>
      <c r="C704" s="40" t="s">
        <v>730</v>
      </c>
      <c r="D704">
        <f t="shared" si="11"/>
        <v>9.11</v>
      </c>
    </row>
    <row r="705" spans="1:4" x14ac:dyDescent="0.35">
      <c r="A705" t="s">
        <v>1511</v>
      </c>
      <c r="B705" s="36">
        <v>425.09</v>
      </c>
      <c r="C705" s="40" t="s">
        <v>731</v>
      </c>
      <c r="D705">
        <f t="shared" si="11"/>
        <v>12.08</v>
      </c>
    </row>
    <row r="706" spans="1:4" x14ac:dyDescent="0.35">
      <c r="A706" t="s">
        <v>1512</v>
      </c>
      <c r="B706" s="36">
        <v>421.07</v>
      </c>
      <c r="C706" s="40" t="s">
        <v>732</v>
      </c>
      <c r="D706">
        <f t="shared" ref="D706:D769" si="12">(VALUE(SUBSTITUTE(C706,"M",""))*1000000)/1000000</f>
        <v>4.87</v>
      </c>
    </row>
    <row r="707" spans="1:4" x14ac:dyDescent="0.35">
      <c r="A707" t="s">
        <v>1513</v>
      </c>
      <c r="B707" s="36">
        <v>421.64</v>
      </c>
      <c r="C707" s="40" t="s">
        <v>448</v>
      </c>
      <c r="D707">
        <f t="shared" si="12"/>
        <v>5.48</v>
      </c>
    </row>
    <row r="708" spans="1:4" x14ac:dyDescent="0.35">
      <c r="A708" t="s">
        <v>1514</v>
      </c>
      <c r="B708" s="36">
        <v>420.74</v>
      </c>
      <c r="C708" s="40" t="s">
        <v>460</v>
      </c>
      <c r="D708">
        <f t="shared" si="12"/>
        <v>6.09</v>
      </c>
    </row>
    <row r="709" spans="1:4" x14ac:dyDescent="0.35">
      <c r="A709" t="s">
        <v>1515</v>
      </c>
      <c r="B709" s="36">
        <v>423.48</v>
      </c>
      <c r="C709" s="40" t="s">
        <v>733</v>
      </c>
      <c r="D709">
        <f t="shared" si="12"/>
        <v>6.64</v>
      </c>
    </row>
    <row r="710" spans="1:4" x14ac:dyDescent="0.35">
      <c r="A710" t="s">
        <v>1516</v>
      </c>
      <c r="B710" s="36">
        <v>422.92</v>
      </c>
      <c r="C710" s="40" t="s">
        <v>226</v>
      </c>
      <c r="D710">
        <f t="shared" si="12"/>
        <v>6.06</v>
      </c>
    </row>
    <row r="711" spans="1:4" x14ac:dyDescent="0.35">
      <c r="A711" t="s">
        <v>1517</v>
      </c>
      <c r="B711" s="36">
        <v>428.4</v>
      </c>
      <c r="C711" s="40" t="s">
        <v>734</v>
      </c>
      <c r="D711">
        <f t="shared" si="12"/>
        <v>4.47</v>
      </c>
    </row>
    <row r="712" spans="1:4" x14ac:dyDescent="0.35">
      <c r="A712" t="s">
        <v>1518</v>
      </c>
      <c r="B712" s="36">
        <v>429.11</v>
      </c>
      <c r="C712" s="40" t="s">
        <v>735</v>
      </c>
      <c r="D712">
        <f t="shared" si="12"/>
        <v>4.1900000000000004</v>
      </c>
    </row>
    <row r="713" spans="1:4" x14ac:dyDescent="0.35">
      <c r="A713" t="s">
        <v>1519</v>
      </c>
      <c r="B713" s="36">
        <v>428.64</v>
      </c>
      <c r="C713" s="40" t="s">
        <v>736</v>
      </c>
      <c r="D713">
        <f t="shared" si="12"/>
        <v>11.73</v>
      </c>
    </row>
    <row r="714" spans="1:4" x14ac:dyDescent="0.35">
      <c r="A714" t="s">
        <v>1520</v>
      </c>
      <c r="B714" s="36">
        <v>423.91</v>
      </c>
      <c r="C714" s="40" t="s">
        <v>737</v>
      </c>
      <c r="D714">
        <f t="shared" si="12"/>
        <v>7.5</v>
      </c>
    </row>
    <row r="715" spans="1:4" x14ac:dyDescent="0.35">
      <c r="A715" t="s">
        <v>1521</v>
      </c>
      <c r="B715" s="36">
        <v>420.5</v>
      </c>
      <c r="C715" s="40" t="s">
        <v>738</v>
      </c>
      <c r="D715">
        <f t="shared" si="12"/>
        <v>8.6999999999999993</v>
      </c>
    </row>
    <row r="716" spans="1:4" x14ac:dyDescent="0.35">
      <c r="A716" t="s">
        <v>1522</v>
      </c>
      <c r="B716" s="36">
        <v>421.35</v>
      </c>
      <c r="C716" s="40" t="s">
        <v>739</v>
      </c>
      <c r="D716">
        <f t="shared" si="12"/>
        <v>16.11</v>
      </c>
    </row>
    <row r="717" spans="1:4" x14ac:dyDescent="0.35">
      <c r="A717" s="41">
        <v>45266</v>
      </c>
      <c r="B717" s="36">
        <v>413.36</v>
      </c>
      <c r="C717" s="40" t="s">
        <v>740</v>
      </c>
      <c r="D717">
        <f t="shared" si="12"/>
        <v>8.7200000000000006</v>
      </c>
    </row>
    <row r="718" spans="1:4" x14ac:dyDescent="0.35">
      <c r="A718" s="41">
        <v>45175</v>
      </c>
      <c r="B718" s="36">
        <v>414.78</v>
      </c>
      <c r="C718" s="40" t="s">
        <v>377</v>
      </c>
      <c r="D718">
        <f t="shared" si="12"/>
        <v>7.06</v>
      </c>
    </row>
    <row r="719" spans="1:4" x14ac:dyDescent="0.35">
      <c r="A719" s="41">
        <v>45144</v>
      </c>
      <c r="B719" s="36">
        <v>418.99</v>
      </c>
      <c r="C719" s="40" t="s">
        <v>741</v>
      </c>
      <c r="D719">
        <f t="shared" si="12"/>
        <v>7.02</v>
      </c>
    </row>
    <row r="720" spans="1:4" x14ac:dyDescent="0.35">
      <c r="A720" s="41">
        <v>45113</v>
      </c>
      <c r="B720" s="36">
        <v>419.98</v>
      </c>
      <c r="C720" s="40" t="s">
        <v>353</v>
      </c>
      <c r="D720">
        <f t="shared" si="12"/>
        <v>7.54</v>
      </c>
    </row>
    <row r="721" spans="1:4" x14ac:dyDescent="0.35">
      <c r="A721" s="41">
        <v>45083</v>
      </c>
      <c r="B721" s="36">
        <v>418.89</v>
      </c>
      <c r="C721" s="40" t="s">
        <v>742</v>
      </c>
      <c r="D721">
        <f t="shared" si="12"/>
        <v>6.45</v>
      </c>
    </row>
    <row r="722" spans="1:4" x14ac:dyDescent="0.35">
      <c r="A722" s="41">
        <v>45052</v>
      </c>
      <c r="B722" s="36">
        <v>416.86</v>
      </c>
      <c r="C722" s="40" t="s">
        <v>743</v>
      </c>
      <c r="D722">
        <f t="shared" si="12"/>
        <v>7.15</v>
      </c>
    </row>
    <row r="723" spans="1:4" x14ac:dyDescent="0.35">
      <c r="A723" s="41">
        <v>44963</v>
      </c>
      <c r="B723" s="36">
        <v>419.46</v>
      </c>
      <c r="C723" s="40" t="s">
        <v>511</v>
      </c>
      <c r="D723">
        <f t="shared" si="12"/>
        <v>9.1999999999999993</v>
      </c>
    </row>
    <row r="724" spans="1:4" x14ac:dyDescent="0.35">
      <c r="A724" s="41">
        <v>44932</v>
      </c>
      <c r="B724" s="36">
        <v>415.96</v>
      </c>
      <c r="C724" s="40" t="s">
        <v>744</v>
      </c>
      <c r="D724">
        <f t="shared" si="12"/>
        <v>8.8000000000000007</v>
      </c>
    </row>
    <row r="725" spans="1:4" x14ac:dyDescent="0.35">
      <c r="A725" t="s">
        <v>1523</v>
      </c>
      <c r="B725" s="36">
        <v>421.45</v>
      </c>
      <c r="C725" s="40" t="s">
        <v>745</v>
      </c>
      <c r="D725">
        <f t="shared" si="12"/>
        <v>14.27</v>
      </c>
    </row>
    <row r="726" spans="1:4" x14ac:dyDescent="0.35">
      <c r="A726" t="s">
        <v>1524</v>
      </c>
      <c r="B726" s="36">
        <v>425.61</v>
      </c>
      <c r="C726" s="40" t="s">
        <v>746</v>
      </c>
      <c r="D726">
        <f t="shared" si="12"/>
        <v>18.899999999999999</v>
      </c>
    </row>
    <row r="727" spans="1:4" x14ac:dyDescent="0.35">
      <c r="A727" t="s">
        <v>1525</v>
      </c>
      <c r="B727" s="36">
        <v>422.25</v>
      </c>
      <c r="C727" s="40" t="s">
        <v>747</v>
      </c>
      <c r="D727">
        <f t="shared" si="12"/>
        <v>19.829999999999998</v>
      </c>
    </row>
    <row r="728" spans="1:4" x14ac:dyDescent="0.35">
      <c r="A728" t="s">
        <v>1526</v>
      </c>
      <c r="B728" s="36">
        <v>417.08</v>
      </c>
      <c r="C728" s="40" t="s">
        <v>400</v>
      </c>
      <c r="D728">
        <f t="shared" si="12"/>
        <v>13</v>
      </c>
    </row>
    <row r="729" spans="1:4" x14ac:dyDescent="0.35">
      <c r="A729" t="s">
        <v>1527</v>
      </c>
      <c r="B729" s="36">
        <v>414.78</v>
      </c>
      <c r="C729" s="40" t="s">
        <v>748</v>
      </c>
      <c r="D729">
        <f t="shared" si="12"/>
        <v>18.2</v>
      </c>
    </row>
    <row r="730" spans="1:4" x14ac:dyDescent="0.35">
      <c r="A730" t="s">
        <v>1528</v>
      </c>
      <c r="B730" s="36">
        <v>407.59</v>
      </c>
      <c r="C730" s="40" t="s">
        <v>749</v>
      </c>
      <c r="D730">
        <f t="shared" si="12"/>
        <v>11.48</v>
      </c>
    </row>
    <row r="731" spans="1:4" x14ac:dyDescent="0.35">
      <c r="A731" t="s">
        <v>1529</v>
      </c>
      <c r="B731" s="36">
        <v>403.5</v>
      </c>
      <c r="C731" s="40" t="s">
        <v>179</v>
      </c>
      <c r="D731">
        <f t="shared" si="12"/>
        <v>8.73</v>
      </c>
    </row>
    <row r="732" spans="1:4" x14ac:dyDescent="0.35">
      <c r="A732" t="s">
        <v>1530</v>
      </c>
      <c r="B732" s="36">
        <v>399.36</v>
      </c>
      <c r="C732" s="40" t="s">
        <v>750</v>
      </c>
      <c r="D732">
        <f t="shared" si="12"/>
        <v>15.42</v>
      </c>
    </row>
    <row r="733" spans="1:4" x14ac:dyDescent="0.35">
      <c r="A733" t="s">
        <v>1531</v>
      </c>
      <c r="B733" s="36">
        <v>394.75</v>
      </c>
      <c r="C733" s="40" t="s">
        <v>751</v>
      </c>
      <c r="D733">
        <f t="shared" si="12"/>
        <v>25.77</v>
      </c>
    </row>
    <row r="734" spans="1:4" x14ac:dyDescent="0.35">
      <c r="A734" t="s">
        <v>1532</v>
      </c>
      <c r="B734" s="36">
        <v>394.61</v>
      </c>
      <c r="C734" s="40" t="s">
        <v>752</v>
      </c>
      <c r="D734">
        <f t="shared" si="12"/>
        <v>24</v>
      </c>
    </row>
    <row r="735" spans="1:4" x14ac:dyDescent="0.35">
      <c r="A735" t="s">
        <v>1533</v>
      </c>
      <c r="B735" s="36">
        <v>402.04</v>
      </c>
      <c r="C735" s="40" t="s">
        <v>698</v>
      </c>
      <c r="D735">
        <f t="shared" si="12"/>
        <v>9.48</v>
      </c>
    </row>
    <row r="736" spans="1:4" x14ac:dyDescent="0.35">
      <c r="A736" t="s">
        <v>1534</v>
      </c>
      <c r="B736" s="36">
        <v>398.61</v>
      </c>
      <c r="C736" s="40" t="s">
        <v>243</v>
      </c>
      <c r="D736">
        <f t="shared" si="12"/>
        <v>7.99</v>
      </c>
    </row>
    <row r="737" spans="1:4" x14ac:dyDescent="0.35">
      <c r="A737" t="s">
        <v>1535</v>
      </c>
      <c r="B737" s="36">
        <v>402.23</v>
      </c>
      <c r="C737" s="40" t="s">
        <v>424</v>
      </c>
      <c r="D737">
        <f t="shared" si="12"/>
        <v>9.15</v>
      </c>
    </row>
    <row r="738" spans="1:4" x14ac:dyDescent="0.35">
      <c r="A738" s="41">
        <v>45265</v>
      </c>
      <c r="B738" s="36">
        <v>395.32</v>
      </c>
      <c r="C738" s="40" t="s">
        <v>753</v>
      </c>
      <c r="D738">
        <f t="shared" si="12"/>
        <v>11.14</v>
      </c>
    </row>
    <row r="739" spans="1:4" x14ac:dyDescent="0.35">
      <c r="A739" s="41">
        <v>45235</v>
      </c>
      <c r="B739" s="36">
        <v>395.27</v>
      </c>
      <c r="C739" s="40" t="s">
        <v>754</v>
      </c>
      <c r="D739">
        <f t="shared" si="12"/>
        <v>15.98</v>
      </c>
    </row>
    <row r="740" spans="1:4" x14ac:dyDescent="0.35">
      <c r="A740" s="41">
        <v>45204</v>
      </c>
      <c r="B740" s="36">
        <v>399.92</v>
      </c>
      <c r="C740" s="40" t="s">
        <v>755</v>
      </c>
      <c r="D740">
        <f t="shared" si="12"/>
        <v>9.75</v>
      </c>
    </row>
    <row r="741" spans="1:4" x14ac:dyDescent="0.35">
      <c r="A741" s="41">
        <v>45174</v>
      </c>
      <c r="B741" s="36">
        <v>398.46</v>
      </c>
      <c r="C741" s="40" t="s">
        <v>756</v>
      </c>
      <c r="D741">
        <f t="shared" si="12"/>
        <v>9.99</v>
      </c>
    </row>
    <row r="742" spans="1:4" x14ac:dyDescent="0.35">
      <c r="A742" s="41">
        <v>45143</v>
      </c>
      <c r="B742" s="36">
        <v>405.66</v>
      </c>
      <c r="C742" s="40" t="s">
        <v>317</v>
      </c>
      <c r="D742">
        <f t="shared" si="12"/>
        <v>7.24</v>
      </c>
    </row>
    <row r="743" spans="1:4" x14ac:dyDescent="0.35">
      <c r="A743" s="41">
        <v>45051</v>
      </c>
      <c r="B743" s="36">
        <v>403.12</v>
      </c>
      <c r="C743" s="40" t="s">
        <v>222</v>
      </c>
      <c r="D743">
        <f t="shared" si="12"/>
        <v>12.41</v>
      </c>
    </row>
    <row r="744" spans="1:4" x14ac:dyDescent="0.35">
      <c r="A744" s="41">
        <v>45021</v>
      </c>
      <c r="B744" s="36">
        <v>399.22</v>
      </c>
      <c r="C744" s="40" t="s">
        <v>609</v>
      </c>
      <c r="D744">
        <f t="shared" si="12"/>
        <v>7.98</v>
      </c>
    </row>
    <row r="745" spans="1:4" x14ac:dyDescent="0.35">
      <c r="A745" s="41">
        <v>44990</v>
      </c>
      <c r="B745" s="36">
        <v>401.61</v>
      </c>
      <c r="C745" s="40" t="s">
        <v>463</v>
      </c>
      <c r="D745">
        <f t="shared" si="12"/>
        <v>7.33</v>
      </c>
    </row>
    <row r="746" spans="1:4" x14ac:dyDescent="0.35">
      <c r="A746" s="41">
        <v>44962</v>
      </c>
      <c r="B746" s="36">
        <v>399.08</v>
      </c>
      <c r="C746" s="40" t="s">
        <v>757</v>
      </c>
      <c r="D746">
        <f t="shared" si="12"/>
        <v>10.25</v>
      </c>
    </row>
    <row r="747" spans="1:4" x14ac:dyDescent="0.35">
      <c r="A747" t="s">
        <v>1536</v>
      </c>
      <c r="B747" s="36">
        <v>400.11</v>
      </c>
      <c r="C747" s="40" t="s">
        <v>758</v>
      </c>
      <c r="D747">
        <f t="shared" si="12"/>
        <v>12.72</v>
      </c>
    </row>
    <row r="748" spans="1:4" x14ac:dyDescent="0.35">
      <c r="A748" t="s">
        <v>1537</v>
      </c>
      <c r="B748" s="36">
        <v>391.13</v>
      </c>
      <c r="C748" s="40" t="s">
        <v>759</v>
      </c>
      <c r="D748">
        <f t="shared" si="12"/>
        <v>12.61</v>
      </c>
    </row>
    <row r="749" spans="1:4" x14ac:dyDescent="0.35">
      <c r="A749" t="s">
        <v>1538</v>
      </c>
      <c r="B749" s="36">
        <v>387.61</v>
      </c>
      <c r="C749" s="40" t="s">
        <v>666</v>
      </c>
      <c r="D749">
        <f t="shared" si="12"/>
        <v>7.62</v>
      </c>
    </row>
    <row r="750" spans="1:4" x14ac:dyDescent="0.35">
      <c r="A750" t="s">
        <v>1539</v>
      </c>
      <c r="B750" s="36">
        <v>386.95</v>
      </c>
      <c r="C750" s="40" t="s">
        <v>760</v>
      </c>
      <c r="D750">
        <f t="shared" si="12"/>
        <v>8.84</v>
      </c>
    </row>
    <row r="751" spans="1:4" x14ac:dyDescent="0.35">
      <c r="A751" t="s">
        <v>1540</v>
      </c>
      <c r="B751" s="36">
        <v>384.27</v>
      </c>
      <c r="C751" s="40" t="s">
        <v>761</v>
      </c>
      <c r="D751">
        <f t="shared" si="12"/>
        <v>5.98</v>
      </c>
    </row>
    <row r="752" spans="1:4" x14ac:dyDescent="0.35">
      <c r="A752" t="s">
        <v>1541</v>
      </c>
      <c r="B752" s="36">
        <v>383.85</v>
      </c>
      <c r="C752" s="40" t="s">
        <v>762</v>
      </c>
      <c r="D752">
        <f t="shared" si="12"/>
        <v>14.25</v>
      </c>
    </row>
    <row r="753" spans="1:4" x14ac:dyDescent="0.35">
      <c r="A753" t="s">
        <v>1542</v>
      </c>
      <c r="B753" s="36">
        <v>376.37</v>
      </c>
      <c r="C753" s="40" t="s">
        <v>763</v>
      </c>
      <c r="D753">
        <f t="shared" si="12"/>
        <v>6.67</v>
      </c>
    </row>
    <row r="754" spans="1:4" x14ac:dyDescent="0.35">
      <c r="A754" t="s">
        <v>1543</v>
      </c>
      <c r="B754" s="36">
        <v>374.91</v>
      </c>
      <c r="C754" s="40" t="s">
        <v>764</v>
      </c>
      <c r="D754">
        <f t="shared" si="12"/>
        <v>9.74</v>
      </c>
    </row>
    <row r="755" spans="1:4" x14ac:dyDescent="0.35">
      <c r="A755" t="s">
        <v>1544</v>
      </c>
      <c r="B755" s="36">
        <v>374.68</v>
      </c>
      <c r="C755" s="40" t="s">
        <v>765</v>
      </c>
      <c r="D755">
        <f t="shared" si="12"/>
        <v>9.49</v>
      </c>
    </row>
    <row r="756" spans="1:4" x14ac:dyDescent="0.35">
      <c r="A756" t="s">
        <v>1545</v>
      </c>
      <c r="B756" s="36">
        <v>376.23</v>
      </c>
      <c r="C756" s="40" t="s">
        <v>235</v>
      </c>
      <c r="D756">
        <f t="shared" si="12"/>
        <v>11.04</v>
      </c>
    </row>
    <row r="757" spans="1:4" x14ac:dyDescent="0.35">
      <c r="A757" t="s">
        <v>1546</v>
      </c>
      <c r="B757" s="36">
        <v>371.95</v>
      </c>
      <c r="C757" s="40" t="s">
        <v>226</v>
      </c>
      <c r="D757">
        <f t="shared" si="12"/>
        <v>6.06</v>
      </c>
    </row>
    <row r="758" spans="1:4" x14ac:dyDescent="0.35">
      <c r="A758" s="41">
        <v>45264</v>
      </c>
      <c r="B758" s="36">
        <v>370.02</v>
      </c>
      <c r="C758" s="40" t="s">
        <v>755</v>
      </c>
      <c r="D758">
        <f t="shared" si="12"/>
        <v>9.75</v>
      </c>
    </row>
    <row r="759" spans="1:4" x14ac:dyDescent="0.35">
      <c r="A759" s="41">
        <v>45234</v>
      </c>
      <c r="B759" s="36">
        <v>372.33</v>
      </c>
      <c r="C759" s="40" t="s">
        <v>766</v>
      </c>
      <c r="D759">
        <f t="shared" si="12"/>
        <v>18.239999999999998</v>
      </c>
    </row>
    <row r="760" spans="1:4" x14ac:dyDescent="0.35">
      <c r="A760" s="41">
        <v>45203</v>
      </c>
      <c r="B760" s="36">
        <v>365.32</v>
      </c>
      <c r="C760" s="40" t="s">
        <v>767</v>
      </c>
      <c r="D760">
        <f t="shared" si="12"/>
        <v>6.78</v>
      </c>
    </row>
    <row r="761" spans="1:4" x14ac:dyDescent="0.35">
      <c r="A761" s="41">
        <v>45081</v>
      </c>
      <c r="B761" s="36">
        <v>364.19</v>
      </c>
      <c r="C761" s="40" t="s">
        <v>768</v>
      </c>
      <c r="D761">
        <f t="shared" si="12"/>
        <v>12.9</v>
      </c>
    </row>
    <row r="762" spans="1:4" x14ac:dyDescent="0.35">
      <c r="A762" s="41">
        <v>45050</v>
      </c>
      <c r="B762" s="36">
        <v>363.3</v>
      </c>
      <c r="C762" s="40" t="s">
        <v>769</v>
      </c>
      <c r="D762">
        <f t="shared" si="12"/>
        <v>11.61</v>
      </c>
    </row>
    <row r="763" spans="1:4" x14ac:dyDescent="0.35">
      <c r="A763" s="41">
        <v>44989</v>
      </c>
      <c r="B763" s="36">
        <v>356.25</v>
      </c>
      <c r="C763" s="40" t="s">
        <v>377</v>
      </c>
      <c r="D763">
        <f t="shared" si="12"/>
        <v>7.06</v>
      </c>
    </row>
    <row r="764" spans="1:4" x14ac:dyDescent="0.35">
      <c r="A764" t="s">
        <v>1547</v>
      </c>
      <c r="B764" s="36">
        <v>360.58</v>
      </c>
      <c r="C764" s="40" t="s">
        <v>261</v>
      </c>
      <c r="D764">
        <f t="shared" si="12"/>
        <v>9.51</v>
      </c>
    </row>
    <row r="765" spans="1:4" x14ac:dyDescent="0.35">
      <c r="A765" t="s">
        <v>1548</v>
      </c>
      <c r="B765" s="36">
        <v>359.87</v>
      </c>
      <c r="C765" s="40" t="s">
        <v>471</v>
      </c>
      <c r="D765">
        <f t="shared" si="12"/>
        <v>10.16</v>
      </c>
    </row>
    <row r="766" spans="1:4" x14ac:dyDescent="0.35">
      <c r="A766" t="s">
        <v>1549</v>
      </c>
      <c r="B766" s="36">
        <v>357.05</v>
      </c>
      <c r="C766" s="40" t="s">
        <v>770</v>
      </c>
      <c r="D766">
        <f t="shared" si="12"/>
        <v>9.17</v>
      </c>
    </row>
    <row r="767" spans="1:4" x14ac:dyDescent="0.35">
      <c r="A767" t="s">
        <v>1550</v>
      </c>
      <c r="B767" s="36">
        <v>357.47</v>
      </c>
      <c r="C767" s="40" t="s">
        <v>771</v>
      </c>
      <c r="D767">
        <f t="shared" si="12"/>
        <v>10.82</v>
      </c>
    </row>
    <row r="768" spans="1:4" x14ac:dyDescent="0.35">
      <c r="A768" t="s">
        <v>1551</v>
      </c>
      <c r="B768" s="36">
        <v>356.06</v>
      </c>
      <c r="C768" s="40" t="s">
        <v>323</v>
      </c>
      <c r="D768">
        <f t="shared" si="12"/>
        <v>9.93</v>
      </c>
    </row>
    <row r="769" spans="1:4" x14ac:dyDescent="0.35">
      <c r="A769" t="s">
        <v>1552</v>
      </c>
      <c r="B769" s="36">
        <v>357.89</v>
      </c>
      <c r="C769" s="40" t="s">
        <v>755</v>
      </c>
      <c r="D769">
        <f t="shared" si="12"/>
        <v>9.75</v>
      </c>
    </row>
    <row r="770" spans="1:4" x14ac:dyDescent="0.35">
      <c r="A770" t="s">
        <v>1553</v>
      </c>
      <c r="B770" s="36">
        <v>355.17</v>
      </c>
      <c r="C770" s="40" t="s">
        <v>772</v>
      </c>
      <c r="D770">
        <f t="shared" ref="D770:D833" si="13">(VALUE(SUBSTITUTE(C770,"M",""))*1000000)/1000000</f>
        <v>4.7699999999999996</v>
      </c>
    </row>
    <row r="771" spans="1:4" x14ac:dyDescent="0.35">
      <c r="A771" t="s">
        <v>1554</v>
      </c>
      <c r="B771" s="36">
        <v>354.42</v>
      </c>
      <c r="C771" s="40" t="s">
        <v>769</v>
      </c>
      <c r="D771">
        <f t="shared" si="13"/>
        <v>11.61</v>
      </c>
    </row>
    <row r="772" spans="1:4" x14ac:dyDescent="0.35">
      <c r="A772" t="s">
        <v>1555</v>
      </c>
      <c r="B772" s="36">
        <v>356.16</v>
      </c>
      <c r="C772" s="40" t="s">
        <v>773</v>
      </c>
      <c r="D772">
        <f t="shared" si="13"/>
        <v>10.119999999999999</v>
      </c>
    </row>
    <row r="773" spans="1:4" x14ac:dyDescent="0.35">
      <c r="A773" t="s">
        <v>1556</v>
      </c>
      <c r="B773" s="36">
        <v>353.1</v>
      </c>
      <c r="C773" s="40" t="s">
        <v>774</v>
      </c>
      <c r="D773">
        <f t="shared" si="13"/>
        <v>48.9</v>
      </c>
    </row>
    <row r="774" spans="1:4" x14ac:dyDescent="0.35">
      <c r="A774" t="s">
        <v>1557</v>
      </c>
      <c r="B774" s="36">
        <v>358.65</v>
      </c>
      <c r="C774" s="40" t="s">
        <v>775</v>
      </c>
      <c r="D774">
        <f t="shared" si="13"/>
        <v>15.71</v>
      </c>
    </row>
    <row r="775" spans="1:4" x14ac:dyDescent="0.35">
      <c r="A775" t="s">
        <v>1558</v>
      </c>
      <c r="B775" s="36">
        <v>356.72</v>
      </c>
      <c r="C775" s="40" t="s">
        <v>680</v>
      </c>
      <c r="D775">
        <f t="shared" si="13"/>
        <v>8.42</v>
      </c>
    </row>
    <row r="776" spans="1:4" x14ac:dyDescent="0.35">
      <c r="A776" t="s">
        <v>1559</v>
      </c>
      <c r="B776" s="36">
        <v>357</v>
      </c>
      <c r="C776" s="40" t="s">
        <v>776</v>
      </c>
      <c r="D776">
        <f t="shared" si="13"/>
        <v>10.23</v>
      </c>
    </row>
    <row r="777" spans="1:4" x14ac:dyDescent="0.35">
      <c r="A777" t="s">
        <v>1560</v>
      </c>
      <c r="B777" s="36">
        <v>360.72</v>
      </c>
      <c r="C777" s="40" t="s">
        <v>777</v>
      </c>
      <c r="D777">
        <f t="shared" si="13"/>
        <v>8.7899999999999991</v>
      </c>
    </row>
    <row r="778" spans="1:4" x14ac:dyDescent="0.35">
      <c r="A778" s="41">
        <v>45202</v>
      </c>
      <c r="B778" s="36">
        <v>364.81</v>
      </c>
      <c r="C778" s="40" t="s">
        <v>507</v>
      </c>
      <c r="D778">
        <f t="shared" si="13"/>
        <v>8.36</v>
      </c>
    </row>
    <row r="779" spans="1:4" x14ac:dyDescent="0.35">
      <c r="A779" s="41">
        <v>45172</v>
      </c>
      <c r="B779" s="36">
        <v>364.33</v>
      </c>
      <c r="C779" s="40" t="s">
        <v>778</v>
      </c>
      <c r="D779">
        <f t="shared" si="13"/>
        <v>9.6300000000000008</v>
      </c>
    </row>
    <row r="780" spans="1:4" x14ac:dyDescent="0.35">
      <c r="A780" s="41">
        <v>45141</v>
      </c>
      <c r="B780" s="36">
        <v>368.94</v>
      </c>
      <c r="C780" s="40" t="s">
        <v>461</v>
      </c>
      <c r="D780">
        <f t="shared" si="13"/>
        <v>8.92</v>
      </c>
    </row>
    <row r="781" spans="1:4" x14ac:dyDescent="0.35">
      <c r="A781" s="41">
        <v>45080</v>
      </c>
      <c r="B781" s="36">
        <v>364.95</v>
      </c>
      <c r="C781" s="40" t="s">
        <v>779</v>
      </c>
      <c r="D781">
        <f t="shared" si="13"/>
        <v>10.71</v>
      </c>
    </row>
    <row r="782" spans="1:4" x14ac:dyDescent="0.35">
      <c r="A782" s="41">
        <v>44988</v>
      </c>
      <c r="B782" s="36">
        <v>361.94</v>
      </c>
      <c r="C782" s="40" t="s">
        <v>780</v>
      </c>
      <c r="D782">
        <f t="shared" si="13"/>
        <v>8.18</v>
      </c>
    </row>
    <row r="783" spans="1:4" x14ac:dyDescent="0.35">
      <c r="A783" s="41">
        <v>44960</v>
      </c>
      <c r="B783" s="36">
        <v>353.1</v>
      </c>
      <c r="C783" s="40" t="s">
        <v>781</v>
      </c>
      <c r="D783">
        <f t="shared" si="13"/>
        <v>5.0199999999999996</v>
      </c>
    </row>
    <row r="784" spans="1:4" x14ac:dyDescent="0.35">
      <c r="A784" s="41">
        <v>44929</v>
      </c>
      <c r="B784" s="36">
        <v>356.06</v>
      </c>
      <c r="C784" s="40" t="s">
        <v>782</v>
      </c>
      <c r="D784">
        <f t="shared" si="13"/>
        <v>7.77</v>
      </c>
    </row>
    <row r="785" spans="1:4" x14ac:dyDescent="0.35">
      <c r="A785" t="s">
        <v>1561</v>
      </c>
      <c r="B785" s="36">
        <v>354.18</v>
      </c>
      <c r="C785" s="40" t="s">
        <v>783</v>
      </c>
      <c r="D785">
        <f t="shared" si="13"/>
        <v>16.37</v>
      </c>
    </row>
    <row r="786" spans="1:4" x14ac:dyDescent="0.35">
      <c r="A786" t="s">
        <v>1562</v>
      </c>
      <c r="B786" s="36">
        <v>359.35</v>
      </c>
      <c r="C786" s="40" t="s">
        <v>455</v>
      </c>
      <c r="D786">
        <f t="shared" si="13"/>
        <v>8.14</v>
      </c>
    </row>
    <row r="787" spans="1:4" x14ac:dyDescent="0.35">
      <c r="A787" t="s">
        <v>1563</v>
      </c>
      <c r="B787" s="36">
        <v>362.08</v>
      </c>
      <c r="C787" s="40" t="s">
        <v>133</v>
      </c>
      <c r="D787">
        <f t="shared" si="13"/>
        <v>12.91</v>
      </c>
    </row>
    <row r="788" spans="1:4" x14ac:dyDescent="0.35">
      <c r="A788" t="s">
        <v>1564</v>
      </c>
      <c r="B788" s="36">
        <v>364.43</v>
      </c>
      <c r="C788" s="40" t="s">
        <v>527</v>
      </c>
      <c r="D788">
        <f t="shared" si="13"/>
        <v>18.829999999999998</v>
      </c>
    </row>
    <row r="789" spans="1:4" x14ac:dyDescent="0.35">
      <c r="A789" t="s">
        <v>1565</v>
      </c>
      <c r="B789" s="36">
        <v>360.9</v>
      </c>
      <c r="C789" s="40" t="s">
        <v>784</v>
      </c>
      <c r="D789">
        <f t="shared" si="13"/>
        <v>8.9600000000000009</v>
      </c>
    </row>
    <row r="790" spans="1:4" x14ac:dyDescent="0.35">
      <c r="A790" t="s">
        <v>1566</v>
      </c>
      <c r="B790" s="36">
        <v>359.4</v>
      </c>
      <c r="C790" s="40" t="s">
        <v>324</v>
      </c>
      <c r="D790">
        <f t="shared" si="13"/>
        <v>8.26</v>
      </c>
    </row>
    <row r="791" spans="1:4" x14ac:dyDescent="0.35">
      <c r="A791" t="s">
        <v>1567</v>
      </c>
      <c r="B791" s="36">
        <v>361.09</v>
      </c>
      <c r="C791" s="40" t="s">
        <v>280</v>
      </c>
      <c r="D791">
        <f t="shared" si="13"/>
        <v>7.8</v>
      </c>
    </row>
    <row r="792" spans="1:4" x14ac:dyDescent="0.35">
      <c r="A792" t="s">
        <v>1568</v>
      </c>
      <c r="B792" s="36">
        <v>360.48</v>
      </c>
      <c r="C792" s="40" t="s">
        <v>785</v>
      </c>
      <c r="D792">
        <f t="shared" si="13"/>
        <v>7.67</v>
      </c>
    </row>
    <row r="793" spans="1:4" x14ac:dyDescent="0.35">
      <c r="A793" t="s">
        <v>1569</v>
      </c>
      <c r="B793" s="36">
        <v>359.68</v>
      </c>
      <c r="C793" s="40" t="s">
        <v>318</v>
      </c>
      <c r="D793">
        <f t="shared" si="13"/>
        <v>9.7799999999999994</v>
      </c>
    </row>
    <row r="794" spans="1:4" x14ac:dyDescent="0.35">
      <c r="A794" t="s">
        <v>1570</v>
      </c>
      <c r="B794" s="36">
        <v>359.35</v>
      </c>
      <c r="C794" s="40" t="s">
        <v>786</v>
      </c>
      <c r="D794">
        <f t="shared" si="13"/>
        <v>12.21</v>
      </c>
    </row>
    <row r="795" spans="1:4" x14ac:dyDescent="0.35">
      <c r="A795" t="s">
        <v>1571</v>
      </c>
      <c r="B795" s="36">
        <v>363.35</v>
      </c>
      <c r="C795" s="40" t="s">
        <v>787</v>
      </c>
      <c r="D795">
        <f t="shared" si="13"/>
        <v>29.13</v>
      </c>
    </row>
    <row r="796" spans="1:4" x14ac:dyDescent="0.35">
      <c r="A796" t="s">
        <v>1572</v>
      </c>
      <c r="B796" s="36">
        <v>351.83</v>
      </c>
      <c r="C796" s="40" t="s">
        <v>788</v>
      </c>
      <c r="D796">
        <f t="shared" si="13"/>
        <v>9.9</v>
      </c>
    </row>
    <row r="797" spans="1:4" x14ac:dyDescent="0.35">
      <c r="A797" s="41">
        <v>45201</v>
      </c>
      <c r="B797" s="36">
        <v>349.15</v>
      </c>
      <c r="C797" s="40" t="s">
        <v>789</v>
      </c>
      <c r="D797">
        <f t="shared" si="13"/>
        <v>10.28</v>
      </c>
    </row>
    <row r="798" spans="1:4" x14ac:dyDescent="0.35">
      <c r="A798" s="41">
        <v>45171</v>
      </c>
      <c r="B798" s="36">
        <v>351.88</v>
      </c>
      <c r="C798" s="40" t="s">
        <v>790</v>
      </c>
      <c r="D798">
        <f t="shared" si="13"/>
        <v>11.86</v>
      </c>
    </row>
    <row r="799" spans="1:4" x14ac:dyDescent="0.35">
      <c r="A799" s="41">
        <v>45140</v>
      </c>
      <c r="B799" s="36">
        <v>353.1</v>
      </c>
      <c r="C799" s="40" t="s">
        <v>791</v>
      </c>
      <c r="D799">
        <f t="shared" si="13"/>
        <v>10.42</v>
      </c>
    </row>
    <row r="800" spans="1:4" x14ac:dyDescent="0.35">
      <c r="A800" s="41">
        <v>45109</v>
      </c>
      <c r="B800" s="36">
        <v>350.94</v>
      </c>
      <c r="C800" s="40" t="s">
        <v>792</v>
      </c>
      <c r="D800">
        <f t="shared" si="13"/>
        <v>20.64</v>
      </c>
    </row>
    <row r="801" spans="1:4" x14ac:dyDescent="0.35">
      <c r="A801" s="41">
        <v>45079</v>
      </c>
      <c r="B801" s="36">
        <v>360.48</v>
      </c>
      <c r="C801" s="40" t="s">
        <v>793</v>
      </c>
      <c r="D801">
        <f t="shared" si="13"/>
        <v>25.79</v>
      </c>
    </row>
    <row r="802" spans="1:4" x14ac:dyDescent="0.35">
      <c r="A802" s="41">
        <v>44987</v>
      </c>
      <c r="B802" s="36">
        <v>357.89</v>
      </c>
      <c r="C802" s="40" t="s">
        <v>794</v>
      </c>
      <c r="D802">
        <f t="shared" si="13"/>
        <v>22.3</v>
      </c>
    </row>
    <row r="803" spans="1:4" x14ac:dyDescent="0.35">
      <c r="A803" s="41">
        <v>44959</v>
      </c>
      <c r="B803" s="36">
        <v>355.97</v>
      </c>
      <c r="C803" s="40" t="s">
        <v>795</v>
      </c>
      <c r="D803">
        <f t="shared" si="13"/>
        <v>55.75</v>
      </c>
    </row>
    <row r="804" spans="1:4" x14ac:dyDescent="0.35">
      <c r="A804" s="41">
        <v>44928</v>
      </c>
      <c r="B804" s="36">
        <v>339.8</v>
      </c>
      <c r="C804" s="40" t="s">
        <v>796</v>
      </c>
      <c r="D804">
        <f t="shared" si="13"/>
        <v>64.52</v>
      </c>
    </row>
    <row r="805" spans="1:4" x14ac:dyDescent="0.35">
      <c r="A805" t="s">
        <v>1573</v>
      </c>
      <c r="B805" s="36">
        <v>331.29</v>
      </c>
      <c r="C805" s="40" t="s">
        <v>797</v>
      </c>
      <c r="D805">
        <f t="shared" si="13"/>
        <v>17.13</v>
      </c>
    </row>
    <row r="806" spans="1:4" x14ac:dyDescent="0.35">
      <c r="A806" t="s">
        <v>1574</v>
      </c>
      <c r="B806" s="36">
        <v>324.19</v>
      </c>
      <c r="C806" s="40" t="s">
        <v>798</v>
      </c>
      <c r="D806">
        <f t="shared" si="13"/>
        <v>14.09</v>
      </c>
    </row>
    <row r="807" spans="1:4" x14ac:dyDescent="0.35">
      <c r="A807" t="s">
        <v>1575</v>
      </c>
      <c r="B807" s="36">
        <v>325.32</v>
      </c>
      <c r="C807" s="40" t="s">
        <v>799</v>
      </c>
      <c r="D807">
        <f t="shared" si="13"/>
        <v>21.04</v>
      </c>
    </row>
    <row r="808" spans="1:4" x14ac:dyDescent="0.35">
      <c r="A808" t="s">
        <v>1576</v>
      </c>
      <c r="B808" s="36">
        <v>318.97000000000003</v>
      </c>
      <c r="C808" s="40" t="s">
        <v>517</v>
      </c>
      <c r="D808">
        <f t="shared" si="13"/>
        <v>12.5</v>
      </c>
    </row>
    <row r="809" spans="1:4" x14ac:dyDescent="0.35">
      <c r="A809" t="s">
        <v>1577</v>
      </c>
      <c r="B809" s="36">
        <v>318.69</v>
      </c>
      <c r="C809" s="40" t="s">
        <v>265</v>
      </c>
      <c r="D809">
        <f t="shared" si="13"/>
        <v>12.3</v>
      </c>
    </row>
    <row r="810" spans="1:4" x14ac:dyDescent="0.35">
      <c r="A810" t="s">
        <v>1578</v>
      </c>
      <c r="B810" s="36">
        <v>317.56</v>
      </c>
      <c r="C810" s="40" t="s">
        <v>800</v>
      </c>
      <c r="D810">
        <f t="shared" si="13"/>
        <v>7.12</v>
      </c>
    </row>
    <row r="811" spans="1:4" x14ac:dyDescent="0.35">
      <c r="A811" t="s">
        <v>1579</v>
      </c>
      <c r="B811" s="36">
        <v>314.60000000000002</v>
      </c>
      <c r="C811" s="40" t="s">
        <v>801</v>
      </c>
      <c r="D811">
        <f t="shared" si="13"/>
        <v>13.1</v>
      </c>
    </row>
    <row r="812" spans="1:4" x14ac:dyDescent="0.35">
      <c r="A812" t="s">
        <v>1580</v>
      </c>
      <c r="B812" s="36">
        <v>312.29000000000002</v>
      </c>
      <c r="C812" s="40" t="s">
        <v>449</v>
      </c>
      <c r="D812">
        <f t="shared" si="13"/>
        <v>8.35</v>
      </c>
    </row>
    <row r="813" spans="1:4" x14ac:dyDescent="0.35">
      <c r="A813" t="s">
        <v>1581</v>
      </c>
      <c r="B813" s="36">
        <v>314.64</v>
      </c>
      <c r="C813" s="40" t="s">
        <v>802</v>
      </c>
      <c r="D813">
        <f t="shared" si="13"/>
        <v>12.56</v>
      </c>
    </row>
    <row r="814" spans="1:4" x14ac:dyDescent="0.35">
      <c r="A814" t="s">
        <v>1582</v>
      </c>
      <c r="B814" s="36">
        <v>312.39</v>
      </c>
      <c r="C814" s="40" t="s">
        <v>803</v>
      </c>
      <c r="D814">
        <f t="shared" si="13"/>
        <v>13.71</v>
      </c>
    </row>
    <row r="815" spans="1:4" x14ac:dyDescent="0.35">
      <c r="A815" t="s">
        <v>1583</v>
      </c>
      <c r="B815" s="36">
        <v>310.45999999999998</v>
      </c>
      <c r="C815" s="40" t="s">
        <v>804</v>
      </c>
      <c r="D815">
        <f t="shared" si="13"/>
        <v>8.25</v>
      </c>
    </row>
    <row r="816" spans="1:4" x14ac:dyDescent="0.35">
      <c r="A816" t="s">
        <v>1584</v>
      </c>
      <c r="B816" s="36">
        <v>309.10000000000002</v>
      </c>
      <c r="C816" s="40" t="s">
        <v>271</v>
      </c>
      <c r="D816">
        <f t="shared" si="13"/>
        <v>14.41</v>
      </c>
    </row>
    <row r="817" spans="1:4" x14ac:dyDescent="0.35">
      <c r="A817" s="41">
        <v>45261</v>
      </c>
      <c r="B817" s="36">
        <v>310.13</v>
      </c>
      <c r="C817" s="40" t="s">
        <v>733</v>
      </c>
      <c r="D817">
        <f t="shared" si="13"/>
        <v>6.64</v>
      </c>
    </row>
    <row r="818" spans="1:4" x14ac:dyDescent="0.35">
      <c r="A818" s="41">
        <v>45231</v>
      </c>
      <c r="B818" s="36">
        <v>311.95999999999998</v>
      </c>
      <c r="C818" s="40" t="s">
        <v>805</v>
      </c>
      <c r="D818">
        <f t="shared" si="13"/>
        <v>4.58</v>
      </c>
    </row>
    <row r="819" spans="1:4" x14ac:dyDescent="0.35">
      <c r="A819" s="41">
        <v>45200</v>
      </c>
      <c r="B819" s="36">
        <v>313.47000000000003</v>
      </c>
      <c r="C819" s="40" t="s">
        <v>806</v>
      </c>
      <c r="D819">
        <f t="shared" si="13"/>
        <v>6.95</v>
      </c>
    </row>
    <row r="820" spans="1:4" x14ac:dyDescent="0.35">
      <c r="A820" s="41">
        <v>45170</v>
      </c>
      <c r="B820" s="36">
        <v>317.83999999999997</v>
      </c>
      <c r="C820" s="40" t="s">
        <v>712</v>
      </c>
      <c r="D820">
        <f t="shared" si="13"/>
        <v>10.62</v>
      </c>
    </row>
    <row r="821" spans="1:4" x14ac:dyDescent="0.35">
      <c r="A821" s="41">
        <v>45078</v>
      </c>
      <c r="B821" s="36">
        <v>315.02</v>
      </c>
      <c r="C821" s="40" t="s">
        <v>807</v>
      </c>
      <c r="D821">
        <f t="shared" si="13"/>
        <v>8.2799999999999994</v>
      </c>
    </row>
    <row r="822" spans="1:4" x14ac:dyDescent="0.35">
      <c r="A822" s="41">
        <v>45047</v>
      </c>
      <c r="B822" s="36">
        <v>313.52</v>
      </c>
      <c r="C822" s="40" t="s">
        <v>808</v>
      </c>
      <c r="D822">
        <f t="shared" si="13"/>
        <v>8.17</v>
      </c>
    </row>
    <row r="823" spans="1:4" x14ac:dyDescent="0.35">
      <c r="A823" s="41">
        <v>45017</v>
      </c>
      <c r="B823" s="36">
        <v>307.45</v>
      </c>
      <c r="C823" s="40" t="s">
        <v>237</v>
      </c>
      <c r="D823">
        <f t="shared" si="13"/>
        <v>6.69</v>
      </c>
    </row>
    <row r="824" spans="1:4" x14ac:dyDescent="0.35">
      <c r="A824" s="41">
        <v>44986</v>
      </c>
      <c r="B824" s="36">
        <v>311.31</v>
      </c>
      <c r="C824" s="40" t="s">
        <v>653</v>
      </c>
      <c r="D824">
        <f t="shared" si="13"/>
        <v>6</v>
      </c>
    </row>
    <row r="825" spans="1:4" x14ac:dyDescent="0.35">
      <c r="A825" s="41">
        <v>44958</v>
      </c>
      <c r="B825" s="36">
        <v>312.95</v>
      </c>
      <c r="C825" s="40" t="s">
        <v>809</v>
      </c>
      <c r="D825">
        <f t="shared" si="13"/>
        <v>5.95</v>
      </c>
    </row>
    <row r="826" spans="1:4" x14ac:dyDescent="0.35">
      <c r="A826" t="s">
        <v>1585</v>
      </c>
      <c r="B826" s="36">
        <v>311.73</v>
      </c>
      <c r="C826" s="40" t="s">
        <v>810</v>
      </c>
      <c r="D826">
        <f t="shared" si="13"/>
        <v>6.96</v>
      </c>
    </row>
    <row r="827" spans="1:4" x14ac:dyDescent="0.35">
      <c r="A827" t="s">
        <v>1586</v>
      </c>
      <c r="B827" s="36">
        <v>315.3</v>
      </c>
      <c r="C827" s="40" t="s">
        <v>811</v>
      </c>
      <c r="D827">
        <f t="shared" si="13"/>
        <v>8.11</v>
      </c>
    </row>
    <row r="828" spans="1:4" x14ac:dyDescent="0.35">
      <c r="A828" t="s">
        <v>1587</v>
      </c>
      <c r="B828" s="36">
        <v>314.41000000000003</v>
      </c>
      <c r="C828" s="40" t="s">
        <v>812</v>
      </c>
      <c r="D828">
        <f t="shared" si="13"/>
        <v>7.74</v>
      </c>
    </row>
    <row r="829" spans="1:4" x14ac:dyDescent="0.35">
      <c r="A829" t="s">
        <v>1588</v>
      </c>
      <c r="B829" s="36">
        <v>313.23</v>
      </c>
      <c r="C829" s="40" t="s">
        <v>316</v>
      </c>
      <c r="D829">
        <f t="shared" si="13"/>
        <v>6.73</v>
      </c>
    </row>
    <row r="830" spans="1:4" x14ac:dyDescent="0.35">
      <c r="A830" t="s">
        <v>1589</v>
      </c>
      <c r="B830" s="36">
        <v>314.60000000000002</v>
      </c>
      <c r="C830" s="40" t="s">
        <v>703</v>
      </c>
      <c r="D830">
        <f t="shared" si="13"/>
        <v>9.57</v>
      </c>
    </row>
    <row r="831" spans="1:4" x14ac:dyDescent="0.35">
      <c r="A831" t="s">
        <v>1590</v>
      </c>
      <c r="B831" s="36">
        <v>307.17</v>
      </c>
      <c r="C831" s="40" t="s">
        <v>813</v>
      </c>
      <c r="D831">
        <f t="shared" si="13"/>
        <v>10.07</v>
      </c>
    </row>
    <row r="832" spans="1:4" x14ac:dyDescent="0.35">
      <c r="A832" t="s">
        <v>1591</v>
      </c>
      <c r="B832" s="36">
        <v>312.58</v>
      </c>
      <c r="C832" s="40" t="s">
        <v>814</v>
      </c>
      <c r="D832">
        <f t="shared" si="13"/>
        <v>6.58</v>
      </c>
    </row>
    <row r="833" spans="1:4" x14ac:dyDescent="0.35">
      <c r="A833" t="s">
        <v>1592</v>
      </c>
      <c r="B833" s="36">
        <v>315.11</v>
      </c>
      <c r="C833" s="40" t="s">
        <v>815</v>
      </c>
      <c r="D833">
        <f t="shared" si="13"/>
        <v>7.05</v>
      </c>
    </row>
    <row r="834" spans="1:4" x14ac:dyDescent="0.35">
      <c r="A834" t="s">
        <v>1593</v>
      </c>
      <c r="B834" s="36">
        <v>319.82</v>
      </c>
      <c r="C834" s="40" t="s">
        <v>448</v>
      </c>
      <c r="D834">
        <f t="shared" ref="D834:D897" si="14">(VALUE(SUBSTITUTE(C834,"M",""))*1000000)/1000000</f>
        <v>5.48</v>
      </c>
    </row>
    <row r="835" spans="1:4" x14ac:dyDescent="0.35">
      <c r="A835" t="s">
        <v>1594</v>
      </c>
      <c r="B835" s="36">
        <v>320.14</v>
      </c>
      <c r="C835" s="40" t="s">
        <v>466</v>
      </c>
      <c r="D835">
        <f t="shared" si="14"/>
        <v>7.81</v>
      </c>
    </row>
    <row r="836" spans="1:4" x14ac:dyDescent="0.35">
      <c r="A836" t="s">
        <v>1595</v>
      </c>
      <c r="B836" s="36">
        <v>333.05</v>
      </c>
      <c r="C836" s="40" t="s">
        <v>816</v>
      </c>
      <c r="D836">
        <f t="shared" si="14"/>
        <v>12.43</v>
      </c>
    </row>
    <row r="837" spans="1:4" x14ac:dyDescent="0.35">
      <c r="A837" t="s">
        <v>1596</v>
      </c>
      <c r="B837" s="36">
        <v>336.77</v>
      </c>
      <c r="C837" s="40" t="s">
        <v>665</v>
      </c>
      <c r="D837">
        <f t="shared" si="14"/>
        <v>8.15</v>
      </c>
    </row>
    <row r="838" spans="1:4" x14ac:dyDescent="0.35">
      <c r="A838" t="s">
        <v>1597</v>
      </c>
      <c r="B838" s="36">
        <v>343.29</v>
      </c>
      <c r="C838" s="40" t="s">
        <v>817</v>
      </c>
      <c r="D838">
        <f t="shared" si="14"/>
        <v>7.38</v>
      </c>
    </row>
    <row r="839" spans="1:4" x14ac:dyDescent="0.35">
      <c r="A839" t="s">
        <v>1598</v>
      </c>
      <c r="B839" s="36">
        <v>343.48</v>
      </c>
      <c r="C839" s="40" t="s">
        <v>818</v>
      </c>
      <c r="D839">
        <f t="shared" si="14"/>
        <v>10.69</v>
      </c>
    </row>
    <row r="840" spans="1:4" x14ac:dyDescent="0.35">
      <c r="A840" s="41">
        <v>44907</v>
      </c>
      <c r="B840" s="36">
        <v>341.1</v>
      </c>
      <c r="C840" s="40" t="s">
        <v>819</v>
      </c>
      <c r="D840">
        <f t="shared" si="14"/>
        <v>11.21</v>
      </c>
    </row>
    <row r="841" spans="1:4" x14ac:dyDescent="0.35">
      <c r="A841" s="41">
        <v>44816</v>
      </c>
      <c r="B841" s="36">
        <v>339.31</v>
      </c>
      <c r="C841" s="40" t="s">
        <v>820</v>
      </c>
      <c r="D841">
        <f t="shared" si="14"/>
        <v>8.1300000000000008</v>
      </c>
    </row>
    <row r="842" spans="1:4" x14ac:dyDescent="0.35">
      <c r="A842" s="41">
        <v>44785</v>
      </c>
      <c r="B842" s="36">
        <v>336.33</v>
      </c>
      <c r="C842" s="40" t="s">
        <v>821</v>
      </c>
      <c r="D842">
        <f t="shared" si="14"/>
        <v>6.2</v>
      </c>
    </row>
    <row r="843" spans="1:4" x14ac:dyDescent="0.35">
      <c r="A843" s="41">
        <v>44754</v>
      </c>
      <c r="B843" s="36">
        <v>338.02</v>
      </c>
      <c r="C843" s="40" t="s">
        <v>302</v>
      </c>
      <c r="D843">
        <f t="shared" si="14"/>
        <v>9.81</v>
      </c>
    </row>
    <row r="844" spans="1:4" x14ac:dyDescent="0.35">
      <c r="A844" s="41">
        <v>44724</v>
      </c>
      <c r="B844" s="36">
        <v>335.23</v>
      </c>
      <c r="C844" s="40" t="s">
        <v>822</v>
      </c>
      <c r="D844">
        <f t="shared" si="14"/>
        <v>6.33</v>
      </c>
    </row>
    <row r="845" spans="1:4" x14ac:dyDescent="0.35">
      <c r="A845" s="41">
        <v>44693</v>
      </c>
      <c r="B845" s="36">
        <v>334.69</v>
      </c>
      <c r="C845" s="40" t="s">
        <v>823</v>
      </c>
      <c r="D845">
        <f t="shared" si="14"/>
        <v>9.7200000000000006</v>
      </c>
    </row>
    <row r="846" spans="1:4" x14ac:dyDescent="0.35">
      <c r="A846" s="41">
        <v>44604</v>
      </c>
      <c r="B846" s="36">
        <v>335.09</v>
      </c>
      <c r="C846" s="40" t="s">
        <v>824</v>
      </c>
      <c r="D846">
        <f t="shared" si="14"/>
        <v>8.39</v>
      </c>
    </row>
    <row r="847" spans="1:4" x14ac:dyDescent="0.35">
      <c r="A847" s="41">
        <v>44573</v>
      </c>
      <c r="B847" s="36">
        <v>337.47</v>
      </c>
      <c r="C847" s="40" t="s">
        <v>825</v>
      </c>
      <c r="D847">
        <f t="shared" si="14"/>
        <v>16.63</v>
      </c>
    </row>
    <row r="848" spans="1:4" x14ac:dyDescent="0.35">
      <c r="A848" t="s">
        <v>1599</v>
      </c>
      <c r="B848" s="36">
        <v>337.92</v>
      </c>
      <c r="C848" s="40" t="s">
        <v>826</v>
      </c>
      <c r="D848">
        <f t="shared" si="14"/>
        <v>22.56</v>
      </c>
    </row>
    <row r="849" spans="1:4" x14ac:dyDescent="0.35">
      <c r="A849" t="s">
        <v>1600</v>
      </c>
      <c r="B849" s="36">
        <v>340.2</v>
      </c>
      <c r="C849" s="40" t="s">
        <v>827</v>
      </c>
      <c r="D849">
        <f t="shared" si="14"/>
        <v>10.19</v>
      </c>
    </row>
    <row r="850" spans="1:4" x14ac:dyDescent="0.35">
      <c r="A850" t="s">
        <v>1601</v>
      </c>
      <c r="B850" s="36">
        <v>337.97</v>
      </c>
      <c r="C850" s="40" t="s">
        <v>788</v>
      </c>
      <c r="D850">
        <f t="shared" si="14"/>
        <v>9.9</v>
      </c>
    </row>
    <row r="851" spans="1:4" x14ac:dyDescent="0.35">
      <c r="A851" t="s">
        <v>1602</v>
      </c>
      <c r="B851" s="36">
        <v>338.22</v>
      </c>
      <c r="C851" s="40" t="s">
        <v>828</v>
      </c>
      <c r="D851">
        <f t="shared" si="14"/>
        <v>6.93</v>
      </c>
    </row>
    <row r="852" spans="1:4" x14ac:dyDescent="0.35">
      <c r="A852" t="s">
        <v>1603</v>
      </c>
      <c r="B852" s="36">
        <v>338.66</v>
      </c>
      <c r="C852" s="40" t="s">
        <v>455</v>
      </c>
      <c r="D852">
        <f t="shared" si="14"/>
        <v>8.14</v>
      </c>
    </row>
    <row r="853" spans="1:4" x14ac:dyDescent="0.35">
      <c r="A853" t="s">
        <v>1604</v>
      </c>
      <c r="B853" s="36">
        <v>337.72</v>
      </c>
      <c r="C853" s="40" t="s">
        <v>782</v>
      </c>
      <c r="D853">
        <f t="shared" si="14"/>
        <v>7.77</v>
      </c>
    </row>
    <row r="854" spans="1:4" x14ac:dyDescent="0.35">
      <c r="A854" t="s">
        <v>1605</v>
      </c>
      <c r="B854" s="36">
        <v>338.17</v>
      </c>
      <c r="C854" s="40" t="s">
        <v>829</v>
      </c>
      <c r="D854">
        <f t="shared" si="14"/>
        <v>6.5</v>
      </c>
    </row>
    <row r="855" spans="1:4" x14ac:dyDescent="0.35">
      <c r="A855" t="s">
        <v>1606</v>
      </c>
      <c r="B855" s="36">
        <v>335.14</v>
      </c>
      <c r="C855" s="40" t="s">
        <v>511</v>
      </c>
      <c r="D855">
        <f t="shared" si="14"/>
        <v>9.1999999999999993</v>
      </c>
    </row>
    <row r="856" spans="1:4" x14ac:dyDescent="0.35">
      <c r="A856" t="s">
        <v>1607</v>
      </c>
      <c r="B856" s="36">
        <v>338.96</v>
      </c>
      <c r="C856" s="40" t="s">
        <v>830</v>
      </c>
      <c r="D856">
        <f t="shared" si="14"/>
        <v>7.84</v>
      </c>
    </row>
    <row r="857" spans="1:4" x14ac:dyDescent="0.35">
      <c r="A857" t="s">
        <v>1608</v>
      </c>
      <c r="B857" s="36">
        <v>341.6</v>
      </c>
      <c r="C857" s="40" t="s">
        <v>756</v>
      </c>
      <c r="D857">
        <f t="shared" si="14"/>
        <v>9.99</v>
      </c>
    </row>
    <row r="858" spans="1:4" x14ac:dyDescent="0.35">
      <c r="A858" t="s">
        <v>1609</v>
      </c>
      <c r="B858" s="36">
        <v>341.99</v>
      </c>
      <c r="C858" s="40" t="s">
        <v>831</v>
      </c>
      <c r="D858">
        <f t="shared" si="14"/>
        <v>7.6</v>
      </c>
    </row>
    <row r="859" spans="1:4" x14ac:dyDescent="0.35">
      <c r="A859" t="s">
        <v>1610</v>
      </c>
      <c r="B859" s="36">
        <v>343.14</v>
      </c>
      <c r="C859" s="40" t="s">
        <v>832</v>
      </c>
      <c r="D859">
        <f t="shared" si="14"/>
        <v>15.45</v>
      </c>
    </row>
    <row r="860" spans="1:4" x14ac:dyDescent="0.35">
      <c r="A860" t="s">
        <v>1611</v>
      </c>
      <c r="B860" s="36">
        <v>345.07</v>
      </c>
      <c r="C860" s="40" t="s">
        <v>268</v>
      </c>
      <c r="D860">
        <f t="shared" si="14"/>
        <v>17.64</v>
      </c>
    </row>
    <row r="861" spans="1:4" x14ac:dyDescent="0.35">
      <c r="A861" s="41">
        <v>44876</v>
      </c>
      <c r="B861" s="36">
        <v>354.17</v>
      </c>
      <c r="C861" s="40" t="s">
        <v>833</v>
      </c>
      <c r="D861">
        <f t="shared" si="14"/>
        <v>10.95</v>
      </c>
    </row>
    <row r="862" spans="1:4" x14ac:dyDescent="0.35">
      <c r="A862" s="41">
        <v>44845</v>
      </c>
      <c r="B862" s="36">
        <v>353.82</v>
      </c>
      <c r="C862" s="40" t="s">
        <v>834</v>
      </c>
      <c r="D862">
        <f t="shared" si="14"/>
        <v>19.329999999999998</v>
      </c>
    </row>
    <row r="863" spans="1:4" x14ac:dyDescent="0.35">
      <c r="A863" s="41">
        <v>44815</v>
      </c>
      <c r="B863" s="36">
        <v>358.49</v>
      </c>
      <c r="C863" s="40" t="s">
        <v>835</v>
      </c>
      <c r="D863">
        <f t="shared" si="14"/>
        <v>20.61</v>
      </c>
    </row>
    <row r="864" spans="1:4" x14ac:dyDescent="0.35">
      <c r="A864" s="41">
        <v>44753</v>
      </c>
      <c r="B864" s="36">
        <v>351.34</v>
      </c>
      <c r="C864" s="40" t="s">
        <v>836</v>
      </c>
      <c r="D864">
        <f t="shared" si="14"/>
        <v>10.050000000000001</v>
      </c>
    </row>
    <row r="865" spans="1:4" x14ac:dyDescent="0.35">
      <c r="A865" s="41">
        <v>44662</v>
      </c>
      <c r="B865" s="36">
        <v>351.43</v>
      </c>
      <c r="C865" s="40" t="s">
        <v>824</v>
      </c>
      <c r="D865">
        <f t="shared" si="14"/>
        <v>8.39</v>
      </c>
    </row>
    <row r="866" spans="1:4" x14ac:dyDescent="0.35">
      <c r="A866" s="41">
        <v>44631</v>
      </c>
      <c r="B866" s="36">
        <v>351.53</v>
      </c>
      <c r="C866" s="40" t="s">
        <v>837</v>
      </c>
      <c r="D866">
        <f t="shared" si="14"/>
        <v>10.74</v>
      </c>
    </row>
    <row r="867" spans="1:4" x14ac:dyDescent="0.35">
      <c r="A867" s="41">
        <v>44603</v>
      </c>
      <c r="B867" s="36">
        <v>352.48</v>
      </c>
      <c r="C867" s="40" t="s">
        <v>838</v>
      </c>
      <c r="D867">
        <f t="shared" si="14"/>
        <v>16.78</v>
      </c>
    </row>
    <row r="868" spans="1:4" x14ac:dyDescent="0.35">
      <c r="A868" s="41">
        <v>44572</v>
      </c>
      <c r="B868" s="36">
        <v>347.36</v>
      </c>
      <c r="C868" s="40" t="s">
        <v>839</v>
      </c>
      <c r="D868">
        <f t="shared" si="14"/>
        <v>19.670000000000002</v>
      </c>
    </row>
    <row r="869" spans="1:4" x14ac:dyDescent="0.35">
      <c r="A869" t="s">
        <v>1612</v>
      </c>
      <c r="B869" s="36">
        <v>346.57</v>
      </c>
      <c r="C869" s="40" t="s">
        <v>840</v>
      </c>
      <c r="D869">
        <f t="shared" si="14"/>
        <v>13.83</v>
      </c>
    </row>
    <row r="870" spans="1:4" x14ac:dyDescent="0.35">
      <c r="A870" t="s">
        <v>1613</v>
      </c>
      <c r="B870" s="36">
        <v>343.68</v>
      </c>
      <c r="C870" s="40" t="s">
        <v>431</v>
      </c>
      <c r="D870">
        <f t="shared" si="14"/>
        <v>13.07</v>
      </c>
    </row>
    <row r="871" spans="1:4" x14ac:dyDescent="0.35">
      <c r="A871" t="s">
        <v>1614</v>
      </c>
      <c r="B871" s="36">
        <v>343.68</v>
      </c>
      <c r="C871" s="40" t="s">
        <v>841</v>
      </c>
      <c r="D871">
        <f t="shared" si="14"/>
        <v>18.559999999999999</v>
      </c>
    </row>
    <row r="872" spans="1:4" x14ac:dyDescent="0.35">
      <c r="A872" t="s">
        <v>1615</v>
      </c>
      <c r="B872" s="36">
        <v>344.18</v>
      </c>
      <c r="C872" s="40" t="s">
        <v>842</v>
      </c>
      <c r="D872">
        <f t="shared" si="14"/>
        <v>17.239999999999998</v>
      </c>
    </row>
    <row r="873" spans="1:4" x14ac:dyDescent="0.35">
      <c r="A873" t="s">
        <v>1616</v>
      </c>
      <c r="B873" s="36">
        <v>345.57</v>
      </c>
      <c r="C873" s="40" t="s">
        <v>843</v>
      </c>
      <c r="D873">
        <f t="shared" si="14"/>
        <v>3.17</v>
      </c>
    </row>
    <row r="874" spans="1:4" x14ac:dyDescent="0.35">
      <c r="A874" t="s">
        <v>1617</v>
      </c>
      <c r="B874" s="36">
        <v>343.48</v>
      </c>
      <c r="C874" s="40" t="s">
        <v>844</v>
      </c>
      <c r="D874">
        <f t="shared" si="14"/>
        <v>27.37</v>
      </c>
    </row>
    <row r="875" spans="1:4" x14ac:dyDescent="0.35">
      <c r="A875" t="s">
        <v>1618</v>
      </c>
      <c r="B875" s="36">
        <v>347.56</v>
      </c>
      <c r="C875" s="40" t="s">
        <v>845</v>
      </c>
      <c r="D875">
        <f t="shared" si="14"/>
        <v>18.47</v>
      </c>
    </row>
    <row r="876" spans="1:4" x14ac:dyDescent="0.35">
      <c r="A876" t="s">
        <v>1619</v>
      </c>
      <c r="B876" s="36">
        <v>344.23</v>
      </c>
      <c r="C876" s="40" t="s">
        <v>846</v>
      </c>
      <c r="D876">
        <f t="shared" si="14"/>
        <v>16.3</v>
      </c>
    </row>
    <row r="877" spans="1:4" x14ac:dyDescent="0.35">
      <c r="A877" t="s">
        <v>1620</v>
      </c>
      <c r="B877" s="36">
        <v>338.22</v>
      </c>
      <c r="C877" s="40" t="s">
        <v>847</v>
      </c>
      <c r="D877">
        <f t="shared" si="14"/>
        <v>20.89</v>
      </c>
    </row>
    <row r="878" spans="1:4" x14ac:dyDescent="0.35">
      <c r="A878" t="s">
        <v>1621</v>
      </c>
      <c r="B878" s="36">
        <v>330.22</v>
      </c>
      <c r="C878" s="40" t="s">
        <v>828</v>
      </c>
      <c r="D878">
        <f t="shared" si="14"/>
        <v>6.93</v>
      </c>
    </row>
    <row r="879" spans="1:4" x14ac:dyDescent="0.35">
      <c r="A879" t="s">
        <v>1622</v>
      </c>
      <c r="B879" s="36">
        <v>330.07</v>
      </c>
      <c r="C879" s="40" t="s">
        <v>848</v>
      </c>
      <c r="D879">
        <f t="shared" si="14"/>
        <v>6.42</v>
      </c>
    </row>
    <row r="880" spans="1:4" x14ac:dyDescent="0.35">
      <c r="A880" t="s">
        <v>1623</v>
      </c>
      <c r="B880" s="36">
        <v>326.64</v>
      </c>
      <c r="C880" s="40" t="s">
        <v>849</v>
      </c>
      <c r="D880">
        <f t="shared" si="14"/>
        <v>7.27</v>
      </c>
    </row>
    <row r="881" spans="1:4" x14ac:dyDescent="0.35">
      <c r="A881" s="41">
        <v>44905</v>
      </c>
      <c r="B881" s="36">
        <v>328.08</v>
      </c>
      <c r="C881" s="40" t="s">
        <v>850</v>
      </c>
      <c r="D881">
        <f t="shared" si="14"/>
        <v>10.34</v>
      </c>
    </row>
    <row r="882" spans="1:4" x14ac:dyDescent="0.35">
      <c r="A882" s="41">
        <v>44875</v>
      </c>
      <c r="B882" s="36">
        <v>324.3</v>
      </c>
      <c r="C882" s="40" t="s">
        <v>851</v>
      </c>
      <c r="D882">
        <f t="shared" si="14"/>
        <v>10.61</v>
      </c>
    </row>
    <row r="883" spans="1:4" x14ac:dyDescent="0.35">
      <c r="A883" s="41">
        <v>44844</v>
      </c>
      <c r="B883" s="36">
        <v>325.83999999999997</v>
      </c>
      <c r="C883" s="40" t="s">
        <v>852</v>
      </c>
      <c r="D883">
        <f t="shared" si="14"/>
        <v>9.39</v>
      </c>
    </row>
    <row r="884" spans="1:4" x14ac:dyDescent="0.35">
      <c r="A884" s="41">
        <v>44752</v>
      </c>
      <c r="B884" s="36">
        <v>332.05</v>
      </c>
      <c r="C884" s="40" t="s">
        <v>567</v>
      </c>
      <c r="D884">
        <f t="shared" si="14"/>
        <v>10.51</v>
      </c>
    </row>
    <row r="885" spans="1:4" x14ac:dyDescent="0.35">
      <c r="A885" s="41">
        <v>44722</v>
      </c>
      <c r="B885" s="36">
        <v>334.59</v>
      </c>
      <c r="C885" s="40" t="s">
        <v>853</v>
      </c>
      <c r="D885">
        <f t="shared" si="14"/>
        <v>22.24</v>
      </c>
    </row>
    <row r="886" spans="1:4" x14ac:dyDescent="0.35">
      <c r="A886" s="41">
        <v>44661</v>
      </c>
      <c r="B886" s="36">
        <v>330.81</v>
      </c>
      <c r="C886" s="40" t="s">
        <v>744</v>
      </c>
      <c r="D886">
        <f t="shared" si="14"/>
        <v>8.8000000000000007</v>
      </c>
    </row>
    <row r="887" spans="1:4" x14ac:dyDescent="0.35">
      <c r="A887" s="41">
        <v>44630</v>
      </c>
      <c r="B887" s="36">
        <v>322.41000000000003</v>
      </c>
      <c r="C887" s="40" t="s">
        <v>730</v>
      </c>
      <c r="D887">
        <f t="shared" si="14"/>
        <v>9.11</v>
      </c>
    </row>
    <row r="888" spans="1:4" x14ac:dyDescent="0.35">
      <c r="A888" t="s">
        <v>1624</v>
      </c>
      <c r="B888" s="36">
        <v>330.17</v>
      </c>
      <c r="C888" s="40" t="s">
        <v>816</v>
      </c>
      <c r="D888">
        <f t="shared" si="14"/>
        <v>12.43</v>
      </c>
    </row>
    <row r="889" spans="1:4" x14ac:dyDescent="0.35">
      <c r="A889" t="s">
        <v>1625</v>
      </c>
      <c r="B889" s="36">
        <v>331.01</v>
      </c>
      <c r="C889" s="40" t="s">
        <v>854</v>
      </c>
      <c r="D889">
        <f t="shared" si="14"/>
        <v>18.28</v>
      </c>
    </row>
    <row r="890" spans="1:4" x14ac:dyDescent="0.35">
      <c r="A890" t="s">
        <v>1626</v>
      </c>
      <c r="B890" s="36">
        <v>322.95999999999998</v>
      </c>
      <c r="C890" s="40" t="s">
        <v>855</v>
      </c>
      <c r="D890">
        <f t="shared" si="14"/>
        <v>15.55</v>
      </c>
    </row>
    <row r="891" spans="1:4" x14ac:dyDescent="0.35">
      <c r="A891" t="s">
        <v>1627</v>
      </c>
      <c r="B891" s="36">
        <v>332.8</v>
      </c>
      <c r="C891" s="40" t="s">
        <v>756</v>
      </c>
      <c r="D891">
        <f t="shared" si="14"/>
        <v>9.99</v>
      </c>
    </row>
    <row r="892" spans="1:4" x14ac:dyDescent="0.35">
      <c r="A892" t="s">
        <v>1628</v>
      </c>
      <c r="B892" s="36">
        <v>330.56</v>
      </c>
      <c r="C892" s="40" t="s">
        <v>856</v>
      </c>
      <c r="D892">
        <f t="shared" si="14"/>
        <v>16.21</v>
      </c>
    </row>
    <row r="893" spans="1:4" x14ac:dyDescent="0.35">
      <c r="A893" t="s">
        <v>1629</v>
      </c>
      <c r="B893" s="36">
        <v>344.28</v>
      </c>
      <c r="C893" s="40" t="s">
        <v>857</v>
      </c>
      <c r="D893">
        <f t="shared" si="14"/>
        <v>22.84</v>
      </c>
    </row>
    <row r="894" spans="1:4" x14ac:dyDescent="0.35">
      <c r="A894" t="s">
        <v>1630</v>
      </c>
      <c r="B894" s="36">
        <v>342.94</v>
      </c>
      <c r="C894" s="40" t="s">
        <v>858</v>
      </c>
      <c r="D894">
        <f t="shared" si="14"/>
        <v>24.18</v>
      </c>
    </row>
    <row r="895" spans="1:4" x14ac:dyDescent="0.35">
      <c r="A895" t="s">
        <v>1631</v>
      </c>
      <c r="B895" s="36">
        <v>338.86</v>
      </c>
      <c r="C895" s="40" t="s">
        <v>594</v>
      </c>
      <c r="D895">
        <f t="shared" si="14"/>
        <v>20.99</v>
      </c>
    </row>
    <row r="896" spans="1:4" x14ac:dyDescent="0.35">
      <c r="A896" t="s">
        <v>1632</v>
      </c>
      <c r="B896" s="36">
        <v>333.94</v>
      </c>
      <c r="C896" s="40" t="s">
        <v>859</v>
      </c>
      <c r="D896">
        <f t="shared" si="14"/>
        <v>9.5299999999999994</v>
      </c>
    </row>
    <row r="897" spans="1:4" x14ac:dyDescent="0.35">
      <c r="A897" t="s">
        <v>1633</v>
      </c>
      <c r="B897" s="36">
        <v>333.55</v>
      </c>
      <c r="C897" s="40" t="s">
        <v>643</v>
      </c>
      <c r="D897">
        <f t="shared" si="14"/>
        <v>14.37</v>
      </c>
    </row>
    <row r="898" spans="1:4" x14ac:dyDescent="0.35">
      <c r="A898" t="s">
        <v>1634</v>
      </c>
      <c r="B898" s="36">
        <v>329.27</v>
      </c>
      <c r="C898" s="40" t="s">
        <v>860</v>
      </c>
      <c r="D898">
        <f t="shared" ref="D898:D961" si="15">(VALUE(SUBSTITUTE(C898,"M",""))*1000000)/1000000</f>
        <v>12.49</v>
      </c>
    </row>
    <row r="899" spans="1:4" x14ac:dyDescent="0.35">
      <c r="A899" t="s">
        <v>1635</v>
      </c>
      <c r="B899" s="36">
        <v>332.05</v>
      </c>
      <c r="C899" s="40" t="s">
        <v>680</v>
      </c>
      <c r="D899">
        <f t="shared" si="15"/>
        <v>8.42</v>
      </c>
    </row>
    <row r="900" spans="1:4" x14ac:dyDescent="0.35">
      <c r="A900" t="s">
        <v>1636</v>
      </c>
      <c r="B900" s="36">
        <v>333.3</v>
      </c>
      <c r="C900" s="40" t="s">
        <v>288</v>
      </c>
      <c r="D900">
        <f t="shared" si="15"/>
        <v>12.27</v>
      </c>
    </row>
    <row r="901" spans="1:4" x14ac:dyDescent="0.35">
      <c r="A901" t="s">
        <v>1637</v>
      </c>
      <c r="B901" s="36">
        <v>332.35</v>
      </c>
      <c r="C901" s="40" t="s">
        <v>636</v>
      </c>
      <c r="D901">
        <f t="shared" si="15"/>
        <v>10.52</v>
      </c>
    </row>
    <row r="902" spans="1:4" x14ac:dyDescent="0.35">
      <c r="A902" s="41">
        <v>44904</v>
      </c>
      <c r="B902" s="36">
        <v>328.87</v>
      </c>
      <c r="C902" s="40" t="s">
        <v>861</v>
      </c>
      <c r="D902">
        <f t="shared" si="15"/>
        <v>8.7100000000000009</v>
      </c>
    </row>
    <row r="903" spans="1:4" x14ac:dyDescent="0.35">
      <c r="A903" s="41">
        <v>44813</v>
      </c>
      <c r="B903" s="36">
        <v>328.48</v>
      </c>
      <c r="C903" s="40" t="s">
        <v>862</v>
      </c>
      <c r="D903">
        <f t="shared" si="15"/>
        <v>9.41</v>
      </c>
    </row>
    <row r="904" spans="1:4" x14ac:dyDescent="0.35">
      <c r="A904" s="41">
        <v>44782</v>
      </c>
      <c r="B904" s="36">
        <v>327.88</v>
      </c>
      <c r="C904" s="40" t="s">
        <v>496</v>
      </c>
      <c r="D904">
        <f t="shared" si="15"/>
        <v>10.91</v>
      </c>
    </row>
    <row r="905" spans="1:4" x14ac:dyDescent="0.35">
      <c r="A905" s="41">
        <v>44751</v>
      </c>
      <c r="B905" s="36">
        <v>324.10000000000002</v>
      </c>
      <c r="C905" s="40" t="s">
        <v>219</v>
      </c>
      <c r="D905">
        <f t="shared" si="15"/>
        <v>8.09</v>
      </c>
    </row>
    <row r="906" spans="1:4" x14ac:dyDescent="0.35">
      <c r="A906" s="41">
        <v>44721</v>
      </c>
      <c r="B906" s="36">
        <v>325.14999999999998</v>
      </c>
      <c r="C906" s="40" t="s">
        <v>863</v>
      </c>
      <c r="D906">
        <f t="shared" si="15"/>
        <v>11.97</v>
      </c>
    </row>
    <row r="907" spans="1:4" x14ac:dyDescent="0.35">
      <c r="A907" s="41">
        <v>44690</v>
      </c>
      <c r="B907" s="36">
        <v>326.83999999999997</v>
      </c>
      <c r="C907" s="40" t="s">
        <v>408</v>
      </c>
      <c r="D907">
        <f t="shared" si="15"/>
        <v>17.47</v>
      </c>
    </row>
    <row r="908" spans="1:4" x14ac:dyDescent="0.35">
      <c r="A908" s="41">
        <v>44601</v>
      </c>
      <c r="B908" s="36">
        <v>321.17</v>
      </c>
      <c r="C908" s="40" t="s">
        <v>864</v>
      </c>
      <c r="D908">
        <f t="shared" si="15"/>
        <v>25.76</v>
      </c>
    </row>
    <row r="909" spans="1:4" x14ac:dyDescent="0.35">
      <c r="A909" s="41">
        <v>44570</v>
      </c>
      <c r="B909" s="36">
        <v>315.64999999999998</v>
      </c>
      <c r="C909" s="40" t="s">
        <v>865</v>
      </c>
      <c r="D909">
        <f t="shared" si="15"/>
        <v>13.25</v>
      </c>
    </row>
    <row r="910" spans="1:4" x14ac:dyDescent="0.35">
      <c r="A910" t="s">
        <v>1638</v>
      </c>
      <c r="B910" s="36">
        <v>318.54000000000002</v>
      </c>
      <c r="C910" s="40" t="s">
        <v>866</v>
      </c>
      <c r="D910">
        <f t="shared" si="15"/>
        <v>17.829999999999998</v>
      </c>
    </row>
    <row r="911" spans="1:4" x14ac:dyDescent="0.35">
      <c r="A911" t="s">
        <v>1639</v>
      </c>
      <c r="B911" s="36">
        <v>311.63</v>
      </c>
      <c r="C911" s="40" t="s">
        <v>867</v>
      </c>
      <c r="D911">
        <f t="shared" si="15"/>
        <v>11.36</v>
      </c>
    </row>
    <row r="912" spans="1:4" x14ac:dyDescent="0.35">
      <c r="A912" t="s">
        <v>1640</v>
      </c>
      <c r="B912" s="36">
        <v>310.98</v>
      </c>
      <c r="C912" s="40" t="s">
        <v>810</v>
      </c>
      <c r="D912">
        <f t="shared" si="15"/>
        <v>6.96</v>
      </c>
    </row>
    <row r="913" spans="1:4" x14ac:dyDescent="0.35">
      <c r="A913" t="s">
        <v>1641</v>
      </c>
      <c r="B913" s="36">
        <v>310.44</v>
      </c>
      <c r="C913" s="40" t="s">
        <v>221</v>
      </c>
      <c r="D913">
        <f t="shared" si="15"/>
        <v>7.76</v>
      </c>
    </row>
    <row r="914" spans="1:4" x14ac:dyDescent="0.35">
      <c r="A914" t="s">
        <v>1642</v>
      </c>
      <c r="B914" s="36">
        <v>312.18</v>
      </c>
      <c r="C914" s="40" t="s">
        <v>868</v>
      </c>
      <c r="D914">
        <f t="shared" si="15"/>
        <v>11.35</v>
      </c>
    </row>
    <row r="915" spans="1:4" x14ac:dyDescent="0.35">
      <c r="A915" t="s">
        <v>1643</v>
      </c>
      <c r="B915" s="36">
        <v>313.97000000000003</v>
      </c>
      <c r="C915" s="40" t="s">
        <v>869</v>
      </c>
      <c r="D915">
        <f t="shared" si="15"/>
        <v>9.34</v>
      </c>
    </row>
    <row r="916" spans="1:4" x14ac:dyDescent="0.35">
      <c r="A916" t="s">
        <v>1644</v>
      </c>
      <c r="B916" s="36">
        <v>312.48</v>
      </c>
      <c r="C916" s="40" t="s">
        <v>867</v>
      </c>
      <c r="D916">
        <f t="shared" si="15"/>
        <v>11.36</v>
      </c>
    </row>
    <row r="917" spans="1:4" x14ac:dyDescent="0.35">
      <c r="A917" t="s">
        <v>1645</v>
      </c>
      <c r="B917" s="36">
        <v>310.08999999999997</v>
      </c>
      <c r="C917" s="40" t="s">
        <v>791</v>
      </c>
      <c r="D917">
        <f t="shared" si="15"/>
        <v>10.42</v>
      </c>
    </row>
    <row r="918" spans="1:4" x14ac:dyDescent="0.35">
      <c r="A918" t="s">
        <v>1646</v>
      </c>
      <c r="B918" s="36">
        <v>313.72000000000003</v>
      </c>
      <c r="C918" s="40" t="s">
        <v>870</v>
      </c>
      <c r="D918">
        <f t="shared" si="15"/>
        <v>9.8800000000000008</v>
      </c>
    </row>
    <row r="919" spans="1:4" x14ac:dyDescent="0.35">
      <c r="A919" t="s">
        <v>1647</v>
      </c>
      <c r="B919" s="36">
        <v>310.64</v>
      </c>
      <c r="C919" s="40" t="s">
        <v>609</v>
      </c>
      <c r="D919">
        <f t="shared" si="15"/>
        <v>7.98</v>
      </c>
    </row>
    <row r="920" spans="1:4" x14ac:dyDescent="0.35">
      <c r="A920" t="s">
        <v>1648</v>
      </c>
      <c r="B920" s="36">
        <v>308.64999999999998</v>
      </c>
      <c r="C920" s="40" t="s">
        <v>469</v>
      </c>
      <c r="D920">
        <f t="shared" si="15"/>
        <v>8.61</v>
      </c>
    </row>
    <row r="921" spans="1:4" x14ac:dyDescent="0.35">
      <c r="A921" s="41">
        <v>44903</v>
      </c>
      <c r="B921" s="36">
        <v>306.66000000000003</v>
      </c>
      <c r="C921" s="40" t="s">
        <v>848</v>
      </c>
      <c r="D921">
        <f t="shared" si="15"/>
        <v>6.42</v>
      </c>
    </row>
    <row r="922" spans="1:4" x14ac:dyDescent="0.35">
      <c r="A922" s="41">
        <v>44873</v>
      </c>
      <c r="B922" s="36">
        <v>304.38</v>
      </c>
      <c r="C922" s="40" t="s">
        <v>669</v>
      </c>
      <c r="D922">
        <f t="shared" si="15"/>
        <v>10.89</v>
      </c>
    </row>
    <row r="923" spans="1:4" x14ac:dyDescent="0.35">
      <c r="A923" s="41">
        <v>44842</v>
      </c>
      <c r="B923" s="36">
        <v>309.3</v>
      </c>
      <c r="C923" s="40" t="s">
        <v>461</v>
      </c>
      <c r="D923">
        <f t="shared" si="15"/>
        <v>8.92</v>
      </c>
    </row>
    <row r="924" spans="1:4" x14ac:dyDescent="0.35">
      <c r="A924" s="41">
        <v>44781</v>
      </c>
      <c r="B924" s="36">
        <v>311.23</v>
      </c>
      <c r="C924" s="40" t="s">
        <v>871</v>
      </c>
      <c r="D924">
        <f t="shared" si="15"/>
        <v>8.31</v>
      </c>
    </row>
    <row r="925" spans="1:4" x14ac:dyDescent="0.35">
      <c r="A925" s="41">
        <v>44689</v>
      </c>
      <c r="B925" s="36">
        <v>308.95</v>
      </c>
      <c r="C925" s="40" t="s">
        <v>247</v>
      </c>
      <c r="D925">
        <f t="shared" si="15"/>
        <v>10.09</v>
      </c>
    </row>
    <row r="926" spans="1:4" x14ac:dyDescent="0.35">
      <c r="A926" s="41">
        <v>44659</v>
      </c>
      <c r="B926" s="36">
        <v>307.61</v>
      </c>
      <c r="C926" s="40" t="s">
        <v>872</v>
      </c>
      <c r="D926">
        <f t="shared" si="15"/>
        <v>15.9</v>
      </c>
    </row>
    <row r="927" spans="1:4" x14ac:dyDescent="0.35">
      <c r="A927" s="41">
        <v>44628</v>
      </c>
      <c r="B927" s="36">
        <v>306.26</v>
      </c>
      <c r="C927" s="40" t="s">
        <v>873</v>
      </c>
      <c r="D927">
        <f t="shared" si="15"/>
        <v>17.7</v>
      </c>
    </row>
    <row r="928" spans="1:4" x14ac:dyDescent="0.35">
      <c r="A928" s="41">
        <v>44600</v>
      </c>
      <c r="B928" s="36">
        <v>308.05</v>
      </c>
      <c r="C928" s="40" t="s">
        <v>719</v>
      </c>
      <c r="D928">
        <f t="shared" si="15"/>
        <v>38.979999999999997</v>
      </c>
    </row>
    <row r="929" spans="1:4" x14ac:dyDescent="0.35">
      <c r="A929" s="41">
        <v>44569</v>
      </c>
      <c r="B929" s="36">
        <v>305.62</v>
      </c>
      <c r="C929" s="40" t="s">
        <v>500</v>
      </c>
      <c r="D929">
        <f t="shared" si="15"/>
        <v>15.89</v>
      </c>
    </row>
    <row r="930" spans="1:4" x14ac:dyDescent="0.35">
      <c r="A930" t="s">
        <v>1649</v>
      </c>
      <c r="B930" s="36">
        <v>301.19</v>
      </c>
      <c r="C930" s="40" t="s">
        <v>874</v>
      </c>
      <c r="D930">
        <f t="shared" si="15"/>
        <v>16.93</v>
      </c>
    </row>
    <row r="931" spans="1:4" x14ac:dyDescent="0.35">
      <c r="A931" t="s">
        <v>1650</v>
      </c>
      <c r="B931" s="36">
        <v>301.58999999999997</v>
      </c>
      <c r="C931" s="40" t="s">
        <v>875</v>
      </c>
      <c r="D931">
        <f t="shared" si="15"/>
        <v>10.84</v>
      </c>
    </row>
    <row r="932" spans="1:4" x14ac:dyDescent="0.35">
      <c r="A932" t="s">
        <v>1651</v>
      </c>
      <c r="B932" s="36">
        <v>302.29000000000002</v>
      </c>
      <c r="C932" s="40" t="s">
        <v>629</v>
      </c>
      <c r="D932">
        <f t="shared" si="15"/>
        <v>9.35</v>
      </c>
    </row>
    <row r="933" spans="1:4" x14ac:dyDescent="0.35">
      <c r="A933" t="s">
        <v>1652</v>
      </c>
      <c r="B933" s="36">
        <v>300.60000000000002</v>
      </c>
      <c r="C933" s="40" t="s">
        <v>764</v>
      </c>
      <c r="D933">
        <f t="shared" si="15"/>
        <v>9.74</v>
      </c>
    </row>
    <row r="934" spans="1:4" x14ac:dyDescent="0.35">
      <c r="A934" t="s">
        <v>1653</v>
      </c>
      <c r="B934" s="36">
        <v>299.26</v>
      </c>
      <c r="C934" s="40" t="s">
        <v>876</v>
      </c>
      <c r="D934">
        <f t="shared" si="15"/>
        <v>10.64</v>
      </c>
    </row>
    <row r="935" spans="1:4" x14ac:dyDescent="0.35">
      <c r="A935" t="s">
        <v>1654</v>
      </c>
      <c r="B935" s="36">
        <v>298.70999999999998</v>
      </c>
      <c r="C935" s="40" t="s">
        <v>580</v>
      </c>
      <c r="D935">
        <f t="shared" si="15"/>
        <v>9.9700000000000006</v>
      </c>
    </row>
    <row r="936" spans="1:4" x14ac:dyDescent="0.35">
      <c r="A936" t="s">
        <v>1655</v>
      </c>
      <c r="B936" s="36">
        <v>297.72000000000003</v>
      </c>
      <c r="C936" s="40" t="s">
        <v>259</v>
      </c>
      <c r="D936">
        <f t="shared" si="15"/>
        <v>16.04</v>
      </c>
    </row>
    <row r="937" spans="1:4" x14ac:dyDescent="0.35">
      <c r="A937" t="s">
        <v>1656</v>
      </c>
      <c r="B937" s="36">
        <v>296.37</v>
      </c>
      <c r="C937" s="40" t="s">
        <v>642</v>
      </c>
      <c r="D937">
        <f t="shared" si="15"/>
        <v>15.79</v>
      </c>
    </row>
    <row r="938" spans="1:4" x14ac:dyDescent="0.35">
      <c r="A938" t="s">
        <v>1657</v>
      </c>
      <c r="B938" s="36">
        <v>292.8</v>
      </c>
      <c r="C938" s="40" t="s">
        <v>877</v>
      </c>
      <c r="D938">
        <f t="shared" si="15"/>
        <v>9.19</v>
      </c>
    </row>
    <row r="939" spans="1:4" x14ac:dyDescent="0.35">
      <c r="A939" t="s">
        <v>1658</v>
      </c>
      <c r="B939" s="36">
        <v>293.49</v>
      </c>
      <c r="C939" s="40" t="s">
        <v>878</v>
      </c>
      <c r="D939">
        <f t="shared" si="15"/>
        <v>11.32</v>
      </c>
    </row>
    <row r="940" spans="1:4" x14ac:dyDescent="0.35">
      <c r="A940" t="s">
        <v>1659</v>
      </c>
      <c r="B940" s="36">
        <v>291.75</v>
      </c>
      <c r="C940" s="40" t="s">
        <v>639</v>
      </c>
      <c r="D940">
        <f t="shared" si="15"/>
        <v>11.03</v>
      </c>
    </row>
    <row r="941" spans="1:4" x14ac:dyDescent="0.35">
      <c r="A941" t="s">
        <v>1660</v>
      </c>
      <c r="B941" s="36">
        <v>289.07</v>
      </c>
      <c r="C941" s="40" t="s">
        <v>879</v>
      </c>
      <c r="D941">
        <f t="shared" si="15"/>
        <v>13.41</v>
      </c>
    </row>
    <row r="942" spans="1:4" x14ac:dyDescent="0.35">
      <c r="A942" t="s">
        <v>1661</v>
      </c>
      <c r="B942" s="36">
        <v>292.25</v>
      </c>
      <c r="C942" s="40" t="s">
        <v>544</v>
      </c>
      <c r="D942">
        <f t="shared" si="15"/>
        <v>9.2799999999999994</v>
      </c>
    </row>
    <row r="943" spans="1:4" x14ac:dyDescent="0.35">
      <c r="A943" s="41">
        <v>44902</v>
      </c>
      <c r="B943" s="36">
        <v>290.91000000000003</v>
      </c>
      <c r="C943" s="40" t="s">
        <v>880</v>
      </c>
      <c r="D943">
        <f t="shared" si="15"/>
        <v>14.07</v>
      </c>
    </row>
    <row r="944" spans="1:4" x14ac:dyDescent="0.35">
      <c r="A944" s="41">
        <v>44872</v>
      </c>
      <c r="B944" s="36">
        <v>293.19</v>
      </c>
      <c r="C944" s="40" t="s">
        <v>220</v>
      </c>
      <c r="D944">
        <f t="shared" si="15"/>
        <v>12.35</v>
      </c>
    </row>
    <row r="945" spans="1:4" x14ac:dyDescent="0.35">
      <c r="A945" s="41">
        <v>44780</v>
      </c>
      <c r="B945" s="36">
        <v>291.26</v>
      </c>
      <c r="C945" s="40" t="s">
        <v>602</v>
      </c>
      <c r="D945">
        <f t="shared" si="15"/>
        <v>11.11</v>
      </c>
    </row>
    <row r="946" spans="1:4" x14ac:dyDescent="0.35">
      <c r="A946" s="41">
        <v>44749</v>
      </c>
      <c r="B946" s="36">
        <v>290.16000000000003</v>
      </c>
      <c r="C946" s="40" t="s">
        <v>649</v>
      </c>
      <c r="D946">
        <f t="shared" si="15"/>
        <v>13.79</v>
      </c>
    </row>
    <row r="947" spans="1:4" x14ac:dyDescent="0.35">
      <c r="A947" s="41">
        <v>44719</v>
      </c>
      <c r="B947" s="36">
        <v>287.52999999999997</v>
      </c>
      <c r="C947" s="40" t="s">
        <v>881</v>
      </c>
      <c r="D947">
        <f t="shared" si="15"/>
        <v>18.29</v>
      </c>
    </row>
    <row r="948" spans="1:4" x14ac:dyDescent="0.35">
      <c r="A948" s="41">
        <v>44688</v>
      </c>
      <c r="B948" s="36">
        <v>285.14</v>
      </c>
      <c r="C948" s="40" t="s">
        <v>882</v>
      </c>
      <c r="D948">
        <f t="shared" si="15"/>
        <v>18.57</v>
      </c>
    </row>
    <row r="949" spans="1:4" x14ac:dyDescent="0.35">
      <c r="A949" s="41">
        <v>44658</v>
      </c>
      <c r="B949" s="36">
        <v>290.11</v>
      </c>
      <c r="C949" s="40" t="s">
        <v>883</v>
      </c>
      <c r="D949">
        <f t="shared" si="15"/>
        <v>39.880000000000003</v>
      </c>
    </row>
    <row r="950" spans="1:4" x14ac:dyDescent="0.35">
      <c r="A950" s="41">
        <v>44568</v>
      </c>
      <c r="B950" s="36">
        <v>282.61</v>
      </c>
      <c r="C950" s="40" t="s">
        <v>884</v>
      </c>
      <c r="D950">
        <f t="shared" si="15"/>
        <v>35.17</v>
      </c>
    </row>
    <row r="951" spans="1:4" x14ac:dyDescent="0.35">
      <c r="A951" t="s">
        <v>1662</v>
      </c>
      <c r="B951" s="36">
        <v>271.83</v>
      </c>
      <c r="C951" s="40" t="s">
        <v>885</v>
      </c>
      <c r="D951">
        <f t="shared" si="15"/>
        <v>19.260000000000002</v>
      </c>
    </row>
    <row r="952" spans="1:4" x14ac:dyDescent="0.35">
      <c r="A952" t="s">
        <v>1663</v>
      </c>
      <c r="B952" s="36">
        <v>272.37</v>
      </c>
      <c r="C952" s="40" t="s">
        <v>886</v>
      </c>
      <c r="D952">
        <f t="shared" si="15"/>
        <v>16.02</v>
      </c>
    </row>
    <row r="953" spans="1:4" x14ac:dyDescent="0.35">
      <c r="A953" t="s">
        <v>1664</v>
      </c>
      <c r="B953" s="36">
        <v>270.18</v>
      </c>
      <c r="C953" s="40" t="s">
        <v>887</v>
      </c>
      <c r="D953">
        <f t="shared" si="15"/>
        <v>11.24</v>
      </c>
    </row>
    <row r="954" spans="1:4" x14ac:dyDescent="0.35">
      <c r="A954" t="s">
        <v>1665</v>
      </c>
      <c r="B954" s="36">
        <v>268.3</v>
      </c>
      <c r="C954" s="40" t="s">
        <v>808</v>
      </c>
      <c r="D954">
        <f t="shared" si="15"/>
        <v>8.17</v>
      </c>
    </row>
    <row r="955" spans="1:4" x14ac:dyDescent="0.35">
      <c r="A955" t="s">
        <v>1666</v>
      </c>
      <c r="B955" s="36">
        <v>264.22000000000003</v>
      </c>
      <c r="C955" s="40" t="s">
        <v>336</v>
      </c>
      <c r="D955">
        <f t="shared" si="15"/>
        <v>7.01</v>
      </c>
    </row>
    <row r="956" spans="1:4" x14ac:dyDescent="0.35">
      <c r="A956" t="s">
        <v>1667</v>
      </c>
      <c r="B956" s="36">
        <v>263.87</v>
      </c>
      <c r="C956" s="40" t="s">
        <v>888</v>
      </c>
      <c r="D956">
        <f t="shared" si="15"/>
        <v>9.07</v>
      </c>
    </row>
    <row r="957" spans="1:4" x14ac:dyDescent="0.35">
      <c r="A957" t="s">
        <v>1668</v>
      </c>
      <c r="B957" s="36">
        <v>263.68</v>
      </c>
      <c r="C957" s="40" t="s">
        <v>878</v>
      </c>
      <c r="D957">
        <f t="shared" si="15"/>
        <v>11.32</v>
      </c>
    </row>
    <row r="958" spans="1:4" x14ac:dyDescent="0.35">
      <c r="A958" t="s">
        <v>1669</v>
      </c>
      <c r="B958" s="36">
        <v>268.25</v>
      </c>
      <c r="C958" s="40" t="s">
        <v>404</v>
      </c>
      <c r="D958">
        <f t="shared" si="15"/>
        <v>13.88</v>
      </c>
    </row>
    <row r="959" spans="1:4" x14ac:dyDescent="0.35">
      <c r="A959" t="s">
        <v>1670</v>
      </c>
      <c r="B959" s="36">
        <v>262.48</v>
      </c>
      <c r="C959" s="40" t="s">
        <v>889</v>
      </c>
      <c r="D959">
        <f t="shared" si="15"/>
        <v>17.079999999999998</v>
      </c>
    </row>
    <row r="960" spans="1:4" x14ac:dyDescent="0.35">
      <c r="A960" t="s">
        <v>1671</v>
      </c>
      <c r="B960" s="36">
        <v>261.69</v>
      </c>
      <c r="C960" s="40" t="s">
        <v>890</v>
      </c>
      <c r="D960">
        <f t="shared" si="15"/>
        <v>16.649999999999999</v>
      </c>
    </row>
    <row r="961" spans="1:4" x14ac:dyDescent="0.35">
      <c r="A961" t="s">
        <v>1672</v>
      </c>
      <c r="B961" s="36">
        <v>259.10000000000002</v>
      </c>
      <c r="C961" s="40" t="s">
        <v>405</v>
      </c>
      <c r="D961">
        <f t="shared" si="15"/>
        <v>14.29</v>
      </c>
    </row>
    <row r="962" spans="1:4" x14ac:dyDescent="0.35">
      <c r="A962" t="s">
        <v>1673</v>
      </c>
      <c r="B962" s="36">
        <v>261.79000000000002</v>
      </c>
      <c r="C962" s="40" t="s">
        <v>891</v>
      </c>
      <c r="D962">
        <f t="shared" ref="D962:D1025" si="16">(VALUE(SUBSTITUTE(C962,"M",""))*1000000)/1000000</f>
        <v>5.0599999999999996</v>
      </c>
    </row>
    <row r="963" spans="1:4" x14ac:dyDescent="0.35">
      <c r="A963" t="s">
        <v>1674</v>
      </c>
      <c r="B963" s="36">
        <v>263.83</v>
      </c>
      <c r="C963" s="40" t="s">
        <v>284</v>
      </c>
      <c r="D963">
        <f t="shared" si="16"/>
        <v>7.42</v>
      </c>
    </row>
    <row r="964" spans="1:4" x14ac:dyDescent="0.35">
      <c r="A964" t="s">
        <v>1675</v>
      </c>
      <c r="B964" s="36">
        <v>263.02999999999997</v>
      </c>
      <c r="C964" s="40" t="s">
        <v>892</v>
      </c>
      <c r="D964">
        <f t="shared" si="16"/>
        <v>11.09</v>
      </c>
    </row>
    <row r="965" spans="1:4" x14ac:dyDescent="0.35">
      <c r="A965" s="41">
        <v>44840</v>
      </c>
      <c r="B965" s="36">
        <v>268.5</v>
      </c>
      <c r="C965" s="40" t="s">
        <v>893</v>
      </c>
      <c r="D965">
        <f t="shared" si="16"/>
        <v>8.3699999999999992</v>
      </c>
    </row>
    <row r="966" spans="1:4" x14ac:dyDescent="0.35">
      <c r="A966" s="41">
        <v>44810</v>
      </c>
      <c r="B966" s="36">
        <v>269.19</v>
      </c>
      <c r="C966" s="40" t="s">
        <v>894</v>
      </c>
      <c r="D966">
        <f t="shared" si="16"/>
        <v>9.86</v>
      </c>
    </row>
    <row r="967" spans="1:4" x14ac:dyDescent="0.35">
      <c r="A967" s="41">
        <v>44779</v>
      </c>
      <c r="B967" s="36">
        <v>266.26</v>
      </c>
      <c r="C967" s="40" t="s">
        <v>383</v>
      </c>
      <c r="D967">
        <f t="shared" si="16"/>
        <v>14.36</v>
      </c>
    </row>
    <row r="968" spans="1:4" x14ac:dyDescent="0.35">
      <c r="A968" s="41">
        <v>44748</v>
      </c>
      <c r="B968" s="36">
        <v>272.22000000000003</v>
      </c>
      <c r="C968" s="40" t="s">
        <v>895</v>
      </c>
      <c r="D968">
        <f t="shared" si="16"/>
        <v>10.83</v>
      </c>
    </row>
    <row r="969" spans="1:4" x14ac:dyDescent="0.35">
      <c r="A969" s="41">
        <v>44718</v>
      </c>
      <c r="B969" s="36">
        <v>273.12</v>
      </c>
      <c r="C969" s="40" t="s">
        <v>896</v>
      </c>
      <c r="D969">
        <f t="shared" si="16"/>
        <v>10.93</v>
      </c>
    </row>
    <row r="970" spans="1:4" x14ac:dyDescent="0.35">
      <c r="A970" s="41">
        <v>44626</v>
      </c>
      <c r="B970" s="36">
        <v>271.02999999999997</v>
      </c>
      <c r="C970" s="40" t="s">
        <v>860</v>
      </c>
      <c r="D970">
        <f t="shared" si="16"/>
        <v>12.49</v>
      </c>
    </row>
    <row r="971" spans="1:4" x14ac:dyDescent="0.35">
      <c r="A971" s="41">
        <v>44598</v>
      </c>
      <c r="B971" s="36">
        <v>271.83</v>
      </c>
      <c r="C971" s="40" t="s">
        <v>897</v>
      </c>
      <c r="D971">
        <f t="shared" si="16"/>
        <v>14.24</v>
      </c>
    </row>
    <row r="972" spans="1:4" x14ac:dyDescent="0.35">
      <c r="A972" s="41">
        <v>44567</v>
      </c>
      <c r="B972" s="36">
        <v>270.18</v>
      </c>
      <c r="C972" s="40" t="s">
        <v>898</v>
      </c>
      <c r="D972">
        <f t="shared" si="16"/>
        <v>14.7</v>
      </c>
    </row>
    <row r="973" spans="1:4" x14ac:dyDescent="0.35">
      <c r="A973" t="s">
        <v>1676</v>
      </c>
      <c r="B973" s="36">
        <v>268.99</v>
      </c>
      <c r="C973" s="40" t="s">
        <v>899</v>
      </c>
      <c r="D973">
        <f t="shared" si="16"/>
        <v>23.21</v>
      </c>
    </row>
    <row r="974" spans="1:4" x14ac:dyDescent="0.35">
      <c r="A974" t="s">
        <v>1677</v>
      </c>
      <c r="B974" s="36">
        <v>267.39999999999998</v>
      </c>
      <c r="C974" s="40" t="s">
        <v>900</v>
      </c>
      <c r="D974">
        <f t="shared" si="16"/>
        <v>11.82</v>
      </c>
    </row>
    <row r="975" spans="1:4" x14ac:dyDescent="0.35">
      <c r="A975" t="s">
        <v>1678</v>
      </c>
      <c r="B975" s="36">
        <v>267.55</v>
      </c>
      <c r="C975" s="40" t="s">
        <v>901</v>
      </c>
      <c r="D975">
        <f t="shared" si="16"/>
        <v>13.47</v>
      </c>
    </row>
    <row r="976" spans="1:4" x14ac:dyDescent="0.35">
      <c r="A976" t="s">
        <v>1679</v>
      </c>
      <c r="B976" s="36">
        <v>265.07</v>
      </c>
      <c r="C976" s="40" t="s">
        <v>902</v>
      </c>
      <c r="D976">
        <f t="shared" si="16"/>
        <v>18.420000000000002</v>
      </c>
    </row>
    <row r="977" spans="1:4" x14ac:dyDescent="0.35">
      <c r="A977" t="s">
        <v>1680</v>
      </c>
      <c r="B977" s="36">
        <v>271.02999999999997</v>
      </c>
      <c r="C977" s="40" t="s">
        <v>903</v>
      </c>
      <c r="D977">
        <f t="shared" si="16"/>
        <v>15.29</v>
      </c>
    </row>
    <row r="978" spans="1:4" x14ac:dyDescent="0.35">
      <c r="A978" t="s">
        <v>1681</v>
      </c>
      <c r="B978" s="36">
        <v>269.19</v>
      </c>
      <c r="C978" s="40" t="s">
        <v>855</v>
      </c>
      <c r="D978">
        <f t="shared" si="16"/>
        <v>15.55</v>
      </c>
    </row>
    <row r="979" spans="1:4" x14ac:dyDescent="0.35">
      <c r="A979" t="s">
        <v>1682</v>
      </c>
      <c r="B979" s="36">
        <v>272.82</v>
      </c>
      <c r="C979" s="40" t="s">
        <v>904</v>
      </c>
      <c r="D979">
        <f t="shared" si="16"/>
        <v>21.7</v>
      </c>
    </row>
    <row r="980" spans="1:4" x14ac:dyDescent="0.35">
      <c r="A980" t="s">
        <v>1683</v>
      </c>
      <c r="B980" s="36">
        <v>278.29000000000002</v>
      </c>
      <c r="C980" s="40" t="s">
        <v>905</v>
      </c>
      <c r="D980">
        <f t="shared" si="16"/>
        <v>32.369999999999997</v>
      </c>
    </row>
    <row r="981" spans="1:4" x14ac:dyDescent="0.35">
      <c r="A981" t="s">
        <v>1684</v>
      </c>
      <c r="B981" s="36">
        <v>273.95999999999998</v>
      </c>
      <c r="C981" s="40" t="s">
        <v>906</v>
      </c>
      <c r="D981">
        <f t="shared" si="16"/>
        <v>78.290000000000006</v>
      </c>
    </row>
    <row r="982" spans="1:4" x14ac:dyDescent="0.35">
      <c r="A982" t="s">
        <v>1685</v>
      </c>
      <c r="B982" s="36">
        <v>266.8</v>
      </c>
      <c r="C982" s="40" t="s">
        <v>907</v>
      </c>
      <c r="D982">
        <f t="shared" si="16"/>
        <v>20.2</v>
      </c>
    </row>
    <row r="983" spans="1:4" x14ac:dyDescent="0.35">
      <c r="A983" t="s">
        <v>1686</v>
      </c>
      <c r="B983" s="36">
        <v>264.7</v>
      </c>
      <c r="C983" s="40" t="s">
        <v>423</v>
      </c>
      <c r="D983">
        <f t="shared" si="16"/>
        <v>17.8</v>
      </c>
    </row>
    <row r="984" spans="1:4" x14ac:dyDescent="0.35">
      <c r="A984" t="s">
        <v>1687</v>
      </c>
      <c r="B984" s="36">
        <v>254.1</v>
      </c>
      <c r="C984" s="40" t="s">
        <v>715</v>
      </c>
      <c r="D984">
        <f t="shared" si="16"/>
        <v>8.19</v>
      </c>
    </row>
    <row r="985" spans="1:4" x14ac:dyDescent="0.35">
      <c r="A985" t="s">
        <v>1688</v>
      </c>
      <c r="B985" s="36">
        <v>258.60000000000002</v>
      </c>
      <c r="C985" s="40" t="s">
        <v>908</v>
      </c>
      <c r="D985">
        <f t="shared" si="16"/>
        <v>11.92</v>
      </c>
    </row>
    <row r="986" spans="1:4" x14ac:dyDescent="0.35">
      <c r="A986" s="41">
        <v>44900</v>
      </c>
      <c r="B986" s="36">
        <v>251.35</v>
      </c>
      <c r="C986" s="40" t="s">
        <v>909</v>
      </c>
      <c r="D986">
        <f t="shared" si="16"/>
        <v>20.04</v>
      </c>
    </row>
    <row r="987" spans="1:4" x14ac:dyDescent="0.35">
      <c r="A987" s="41">
        <v>44870</v>
      </c>
      <c r="B987" s="36">
        <v>254.09</v>
      </c>
      <c r="C987" s="40" t="s">
        <v>910</v>
      </c>
      <c r="D987">
        <f t="shared" si="16"/>
        <v>17.34</v>
      </c>
    </row>
    <row r="988" spans="1:4" x14ac:dyDescent="0.35">
      <c r="A988" s="41">
        <v>44839</v>
      </c>
      <c r="B988" s="36">
        <v>259.75</v>
      </c>
      <c r="C988" s="40" t="s">
        <v>911</v>
      </c>
      <c r="D988">
        <f t="shared" si="16"/>
        <v>18.03</v>
      </c>
    </row>
    <row r="989" spans="1:4" x14ac:dyDescent="0.35">
      <c r="A989" s="41">
        <v>44809</v>
      </c>
      <c r="B989" s="36">
        <v>261.33999999999997</v>
      </c>
      <c r="C989" s="40" t="s">
        <v>912</v>
      </c>
      <c r="D989">
        <f t="shared" si="16"/>
        <v>21.4</v>
      </c>
    </row>
    <row r="990" spans="1:4" x14ac:dyDescent="0.35">
      <c r="A990" s="41">
        <v>44717</v>
      </c>
      <c r="B990" s="36">
        <v>266.64999999999998</v>
      </c>
      <c r="C990" s="40" t="s">
        <v>913</v>
      </c>
      <c r="D990">
        <f t="shared" si="16"/>
        <v>34.49</v>
      </c>
    </row>
    <row r="991" spans="1:4" x14ac:dyDescent="0.35">
      <c r="A991" s="41">
        <v>44686</v>
      </c>
      <c r="B991" s="36">
        <v>262.05</v>
      </c>
      <c r="C991" s="40" t="s">
        <v>914</v>
      </c>
      <c r="D991">
        <f t="shared" si="16"/>
        <v>17.93</v>
      </c>
    </row>
    <row r="992" spans="1:4" x14ac:dyDescent="0.35">
      <c r="A992" s="41">
        <v>44656</v>
      </c>
      <c r="B992" s="36">
        <v>259.75</v>
      </c>
      <c r="C992" s="40" t="s">
        <v>915</v>
      </c>
      <c r="D992">
        <f t="shared" si="16"/>
        <v>25.95</v>
      </c>
    </row>
    <row r="993" spans="1:4" x14ac:dyDescent="0.35">
      <c r="A993" s="41">
        <v>44597</v>
      </c>
      <c r="B993" s="36">
        <v>263.14999999999998</v>
      </c>
      <c r="C993" s="40" t="s">
        <v>916</v>
      </c>
      <c r="D993">
        <f t="shared" si="16"/>
        <v>18.97</v>
      </c>
    </row>
    <row r="994" spans="1:4" x14ac:dyDescent="0.35">
      <c r="A994" t="s">
        <v>1689</v>
      </c>
      <c r="B994" s="36">
        <v>259.55</v>
      </c>
      <c r="C994" s="40" t="s">
        <v>645</v>
      </c>
      <c r="D994">
        <f t="shared" si="16"/>
        <v>20.420000000000002</v>
      </c>
    </row>
    <row r="995" spans="1:4" x14ac:dyDescent="0.35">
      <c r="A995" t="s">
        <v>1690</v>
      </c>
      <c r="B995" s="36">
        <v>261.10000000000002</v>
      </c>
      <c r="C995" s="40" t="s">
        <v>917</v>
      </c>
      <c r="D995">
        <f t="shared" si="16"/>
        <v>27.92</v>
      </c>
    </row>
    <row r="996" spans="1:4" x14ac:dyDescent="0.35">
      <c r="A996" t="s">
        <v>1691</v>
      </c>
      <c r="B996" s="36">
        <v>257.5</v>
      </c>
      <c r="C996" s="40" t="s">
        <v>578</v>
      </c>
      <c r="D996">
        <f t="shared" si="16"/>
        <v>16.579999999999998</v>
      </c>
    </row>
    <row r="997" spans="1:4" x14ac:dyDescent="0.35">
      <c r="A997" t="s">
        <v>1692</v>
      </c>
      <c r="B997" s="36">
        <v>258.95</v>
      </c>
      <c r="C997" s="40" t="s">
        <v>918</v>
      </c>
      <c r="D997">
        <f t="shared" si="16"/>
        <v>20.54</v>
      </c>
    </row>
    <row r="998" spans="1:4" x14ac:dyDescent="0.35">
      <c r="A998" t="s">
        <v>1693</v>
      </c>
      <c r="B998" s="36">
        <v>255.25</v>
      </c>
      <c r="C998" s="40" t="s">
        <v>919</v>
      </c>
      <c r="D998">
        <f t="shared" si="16"/>
        <v>24.21</v>
      </c>
    </row>
    <row r="999" spans="1:4" x14ac:dyDescent="0.35">
      <c r="A999" t="s">
        <v>1694</v>
      </c>
      <c r="B999" s="36">
        <v>261.10000000000002</v>
      </c>
      <c r="C999" s="40" t="s">
        <v>392</v>
      </c>
      <c r="D999">
        <f t="shared" si="16"/>
        <v>15.67</v>
      </c>
    </row>
    <row r="1000" spans="1:4" x14ac:dyDescent="0.35">
      <c r="A1000" t="s">
        <v>1695</v>
      </c>
      <c r="B1000" s="36">
        <v>260.39999999999998</v>
      </c>
      <c r="C1000" s="40" t="s">
        <v>566</v>
      </c>
      <c r="D1000">
        <f t="shared" si="16"/>
        <v>23.41</v>
      </c>
    </row>
    <row r="1001" spans="1:4" x14ac:dyDescent="0.35">
      <c r="A1001" t="s">
        <v>1696</v>
      </c>
      <c r="B1001" s="36">
        <v>259.55</v>
      </c>
      <c r="C1001" s="40" t="s">
        <v>920</v>
      </c>
      <c r="D1001">
        <f t="shared" si="16"/>
        <v>24.51</v>
      </c>
    </row>
    <row r="1002" spans="1:4" x14ac:dyDescent="0.35">
      <c r="A1002" t="s">
        <v>1697</v>
      </c>
      <c r="B1002" s="36">
        <v>261.55</v>
      </c>
      <c r="C1002" s="40" t="s">
        <v>921</v>
      </c>
      <c r="D1002">
        <f t="shared" si="16"/>
        <v>23.38</v>
      </c>
    </row>
    <row r="1003" spans="1:4" x14ac:dyDescent="0.35">
      <c r="A1003" t="s">
        <v>1698</v>
      </c>
      <c r="B1003" s="36">
        <v>268.45</v>
      </c>
      <c r="C1003" s="40" t="s">
        <v>922</v>
      </c>
      <c r="D1003">
        <f t="shared" si="16"/>
        <v>24.4</v>
      </c>
    </row>
    <row r="1004" spans="1:4" x14ac:dyDescent="0.35">
      <c r="A1004" t="s">
        <v>1699</v>
      </c>
      <c r="B1004" s="36">
        <v>269.55</v>
      </c>
      <c r="C1004" s="40" t="s">
        <v>329</v>
      </c>
      <c r="D1004">
        <f t="shared" si="16"/>
        <v>21.41</v>
      </c>
    </row>
    <row r="1005" spans="1:4" x14ac:dyDescent="0.35">
      <c r="A1005" s="41">
        <v>44899</v>
      </c>
      <c r="B1005" s="36">
        <v>263.18</v>
      </c>
      <c r="C1005" s="40" t="s">
        <v>923</v>
      </c>
      <c r="D1005">
        <f t="shared" si="16"/>
        <v>23.55</v>
      </c>
    </row>
    <row r="1006" spans="1:4" x14ac:dyDescent="0.35">
      <c r="A1006" s="41">
        <v>44869</v>
      </c>
      <c r="B1006" s="36">
        <v>267.5</v>
      </c>
      <c r="C1006" s="40" t="s">
        <v>924</v>
      </c>
      <c r="D1006">
        <f t="shared" si="16"/>
        <v>46.15</v>
      </c>
    </row>
    <row r="1007" spans="1:4" x14ac:dyDescent="0.35">
      <c r="A1007" s="41">
        <v>44777</v>
      </c>
      <c r="B1007" s="36">
        <v>266.16000000000003</v>
      </c>
      <c r="C1007" s="40" t="s">
        <v>925</v>
      </c>
      <c r="D1007">
        <f t="shared" si="16"/>
        <v>37.83</v>
      </c>
    </row>
    <row r="1008" spans="1:4" x14ac:dyDescent="0.35">
      <c r="A1008" s="41">
        <v>44746</v>
      </c>
      <c r="B1008" s="36">
        <v>256.64999999999998</v>
      </c>
      <c r="C1008" s="40" t="s">
        <v>926</v>
      </c>
      <c r="D1008">
        <f t="shared" si="16"/>
        <v>16.059999999999999</v>
      </c>
    </row>
    <row r="1009" spans="1:4" x14ac:dyDescent="0.35">
      <c r="A1009" s="41">
        <v>44716</v>
      </c>
      <c r="B1009" s="36">
        <v>259.60000000000002</v>
      </c>
      <c r="C1009" s="40" t="s">
        <v>927</v>
      </c>
      <c r="D1009">
        <f t="shared" si="16"/>
        <v>19.600000000000001</v>
      </c>
    </row>
    <row r="1010" spans="1:4" x14ac:dyDescent="0.35">
      <c r="A1010" s="41">
        <v>44685</v>
      </c>
      <c r="B1010" s="36">
        <v>259.45</v>
      </c>
      <c r="C1010" s="40" t="s">
        <v>928</v>
      </c>
      <c r="D1010">
        <f t="shared" si="16"/>
        <v>27.18</v>
      </c>
    </row>
    <row r="1011" spans="1:4" x14ac:dyDescent="0.35">
      <c r="A1011" s="41">
        <v>44655</v>
      </c>
      <c r="B1011" s="36">
        <v>255.45</v>
      </c>
      <c r="C1011" s="40" t="s">
        <v>929</v>
      </c>
      <c r="D1011">
        <f t="shared" si="16"/>
        <v>15.91</v>
      </c>
    </row>
    <row r="1012" spans="1:4" x14ac:dyDescent="0.35">
      <c r="A1012" s="41">
        <v>44565</v>
      </c>
      <c r="B1012" s="36">
        <v>253.3</v>
      </c>
      <c r="C1012" s="40" t="s">
        <v>930</v>
      </c>
      <c r="D1012">
        <f t="shared" si="16"/>
        <v>14.31</v>
      </c>
    </row>
    <row r="1013" spans="1:4" x14ac:dyDescent="0.35">
      <c r="A1013" t="s">
        <v>1700</v>
      </c>
      <c r="B1013" s="36">
        <v>250.65</v>
      </c>
      <c r="C1013" s="40" t="s">
        <v>161</v>
      </c>
      <c r="D1013">
        <f t="shared" si="16"/>
        <v>25.66</v>
      </c>
    </row>
    <row r="1014" spans="1:4" x14ac:dyDescent="0.35">
      <c r="A1014" t="s">
        <v>1701</v>
      </c>
      <c r="B1014" s="36">
        <v>249.2</v>
      </c>
      <c r="C1014" s="40" t="s">
        <v>931</v>
      </c>
      <c r="D1014">
        <f t="shared" si="16"/>
        <v>17.600000000000001</v>
      </c>
    </row>
    <row r="1015" spans="1:4" x14ac:dyDescent="0.35">
      <c r="A1015" t="s">
        <v>1702</v>
      </c>
      <c r="B1015" s="36">
        <v>254.6</v>
      </c>
      <c r="C1015" s="40" t="s">
        <v>932</v>
      </c>
      <c r="D1015">
        <f t="shared" si="16"/>
        <v>18.12</v>
      </c>
    </row>
    <row r="1016" spans="1:4" x14ac:dyDescent="0.35">
      <c r="A1016" t="s">
        <v>1703</v>
      </c>
      <c r="B1016" s="36">
        <v>257.05</v>
      </c>
      <c r="C1016" s="40" t="s">
        <v>201</v>
      </c>
      <c r="D1016">
        <f t="shared" si="16"/>
        <v>24.92</v>
      </c>
    </row>
    <row r="1017" spans="1:4" x14ac:dyDescent="0.35">
      <c r="A1017" t="s">
        <v>1704</v>
      </c>
      <c r="B1017" s="36">
        <v>253.35</v>
      </c>
      <c r="C1017" s="40" t="s">
        <v>933</v>
      </c>
      <c r="D1017">
        <f t="shared" si="16"/>
        <v>29.28</v>
      </c>
    </row>
    <row r="1018" spans="1:4" x14ac:dyDescent="0.35">
      <c r="A1018" t="s">
        <v>1705</v>
      </c>
      <c r="B1018" s="36">
        <v>254.85</v>
      </c>
      <c r="C1018" s="40" t="s">
        <v>934</v>
      </c>
      <c r="D1018">
        <f t="shared" si="16"/>
        <v>38.24</v>
      </c>
    </row>
    <row r="1019" spans="1:4" x14ac:dyDescent="0.35">
      <c r="A1019" t="s">
        <v>1706</v>
      </c>
      <c r="B1019" s="36">
        <v>252</v>
      </c>
      <c r="C1019" s="40" t="s">
        <v>935</v>
      </c>
      <c r="D1019">
        <f t="shared" si="16"/>
        <v>40.49</v>
      </c>
    </row>
    <row r="1020" spans="1:4" x14ac:dyDescent="0.35">
      <c r="A1020" t="s">
        <v>1707</v>
      </c>
      <c r="B1020" s="36">
        <v>249.75</v>
      </c>
      <c r="C1020" s="40" t="s">
        <v>936</v>
      </c>
      <c r="D1020">
        <f t="shared" si="16"/>
        <v>36.950000000000003</v>
      </c>
    </row>
    <row r="1021" spans="1:4" x14ac:dyDescent="0.35">
      <c r="A1021" t="s">
        <v>1708</v>
      </c>
      <c r="B1021" s="36">
        <v>244.5</v>
      </c>
      <c r="C1021" s="40" t="s">
        <v>937</v>
      </c>
      <c r="D1021">
        <f t="shared" si="16"/>
        <v>27.98</v>
      </c>
    </row>
    <row r="1022" spans="1:4" x14ac:dyDescent="0.35">
      <c r="A1022" t="s">
        <v>1709</v>
      </c>
      <c r="B1022" s="36">
        <v>244.9</v>
      </c>
      <c r="C1022" s="40" t="s">
        <v>938</v>
      </c>
      <c r="D1022">
        <f t="shared" si="16"/>
        <v>34.22</v>
      </c>
    </row>
    <row r="1023" spans="1:4" x14ac:dyDescent="0.35">
      <c r="A1023" t="s">
        <v>1710</v>
      </c>
      <c r="B1023" s="36">
        <v>242.6</v>
      </c>
      <c r="C1023" s="40" t="s">
        <v>625</v>
      </c>
      <c r="D1023">
        <f t="shared" si="16"/>
        <v>21.63</v>
      </c>
    </row>
    <row r="1024" spans="1:4" x14ac:dyDescent="0.35">
      <c r="A1024" t="s">
        <v>1711</v>
      </c>
      <c r="B1024" s="36">
        <v>237.85</v>
      </c>
      <c r="C1024" s="40" t="s">
        <v>939</v>
      </c>
      <c r="D1024">
        <f t="shared" si="16"/>
        <v>33</v>
      </c>
    </row>
    <row r="1025" spans="1:4" x14ac:dyDescent="0.35">
      <c r="A1025" t="s">
        <v>1712</v>
      </c>
      <c r="B1025" s="36">
        <v>239</v>
      </c>
      <c r="C1025" s="40" t="s">
        <v>140</v>
      </c>
      <c r="D1025">
        <f t="shared" si="16"/>
        <v>35.11</v>
      </c>
    </row>
    <row r="1026" spans="1:4" x14ac:dyDescent="0.35">
      <c r="A1026" s="41">
        <v>44868</v>
      </c>
      <c r="B1026" s="36">
        <v>236.35</v>
      </c>
      <c r="C1026" s="40" t="s">
        <v>940</v>
      </c>
      <c r="D1026">
        <f t="shared" ref="D1026:D1089" si="17">(VALUE(SUBSTITUTE(C1026,"M",""))*1000000)/1000000</f>
        <v>41.7</v>
      </c>
    </row>
    <row r="1027" spans="1:4" x14ac:dyDescent="0.35">
      <c r="A1027" s="41">
        <v>44837</v>
      </c>
      <c r="B1027" s="36">
        <v>232</v>
      </c>
      <c r="C1027" s="40" t="s">
        <v>941</v>
      </c>
      <c r="D1027">
        <f t="shared" si="17"/>
        <v>36.130000000000003</v>
      </c>
    </row>
    <row r="1028" spans="1:4" x14ac:dyDescent="0.35">
      <c r="A1028" s="41">
        <v>44807</v>
      </c>
      <c r="B1028" s="36">
        <v>229.25</v>
      </c>
      <c r="C1028" s="40" t="s">
        <v>942</v>
      </c>
      <c r="D1028">
        <f t="shared" si="17"/>
        <v>42.29</v>
      </c>
    </row>
    <row r="1029" spans="1:4" x14ac:dyDescent="0.35">
      <c r="A1029" s="41">
        <v>44776</v>
      </c>
      <c r="B1029" s="36">
        <v>226.9</v>
      </c>
      <c r="C1029" s="40" t="s">
        <v>943</v>
      </c>
      <c r="D1029">
        <f t="shared" si="17"/>
        <v>36.04</v>
      </c>
    </row>
    <row r="1030" spans="1:4" x14ac:dyDescent="0.35">
      <c r="A1030" s="41">
        <v>44745</v>
      </c>
      <c r="B1030" s="36">
        <v>224.95</v>
      </c>
      <c r="C1030" s="40" t="s">
        <v>944</v>
      </c>
      <c r="D1030">
        <f t="shared" si="17"/>
        <v>45.26</v>
      </c>
    </row>
    <row r="1031" spans="1:4" x14ac:dyDescent="0.35">
      <c r="A1031" s="41">
        <v>44654</v>
      </c>
      <c r="B1031" s="36">
        <v>225.5</v>
      </c>
      <c r="C1031" s="40" t="s">
        <v>945</v>
      </c>
      <c r="D1031">
        <f t="shared" si="17"/>
        <v>66.84</v>
      </c>
    </row>
    <row r="1032" spans="1:4" x14ac:dyDescent="0.35">
      <c r="A1032" s="41">
        <v>44623</v>
      </c>
      <c r="B1032" s="36">
        <v>219.4</v>
      </c>
      <c r="C1032" s="40" t="s">
        <v>946</v>
      </c>
      <c r="D1032">
        <f t="shared" si="17"/>
        <v>28.53</v>
      </c>
    </row>
    <row r="1033" spans="1:4" x14ac:dyDescent="0.35">
      <c r="A1033" s="41">
        <v>44595</v>
      </c>
      <c r="B1033" s="36">
        <v>215.3</v>
      </c>
      <c r="C1033" s="40" t="s">
        <v>947</v>
      </c>
      <c r="D1033">
        <f t="shared" si="17"/>
        <v>19.3</v>
      </c>
    </row>
    <row r="1034" spans="1:4" x14ac:dyDescent="0.35">
      <c r="A1034" t="s">
        <v>1713</v>
      </c>
      <c r="B1034" s="36">
        <v>215.85</v>
      </c>
      <c r="C1034" s="40" t="s">
        <v>948</v>
      </c>
      <c r="D1034">
        <f t="shared" si="17"/>
        <v>20.03</v>
      </c>
    </row>
    <row r="1035" spans="1:4" x14ac:dyDescent="0.35">
      <c r="A1035" t="s">
        <v>1714</v>
      </c>
      <c r="B1035" s="36">
        <v>213.95</v>
      </c>
      <c r="C1035" s="40" t="s">
        <v>949</v>
      </c>
      <c r="D1035">
        <f t="shared" si="17"/>
        <v>23.63</v>
      </c>
    </row>
    <row r="1036" spans="1:4" x14ac:dyDescent="0.35">
      <c r="A1036" t="s">
        <v>1715</v>
      </c>
      <c r="B1036" s="36">
        <v>208.5</v>
      </c>
      <c r="C1036" s="40" t="s">
        <v>950</v>
      </c>
      <c r="D1036">
        <f t="shared" si="17"/>
        <v>41.34</v>
      </c>
    </row>
    <row r="1037" spans="1:4" x14ac:dyDescent="0.35">
      <c r="A1037" t="s">
        <v>1716</v>
      </c>
      <c r="B1037" s="36">
        <v>215.95</v>
      </c>
      <c r="C1037" s="40" t="s">
        <v>951</v>
      </c>
      <c r="D1037">
        <f t="shared" si="17"/>
        <v>11.01</v>
      </c>
    </row>
    <row r="1038" spans="1:4" x14ac:dyDescent="0.35">
      <c r="A1038" t="s">
        <v>1717</v>
      </c>
      <c r="B1038" s="36">
        <v>214.85</v>
      </c>
      <c r="C1038" s="40" t="s">
        <v>952</v>
      </c>
      <c r="D1038">
        <f t="shared" si="17"/>
        <v>25.75</v>
      </c>
    </row>
    <row r="1039" spans="1:4" x14ac:dyDescent="0.35">
      <c r="A1039" t="s">
        <v>1718</v>
      </c>
      <c r="B1039" s="36">
        <v>218</v>
      </c>
      <c r="C1039" s="40" t="s">
        <v>953</v>
      </c>
      <c r="D1039">
        <f t="shared" si="17"/>
        <v>16.13</v>
      </c>
    </row>
    <row r="1040" spans="1:4" x14ac:dyDescent="0.35">
      <c r="A1040" t="s">
        <v>1719</v>
      </c>
      <c r="B1040" s="36">
        <v>221.9</v>
      </c>
      <c r="C1040" s="40" t="s">
        <v>954</v>
      </c>
      <c r="D1040">
        <f t="shared" si="17"/>
        <v>8.67</v>
      </c>
    </row>
    <row r="1041" spans="1:4" x14ac:dyDescent="0.35">
      <c r="A1041" t="s">
        <v>1720</v>
      </c>
      <c r="B1041" s="36">
        <v>222.65</v>
      </c>
      <c r="C1041" s="40" t="s">
        <v>955</v>
      </c>
      <c r="D1041">
        <f t="shared" si="17"/>
        <v>14.02</v>
      </c>
    </row>
    <row r="1042" spans="1:4" x14ac:dyDescent="0.35">
      <c r="A1042" t="s">
        <v>1721</v>
      </c>
      <c r="B1042" s="36">
        <v>222.75</v>
      </c>
      <c r="C1042" s="40" t="s">
        <v>956</v>
      </c>
      <c r="D1042">
        <f t="shared" si="17"/>
        <v>11.23</v>
      </c>
    </row>
    <row r="1043" spans="1:4" x14ac:dyDescent="0.35">
      <c r="A1043" t="s">
        <v>1722</v>
      </c>
      <c r="B1043" s="36">
        <v>223</v>
      </c>
      <c r="C1043" s="40" t="s">
        <v>441</v>
      </c>
      <c r="D1043">
        <f t="shared" si="17"/>
        <v>12.88</v>
      </c>
    </row>
    <row r="1044" spans="1:4" x14ac:dyDescent="0.35">
      <c r="A1044" t="s">
        <v>1723</v>
      </c>
      <c r="B1044" s="36">
        <v>219.45</v>
      </c>
      <c r="C1044" s="40" t="s">
        <v>957</v>
      </c>
      <c r="D1044">
        <f t="shared" si="17"/>
        <v>22.75</v>
      </c>
    </row>
    <row r="1045" spans="1:4" x14ac:dyDescent="0.35">
      <c r="A1045" s="41">
        <v>44867</v>
      </c>
      <c r="B1045" s="36">
        <v>232.45</v>
      </c>
      <c r="C1045" s="40" t="s">
        <v>958</v>
      </c>
      <c r="D1045">
        <f t="shared" si="17"/>
        <v>18.100000000000001</v>
      </c>
    </row>
    <row r="1046" spans="1:4" x14ac:dyDescent="0.35">
      <c r="A1046" s="41">
        <v>44836</v>
      </c>
      <c r="B1046" s="36">
        <v>232.25</v>
      </c>
      <c r="C1046" s="40" t="s">
        <v>453</v>
      </c>
      <c r="D1046">
        <f t="shared" si="17"/>
        <v>19.559999999999999</v>
      </c>
    </row>
    <row r="1047" spans="1:4" x14ac:dyDescent="0.35">
      <c r="A1047" s="41">
        <v>44806</v>
      </c>
      <c r="B1047" s="36">
        <v>230.15</v>
      </c>
      <c r="C1047" s="40" t="s">
        <v>959</v>
      </c>
      <c r="D1047">
        <f t="shared" si="17"/>
        <v>11.89</v>
      </c>
    </row>
    <row r="1048" spans="1:4" x14ac:dyDescent="0.35">
      <c r="A1048" s="41">
        <v>44775</v>
      </c>
      <c r="B1048" s="36">
        <v>231.25</v>
      </c>
      <c r="C1048" s="40" t="s">
        <v>960</v>
      </c>
      <c r="D1048">
        <f t="shared" si="17"/>
        <v>16.2</v>
      </c>
    </row>
    <row r="1049" spans="1:4" x14ac:dyDescent="0.35">
      <c r="A1049" s="41">
        <v>44744</v>
      </c>
      <c r="B1049" s="36">
        <v>230.2</v>
      </c>
      <c r="C1049" s="40" t="s">
        <v>168</v>
      </c>
      <c r="D1049">
        <f t="shared" si="17"/>
        <v>24.17</v>
      </c>
    </row>
    <row r="1050" spans="1:4" x14ac:dyDescent="0.35">
      <c r="A1050" s="41">
        <v>44653</v>
      </c>
      <c r="B1050" s="36">
        <v>234.3</v>
      </c>
      <c r="C1050" s="40" t="s">
        <v>961</v>
      </c>
      <c r="D1050">
        <f t="shared" si="17"/>
        <v>56.71</v>
      </c>
    </row>
    <row r="1051" spans="1:4" x14ac:dyDescent="0.35">
      <c r="A1051" s="41">
        <v>44622</v>
      </c>
      <c r="B1051" s="36">
        <v>234.45</v>
      </c>
      <c r="C1051" s="40" t="s">
        <v>962</v>
      </c>
      <c r="D1051">
        <f t="shared" si="17"/>
        <v>27.85</v>
      </c>
    </row>
    <row r="1052" spans="1:4" x14ac:dyDescent="0.35">
      <c r="A1052" s="41">
        <v>44594</v>
      </c>
      <c r="B1052" s="36">
        <v>232.15</v>
      </c>
      <c r="C1052" s="40" t="s">
        <v>963</v>
      </c>
      <c r="D1052">
        <f t="shared" si="17"/>
        <v>41.13</v>
      </c>
    </row>
    <row r="1053" spans="1:4" x14ac:dyDescent="0.35">
      <c r="A1053" s="41">
        <v>44563</v>
      </c>
      <c r="B1053" s="36">
        <v>227.75</v>
      </c>
      <c r="C1053" s="40" t="s">
        <v>964</v>
      </c>
      <c r="D1053">
        <f t="shared" si="17"/>
        <v>43.21</v>
      </c>
    </row>
    <row r="1054" spans="1:4" x14ac:dyDescent="0.35">
      <c r="A1054" t="s">
        <v>1724</v>
      </c>
      <c r="B1054" s="36">
        <v>220.2</v>
      </c>
      <c r="C1054" s="40" t="s">
        <v>965</v>
      </c>
      <c r="D1054">
        <f t="shared" si="17"/>
        <v>15.04</v>
      </c>
    </row>
    <row r="1055" spans="1:4" x14ac:dyDescent="0.35">
      <c r="A1055" t="s">
        <v>1725</v>
      </c>
      <c r="B1055" s="36">
        <v>217.6</v>
      </c>
      <c r="C1055" s="40" t="s">
        <v>966</v>
      </c>
      <c r="D1055">
        <f t="shared" si="17"/>
        <v>15.28</v>
      </c>
    </row>
    <row r="1056" spans="1:4" x14ac:dyDescent="0.35">
      <c r="A1056" t="s">
        <v>1726</v>
      </c>
      <c r="B1056" s="36">
        <v>214.6</v>
      </c>
      <c r="C1056" s="40" t="s">
        <v>967</v>
      </c>
      <c r="D1056">
        <f t="shared" si="17"/>
        <v>23.15</v>
      </c>
    </row>
    <row r="1057" spans="1:4" x14ac:dyDescent="0.35">
      <c r="A1057" t="s">
        <v>1727</v>
      </c>
      <c r="B1057" s="36">
        <v>214.3</v>
      </c>
      <c r="C1057" s="40" t="s">
        <v>968</v>
      </c>
      <c r="D1057">
        <f t="shared" si="17"/>
        <v>18.32</v>
      </c>
    </row>
    <row r="1058" spans="1:4" x14ac:dyDescent="0.35">
      <c r="A1058" t="s">
        <v>1728</v>
      </c>
      <c r="B1058" s="36">
        <v>211.8</v>
      </c>
      <c r="C1058" s="40" t="s">
        <v>969</v>
      </c>
      <c r="D1058">
        <f t="shared" si="17"/>
        <v>17.350000000000001</v>
      </c>
    </row>
    <row r="1059" spans="1:4" x14ac:dyDescent="0.35">
      <c r="A1059" t="s">
        <v>1729</v>
      </c>
      <c r="B1059" s="36">
        <v>217.05</v>
      </c>
      <c r="C1059" s="40" t="s">
        <v>970</v>
      </c>
      <c r="D1059">
        <f t="shared" si="17"/>
        <v>16.59</v>
      </c>
    </row>
    <row r="1060" spans="1:4" x14ac:dyDescent="0.35">
      <c r="A1060" t="s">
        <v>1730</v>
      </c>
      <c r="B1060" s="36">
        <v>218.75</v>
      </c>
      <c r="C1060" s="40" t="s">
        <v>971</v>
      </c>
      <c r="D1060">
        <f t="shared" si="17"/>
        <v>17.329999999999998</v>
      </c>
    </row>
    <row r="1061" spans="1:4" x14ac:dyDescent="0.35">
      <c r="A1061" t="s">
        <v>1731</v>
      </c>
      <c r="B1061" s="36">
        <v>220.35</v>
      </c>
      <c r="C1061" s="40" t="s">
        <v>250</v>
      </c>
      <c r="D1061">
        <f t="shared" si="17"/>
        <v>11.47</v>
      </c>
    </row>
    <row r="1062" spans="1:4" x14ac:dyDescent="0.35">
      <c r="A1062" t="s">
        <v>1732</v>
      </c>
      <c r="B1062" s="36">
        <v>220.75</v>
      </c>
      <c r="C1062" s="40" t="s">
        <v>477</v>
      </c>
      <c r="D1062">
        <f t="shared" si="17"/>
        <v>14.39</v>
      </c>
    </row>
    <row r="1063" spans="1:4" x14ac:dyDescent="0.35">
      <c r="A1063" t="s">
        <v>1733</v>
      </c>
      <c r="B1063" s="36">
        <v>224.6</v>
      </c>
      <c r="C1063" s="40" t="s">
        <v>328</v>
      </c>
      <c r="D1063">
        <f t="shared" si="17"/>
        <v>12.32</v>
      </c>
    </row>
    <row r="1064" spans="1:4" x14ac:dyDescent="0.35">
      <c r="A1064" t="s">
        <v>1734</v>
      </c>
      <c r="B1064" s="36">
        <v>222.6</v>
      </c>
      <c r="C1064" s="40" t="s">
        <v>972</v>
      </c>
      <c r="D1064">
        <f t="shared" si="17"/>
        <v>10.57</v>
      </c>
    </row>
    <row r="1065" spans="1:4" x14ac:dyDescent="0.35">
      <c r="A1065" t="s">
        <v>1735</v>
      </c>
      <c r="B1065" s="36">
        <v>223.95</v>
      </c>
      <c r="C1065" s="40" t="s">
        <v>973</v>
      </c>
      <c r="D1065">
        <f t="shared" si="17"/>
        <v>11.5</v>
      </c>
    </row>
    <row r="1066" spans="1:4" x14ac:dyDescent="0.35">
      <c r="A1066" s="41">
        <v>44896</v>
      </c>
      <c r="B1066" s="36">
        <v>222.75</v>
      </c>
      <c r="C1066" s="40" t="s">
        <v>974</v>
      </c>
      <c r="D1066">
        <f t="shared" si="17"/>
        <v>13.16</v>
      </c>
    </row>
    <row r="1067" spans="1:4" x14ac:dyDescent="0.35">
      <c r="A1067" s="41">
        <v>44866</v>
      </c>
      <c r="B1067" s="36">
        <v>221.95</v>
      </c>
      <c r="C1067" s="40" t="s">
        <v>975</v>
      </c>
      <c r="D1067">
        <f t="shared" si="17"/>
        <v>8.02</v>
      </c>
    </row>
    <row r="1068" spans="1:4" x14ac:dyDescent="0.35">
      <c r="A1068" s="41">
        <v>44835</v>
      </c>
      <c r="B1068" s="36">
        <v>223.3</v>
      </c>
      <c r="C1068" s="40" t="s">
        <v>976</v>
      </c>
      <c r="D1068">
        <f t="shared" si="17"/>
        <v>15.84</v>
      </c>
    </row>
    <row r="1069" spans="1:4" x14ac:dyDescent="0.35">
      <c r="A1069" s="41">
        <v>44743</v>
      </c>
      <c r="B1069" s="36">
        <v>218.4</v>
      </c>
      <c r="C1069" s="40" t="s">
        <v>977</v>
      </c>
      <c r="D1069">
        <f t="shared" si="17"/>
        <v>8.86</v>
      </c>
    </row>
    <row r="1070" spans="1:4" x14ac:dyDescent="0.35">
      <c r="A1070" s="41">
        <v>44713</v>
      </c>
      <c r="B1070" s="36">
        <v>218.7</v>
      </c>
      <c r="C1070" s="40" t="s">
        <v>978</v>
      </c>
      <c r="D1070">
        <f t="shared" si="17"/>
        <v>8.9499999999999993</v>
      </c>
    </row>
    <row r="1071" spans="1:4" x14ac:dyDescent="0.35">
      <c r="A1071" s="41">
        <v>44682</v>
      </c>
      <c r="B1071" s="36">
        <v>220.55</v>
      </c>
      <c r="C1071" s="40" t="s">
        <v>956</v>
      </c>
      <c r="D1071">
        <f t="shared" si="17"/>
        <v>11.23</v>
      </c>
    </row>
    <row r="1072" spans="1:4" x14ac:dyDescent="0.35">
      <c r="A1072" s="41">
        <v>44652</v>
      </c>
      <c r="B1072" s="36">
        <v>220.25</v>
      </c>
      <c r="C1072" s="40" t="s">
        <v>979</v>
      </c>
      <c r="D1072">
        <f t="shared" si="17"/>
        <v>9.0500000000000007</v>
      </c>
    </row>
    <row r="1073" spans="1:4" x14ac:dyDescent="0.35">
      <c r="A1073" s="41">
        <v>44621</v>
      </c>
      <c r="B1073" s="36">
        <v>219.1</v>
      </c>
      <c r="C1073" s="40" t="s">
        <v>782</v>
      </c>
      <c r="D1073">
        <f t="shared" si="17"/>
        <v>7.77</v>
      </c>
    </row>
    <row r="1074" spans="1:4" x14ac:dyDescent="0.35">
      <c r="A1074" t="s">
        <v>1736</v>
      </c>
      <c r="B1074" s="36">
        <v>218.05</v>
      </c>
      <c r="C1074" s="40" t="s">
        <v>980</v>
      </c>
      <c r="D1074">
        <f t="shared" si="17"/>
        <v>7.58</v>
      </c>
    </row>
    <row r="1075" spans="1:4" x14ac:dyDescent="0.35">
      <c r="A1075" t="s">
        <v>1737</v>
      </c>
      <c r="B1075" s="36">
        <v>216</v>
      </c>
      <c r="C1075" s="40" t="s">
        <v>764</v>
      </c>
      <c r="D1075">
        <f t="shared" si="17"/>
        <v>9.74</v>
      </c>
    </row>
    <row r="1076" spans="1:4" x14ac:dyDescent="0.35">
      <c r="A1076" t="s">
        <v>1738</v>
      </c>
      <c r="B1076" s="36">
        <v>216.75</v>
      </c>
      <c r="C1076" s="40" t="s">
        <v>749</v>
      </c>
      <c r="D1076">
        <f t="shared" si="17"/>
        <v>11.48</v>
      </c>
    </row>
    <row r="1077" spans="1:4" x14ac:dyDescent="0.35">
      <c r="A1077" t="s">
        <v>1739</v>
      </c>
      <c r="B1077" s="36">
        <v>220.05</v>
      </c>
      <c r="C1077" s="40" t="s">
        <v>981</v>
      </c>
      <c r="D1077">
        <f t="shared" si="17"/>
        <v>11.57</v>
      </c>
    </row>
    <row r="1078" spans="1:4" x14ac:dyDescent="0.35">
      <c r="A1078" t="s">
        <v>1740</v>
      </c>
      <c r="B1078" s="36">
        <v>217.55</v>
      </c>
      <c r="C1078" s="40" t="s">
        <v>665</v>
      </c>
      <c r="D1078">
        <f t="shared" si="17"/>
        <v>8.15</v>
      </c>
    </row>
    <row r="1079" spans="1:4" x14ac:dyDescent="0.35">
      <c r="A1079" t="s">
        <v>1741</v>
      </c>
      <c r="B1079" s="36">
        <v>218</v>
      </c>
      <c r="C1079" s="40" t="s">
        <v>578</v>
      </c>
      <c r="D1079">
        <f t="shared" si="17"/>
        <v>16.579999999999998</v>
      </c>
    </row>
    <row r="1080" spans="1:4" x14ac:dyDescent="0.35">
      <c r="A1080" t="s">
        <v>1742</v>
      </c>
      <c r="B1080" s="36">
        <v>217.3</v>
      </c>
      <c r="C1080" s="40" t="s">
        <v>982</v>
      </c>
      <c r="D1080">
        <f t="shared" si="17"/>
        <v>22.21</v>
      </c>
    </row>
    <row r="1081" spans="1:4" x14ac:dyDescent="0.35">
      <c r="A1081" t="s">
        <v>1743</v>
      </c>
      <c r="B1081" s="36">
        <v>212</v>
      </c>
      <c r="C1081" s="40" t="s">
        <v>842</v>
      </c>
      <c r="D1081">
        <f t="shared" si="17"/>
        <v>17.239999999999998</v>
      </c>
    </row>
    <row r="1082" spans="1:4" x14ac:dyDescent="0.35">
      <c r="A1082" t="s">
        <v>1744</v>
      </c>
      <c r="B1082" s="36">
        <v>212.5</v>
      </c>
      <c r="C1082" s="40" t="s">
        <v>983</v>
      </c>
      <c r="D1082">
        <f t="shared" si="17"/>
        <v>19.399999999999999</v>
      </c>
    </row>
    <row r="1083" spans="1:4" x14ac:dyDescent="0.35">
      <c r="A1083" t="s">
        <v>1745</v>
      </c>
      <c r="B1083" s="36">
        <v>212.4</v>
      </c>
      <c r="C1083" s="40" t="s">
        <v>984</v>
      </c>
      <c r="D1083">
        <f t="shared" si="17"/>
        <v>37.340000000000003</v>
      </c>
    </row>
    <row r="1084" spans="1:4" x14ac:dyDescent="0.35">
      <c r="A1084" t="s">
        <v>1746</v>
      </c>
      <c r="B1084" s="36">
        <v>217.95</v>
      </c>
      <c r="C1084" s="40" t="s">
        <v>985</v>
      </c>
      <c r="D1084">
        <f t="shared" si="17"/>
        <v>29.68</v>
      </c>
    </row>
    <row r="1085" spans="1:4" x14ac:dyDescent="0.35">
      <c r="A1085" t="s">
        <v>1747</v>
      </c>
      <c r="B1085" s="36">
        <v>222.9</v>
      </c>
      <c r="C1085" s="40" t="s">
        <v>986</v>
      </c>
      <c r="D1085">
        <f t="shared" si="17"/>
        <v>24.2</v>
      </c>
    </row>
    <row r="1086" spans="1:4" x14ac:dyDescent="0.35">
      <c r="A1086" t="s">
        <v>1748</v>
      </c>
      <c r="B1086" s="36">
        <v>224.05</v>
      </c>
      <c r="C1086" s="40" t="s">
        <v>987</v>
      </c>
      <c r="D1086">
        <f t="shared" si="17"/>
        <v>34.65</v>
      </c>
    </row>
    <row r="1087" spans="1:4" x14ac:dyDescent="0.35">
      <c r="A1087" t="s">
        <v>1749</v>
      </c>
      <c r="B1087" s="36">
        <v>228.6</v>
      </c>
      <c r="C1087" s="40" t="s">
        <v>988</v>
      </c>
      <c r="D1087">
        <f t="shared" si="17"/>
        <v>37.51</v>
      </c>
    </row>
    <row r="1088" spans="1:4" x14ac:dyDescent="0.35">
      <c r="A1088" t="s">
        <v>1750</v>
      </c>
      <c r="B1088" s="36">
        <v>234.6</v>
      </c>
      <c r="C1088" s="40" t="s">
        <v>989</v>
      </c>
      <c r="D1088">
        <f t="shared" si="17"/>
        <v>22.05</v>
      </c>
    </row>
    <row r="1089" spans="1:4" x14ac:dyDescent="0.35">
      <c r="A1089" s="41">
        <v>44481</v>
      </c>
      <c r="B1089" s="36">
        <v>236.1</v>
      </c>
      <c r="C1089" s="40" t="s">
        <v>990</v>
      </c>
      <c r="D1089">
        <f t="shared" si="17"/>
        <v>35.159999999999997</v>
      </c>
    </row>
    <row r="1090" spans="1:4" x14ac:dyDescent="0.35">
      <c r="A1090" s="41">
        <v>44451</v>
      </c>
      <c r="B1090" s="36">
        <v>235.4</v>
      </c>
      <c r="C1090" s="40" t="s">
        <v>934</v>
      </c>
      <c r="D1090">
        <f t="shared" ref="D1090:D1153" si="18">(VALUE(SUBSTITUTE(C1090,"M",""))*1000000)/1000000</f>
        <v>38.24</v>
      </c>
    </row>
    <row r="1091" spans="1:4" x14ac:dyDescent="0.35">
      <c r="A1091" s="41">
        <v>44420</v>
      </c>
      <c r="B1091" s="36">
        <v>224.95</v>
      </c>
      <c r="C1091" s="40" t="s">
        <v>894</v>
      </c>
      <c r="D1091">
        <f t="shared" si="18"/>
        <v>9.86</v>
      </c>
    </row>
    <row r="1092" spans="1:4" x14ac:dyDescent="0.35">
      <c r="A1092" s="41">
        <v>44389</v>
      </c>
      <c r="B1092" s="36">
        <v>220.65</v>
      </c>
      <c r="C1092" s="40" t="s">
        <v>991</v>
      </c>
      <c r="D1092">
        <f t="shared" si="18"/>
        <v>8.9</v>
      </c>
    </row>
    <row r="1093" spans="1:4" x14ac:dyDescent="0.35">
      <c r="A1093" s="41">
        <v>44359</v>
      </c>
      <c r="B1093" s="36">
        <v>217.9</v>
      </c>
      <c r="C1093" s="40" t="s">
        <v>173</v>
      </c>
      <c r="D1093">
        <f t="shared" si="18"/>
        <v>13.14</v>
      </c>
    </row>
    <row r="1094" spans="1:4" x14ac:dyDescent="0.35">
      <c r="A1094" s="41">
        <v>44267</v>
      </c>
      <c r="B1094" s="36">
        <v>221.65</v>
      </c>
      <c r="C1094" s="40" t="s">
        <v>649</v>
      </c>
      <c r="D1094">
        <f t="shared" si="18"/>
        <v>13.79</v>
      </c>
    </row>
    <row r="1095" spans="1:4" x14ac:dyDescent="0.35">
      <c r="A1095" s="41">
        <v>44239</v>
      </c>
      <c r="B1095" s="36">
        <v>225.45</v>
      </c>
      <c r="C1095" s="40" t="s">
        <v>872</v>
      </c>
      <c r="D1095">
        <f t="shared" si="18"/>
        <v>15.9</v>
      </c>
    </row>
    <row r="1096" spans="1:4" x14ac:dyDescent="0.35">
      <c r="A1096" s="41">
        <v>44208</v>
      </c>
      <c r="B1096" s="36">
        <v>221.9</v>
      </c>
      <c r="C1096" s="40" t="s">
        <v>400</v>
      </c>
      <c r="D1096">
        <f t="shared" si="18"/>
        <v>13</v>
      </c>
    </row>
    <row r="1097" spans="1:4" x14ac:dyDescent="0.35">
      <c r="A1097" t="s">
        <v>1751</v>
      </c>
      <c r="B1097" s="36">
        <v>221.15</v>
      </c>
      <c r="C1097" s="40" t="s">
        <v>992</v>
      </c>
      <c r="D1097">
        <f t="shared" si="18"/>
        <v>23.5</v>
      </c>
    </row>
    <row r="1098" spans="1:4" x14ac:dyDescent="0.35">
      <c r="A1098" t="s">
        <v>1752</v>
      </c>
      <c r="B1098" s="36">
        <v>221.5</v>
      </c>
      <c r="C1098" s="40" t="s">
        <v>993</v>
      </c>
      <c r="D1098">
        <f t="shared" si="18"/>
        <v>22.13</v>
      </c>
    </row>
    <row r="1099" spans="1:4" x14ac:dyDescent="0.35">
      <c r="A1099" t="s">
        <v>1753</v>
      </c>
      <c r="B1099" s="36">
        <v>224</v>
      </c>
      <c r="C1099" s="40" t="s">
        <v>994</v>
      </c>
      <c r="D1099">
        <f t="shared" si="18"/>
        <v>27.03</v>
      </c>
    </row>
    <row r="1100" spans="1:4" x14ac:dyDescent="0.35">
      <c r="A1100" t="s">
        <v>1754</v>
      </c>
      <c r="B1100" s="36">
        <v>231.3</v>
      </c>
      <c r="C1100" s="40" t="s">
        <v>995</v>
      </c>
      <c r="D1100">
        <f t="shared" si="18"/>
        <v>23.9</v>
      </c>
    </row>
    <row r="1101" spans="1:4" x14ac:dyDescent="0.35">
      <c r="A1101" t="s">
        <v>1755</v>
      </c>
      <c r="B1101" s="36">
        <v>227.7</v>
      </c>
      <c r="C1101" s="40" t="s">
        <v>996</v>
      </c>
      <c r="D1101">
        <f t="shared" si="18"/>
        <v>14.14</v>
      </c>
    </row>
    <row r="1102" spans="1:4" x14ac:dyDescent="0.35">
      <c r="A1102" t="s">
        <v>1756</v>
      </c>
      <c r="B1102" s="36">
        <v>231.6</v>
      </c>
      <c r="C1102" s="40" t="s">
        <v>997</v>
      </c>
      <c r="D1102">
        <f t="shared" si="18"/>
        <v>13.43</v>
      </c>
    </row>
    <row r="1103" spans="1:4" x14ac:dyDescent="0.35">
      <c r="A1103" t="s">
        <v>1757</v>
      </c>
      <c r="B1103" s="36">
        <v>230.9</v>
      </c>
      <c r="C1103" s="40" t="s">
        <v>998</v>
      </c>
      <c r="D1103">
        <f t="shared" si="18"/>
        <v>22.57</v>
      </c>
    </row>
    <row r="1104" spans="1:4" x14ac:dyDescent="0.35">
      <c r="A1104" t="s">
        <v>1758</v>
      </c>
      <c r="B1104" s="36">
        <v>237.5</v>
      </c>
      <c r="C1104" s="40" t="s">
        <v>999</v>
      </c>
      <c r="D1104">
        <f t="shared" si="18"/>
        <v>20.23</v>
      </c>
    </row>
    <row r="1105" spans="1:4" x14ac:dyDescent="0.35">
      <c r="A1105" t="s">
        <v>1759</v>
      </c>
      <c r="B1105" s="36">
        <v>239.5</v>
      </c>
      <c r="C1105" s="40" t="s">
        <v>1000</v>
      </c>
      <c r="D1105">
        <f t="shared" si="18"/>
        <v>46.7</v>
      </c>
    </row>
    <row r="1106" spans="1:4" x14ac:dyDescent="0.35">
      <c r="A1106" t="s">
        <v>1760</v>
      </c>
      <c r="B1106" s="36">
        <v>235.45</v>
      </c>
      <c r="C1106" s="40" t="s">
        <v>1001</v>
      </c>
      <c r="D1106">
        <f t="shared" si="18"/>
        <v>14.68</v>
      </c>
    </row>
    <row r="1107" spans="1:4" x14ac:dyDescent="0.35">
      <c r="A1107" t="s">
        <v>1761</v>
      </c>
      <c r="B1107" s="36">
        <v>238.1</v>
      </c>
      <c r="C1107" s="40" t="s">
        <v>1002</v>
      </c>
      <c r="D1107">
        <f t="shared" si="18"/>
        <v>38.76</v>
      </c>
    </row>
    <row r="1108" spans="1:4" x14ac:dyDescent="0.35">
      <c r="A1108" s="41">
        <v>44541</v>
      </c>
      <c r="B1108" s="36">
        <v>232.9</v>
      </c>
      <c r="C1108" s="40" t="s">
        <v>790</v>
      </c>
      <c r="D1108">
        <f t="shared" si="18"/>
        <v>11.86</v>
      </c>
    </row>
    <row r="1109" spans="1:4" x14ac:dyDescent="0.35">
      <c r="A1109" s="41">
        <v>44511</v>
      </c>
      <c r="B1109" s="36">
        <v>230</v>
      </c>
      <c r="C1109" s="40" t="s">
        <v>820</v>
      </c>
      <c r="D1109">
        <f t="shared" si="18"/>
        <v>8.1300000000000008</v>
      </c>
    </row>
    <row r="1110" spans="1:4" x14ac:dyDescent="0.35">
      <c r="A1110" s="41">
        <v>44480</v>
      </c>
      <c r="B1110" s="36">
        <v>230.85</v>
      </c>
      <c r="C1110" s="40" t="s">
        <v>997</v>
      </c>
      <c r="D1110">
        <f t="shared" si="18"/>
        <v>13.43</v>
      </c>
    </row>
    <row r="1111" spans="1:4" x14ac:dyDescent="0.35">
      <c r="A1111" s="41">
        <v>44450</v>
      </c>
      <c r="B1111" s="36">
        <v>228.75</v>
      </c>
      <c r="C1111" s="40" t="s">
        <v>1003</v>
      </c>
      <c r="D1111">
        <f t="shared" si="18"/>
        <v>11.52</v>
      </c>
    </row>
    <row r="1112" spans="1:4" x14ac:dyDescent="0.35">
      <c r="A1112" s="41">
        <v>44419</v>
      </c>
      <c r="B1112" s="36">
        <v>229.8</v>
      </c>
      <c r="C1112" s="40" t="s">
        <v>1004</v>
      </c>
      <c r="D1112">
        <f t="shared" si="18"/>
        <v>20.27</v>
      </c>
    </row>
    <row r="1113" spans="1:4" x14ac:dyDescent="0.35">
      <c r="A1113" s="41">
        <v>44297</v>
      </c>
      <c r="B1113" s="36">
        <v>226.55</v>
      </c>
      <c r="C1113" s="40" t="s">
        <v>741</v>
      </c>
      <c r="D1113">
        <f t="shared" si="18"/>
        <v>7.02</v>
      </c>
    </row>
    <row r="1114" spans="1:4" x14ac:dyDescent="0.35">
      <c r="A1114" s="41">
        <v>44266</v>
      </c>
      <c r="B1114" s="36">
        <v>222.45</v>
      </c>
      <c r="C1114" s="40" t="s">
        <v>1005</v>
      </c>
      <c r="D1114">
        <f t="shared" si="18"/>
        <v>17.84</v>
      </c>
    </row>
    <row r="1115" spans="1:4" x14ac:dyDescent="0.35">
      <c r="A1115" s="41">
        <v>44238</v>
      </c>
      <c r="B1115" s="36">
        <v>225.6</v>
      </c>
      <c r="C1115" s="40" t="s">
        <v>1006</v>
      </c>
      <c r="D1115">
        <f t="shared" si="18"/>
        <v>14.34</v>
      </c>
    </row>
    <row r="1116" spans="1:4" x14ac:dyDescent="0.35">
      <c r="A1116" s="41">
        <v>44207</v>
      </c>
      <c r="B1116" s="36">
        <v>226.85</v>
      </c>
      <c r="C1116" s="40" t="s">
        <v>1007</v>
      </c>
      <c r="D1116">
        <f t="shared" si="18"/>
        <v>23.2</v>
      </c>
    </row>
    <row r="1117" spans="1:4" x14ac:dyDescent="0.35">
      <c r="A1117" t="s">
        <v>1762</v>
      </c>
      <c r="B1117" s="36">
        <v>223.2</v>
      </c>
      <c r="C1117" s="40" t="s">
        <v>1008</v>
      </c>
      <c r="D1117">
        <f t="shared" si="18"/>
        <v>26.64</v>
      </c>
    </row>
    <row r="1118" spans="1:4" x14ac:dyDescent="0.35">
      <c r="A1118" t="s">
        <v>1763</v>
      </c>
      <c r="B1118" s="36">
        <v>225.1</v>
      </c>
      <c r="C1118" s="40" t="s">
        <v>1009</v>
      </c>
      <c r="D1118">
        <f t="shared" si="18"/>
        <v>46.28</v>
      </c>
    </row>
    <row r="1119" spans="1:4" x14ac:dyDescent="0.35">
      <c r="A1119" t="s">
        <v>1764</v>
      </c>
      <c r="B1119" s="36">
        <v>238.45</v>
      </c>
      <c r="C1119" s="40" t="s">
        <v>1010</v>
      </c>
      <c r="D1119">
        <f t="shared" si="18"/>
        <v>25.91</v>
      </c>
    </row>
    <row r="1120" spans="1:4" x14ac:dyDescent="0.35">
      <c r="A1120" t="s">
        <v>1765</v>
      </c>
      <c r="B1120" s="36">
        <v>236.7</v>
      </c>
      <c r="C1120" s="40" t="s">
        <v>1011</v>
      </c>
      <c r="D1120">
        <f t="shared" si="18"/>
        <v>18.93</v>
      </c>
    </row>
    <row r="1121" spans="1:4" x14ac:dyDescent="0.35">
      <c r="A1121" t="s">
        <v>1766</v>
      </c>
      <c r="B1121" s="36">
        <v>233.4</v>
      </c>
      <c r="C1121" s="40" t="s">
        <v>1012</v>
      </c>
      <c r="D1121">
        <f t="shared" si="18"/>
        <v>22.33</v>
      </c>
    </row>
    <row r="1122" spans="1:4" x14ac:dyDescent="0.35">
      <c r="A1122" t="s">
        <v>1767</v>
      </c>
      <c r="B1122" s="36">
        <v>236.6</v>
      </c>
      <c r="C1122" s="40" t="s">
        <v>1013</v>
      </c>
      <c r="D1122">
        <f t="shared" si="18"/>
        <v>35.54</v>
      </c>
    </row>
    <row r="1123" spans="1:4" x14ac:dyDescent="0.35">
      <c r="A1123" t="s">
        <v>1768</v>
      </c>
      <c r="B1123" s="36">
        <v>244.7</v>
      </c>
      <c r="C1123" s="40" t="s">
        <v>1014</v>
      </c>
      <c r="D1123">
        <f t="shared" si="18"/>
        <v>22.52</v>
      </c>
    </row>
    <row r="1124" spans="1:4" x14ac:dyDescent="0.35">
      <c r="A1124" t="s">
        <v>1769</v>
      </c>
      <c r="B1124" s="36">
        <v>246.6</v>
      </c>
      <c r="C1124" s="40" t="s">
        <v>1015</v>
      </c>
      <c r="D1124">
        <f t="shared" si="18"/>
        <v>47.82</v>
      </c>
    </row>
    <row r="1125" spans="1:4" x14ac:dyDescent="0.35">
      <c r="A1125" t="s">
        <v>1770</v>
      </c>
      <c r="B1125" s="36">
        <v>245.95</v>
      </c>
      <c r="C1125" s="40" t="s">
        <v>1016</v>
      </c>
      <c r="D1125">
        <f t="shared" si="18"/>
        <v>59.06</v>
      </c>
    </row>
    <row r="1126" spans="1:4" x14ac:dyDescent="0.35">
      <c r="A1126" t="s">
        <v>1771</v>
      </c>
      <c r="B1126" s="36">
        <v>262.55</v>
      </c>
      <c r="C1126" s="40" t="s">
        <v>1017</v>
      </c>
      <c r="D1126">
        <f t="shared" si="18"/>
        <v>60.29</v>
      </c>
    </row>
    <row r="1127" spans="1:4" x14ac:dyDescent="0.35">
      <c r="A1127" t="s">
        <v>1772</v>
      </c>
      <c r="B1127" s="36">
        <v>256.55</v>
      </c>
      <c r="C1127" s="40" t="s">
        <v>1018</v>
      </c>
      <c r="D1127">
        <f t="shared" si="18"/>
        <v>85.41</v>
      </c>
    </row>
    <row r="1128" spans="1:4" x14ac:dyDescent="0.35">
      <c r="A1128" t="s">
        <v>1773</v>
      </c>
      <c r="B1128" s="36">
        <v>249.2</v>
      </c>
      <c r="C1128" s="40" t="s">
        <v>1019</v>
      </c>
      <c r="D1128">
        <f t="shared" si="18"/>
        <v>50.16</v>
      </c>
    </row>
    <row r="1129" spans="1:4" x14ac:dyDescent="0.35">
      <c r="A1129" s="41">
        <v>44540</v>
      </c>
      <c r="B1129" s="36">
        <v>241.3</v>
      </c>
      <c r="C1129" s="40" t="s">
        <v>1020</v>
      </c>
      <c r="D1129">
        <f t="shared" si="18"/>
        <v>29.22</v>
      </c>
    </row>
    <row r="1130" spans="1:4" x14ac:dyDescent="0.35">
      <c r="A1130" s="41">
        <v>44510</v>
      </c>
      <c r="B1130" s="36">
        <v>238.05</v>
      </c>
      <c r="C1130" s="40" t="s">
        <v>1021</v>
      </c>
      <c r="D1130">
        <f t="shared" si="18"/>
        <v>21.18</v>
      </c>
    </row>
    <row r="1131" spans="1:4" x14ac:dyDescent="0.35">
      <c r="A1131" s="41">
        <v>44418</v>
      </c>
      <c r="B1131" s="36">
        <v>231.7</v>
      </c>
      <c r="C1131" s="40" t="s">
        <v>764</v>
      </c>
      <c r="D1131">
        <f t="shared" si="18"/>
        <v>9.74</v>
      </c>
    </row>
    <row r="1132" spans="1:4" x14ac:dyDescent="0.35">
      <c r="A1132" s="41">
        <v>44387</v>
      </c>
      <c r="B1132" s="36">
        <v>232.95</v>
      </c>
      <c r="C1132" s="40" t="s">
        <v>640</v>
      </c>
      <c r="D1132">
        <f t="shared" si="18"/>
        <v>10.37</v>
      </c>
    </row>
    <row r="1133" spans="1:4" x14ac:dyDescent="0.35">
      <c r="A1133" s="41">
        <v>44357</v>
      </c>
      <c r="B1133" s="36">
        <v>231.25</v>
      </c>
      <c r="C1133" s="40" t="s">
        <v>1022</v>
      </c>
      <c r="D1133">
        <f t="shared" si="18"/>
        <v>17.510000000000002</v>
      </c>
    </row>
    <row r="1134" spans="1:4" x14ac:dyDescent="0.35">
      <c r="A1134" s="41">
        <v>44326</v>
      </c>
      <c r="B1134" s="36">
        <v>234.7</v>
      </c>
      <c r="C1134" s="40" t="s">
        <v>543</v>
      </c>
      <c r="D1134">
        <f t="shared" si="18"/>
        <v>9.2200000000000006</v>
      </c>
    </row>
    <row r="1135" spans="1:4" x14ac:dyDescent="0.35">
      <c r="A1135" s="41">
        <v>44296</v>
      </c>
      <c r="B1135" s="36">
        <v>236.6</v>
      </c>
      <c r="C1135" s="40" t="s">
        <v>818</v>
      </c>
      <c r="D1135">
        <f t="shared" si="18"/>
        <v>10.69</v>
      </c>
    </row>
    <row r="1136" spans="1:4" x14ac:dyDescent="0.35">
      <c r="A1136" s="41">
        <v>44206</v>
      </c>
      <c r="B1136" s="36">
        <v>235.35</v>
      </c>
      <c r="C1136" s="40" t="s">
        <v>1023</v>
      </c>
      <c r="D1136">
        <f t="shared" si="18"/>
        <v>15.96</v>
      </c>
    </row>
    <row r="1137" spans="1:4" x14ac:dyDescent="0.35">
      <c r="A1137" t="s">
        <v>1774</v>
      </c>
      <c r="B1137" s="36">
        <v>236.15</v>
      </c>
      <c r="C1137" s="40" t="s">
        <v>1024</v>
      </c>
      <c r="D1137">
        <f t="shared" si="18"/>
        <v>16.36</v>
      </c>
    </row>
    <row r="1138" spans="1:4" x14ac:dyDescent="0.35">
      <c r="A1138" t="s">
        <v>1775</v>
      </c>
      <c r="B1138" s="36">
        <v>238.1</v>
      </c>
      <c r="C1138" s="40" t="s">
        <v>832</v>
      </c>
      <c r="D1138">
        <f t="shared" si="18"/>
        <v>15.45</v>
      </c>
    </row>
    <row r="1139" spans="1:4" x14ac:dyDescent="0.35">
      <c r="A1139" t="s">
        <v>1776</v>
      </c>
      <c r="B1139" s="36">
        <v>237.75</v>
      </c>
      <c r="C1139" s="40" t="s">
        <v>775</v>
      </c>
      <c r="D1139">
        <f t="shared" si="18"/>
        <v>15.71</v>
      </c>
    </row>
    <row r="1140" spans="1:4" x14ac:dyDescent="0.35">
      <c r="A1140" t="s">
        <v>1777</v>
      </c>
      <c r="B1140" s="36">
        <v>238.7</v>
      </c>
      <c r="C1140" s="40" t="s">
        <v>1025</v>
      </c>
      <c r="D1140">
        <f t="shared" si="18"/>
        <v>22.89</v>
      </c>
    </row>
    <row r="1141" spans="1:4" x14ac:dyDescent="0.35">
      <c r="A1141" t="s">
        <v>1778</v>
      </c>
      <c r="B1141" s="36">
        <v>238.45</v>
      </c>
      <c r="C1141" s="40" t="s">
        <v>1026</v>
      </c>
      <c r="D1141">
        <f t="shared" si="18"/>
        <v>24.82</v>
      </c>
    </row>
    <row r="1142" spans="1:4" x14ac:dyDescent="0.35">
      <c r="A1142" t="s">
        <v>1779</v>
      </c>
      <c r="B1142" s="36">
        <v>242.5</v>
      </c>
      <c r="C1142" s="40" t="s">
        <v>374</v>
      </c>
      <c r="D1142">
        <f t="shared" si="18"/>
        <v>21.79</v>
      </c>
    </row>
    <row r="1143" spans="1:4" x14ac:dyDescent="0.35">
      <c r="A1143" t="s">
        <v>1780</v>
      </c>
      <c r="B1143" s="36">
        <v>243.5</v>
      </c>
      <c r="C1143" s="40" t="s">
        <v>1027</v>
      </c>
      <c r="D1143">
        <f t="shared" si="18"/>
        <v>52.62</v>
      </c>
    </row>
    <row r="1144" spans="1:4" x14ac:dyDescent="0.35">
      <c r="A1144" t="s">
        <v>1781</v>
      </c>
      <c r="B1144" s="36">
        <v>241.5</v>
      </c>
      <c r="C1144" s="40" t="s">
        <v>1028</v>
      </c>
      <c r="D1144">
        <f t="shared" si="18"/>
        <v>56.67</v>
      </c>
    </row>
    <row r="1145" spans="1:4" x14ac:dyDescent="0.35">
      <c r="A1145" t="s">
        <v>1782</v>
      </c>
      <c r="B1145" s="36">
        <v>233.75</v>
      </c>
      <c r="C1145" s="40" t="s">
        <v>1029</v>
      </c>
      <c r="D1145">
        <f t="shared" si="18"/>
        <v>70.39</v>
      </c>
    </row>
    <row r="1146" spans="1:4" x14ac:dyDescent="0.35">
      <c r="A1146" t="s">
        <v>1783</v>
      </c>
      <c r="B1146" s="36">
        <v>231.15</v>
      </c>
      <c r="C1146" s="40" t="s">
        <v>1030</v>
      </c>
      <c r="D1146">
        <f t="shared" si="18"/>
        <v>79.5</v>
      </c>
    </row>
    <row r="1147" spans="1:4" x14ac:dyDescent="0.35">
      <c r="A1147" t="s">
        <v>1784</v>
      </c>
      <c r="B1147" s="36">
        <v>230.75</v>
      </c>
      <c r="C1147" s="40" t="s">
        <v>1031</v>
      </c>
      <c r="D1147">
        <f t="shared" si="18"/>
        <v>149.24</v>
      </c>
    </row>
    <row r="1148" spans="1:4" x14ac:dyDescent="0.35">
      <c r="A1148" t="s">
        <v>1785</v>
      </c>
      <c r="B1148" s="36">
        <v>216</v>
      </c>
      <c r="C1148" s="40" t="s">
        <v>721</v>
      </c>
      <c r="D1148">
        <f t="shared" si="18"/>
        <v>20.25</v>
      </c>
    </row>
    <row r="1149" spans="1:4" x14ac:dyDescent="0.35">
      <c r="A1149" t="s">
        <v>1786</v>
      </c>
      <c r="B1149" s="36">
        <v>216.1</v>
      </c>
      <c r="C1149" s="40" t="s">
        <v>1032</v>
      </c>
      <c r="D1149">
        <f t="shared" si="18"/>
        <v>19.62</v>
      </c>
    </row>
    <row r="1150" spans="1:4" x14ac:dyDescent="0.35">
      <c r="A1150" t="s">
        <v>1787</v>
      </c>
      <c r="B1150" s="36">
        <v>214.15</v>
      </c>
      <c r="C1150" s="40" t="s">
        <v>259</v>
      </c>
      <c r="D1150">
        <f t="shared" si="18"/>
        <v>16.04</v>
      </c>
    </row>
    <row r="1151" spans="1:4" x14ac:dyDescent="0.35">
      <c r="A1151" s="41">
        <v>44448</v>
      </c>
      <c r="B1151" s="36">
        <v>212.65</v>
      </c>
      <c r="C1151" s="40" t="s">
        <v>395</v>
      </c>
      <c r="D1151">
        <f t="shared" si="18"/>
        <v>19.05</v>
      </c>
    </row>
    <row r="1152" spans="1:4" x14ac:dyDescent="0.35">
      <c r="A1152" s="41">
        <v>44417</v>
      </c>
      <c r="B1152" s="36">
        <v>211.25</v>
      </c>
      <c r="C1152" s="40" t="s">
        <v>1033</v>
      </c>
      <c r="D1152">
        <f t="shared" si="18"/>
        <v>17.23</v>
      </c>
    </row>
    <row r="1153" spans="1:4" x14ac:dyDescent="0.35">
      <c r="A1153" s="41">
        <v>44386</v>
      </c>
      <c r="B1153" s="36">
        <v>211.75</v>
      </c>
      <c r="C1153" s="40" t="s">
        <v>1034</v>
      </c>
      <c r="D1153">
        <f t="shared" si="18"/>
        <v>37.49</v>
      </c>
    </row>
    <row r="1154" spans="1:4" x14ac:dyDescent="0.35">
      <c r="A1154" s="41">
        <v>44356</v>
      </c>
      <c r="B1154" s="36">
        <v>209.3</v>
      </c>
      <c r="C1154" s="40" t="s">
        <v>559</v>
      </c>
      <c r="D1154">
        <f t="shared" ref="D1154:D1217" si="19">(VALUE(SUBSTITUTE(C1154,"M",""))*1000000)/1000000</f>
        <v>10.63</v>
      </c>
    </row>
    <row r="1155" spans="1:4" x14ac:dyDescent="0.35">
      <c r="A1155" s="41">
        <v>44264</v>
      </c>
      <c r="B1155" s="36">
        <v>210.6</v>
      </c>
      <c r="C1155" s="40" t="s">
        <v>776</v>
      </c>
      <c r="D1155">
        <f t="shared" si="19"/>
        <v>10.23</v>
      </c>
    </row>
    <row r="1156" spans="1:4" x14ac:dyDescent="0.35">
      <c r="A1156" s="41">
        <v>44236</v>
      </c>
      <c r="B1156" s="36">
        <v>209.75</v>
      </c>
      <c r="C1156" s="40" t="s">
        <v>306</v>
      </c>
      <c r="D1156">
        <f t="shared" si="19"/>
        <v>14.32</v>
      </c>
    </row>
    <row r="1157" spans="1:4" x14ac:dyDescent="0.35">
      <c r="A1157" s="41">
        <v>44205</v>
      </c>
      <c r="B1157" s="36">
        <v>209.5</v>
      </c>
      <c r="C1157" s="40" t="s">
        <v>1035</v>
      </c>
      <c r="D1157">
        <f t="shared" si="19"/>
        <v>16.239999999999998</v>
      </c>
    </row>
    <row r="1158" spans="1:4" x14ac:dyDescent="0.35">
      <c r="A1158" t="s">
        <v>1788</v>
      </c>
      <c r="B1158" s="36">
        <v>211.3</v>
      </c>
      <c r="C1158" s="40" t="s">
        <v>1036</v>
      </c>
      <c r="D1158">
        <f t="shared" si="19"/>
        <v>25.81</v>
      </c>
    </row>
    <row r="1159" spans="1:4" x14ac:dyDescent="0.35">
      <c r="A1159" t="s">
        <v>1789</v>
      </c>
      <c r="B1159" s="36">
        <v>208</v>
      </c>
      <c r="C1159" s="40" t="s">
        <v>731</v>
      </c>
      <c r="D1159">
        <f t="shared" si="19"/>
        <v>12.08</v>
      </c>
    </row>
    <row r="1160" spans="1:4" x14ac:dyDescent="0.35">
      <c r="A1160" t="s">
        <v>1790</v>
      </c>
      <c r="B1160" s="36">
        <v>205.9</v>
      </c>
      <c r="C1160" s="40" t="s">
        <v>416</v>
      </c>
      <c r="D1160">
        <f t="shared" si="19"/>
        <v>10.48</v>
      </c>
    </row>
    <row r="1161" spans="1:4" x14ac:dyDescent="0.35">
      <c r="A1161" t="s">
        <v>1791</v>
      </c>
      <c r="B1161" s="36">
        <v>204.6</v>
      </c>
      <c r="C1161" s="40" t="s">
        <v>163</v>
      </c>
      <c r="D1161">
        <f t="shared" si="19"/>
        <v>14.84</v>
      </c>
    </row>
    <row r="1162" spans="1:4" x14ac:dyDescent="0.35">
      <c r="A1162" t="s">
        <v>1792</v>
      </c>
      <c r="B1162" s="36">
        <v>206.4</v>
      </c>
      <c r="C1162" s="40" t="s">
        <v>1037</v>
      </c>
      <c r="D1162">
        <f t="shared" si="19"/>
        <v>10.59</v>
      </c>
    </row>
    <row r="1163" spans="1:4" x14ac:dyDescent="0.35">
      <c r="A1163" t="s">
        <v>1793</v>
      </c>
      <c r="B1163" s="36">
        <v>205.75</v>
      </c>
      <c r="C1163" s="40" t="s">
        <v>860</v>
      </c>
      <c r="D1163">
        <f t="shared" si="19"/>
        <v>12.49</v>
      </c>
    </row>
    <row r="1164" spans="1:4" x14ac:dyDescent="0.35">
      <c r="A1164" t="s">
        <v>1794</v>
      </c>
      <c r="B1164" s="36">
        <v>206.3</v>
      </c>
      <c r="C1164" s="40" t="s">
        <v>692</v>
      </c>
      <c r="D1164">
        <f t="shared" si="19"/>
        <v>9.94</v>
      </c>
    </row>
    <row r="1165" spans="1:4" x14ac:dyDescent="0.35">
      <c r="A1165" t="s">
        <v>1795</v>
      </c>
      <c r="B1165" s="36">
        <v>208.9</v>
      </c>
      <c r="C1165" s="40" t="s">
        <v>1038</v>
      </c>
      <c r="D1165">
        <f t="shared" si="19"/>
        <v>19.420000000000002</v>
      </c>
    </row>
    <row r="1166" spans="1:4" x14ac:dyDescent="0.35">
      <c r="A1166" t="s">
        <v>1796</v>
      </c>
      <c r="B1166" s="36">
        <v>208.95</v>
      </c>
      <c r="C1166" s="40" t="s">
        <v>837</v>
      </c>
      <c r="D1166">
        <f t="shared" si="19"/>
        <v>10.74</v>
      </c>
    </row>
    <row r="1167" spans="1:4" x14ac:dyDescent="0.35">
      <c r="A1167" t="s">
        <v>1797</v>
      </c>
      <c r="B1167" s="36">
        <v>209.2</v>
      </c>
      <c r="C1167" s="40" t="s">
        <v>240</v>
      </c>
      <c r="D1167">
        <f t="shared" si="19"/>
        <v>7.86</v>
      </c>
    </row>
    <row r="1168" spans="1:4" x14ac:dyDescent="0.35">
      <c r="A1168" t="s">
        <v>1798</v>
      </c>
      <c r="B1168" s="36">
        <v>210.9</v>
      </c>
      <c r="C1168" s="40" t="s">
        <v>364</v>
      </c>
      <c r="D1168">
        <f t="shared" si="19"/>
        <v>11.19</v>
      </c>
    </row>
    <row r="1169" spans="1:4" x14ac:dyDescent="0.35">
      <c r="A1169" t="s">
        <v>1799</v>
      </c>
      <c r="B1169" s="36">
        <v>211.45</v>
      </c>
      <c r="C1169" s="40" t="s">
        <v>1039</v>
      </c>
      <c r="D1169">
        <f t="shared" si="19"/>
        <v>18.850000000000001</v>
      </c>
    </row>
    <row r="1170" spans="1:4" x14ac:dyDescent="0.35">
      <c r="A1170" s="41">
        <v>44538</v>
      </c>
      <c r="B1170" s="36">
        <v>208.9</v>
      </c>
      <c r="C1170" s="40" t="s">
        <v>1040</v>
      </c>
      <c r="D1170">
        <f t="shared" si="19"/>
        <v>27.69</v>
      </c>
    </row>
    <row r="1171" spans="1:4" x14ac:dyDescent="0.35">
      <c r="A1171" s="41">
        <v>44508</v>
      </c>
      <c r="B1171" s="36">
        <v>208.65</v>
      </c>
      <c r="C1171" s="40" t="s">
        <v>750</v>
      </c>
      <c r="D1171">
        <f t="shared" si="19"/>
        <v>15.42</v>
      </c>
    </row>
    <row r="1172" spans="1:4" x14ac:dyDescent="0.35">
      <c r="A1172" s="41">
        <v>44477</v>
      </c>
      <c r="B1172" s="36">
        <v>209.85</v>
      </c>
      <c r="C1172" s="40" t="s">
        <v>1041</v>
      </c>
      <c r="D1172">
        <f t="shared" si="19"/>
        <v>18.16</v>
      </c>
    </row>
    <row r="1173" spans="1:4" x14ac:dyDescent="0.35">
      <c r="A1173" s="41">
        <v>44447</v>
      </c>
      <c r="B1173" s="36">
        <v>213.8</v>
      </c>
      <c r="C1173" s="40" t="s">
        <v>1042</v>
      </c>
      <c r="D1173">
        <f t="shared" si="19"/>
        <v>20.36</v>
      </c>
    </row>
    <row r="1174" spans="1:4" x14ac:dyDescent="0.35">
      <c r="A1174" s="41">
        <v>44355</v>
      </c>
      <c r="B1174" s="36">
        <v>214.25</v>
      </c>
      <c r="C1174" s="40" t="s">
        <v>1043</v>
      </c>
      <c r="D1174">
        <f t="shared" si="19"/>
        <v>23.58</v>
      </c>
    </row>
    <row r="1175" spans="1:4" x14ac:dyDescent="0.35">
      <c r="A1175" s="41">
        <v>44324</v>
      </c>
      <c r="B1175" s="36">
        <v>215.25</v>
      </c>
      <c r="C1175" s="40" t="s">
        <v>1044</v>
      </c>
      <c r="D1175">
        <f t="shared" si="19"/>
        <v>47.18</v>
      </c>
    </row>
    <row r="1176" spans="1:4" x14ac:dyDescent="0.35">
      <c r="A1176" s="41">
        <v>44294</v>
      </c>
      <c r="B1176" s="36">
        <v>208.6</v>
      </c>
      <c r="C1176" s="40" t="s">
        <v>564</v>
      </c>
      <c r="D1176">
        <f t="shared" si="19"/>
        <v>11</v>
      </c>
    </row>
    <row r="1177" spans="1:4" x14ac:dyDescent="0.35">
      <c r="A1177" s="41">
        <v>44263</v>
      </c>
      <c r="B1177" s="36">
        <v>209.9</v>
      </c>
      <c r="C1177" s="40" t="s">
        <v>845</v>
      </c>
      <c r="D1177">
        <f t="shared" si="19"/>
        <v>18.47</v>
      </c>
    </row>
    <row r="1178" spans="1:4" x14ac:dyDescent="0.35">
      <c r="A1178" s="41">
        <v>44235</v>
      </c>
      <c r="B1178" s="36">
        <v>207.3</v>
      </c>
      <c r="C1178" s="40" t="s">
        <v>417</v>
      </c>
      <c r="D1178">
        <f t="shared" si="19"/>
        <v>9.67</v>
      </c>
    </row>
    <row r="1179" spans="1:4" x14ac:dyDescent="0.35">
      <c r="A1179" t="s">
        <v>1800</v>
      </c>
      <c r="B1179" s="36">
        <v>204.95</v>
      </c>
      <c r="C1179" s="40" t="s">
        <v>253</v>
      </c>
      <c r="D1179">
        <f t="shared" si="19"/>
        <v>14.94</v>
      </c>
    </row>
    <row r="1180" spans="1:4" x14ac:dyDescent="0.35">
      <c r="A1180" t="s">
        <v>1801</v>
      </c>
      <c r="B1180" s="36">
        <v>206.05</v>
      </c>
      <c r="C1180" s="40" t="s">
        <v>1045</v>
      </c>
      <c r="D1180">
        <f t="shared" si="19"/>
        <v>15.6</v>
      </c>
    </row>
    <row r="1181" spans="1:4" x14ac:dyDescent="0.35">
      <c r="A1181" t="s">
        <v>1802</v>
      </c>
      <c r="B1181" s="36">
        <v>209.1</v>
      </c>
      <c r="C1181" s="40" t="s">
        <v>1046</v>
      </c>
      <c r="D1181">
        <f t="shared" si="19"/>
        <v>14.74</v>
      </c>
    </row>
    <row r="1182" spans="1:4" x14ac:dyDescent="0.35">
      <c r="A1182" t="s">
        <v>1803</v>
      </c>
      <c r="B1182" s="36">
        <v>208.65</v>
      </c>
      <c r="C1182" s="40" t="s">
        <v>1047</v>
      </c>
      <c r="D1182">
        <f t="shared" si="19"/>
        <v>24.44</v>
      </c>
    </row>
    <row r="1183" spans="1:4" x14ac:dyDescent="0.35">
      <c r="A1183" t="s">
        <v>1804</v>
      </c>
      <c r="B1183" s="36">
        <v>211.15</v>
      </c>
      <c r="C1183" s="40" t="s">
        <v>1048</v>
      </c>
      <c r="D1183">
        <f t="shared" si="19"/>
        <v>47.26</v>
      </c>
    </row>
    <row r="1184" spans="1:4" x14ac:dyDescent="0.35">
      <c r="A1184" t="s">
        <v>1805</v>
      </c>
      <c r="B1184" s="36">
        <v>212.4</v>
      </c>
      <c r="C1184" s="40" t="s">
        <v>1049</v>
      </c>
      <c r="D1184">
        <f t="shared" si="19"/>
        <v>44.53</v>
      </c>
    </row>
    <row r="1185" spans="1:4" x14ac:dyDescent="0.35">
      <c r="A1185" t="s">
        <v>1806</v>
      </c>
      <c r="B1185" s="36">
        <v>207</v>
      </c>
      <c r="C1185" s="40" t="s">
        <v>1050</v>
      </c>
      <c r="D1185">
        <f t="shared" si="19"/>
        <v>18.309999999999999</v>
      </c>
    </row>
    <row r="1186" spans="1:4" x14ac:dyDescent="0.35">
      <c r="A1186" t="s">
        <v>1807</v>
      </c>
      <c r="B1186" s="36">
        <v>206.8</v>
      </c>
      <c r="C1186" s="40" t="s">
        <v>1051</v>
      </c>
      <c r="D1186">
        <f t="shared" si="19"/>
        <v>23.66</v>
      </c>
    </row>
    <row r="1187" spans="1:4" x14ac:dyDescent="0.35">
      <c r="A1187" t="s">
        <v>1808</v>
      </c>
      <c r="B1187" s="36">
        <v>207.75</v>
      </c>
      <c r="C1187" s="40" t="s">
        <v>1052</v>
      </c>
      <c r="D1187">
        <f t="shared" si="19"/>
        <v>16.46</v>
      </c>
    </row>
    <row r="1188" spans="1:4" x14ac:dyDescent="0.35">
      <c r="A1188" t="s">
        <v>1809</v>
      </c>
      <c r="B1188" s="36">
        <v>207.9</v>
      </c>
      <c r="C1188" s="40" t="s">
        <v>1053</v>
      </c>
      <c r="D1188">
        <f t="shared" si="19"/>
        <v>29.02</v>
      </c>
    </row>
    <row r="1189" spans="1:4" x14ac:dyDescent="0.35">
      <c r="A1189" t="s">
        <v>1810</v>
      </c>
      <c r="B1189" s="36">
        <v>206.25</v>
      </c>
      <c r="C1189" s="40" t="s">
        <v>1054</v>
      </c>
      <c r="D1189">
        <f t="shared" si="19"/>
        <v>28.85</v>
      </c>
    </row>
    <row r="1190" spans="1:4" x14ac:dyDescent="0.35">
      <c r="A1190" t="s">
        <v>1811</v>
      </c>
      <c r="B1190" s="36">
        <v>204.1</v>
      </c>
      <c r="C1190" s="40" t="s">
        <v>1055</v>
      </c>
      <c r="D1190">
        <f t="shared" si="19"/>
        <v>20.48</v>
      </c>
    </row>
    <row r="1191" spans="1:4" x14ac:dyDescent="0.35">
      <c r="A1191" t="s">
        <v>1812</v>
      </c>
      <c r="B1191" s="36">
        <v>201.85</v>
      </c>
      <c r="C1191" s="40" t="s">
        <v>895</v>
      </c>
      <c r="D1191">
        <f t="shared" si="19"/>
        <v>10.83</v>
      </c>
    </row>
    <row r="1192" spans="1:4" x14ac:dyDescent="0.35">
      <c r="A1192" s="41">
        <v>44537</v>
      </c>
      <c r="B1192" s="36">
        <v>201.1</v>
      </c>
      <c r="C1192" s="40" t="s">
        <v>293</v>
      </c>
      <c r="D1192">
        <f t="shared" si="19"/>
        <v>13.09</v>
      </c>
    </row>
    <row r="1193" spans="1:4" x14ac:dyDescent="0.35">
      <c r="A1193" s="41">
        <v>44446</v>
      </c>
      <c r="B1193" s="36">
        <v>201.35</v>
      </c>
      <c r="C1193" s="40" t="s">
        <v>556</v>
      </c>
      <c r="D1193">
        <f t="shared" si="19"/>
        <v>11.83</v>
      </c>
    </row>
    <row r="1194" spans="1:4" x14ac:dyDescent="0.35">
      <c r="A1194" s="41">
        <v>44415</v>
      </c>
      <c r="B1194" s="36">
        <v>202</v>
      </c>
      <c r="C1194" s="40" t="s">
        <v>1056</v>
      </c>
      <c r="D1194">
        <f t="shared" si="19"/>
        <v>20.93</v>
      </c>
    </row>
    <row r="1195" spans="1:4" x14ac:dyDescent="0.35">
      <c r="A1195" s="41">
        <v>44384</v>
      </c>
      <c r="B1195" s="36">
        <v>203.75</v>
      </c>
      <c r="C1195" s="40" t="s">
        <v>519</v>
      </c>
      <c r="D1195">
        <f t="shared" si="19"/>
        <v>17.88</v>
      </c>
    </row>
    <row r="1196" spans="1:4" x14ac:dyDescent="0.35">
      <c r="A1196" s="41">
        <v>44354</v>
      </c>
      <c r="B1196" s="36">
        <v>202.5</v>
      </c>
      <c r="C1196" s="40" t="s">
        <v>892</v>
      </c>
      <c r="D1196">
        <f t="shared" si="19"/>
        <v>11.09</v>
      </c>
    </row>
    <row r="1197" spans="1:4" x14ac:dyDescent="0.35">
      <c r="A1197" s="41">
        <v>44323</v>
      </c>
      <c r="B1197" s="36">
        <v>203.65</v>
      </c>
      <c r="C1197" s="40" t="s">
        <v>757</v>
      </c>
      <c r="D1197">
        <f t="shared" si="19"/>
        <v>10.25</v>
      </c>
    </row>
    <row r="1198" spans="1:4" x14ac:dyDescent="0.35">
      <c r="A1198" s="41">
        <v>44234</v>
      </c>
      <c r="B1198" s="36">
        <v>202.4</v>
      </c>
      <c r="C1198" s="40" t="s">
        <v>1057</v>
      </c>
      <c r="D1198">
        <f t="shared" si="19"/>
        <v>12.7</v>
      </c>
    </row>
    <row r="1199" spans="1:4" x14ac:dyDescent="0.35">
      <c r="A1199" s="41">
        <v>44203</v>
      </c>
      <c r="B1199" s="36">
        <v>203</v>
      </c>
      <c r="C1199" s="40" t="s">
        <v>827</v>
      </c>
      <c r="D1199">
        <f t="shared" si="19"/>
        <v>10.19</v>
      </c>
    </row>
    <row r="1200" spans="1:4" x14ac:dyDescent="0.35">
      <c r="A1200" t="s">
        <v>1813</v>
      </c>
      <c r="B1200" s="36">
        <v>202.7</v>
      </c>
      <c r="C1200" s="40" t="s">
        <v>1058</v>
      </c>
      <c r="D1200">
        <f t="shared" si="19"/>
        <v>15.94</v>
      </c>
    </row>
    <row r="1201" spans="1:4" x14ac:dyDescent="0.35">
      <c r="A1201" t="s">
        <v>1814</v>
      </c>
      <c r="B1201" s="36">
        <v>203.3</v>
      </c>
      <c r="C1201" s="40" t="s">
        <v>1059</v>
      </c>
      <c r="D1201">
        <f t="shared" si="19"/>
        <v>13.33</v>
      </c>
    </row>
    <row r="1202" spans="1:4" x14ac:dyDescent="0.35">
      <c r="A1202" t="s">
        <v>1815</v>
      </c>
      <c r="B1202" s="36">
        <v>203.6</v>
      </c>
      <c r="C1202" s="40" t="s">
        <v>1060</v>
      </c>
      <c r="D1202">
        <f t="shared" si="19"/>
        <v>14.63</v>
      </c>
    </row>
    <row r="1203" spans="1:4" x14ac:dyDescent="0.35">
      <c r="A1203" t="s">
        <v>1816</v>
      </c>
      <c r="B1203" s="36">
        <v>205.05</v>
      </c>
      <c r="C1203" s="40" t="s">
        <v>404</v>
      </c>
      <c r="D1203">
        <f t="shared" si="19"/>
        <v>13.88</v>
      </c>
    </row>
    <row r="1204" spans="1:4" x14ac:dyDescent="0.35">
      <c r="A1204" t="s">
        <v>1817</v>
      </c>
      <c r="B1204" s="36">
        <v>203.25</v>
      </c>
      <c r="C1204" s="40" t="s">
        <v>1061</v>
      </c>
      <c r="D1204">
        <f t="shared" si="19"/>
        <v>22.44</v>
      </c>
    </row>
    <row r="1205" spans="1:4" x14ac:dyDescent="0.35">
      <c r="A1205" t="s">
        <v>1818</v>
      </c>
      <c r="B1205" s="36">
        <v>203.95</v>
      </c>
      <c r="C1205" s="40" t="s">
        <v>1062</v>
      </c>
      <c r="D1205">
        <f t="shared" si="19"/>
        <v>12.58</v>
      </c>
    </row>
    <row r="1206" spans="1:4" x14ac:dyDescent="0.35">
      <c r="A1206" t="s">
        <v>1819</v>
      </c>
      <c r="B1206" s="36">
        <v>205.1</v>
      </c>
      <c r="C1206" s="40" t="s">
        <v>1063</v>
      </c>
      <c r="D1206">
        <f t="shared" si="19"/>
        <v>18.04</v>
      </c>
    </row>
    <row r="1207" spans="1:4" x14ac:dyDescent="0.35">
      <c r="A1207" t="s">
        <v>1820</v>
      </c>
      <c r="B1207" s="36">
        <v>204.45</v>
      </c>
      <c r="C1207" s="40" t="s">
        <v>1064</v>
      </c>
      <c r="D1207">
        <f t="shared" si="19"/>
        <v>19.07</v>
      </c>
    </row>
    <row r="1208" spans="1:4" x14ac:dyDescent="0.35">
      <c r="A1208" t="s">
        <v>1821</v>
      </c>
      <c r="B1208" s="36">
        <v>204.55</v>
      </c>
      <c r="C1208" s="40" t="s">
        <v>1065</v>
      </c>
      <c r="D1208">
        <f t="shared" si="19"/>
        <v>23.57</v>
      </c>
    </row>
    <row r="1209" spans="1:4" x14ac:dyDescent="0.35">
      <c r="A1209" t="s">
        <v>1822</v>
      </c>
      <c r="B1209" s="36">
        <v>205.65</v>
      </c>
      <c r="C1209" s="40" t="s">
        <v>347</v>
      </c>
      <c r="D1209">
        <f t="shared" si="19"/>
        <v>21.48</v>
      </c>
    </row>
    <row r="1210" spans="1:4" x14ac:dyDescent="0.35">
      <c r="A1210" t="s">
        <v>1823</v>
      </c>
      <c r="B1210" s="36">
        <v>207.85</v>
      </c>
      <c r="C1210" s="40" t="s">
        <v>1066</v>
      </c>
      <c r="D1210">
        <f t="shared" si="19"/>
        <v>20.100000000000001</v>
      </c>
    </row>
    <row r="1211" spans="1:4" x14ac:dyDescent="0.35">
      <c r="A1211" t="s">
        <v>1824</v>
      </c>
      <c r="B1211" s="36">
        <v>207.05</v>
      </c>
      <c r="C1211" s="40" t="s">
        <v>1067</v>
      </c>
      <c r="D1211">
        <f t="shared" si="19"/>
        <v>14.85</v>
      </c>
    </row>
    <row r="1212" spans="1:4" x14ac:dyDescent="0.35">
      <c r="A1212" t="s">
        <v>1825</v>
      </c>
      <c r="B1212" s="36">
        <v>207.3</v>
      </c>
      <c r="C1212" s="40" t="s">
        <v>1068</v>
      </c>
      <c r="D1212">
        <f t="shared" si="19"/>
        <v>17.68</v>
      </c>
    </row>
    <row r="1213" spans="1:4" x14ac:dyDescent="0.35">
      <c r="A1213" s="41">
        <v>44506</v>
      </c>
      <c r="B1213" s="36">
        <v>207.9</v>
      </c>
      <c r="C1213" s="40" t="s">
        <v>1069</v>
      </c>
      <c r="D1213">
        <f t="shared" si="19"/>
        <v>21.42</v>
      </c>
    </row>
    <row r="1214" spans="1:4" x14ac:dyDescent="0.35">
      <c r="A1214" s="41">
        <v>44475</v>
      </c>
      <c r="B1214" s="36">
        <v>209.3</v>
      </c>
      <c r="C1214" s="40" t="s">
        <v>1070</v>
      </c>
      <c r="D1214">
        <f t="shared" si="19"/>
        <v>30.72</v>
      </c>
    </row>
    <row r="1215" spans="1:4" x14ac:dyDescent="0.35">
      <c r="A1215" s="41">
        <v>44445</v>
      </c>
      <c r="B1215" s="36">
        <v>212.5</v>
      </c>
      <c r="C1215" s="40" t="s">
        <v>1071</v>
      </c>
      <c r="D1215">
        <f t="shared" si="19"/>
        <v>24.89</v>
      </c>
    </row>
    <row r="1216" spans="1:4" x14ac:dyDescent="0.35">
      <c r="A1216" s="41">
        <v>44414</v>
      </c>
      <c r="B1216" s="36">
        <v>213.65</v>
      </c>
      <c r="C1216" s="40" t="s">
        <v>1072</v>
      </c>
      <c r="D1216">
        <f t="shared" si="19"/>
        <v>21.26</v>
      </c>
    </row>
    <row r="1217" spans="1:4" x14ac:dyDescent="0.35">
      <c r="A1217" s="41">
        <v>44383</v>
      </c>
      <c r="B1217" s="36">
        <v>211.45</v>
      </c>
      <c r="C1217" s="40" t="s">
        <v>1073</v>
      </c>
      <c r="D1217">
        <f t="shared" si="19"/>
        <v>31.43</v>
      </c>
    </row>
    <row r="1218" spans="1:4" x14ac:dyDescent="0.35">
      <c r="A1218" s="41">
        <v>44292</v>
      </c>
      <c r="B1218" s="36">
        <v>208.75</v>
      </c>
      <c r="C1218" s="40" t="s">
        <v>1074</v>
      </c>
      <c r="D1218">
        <f t="shared" ref="D1218:D1242" si="20">(VALUE(SUBSTITUTE(C1218,"M",""))*1000000)/1000000</f>
        <v>30.13</v>
      </c>
    </row>
    <row r="1219" spans="1:4" x14ac:dyDescent="0.35">
      <c r="A1219" s="41">
        <v>44261</v>
      </c>
      <c r="B1219" s="36">
        <v>209.05</v>
      </c>
      <c r="C1219" s="40" t="s">
        <v>1075</v>
      </c>
      <c r="D1219">
        <f t="shared" si="20"/>
        <v>46.66</v>
      </c>
    </row>
    <row r="1220" spans="1:4" x14ac:dyDescent="0.35">
      <c r="A1220" s="41">
        <v>44233</v>
      </c>
      <c r="B1220" s="36">
        <v>209</v>
      </c>
      <c r="C1220" s="40" t="s">
        <v>1076</v>
      </c>
      <c r="D1220">
        <f t="shared" si="20"/>
        <v>96.65</v>
      </c>
    </row>
    <row r="1221" spans="1:4" x14ac:dyDescent="0.35">
      <c r="A1221" s="41">
        <v>44202</v>
      </c>
      <c r="B1221" s="36">
        <v>215.25</v>
      </c>
      <c r="C1221" s="40" t="s">
        <v>1002</v>
      </c>
      <c r="D1221">
        <f t="shared" si="20"/>
        <v>38.76</v>
      </c>
    </row>
    <row r="1222" spans="1:4" x14ac:dyDescent="0.35">
      <c r="A1222" t="s">
        <v>1826</v>
      </c>
      <c r="B1222" s="36">
        <v>216.6</v>
      </c>
      <c r="C1222" s="40" t="s">
        <v>1077</v>
      </c>
      <c r="D1222">
        <f t="shared" si="20"/>
        <v>73.040000000000006</v>
      </c>
    </row>
    <row r="1223" spans="1:4" x14ac:dyDescent="0.35">
      <c r="A1223" t="s">
        <v>1827</v>
      </c>
      <c r="B1223" s="36">
        <v>212.9</v>
      </c>
      <c r="C1223" s="40" t="s">
        <v>1078</v>
      </c>
      <c r="D1223">
        <f t="shared" si="20"/>
        <v>25.6</v>
      </c>
    </row>
    <row r="1224" spans="1:4" x14ac:dyDescent="0.35">
      <c r="A1224" t="s">
        <v>1828</v>
      </c>
      <c r="B1224" s="36">
        <v>211.15</v>
      </c>
      <c r="C1224" s="40" t="s">
        <v>1079</v>
      </c>
      <c r="D1224">
        <f t="shared" si="20"/>
        <v>47.55</v>
      </c>
    </row>
    <row r="1225" spans="1:4" x14ac:dyDescent="0.35">
      <c r="A1225" t="s">
        <v>1829</v>
      </c>
      <c r="B1225" s="36">
        <v>210.6</v>
      </c>
      <c r="C1225" s="40" t="s">
        <v>1080</v>
      </c>
      <c r="D1225">
        <f t="shared" si="20"/>
        <v>17.579999999999998</v>
      </c>
    </row>
    <row r="1226" spans="1:4" x14ac:dyDescent="0.35">
      <c r="A1226" t="s">
        <v>1830</v>
      </c>
      <c r="B1226" s="36">
        <v>210.9</v>
      </c>
      <c r="C1226" s="40" t="s">
        <v>1081</v>
      </c>
      <c r="D1226">
        <f t="shared" si="20"/>
        <v>25.33</v>
      </c>
    </row>
    <row r="1227" spans="1:4" x14ac:dyDescent="0.35">
      <c r="A1227" t="s">
        <v>1831</v>
      </c>
      <c r="B1227" s="36">
        <v>211.5</v>
      </c>
      <c r="C1227" s="40" t="s">
        <v>1082</v>
      </c>
      <c r="D1227">
        <f t="shared" si="20"/>
        <v>28.87</v>
      </c>
    </row>
    <row r="1228" spans="1:4" x14ac:dyDescent="0.35">
      <c r="A1228" t="s">
        <v>1832</v>
      </c>
      <c r="B1228" s="36">
        <v>209.05</v>
      </c>
      <c r="C1228" s="40" t="s">
        <v>1083</v>
      </c>
      <c r="D1228">
        <f t="shared" si="20"/>
        <v>22.64</v>
      </c>
    </row>
    <row r="1229" spans="1:4" x14ac:dyDescent="0.35">
      <c r="A1229" t="s">
        <v>1833</v>
      </c>
      <c r="B1229" s="36">
        <v>207</v>
      </c>
      <c r="C1229" s="40" t="s">
        <v>1084</v>
      </c>
      <c r="D1229">
        <f t="shared" si="20"/>
        <v>20.88</v>
      </c>
    </row>
    <row r="1230" spans="1:4" x14ac:dyDescent="0.35">
      <c r="A1230" t="s">
        <v>1834</v>
      </c>
      <c r="B1230" s="36">
        <v>207.75</v>
      </c>
      <c r="C1230" s="40" t="s">
        <v>138</v>
      </c>
      <c r="D1230">
        <f t="shared" si="20"/>
        <v>24.41</v>
      </c>
    </row>
    <row r="1231" spans="1:4" x14ac:dyDescent="0.35">
      <c r="A1231" t="s">
        <v>1835</v>
      </c>
      <c r="B1231" s="36">
        <v>210.05</v>
      </c>
      <c r="C1231" s="40" t="s">
        <v>1085</v>
      </c>
      <c r="D1231">
        <f t="shared" si="20"/>
        <v>30.48</v>
      </c>
    </row>
    <row r="1232" spans="1:4" x14ac:dyDescent="0.35">
      <c r="A1232" t="s">
        <v>1836</v>
      </c>
      <c r="B1232" s="36">
        <v>212.6</v>
      </c>
      <c r="C1232" s="40" t="s">
        <v>1086</v>
      </c>
      <c r="D1232">
        <f t="shared" si="20"/>
        <v>38</v>
      </c>
    </row>
    <row r="1233" spans="1:4" x14ac:dyDescent="0.35">
      <c r="A1233" t="s">
        <v>1837</v>
      </c>
      <c r="B1233" s="36">
        <v>212.25</v>
      </c>
      <c r="C1233" s="40" t="s">
        <v>1087</v>
      </c>
      <c r="D1233">
        <f t="shared" si="20"/>
        <v>61.65</v>
      </c>
    </row>
    <row r="1234" spans="1:4" x14ac:dyDescent="0.35">
      <c r="A1234" s="41">
        <v>44535</v>
      </c>
      <c r="B1234" s="36">
        <v>203.25</v>
      </c>
      <c r="C1234" s="40" t="s">
        <v>1088</v>
      </c>
      <c r="D1234">
        <f t="shared" si="20"/>
        <v>16.54</v>
      </c>
    </row>
    <row r="1235" spans="1:4" x14ac:dyDescent="0.35">
      <c r="A1235" s="41">
        <v>44505</v>
      </c>
      <c r="B1235" s="36">
        <v>204</v>
      </c>
      <c r="C1235" s="40" t="s">
        <v>1089</v>
      </c>
      <c r="D1235">
        <f t="shared" si="20"/>
        <v>13.75</v>
      </c>
    </row>
    <row r="1236" spans="1:4" x14ac:dyDescent="0.35">
      <c r="A1236" s="41">
        <v>44474</v>
      </c>
      <c r="B1236" s="36">
        <v>205.55</v>
      </c>
      <c r="C1236" s="40" t="s">
        <v>846</v>
      </c>
      <c r="D1236">
        <f t="shared" si="20"/>
        <v>16.3</v>
      </c>
    </row>
    <row r="1237" spans="1:4" x14ac:dyDescent="0.35">
      <c r="A1237" s="41">
        <v>44382</v>
      </c>
      <c r="B1237" s="36">
        <v>205.35</v>
      </c>
      <c r="C1237" s="40" t="s">
        <v>452</v>
      </c>
      <c r="D1237">
        <f t="shared" si="20"/>
        <v>19.46</v>
      </c>
    </row>
    <row r="1238" spans="1:4" x14ac:dyDescent="0.35">
      <c r="A1238" s="41">
        <v>44352</v>
      </c>
      <c r="B1238" s="36">
        <v>202.75</v>
      </c>
      <c r="C1238" s="40" t="s">
        <v>306</v>
      </c>
      <c r="D1238">
        <f t="shared" si="20"/>
        <v>14.32</v>
      </c>
    </row>
    <row r="1239" spans="1:4" x14ac:dyDescent="0.35">
      <c r="A1239" s="41">
        <v>44321</v>
      </c>
      <c r="B1239" s="36">
        <v>201.4</v>
      </c>
      <c r="C1239" s="40" t="s">
        <v>386</v>
      </c>
      <c r="D1239">
        <f t="shared" si="20"/>
        <v>13.86</v>
      </c>
    </row>
    <row r="1240" spans="1:4" x14ac:dyDescent="0.35">
      <c r="A1240" s="41">
        <v>44291</v>
      </c>
      <c r="B1240" s="36">
        <v>199.6</v>
      </c>
      <c r="C1240" s="40" t="s">
        <v>1090</v>
      </c>
      <c r="D1240">
        <f t="shared" si="20"/>
        <v>18.260000000000002</v>
      </c>
    </row>
    <row r="1241" spans="1:4" x14ac:dyDescent="0.35">
      <c r="A1241" s="41">
        <v>44260</v>
      </c>
      <c r="B1241" s="36">
        <v>200.95</v>
      </c>
      <c r="C1241" s="40" t="s">
        <v>835</v>
      </c>
      <c r="D1241">
        <f t="shared" si="20"/>
        <v>20.61</v>
      </c>
    </row>
    <row r="1242" spans="1:4" x14ac:dyDescent="0.35">
      <c r="A1242" t="s">
        <v>1838</v>
      </c>
      <c r="B1242" s="36">
        <v>202.6</v>
      </c>
      <c r="C1242" s="40" t="s">
        <v>1091</v>
      </c>
      <c r="D1242">
        <f t="shared" si="20"/>
        <v>16.5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Quarters</vt:lpstr>
      <vt:lpstr>Balance Sheet</vt:lpstr>
      <vt:lpstr>Cash Flow</vt:lpstr>
      <vt:lpstr>Customization</vt:lpstr>
      <vt:lpstr>Profit &amp; Loss</vt:lpstr>
      <vt:lpstr>Data Sheet</vt:lpstr>
      <vt:lpstr>Teaser</vt:lpstr>
      <vt:lpstr>Input Sheet</vt:lpstr>
      <vt:lpstr>Share Price</vt:lpstr>
      <vt:lpstr>Teaser!Print_Area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</dc:creator>
  <cp:lastModifiedBy>Ayush Kumar</cp:lastModifiedBy>
  <cp:lastPrinted>2026-05-08T14:18:18Z</cp:lastPrinted>
  <dcterms:created xsi:type="dcterms:W3CDTF">2012-08-17T09:55:37Z</dcterms:created>
  <dcterms:modified xsi:type="dcterms:W3CDTF">2026-05-08T14:20:36Z</dcterms:modified>
</cp:coreProperties>
</file>
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8ea0d7aa55a3b/Desktop/"/>
    </mc:Choice>
  </mc:AlternateContent>
  <xr:revisionPtr revIDLastSave="1" documentId="8_{40B41E52-8948-4FAC-8E71-3EC4B128E1F7}" xr6:coauthVersionLast="47" xr6:coauthVersionMax="47" xr10:uidLastSave="{061C202F-F7C0-4069-96B4-387B55277885}"/>
  <bookViews>
    <workbookView xWindow="-110" yWindow="-110" windowWidth="19420" windowHeight="10300" activeTab="1" xr2:uid="{07C78F78-5144-447A-91C5-A96AD175E2B3}"/>
  </bookViews>
  <sheets>
    <sheet name="Historical Approach" sheetId="1" r:id="rId1"/>
    <sheet name="Monte Carlo Simulation" sheetId="3" r:id="rId2"/>
  </sheets>
  <definedNames>
    <definedName name="_xlnm._FilterDatabase" localSheetId="0" hidden="1">'Historical Approach'!$B$3:$E$5183</definedName>
    <definedName name="_xlnm._FilterDatabase" localSheetId="1" hidden="1">'Monte Carlo Simulation'!$B$3:$E$5183</definedName>
    <definedName name="_xlchart.v1.0" hidden="1">'Monte Carlo Simulation'!$G$4:$G$10003</definedName>
    <definedName name="_xlchart.v1.1" hidden="1">'Monte Carlo Simulation'!$G$4:$G$10003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J13" i="1" s="1"/>
  <c r="K13" i="1" s="1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J23" i="3"/>
  <c r="D16" i="3"/>
  <c r="J22" i="3"/>
  <c r="D15" i="3"/>
  <c r="J21" i="3"/>
  <c r="D14" i="3"/>
  <c r="J20" i="3"/>
  <c r="D13" i="3"/>
  <c r="D12" i="3"/>
  <c r="D11" i="3"/>
  <c r="D10" i="3"/>
  <c r="D9" i="3"/>
  <c r="K9" i="3"/>
  <c r="D8" i="3"/>
  <c r="K8" i="3"/>
  <c r="D7" i="3"/>
  <c r="K7" i="3"/>
  <c r="D6" i="3"/>
  <c r="K6" i="3"/>
  <c r="D5" i="3"/>
  <c r="D4" i="3"/>
  <c r="H16" i="1"/>
  <c r="H15" i="1"/>
  <c r="H14" i="1"/>
  <c r="H13" i="1"/>
  <c r="I16" i="1"/>
  <c r="J16" i="1" s="1"/>
  <c r="K16" i="1" s="1"/>
  <c r="I15" i="1"/>
  <c r="J15" i="1" s="1"/>
  <c r="K15" i="1" s="1"/>
  <c r="I14" i="1"/>
  <c r="J14" i="1" s="1"/>
  <c r="K14" i="1" s="1"/>
  <c r="I5" i="1"/>
  <c r="I6" i="1"/>
  <c r="I8" i="1"/>
  <c r="I7" i="1"/>
  <c r="D48" i="1"/>
  <c r="D803" i="1"/>
  <c r="D135" i="1"/>
  <c r="D3915" i="1"/>
  <c r="D4825" i="1"/>
  <c r="D4989" i="1"/>
  <c r="D4926" i="1"/>
  <c r="D231" i="1"/>
  <c r="D5110" i="1"/>
  <c r="D3802" i="1"/>
  <c r="D3847" i="1"/>
  <c r="D270" i="1"/>
  <c r="D4921" i="1"/>
  <c r="D5096" i="1"/>
  <c r="D154" i="1"/>
  <c r="D5028" i="1"/>
  <c r="D345" i="1"/>
  <c r="D5177" i="1"/>
  <c r="D5118" i="1"/>
  <c r="D4881" i="1"/>
  <c r="D281" i="1"/>
  <c r="D4702" i="1"/>
  <c r="D2712" i="1"/>
  <c r="D390" i="1"/>
  <c r="D309" i="1"/>
  <c r="D2910" i="1"/>
  <c r="D4677" i="1"/>
  <c r="D2179" i="1"/>
  <c r="D596" i="1"/>
  <c r="D4058" i="1"/>
  <c r="D3794" i="1"/>
  <c r="D2575" i="1"/>
  <c r="D1428" i="1"/>
  <c r="D3793" i="1"/>
  <c r="D141" i="1"/>
  <c r="D2622" i="1"/>
  <c r="D4218" i="1"/>
  <c r="D474" i="1"/>
  <c r="D711" i="1"/>
  <c r="D4952" i="1"/>
  <c r="D2664" i="1"/>
  <c r="D2737" i="1"/>
  <c r="D400" i="1"/>
  <c r="D3225" i="1"/>
  <c r="D4676" i="1"/>
  <c r="D2080" i="1"/>
  <c r="D1503" i="1"/>
  <c r="D4869" i="1"/>
  <c r="D2368" i="1"/>
  <c r="D2574" i="1"/>
  <c r="D1240" i="1"/>
  <c r="D2012" i="1"/>
  <c r="D4270" i="1"/>
  <c r="D4364" i="1"/>
  <c r="D475" i="1"/>
  <c r="D4791" i="1"/>
  <c r="D4483" i="1"/>
  <c r="D3873" i="1"/>
  <c r="D2362" i="1"/>
  <c r="D4735" i="1"/>
  <c r="D1767" i="1"/>
  <c r="D2315" i="1"/>
  <c r="D1199" i="1"/>
  <c r="D4826" i="1"/>
  <c r="D4123" i="1"/>
  <c r="D2573" i="1"/>
  <c r="D1270" i="1"/>
  <c r="D3417" i="1"/>
  <c r="D2130" i="1"/>
  <c r="D253" i="1"/>
  <c r="D4899" i="1"/>
  <c r="D1862" i="1"/>
  <c r="D1192" i="1"/>
  <c r="D3575" i="1"/>
  <c r="D2572" i="1"/>
  <c r="D3545" i="1"/>
  <c r="D1187" i="1"/>
  <c r="D1312" i="1"/>
  <c r="D3906" i="1"/>
  <c r="D4387" i="1"/>
  <c r="D3720" i="1"/>
  <c r="D4532" i="1"/>
  <c r="D4827" i="1"/>
  <c r="D4813" i="1"/>
  <c r="D635" i="1"/>
  <c r="D4517" i="1"/>
  <c r="D490" i="1"/>
  <c r="D2681" i="1"/>
  <c r="D2682" i="1"/>
  <c r="D3619" i="1"/>
  <c r="D2571" i="1"/>
  <c r="D2217" i="1"/>
  <c r="D4569" i="1"/>
  <c r="D3453" i="1"/>
  <c r="D3618" i="1"/>
  <c r="D2831" i="1"/>
  <c r="D3428" i="1"/>
  <c r="D930" i="1"/>
  <c r="D519" i="1"/>
  <c r="D2570" i="1"/>
  <c r="D1247" i="1"/>
  <c r="D607" i="1"/>
  <c r="D3781" i="1"/>
  <c r="D2903" i="1"/>
  <c r="D1534" i="1"/>
  <c r="D4012" i="1"/>
  <c r="D669" i="1"/>
  <c r="D298" i="1"/>
  <c r="D180" i="1"/>
  <c r="D5052" i="1"/>
  <c r="D4297" i="1"/>
  <c r="D808" i="1"/>
  <c r="D1208" i="1"/>
  <c r="D2986" i="1"/>
  <c r="D1346" i="1"/>
  <c r="D3279" i="1"/>
  <c r="D2790" i="1"/>
  <c r="D1552" i="1"/>
  <c r="D4771" i="1"/>
  <c r="D4120" i="1"/>
  <c r="D3716" i="1"/>
  <c r="D1178" i="1"/>
  <c r="D1962" i="1"/>
  <c r="D4599" i="1"/>
  <c r="D943" i="1"/>
  <c r="D2569" i="1"/>
  <c r="D2036" i="1"/>
  <c r="D2278" i="1"/>
  <c r="D3264" i="1"/>
  <c r="D1004" i="1"/>
  <c r="D1440" i="1"/>
  <c r="D4469" i="1"/>
  <c r="D3474" i="1"/>
  <c r="D4779" i="1"/>
  <c r="D4089" i="1"/>
  <c r="D507" i="1"/>
  <c r="D3089" i="1"/>
  <c r="D3844" i="1"/>
  <c r="D3320" i="1"/>
  <c r="D1421" i="1"/>
  <c r="D3245" i="1"/>
  <c r="D4443" i="1"/>
  <c r="D4287" i="1"/>
  <c r="D4460" i="1"/>
  <c r="D4140" i="1"/>
  <c r="D3173" i="1"/>
  <c r="D4403" i="1"/>
  <c r="D4872" i="1"/>
  <c r="D5162" i="1"/>
  <c r="D128" i="1"/>
  <c r="D4105" i="1"/>
  <c r="D366" i="1"/>
  <c r="D4728" i="1"/>
  <c r="D312" i="1"/>
  <c r="D4192" i="1"/>
  <c r="D3848" i="1"/>
  <c r="D1817" i="1"/>
  <c r="D3954" i="1"/>
  <c r="D4748" i="1"/>
  <c r="D3471" i="1"/>
  <c r="D4582" i="1"/>
  <c r="D2568" i="1"/>
  <c r="D4741" i="1"/>
  <c r="D127" i="1"/>
  <c r="D1833" i="1"/>
  <c r="D2401" i="1"/>
  <c r="D3199" i="1"/>
  <c r="D3202" i="1"/>
  <c r="D2213" i="1"/>
  <c r="D4701" i="1"/>
  <c r="D2818" i="1"/>
  <c r="D1502" i="1"/>
  <c r="D611" i="1"/>
  <c r="D3009" i="1"/>
  <c r="D4935" i="1"/>
  <c r="D4036" i="1"/>
  <c r="D3836" i="1"/>
  <c r="D4900" i="1"/>
  <c r="D4482" i="1"/>
  <c r="D3424" i="1"/>
  <c r="D2227" i="1"/>
  <c r="D2721" i="1"/>
  <c r="D2567" i="1"/>
  <c r="D715" i="1"/>
  <c r="D2566" i="1"/>
  <c r="D819" i="1"/>
  <c r="D481" i="1"/>
  <c r="D1099" i="1"/>
  <c r="D4904" i="1"/>
  <c r="D4038" i="1"/>
  <c r="D2448" i="1"/>
  <c r="D3101" i="1"/>
  <c r="D2770" i="1"/>
  <c r="D5009" i="1"/>
  <c r="D1182" i="1"/>
  <c r="D415" i="1"/>
  <c r="D929" i="1"/>
  <c r="D282" i="1"/>
  <c r="D677" i="1"/>
  <c r="D4243" i="1"/>
  <c r="D4613" i="1"/>
  <c r="D5145" i="1"/>
  <c r="D741" i="1"/>
  <c r="D1680" i="1"/>
  <c r="D2709" i="1"/>
  <c r="D4451" i="1"/>
  <c r="D2565" i="1"/>
  <c r="D779" i="1"/>
  <c r="D3535" i="1"/>
  <c r="D2235" i="1"/>
  <c r="D3877" i="1"/>
  <c r="D2445" i="1"/>
  <c r="D751" i="1"/>
  <c r="D1917" i="1"/>
  <c r="D5040" i="1"/>
  <c r="D2564" i="1"/>
  <c r="D3168" i="1"/>
  <c r="D2951" i="1"/>
  <c r="D1644" i="1"/>
  <c r="D2563" i="1"/>
  <c r="D3115" i="1"/>
  <c r="D3907" i="1"/>
  <c r="D3682" i="1"/>
  <c r="D2610" i="1"/>
  <c r="D859" i="1"/>
  <c r="D1131" i="1"/>
  <c r="D552" i="1"/>
  <c r="D1174" i="1"/>
  <c r="D3477" i="1"/>
  <c r="D3748" i="1"/>
  <c r="D4436" i="1"/>
  <c r="D4129" i="1"/>
  <c r="D2082" i="1"/>
  <c r="D2380" i="1"/>
  <c r="D1050" i="1"/>
  <c r="D4195" i="1"/>
  <c r="D3521" i="1"/>
  <c r="D317" i="1"/>
  <c r="D3589" i="1"/>
  <c r="D1339" i="1"/>
  <c r="D1785" i="1"/>
  <c r="D693" i="1"/>
  <c r="D50" i="1"/>
  <c r="D5098" i="1"/>
  <c r="D2816" i="1"/>
  <c r="D531" i="1"/>
  <c r="D3632" i="1"/>
  <c r="D4603" i="1"/>
  <c r="D1091" i="1"/>
  <c r="D2656" i="1"/>
  <c r="D3382" i="1"/>
  <c r="D2750" i="1"/>
  <c r="D3024" i="1"/>
  <c r="D3075" i="1"/>
  <c r="D2164" i="1"/>
  <c r="D108" i="1"/>
  <c r="D1254" i="1"/>
  <c r="D84" i="1"/>
  <c r="D2497" i="1"/>
  <c r="D4415" i="1"/>
  <c r="D4213" i="1"/>
  <c r="D3916" i="1"/>
  <c r="D297" i="1"/>
  <c r="D2293" i="1"/>
  <c r="D4811" i="1"/>
  <c r="D143" i="1"/>
  <c r="D5025" i="1"/>
  <c r="D1323" i="1"/>
  <c r="D4637" i="1"/>
  <c r="D1822" i="1"/>
  <c r="D4682" i="1"/>
  <c r="D4680" i="1"/>
  <c r="D4851" i="1"/>
  <c r="D4622" i="1"/>
  <c r="D303" i="1"/>
  <c r="D3274" i="1"/>
  <c r="D1017" i="1"/>
  <c r="D1465" i="1"/>
  <c r="D3163" i="1"/>
  <c r="D1865" i="1"/>
  <c r="D4380" i="1"/>
  <c r="D121" i="1"/>
  <c r="D1933" i="1"/>
  <c r="D4640" i="1"/>
  <c r="D4545" i="1"/>
  <c r="D529" i="1"/>
  <c r="D1475" i="1"/>
  <c r="D3508" i="1"/>
  <c r="D3597" i="1"/>
  <c r="D1653" i="1"/>
  <c r="D4470" i="1"/>
  <c r="D2562" i="1"/>
  <c r="D2886" i="1"/>
  <c r="D4125" i="1"/>
  <c r="D412" i="1"/>
  <c r="D1655" i="1"/>
  <c r="D4335" i="1"/>
  <c r="D4917" i="1"/>
  <c r="D543" i="1"/>
  <c r="D1113" i="1"/>
  <c r="D63" i="1"/>
  <c r="D1145" i="1"/>
  <c r="D3029" i="1"/>
  <c r="D4375" i="1"/>
  <c r="D3345" i="1"/>
  <c r="D192" i="1"/>
  <c r="D2711" i="1"/>
  <c r="D3354" i="1"/>
  <c r="D1596" i="1"/>
  <c r="D3988" i="1"/>
  <c r="D3319" i="1"/>
  <c r="D4906" i="1"/>
  <c r="D4690" i="1"/>
  <c r="D956" i="1"/>
  <c r="D1816" i="1"/>
  <c r="D5029" i="1"/>
  <c r="D3760" i="1"/>
  <c r="D2648" i="1"/>
  <c r="D2786" i="1"/>
  <c r="D392" i="1"/>
  <c r="D286" i="1"/>
  <c r="D445" i="1"/>
  <c r="D3390" i="1"/>
  <c r="D2636" i="1"/>
  <c r="D3944" i="1"/>
  <c r="D2561" i="1"/>
  <c r="D2979" i="1"/>
  <c r="D2719" i="1"/>
  <c r="D4416" i="1"/>
  <c r="D3817" i="1"/>
  <c r="D399" i="1"/>
  <c r="D109" i="1"/>
  <c r="D1338" i="1"/>
  <c r="D5048" i="1"/>
  <c r="D2063" i="1"/>
  <c r="D2879" i="1"/>
  <c r="D2753" i="1"/>
  <c r="D4703" i="1"/>
  <c r="D4648" i="1"/>
  <c r="D4876" i="1"/>
  <c r="D3650" i="1"/>
  <c r="D217" i="1"/>
  <c r="D4507" i="1"/>
  <c r="D2729" i="1"/>
  <c r="D1601" i="1"/>
  <c r="D3592" i="1"/>
  <c r="D329" i="1"/>
  <c r="D512" i="1"/>
  <c r="D4504" i="1"/>
  <c r="D1870" i="1"/>
  <c r="D601" i="1"/>
  <c r="D1104" i="1"/>
  <c r="D4265" i="1"/>
  <c r="D2678" i="1"/>
  <c r="D2707" i="1"/>
  <c r="D4654" i="1"/>
  <c r="D4955" i="1"/>
  <c r="D594" i="1"/>
  <c r="D2424" i="1"/>
  <c r="D2087" i="1"/>
  <c r="D4930" i="1"/>
  <c r="D1540" i="1"/>
  <c r="D1586" i="1"/>
  <c r="D1559" i="1"/>
  <c r="D2560" i="1"/>
  <c r="D500" i="1"/>
  <c r="D2463" i="1"/>
  <c r="D304" i="1"/>
  <c r="D296" i="1"/>
  <c r="D118" i="1"/>
  <c r="D3376" i="1"/>
  <c r="D4991" i="1"/>
  <c r="D573" i="1"/>
  <c r="D78" i="1"/>
  <c r="D5002" i="1"/>
  <c r="D1205" i="1"/>
  <c r="D341" i="1"/>
  <c r="D718" i="1"/>
  <c r="D4922" i="1"/>
  <c r="D3397" i="1"/>
  <c r="D1681" i="1"/>
  <c r="D3191" i="1"/>
  <c r="D829" i="1"/>
  <c r="D80" i="1"/>
  <c r="D1148" i="1"/>
  <c r="D2559" i="1"/>
  <c r="D3400" i="1"/>
  <c r="D648" i="1"/>
  <c r="D5016" i="1"/>
  <c r="D2809" i="1"/>
  <c r="D1151" i="1"/>
  <c r="D285" i="1"/>
  <c r="D4048" i="1"/>
  <c r="D4887" i="1"/>
  <c r="D4592" i="1"/>
  <c r="D220" i="1"/>
  <c r="D2345" i="1"/>
  <c r="D4729" i="1"/>
  <c r="D2844" i="1"/>
  <c r="D3058" i="1"/>
  <c r="D4155" i="1"/>
  <c r="D5027" i="1"/>
  <c r="D4100" i="1"/>
  <c r="D3253" i="1"/>
  <c r="D5179" i="1"/>
  <c r="D4744" i="1"/>
  <c r="D91" i="1"/>
  <c r="D2558" i="1"/>
  <c r="D172" i="1"/>
  <c r="D4454" i="1"/>
  <c r="D4190" i="1"/>
  <c r="D4963" i="1"/>
  <c r="D2557" i="1"/>
  <c r="D5173" i="1"/>
  <c r="D186" i="1"/>
  <c r="D3486" i="1"/>
  <c r="D2802" i="1"/>
  <c r="D546" i="1"/>
  <c r="D2599" i="1"/>
  <c r="D1775" i="1"/>
  <c r="D4233" i="1"/>
  <c r="D852" i="1"/>
  <c r="D60" i="1"/>
  <c r="D4179" i="1"/>
  <c r="D1829" i="1"/>
  <c r="D5116" i="1"/>
  <c r="D4577" i="1"/>
  <c r="D4840" i="1"/>
  <c r="D1167" i="1"/>
  <c r="D4396" i="1"/>
  <c r="D3291" i="1"/>
  <c r="D2055" i="1"/>
  <c r="D1047" i="1"/>
  <c r="D2556" i="1"/>
  <c r="D3053" i="1"/>
  <c r="D4077" i="1"/>
  <c r="D3867" i="1"/>
  <c r="D2901" i="1"/>
  <c r="D4024" i="1"/>
  <c r="D4367" i="1"/>
  <c r="D3631" i="1"/>
  <c r="D1654" i="1"/>
  <c r="D4836" i="1"/>
  <c r="D4870" i="1"/>
  <c r="D965" i="1"/>
  <c r="D4865" i="1"/>
  <c r="D2319" i="1"/>
  <c r="D5044" i="1"/>
  <c r="D4339" i="1"/>
  <c r="D2701" i="1"/>
  <c r="D725" i="1"/>
  <c r="D350" i="1"/>
  <c r="D2316" i="1"/>
  <c r="D891" i="1"/>
  <c r="D3959" i="1"/>
  <c r="D487" i="1"/>
  <c r="D850" i="1"/>
  <c r="D817" i="1"/>
  <c r="D2255" i="1"/>
  <c r="D3403" i="1"/>
  <c r="D3050" i="1"/>
  <c r="D2555" i="1"/>
  <c r="D3300" i="1"/>
  <c r="D148" i="1"/>
  <c r="D2554" i="1"/>
  <c r="D1190" i="1"/>
  <c r="D1403" i="1"/>
  <c r="D4920" i="1"/>
  <c r="D558" i="1"/>
  <c r="D227" i="1"/>
  <c r="D2433" i="1"/>
  <c r="D4109" i="1"/>
  <c r="D5097" i="1"/>
  <c r="D2553" i="1"/>
  <c r="D882" i="1"/>
  <c r="D4942" i="1"/>
  <c r="D213" i="1"/>
  <c r="D835" i="1"/>
  <c r="D3681" i="1"/>
  <c r="D248" i="1"/>
  <c r="D592" i="1"/>
  <c r="D1433" i="1"/>
  <c r="D5120" i="1"/>
  <c r="D2110" i="1"/>
  <c r="D333" i="1"/>
  <c r="D5158" i="1"/>
  <c r="D5183" i="1"/>
  <c r="D19" i="1"/>
  <c r="D151" i="1"/>
  <c r="D2426" i="1"/>
  <c r="D2891" i="1"/>
  <c r="D13" i="1"/>
  <c r="D4781" i="1"/>
  <c r="D527" i="1"/>
  <c r="D4292" i="1"/>
  <c r="D5095" i="1"/>
  <c r="D4499" i="1"/>
  <c r="D1859" i="1"/>
  <c r="D1130" i="1"/>
  <c r="D3466" i="1"/>
  <c r="D3544" i="1"/>
  <c r="D1632" i="1"/>
  <c r="D2957" i="1"/>
  <c r="D887" i="1"/>
  <c r="D419" i="1"/>
  <c r="D338" i="1"/>
  <c r="D5023" i="1"/>
  <c r="D752" i="1"/>
  <c r="D2969" i="1"/>
  <c r="D1752" i="1"/>
  <c r="D1911" i="1"/>
  <c r="D1765" i="1"/>
  <c r="D3659" i="1"/>
  <c r="D4844" i="1"/>
  <c r="D1307" i="1"/>
  <c r="D673" i="1"/>
  <c r="D52" i="1"/>
  <c r="D3822" i="1"/>
  <c r="D2225" i="1"/>
  <c r="D845" i="1"/>
  <c r="D1356" i="1"/>
  <c r="D4251" i="1"/>
  <c r="D1108" i="1"/>
  <c r="D4789" i="1"/>
  <c r="D5038" i="1"/>
  <c r="D355" i="1"/>
  <c r="D409" i="1"/>
  <c r="D797" i="1"/>
  <c r="D1953" i="1"/>
  <c r="D495" i="1"/>
  <c r="D228" i="1"/>
  <c r="D4097" i="1"/>
  <c r="D4489" i="1"/>
  <c r="D971" i="1"/>
  <c r="D1277" i="1"/>
  <c r="D1874" i="1"/>
  <c r="D4377" i="1"/>
  <c r="D4409" i="1"/>
  <c r="D2065" i="1"/>
  <c r="D959" i="1"/>
  <c r="D337" i="1"/>
  <c r="D4778" i="1"/>
  <c r="D2980" i="1"/>
  <c r="D4157" i="1"/>
  <c r="D318" i="1"/>
  <c r="D4915" i="1"/>
  <c r="D2342" i="1"/>
  <c r="D1106" i="1"/>
  <c r="D4661" i="1"/>
  <c r="D4474" i="1"/>
  <c r="D4430" i="1"/>
  <c r="D1334" i="1"/>
  <c r="D420" i="1"/>
  <c r="D881" i="1"/>
  <c r="D1546" i="1"/>
  <c r="D2206" i="1"/>
  <c r="D190" i="1"/>
  <c r="D90" i="1"/>
  <c r="D5081" i="1"/>
  <c r="D3633" i="1"/>
  <c r="D26" i="1"/>
  <c r="D890" i="1"/>
  <c r="D4606" i="1"/>
  <c r="D1604" i="1"/>
  <c r="D3917" i="1"/>
  <c r="D1904" i="1"/>
  <c r="D229" i="1"/>
  <c r="D1366" i="1"/>
  <c r="D1317" i="1"/>
  <c r="D4392" i="1"/>
  <c r="D1479" i="1"/>
  <c r="D3322" i="1"/>
  <c r="D4226" i="1"/>
  <c r="D2800" i="1"/>
  <c r="D374" i="1"/>
  <c r="D3882" i="1"/>
  <c r="D4311" i="1"/>
  <c r="D382" i="1"/>
  <c r="D996" i="1"/>
  <c r="D4636" i="1"/>
  <c r="D3137" i="1"/>
  <c r="D3064" i="1"/>
  <c r="D3580" i="1"/>
  <c r="D411" i="1"/>
  <c r="D3838" i="1"/>
  <c r="D2257" i="1"/>
  <c r="D994" i="1"/>
  <c r="D578" i="1"/>
  <c r="D4164" i="1"/>
  <c r="D3250" i="1"/>
  <c r="D556" i="1"/>
  <c r="D1999" i="1"/>
  <c r="D4762" i="1"/>
  <c r="D262" i="1"/>
  <c r="D4973" i="1"/>
  <c r="D4743" i="1"/>
  <c r="D2116" i="1"/>
  <c r="D2583" i="1"/>
  <c r="D3388" i="1"/>
  <c r="D2552" i="1"/>
  <c r="D4913" i="1"/>
  <c r="D1134" i="1"/>
  <c r="D1352" i="1"/>
  <c r="D1617" i="1"/>
  <c r="D2114" i="1"/>
  <c r="D858" i="1"/>
  <c r="D710" i="1"/>
  <c r="D1072" i="1"/>
  <c r="D4862" i="1"/>
  <c r="D3763" i="1"/>
  <c r="D889" i="1"/>
  <c r="D2167" i="1"/>
  <c r="D4313" i="1"/>
  <c r="D2838" i="1"/>
  <c r="D3027" i="1"/>
  <c r="D2551" i="1"/>
  <c r="D2221" i="1"/>
  <c r="D3496" i="1"/>
  <c r="D2550" i="1"/>
  <c r="D2266" i="1"/>
  <c r="D4203" i="1"/>
  <c r="D2258" i="1"/>
  <c r="D562" i="1"/>
  <c r="D4085" i="1"/>
  <c r="D2549" i="1"/>
  <c r="D3091" i="1"/>
  <c r="D2435" i="1"/>
  <c r="D3049" i="1"/>
  <c r="D3346" i="1"/>
  <c r="D4005" i="1"/>
  <c r="D2189" i="1"/>
  <c r="D3828" i="1"/>
  <c r="D1466" i="1"/>
  <c r="D2170" i="1"/>
  <c r="D4830" i="1"/>
  <c r="D1351" i="1"/>
  <c r="D1422" i="1"/>
  <c r="D1571" i="1"/>
  <c r="D3946" i="1"/>
  <c r="D3710" i="1"/>
  <c r="D2429" i="1"/>
  <c r="D514" i="1"/>
  <c r="D563" i="1"/>
  <c r="D1368" i="1"/>
  <c r="D2704" i="1"/>
  <c r="D3114" i="1"/>
  <c r="D2959" i="1"/>
  <c r="D4484" i="1"/>
  <c r="D3342" i="1"/>
  <c r="D3131" i="1"/>
  <c r="D1096" i="1"/>
  <c r="D34" i="1"/>
  <c r="D5143" i="1"/>
  <c r="D4075" i="1"/>
  <c r="D746" i="1"/>
  <c r="D3315" i="1"/>
  <c r="D4658" i="1"/>
  <c r="D5151" i="1"/>
  <c r="D252" i="1"/>
  <c r="D4084" i="1"/>
  <c r="D3692" i="1"/>
  <c r="D1942" i="1"/>
  <c r="D2909" i="1"/>
  <c r="D4230" i="1"/>
  <c r="D1878" i="1"/>
  <c r="D291" i="1"/>
  <c r="D215" i="1"/>
  <c r="D1793" i="1"/>
  <c r="D1886" i="1"/>
  <c r="D1090" i="1"/>
  <c r="D4329" i="1"/>
  <c r="D2395" i="1"/>
  <c r="D551" i="1"/>
  <c r="D4266" i="1"/>
  <c r="D1325" i="1"/>
  <c r="D833" i="1"/>
  <c r="D2907" i="1"/>
  <c r="D4007" i="1"/>
  <c r="D98" i="1"/>
  <c r="D3999" i="1"/>
  <c r="D3735" i="1"/>
  <c r="D3317" i="1"/>
  <c r="D4144" i="1"/>
  <c r="D2720" i="1"/>
  <c r="D4188" i="1"/>
  <c r="D3973" i="1"/>
  <c r="D3574" i="1"/>
  <c r="D4323" i="1"/>
  <c r="D334" i="1"/>
  <c r="D3171" i="1"/>
  <c r="D3203" i="1"/>
  <c r="D385" i="1"/>
  <c r="D164" i="1"/>
  <c r="D957" i="1"/>
  <c r="D4505" i="1"/>
  <c r="D1504" i="1"/>
  <c r="D4616" i="1"/>
  <c r="D1336" i="1"/>
  <c r="D4709" i="1"/>
  <c r="D3313" i="1"/>
  <c r="D4863" i="1"/>
  <c r="D169" i="1"/>
  <c r="D935" i="1"/>
  <c r="D4379" i="1"/>
  <c r="D4651" i="1"/>
  <c r="D2762" i="1"/>
  <c r="D1970" i="1"/>
  <c r="D1250" i="1"/>
  <c r="D3826" i="1"/>
  <c r="D754" i="1"/>
  <c r="D796" i="1"/>
  <c r="D277" i="1"/>
  <c r="D2651" i="1"/>
  <c r="D1779" i="1"/>
  <c r="D535" i="1"/>
  <c r="D4556" i="1"/>
  <c r="D4308" i="1"/>
  <c r="D4343" i="1"/>
  <c r="D1478" i="1"/>
  <c r="D3912" i="1"/>
  <c r="D4986" i="1"/>
  <c r="D2238" i="1"/>
  <c r="D5037" i="1"/>
  <c r="D383" i="1"/>
  <c r="D4740" i="1"/>
  <c r="D2680" i="1"/>
  <c r="D354" i="1"/>
  <c r="D879" i="1"/>
  <c r="D4525" i="1"/>
  <c r="D3714" i="1"/>
  <c r="D4271" i="1"/>
  <c r="D3861" i="1"/>
  <c r="D740" i="1"/>
  <c r="D2384" i="1"/>
  <c r="D2612" i="1"/>
  <c r="D1132" i="1"/>
  <c r="D764" i="1"/>
  <c r="D3782" i="1"/>
  <c r="D4312" i="1"/>
  <c r="D572" i="1"/>
  <c r="D3188" i="1"/>
  <c r="D3214" i="1"/>
  <c r="D4259" i="1"/>
  <c r="D3914" i="1"/>
  <c r="D2548" i="1"/>
  <c r="D2759" i="1"/>
  <c r="D1996" i="1"/>
  <c r="D2386" i="1"/>
  <c r="D555" i="1"/>
  <c r="D1292" i="1"/>
  <c r="D3239" i="1"/>
  <c r="D2317" i="1"/>
  <c r="D1605" i="1"/>
  <c r="D2992" i="1"/>
  <c r="D4134" i="1"/>
  <c r="D897" i="1"/>
  <c r="D240" i="1"/>
  <c r="D3262" i="1"/>
  <c r="D1840" i="1"/>
  <c r="D1482" i="1"/>
  <c r="D4092" i="1"/>
  <c r="D3875" i="1"/>
  <c r="D2807" i="1"/>
  <c r="D780" i="1"/>
  <c r="D4649" i="1"/>
  <c r="D3701" i="1"/>
  <c r="D1051" i="1"/>
  <c r="D2860" i="1"/>
  <c r="D2808" i="1"/>
  <c r="D3155" i="1"/>
  <c r="D2073" i="1"/>
  <c r="D4449" i="1"/>
  <c r="D3219" i="1"/>
  <c r="D1555" i="1"/>
  <c r="D2180" i="1"/>
  <c r="D1919" i="1"/>
  <c r="D927" i="1"/>
  <c r="D1111" i="1"/>
  <c r="D470" i="1"/>
  <c r="D1577" i="1"/>
  <c r="D528" i="1"/>
  <c r="D4414" i="1"/>
  <c r="D3272" i="1"/>
  <c r="D79" i="1"/>
  <c r="D4858" i="1"/>
  <c r="D1362" i="1"/>
  <c r="D1264" i="1"/>
  <c r="D633" i="1"/>
  <c r="D2996" i="1"/>
  <c r="D3643" i="1"/>
  <c r="D4666" i="1"/>
  <c r="D4736" i="1"/>
  <c r="D3213" i="1"/>
  <c r="D2779" i="1"/>
  <c r="D2411" i="1"/>
  <c r="D418" i="1"/>
  <c r="D1154" i="1"/>
  <c r="D4511" i="1"/>
  <c r="D2638" i="1"/>
  <c r="D2639" i="1"/>
  <c r="D3622" i="1"/>
  <c r="D1493" i="1"/>
  <c r="D720" i="1"/>
  <c r="D2417" i="1"/>
  <c r="D4282" i="1"/>
  <c r="D972" i="1"/>
  <c r="D1063" i="1"/>
  <c r="D3335" i="1"/>
  <c r="D3495" i="1"/>
  <c r="D2788" i="1"/>
  <c r="D3010" i="1"/>
  <c r="D3012" i="1"/>
  <c r="D641" i="1"/>
  <c r="D3021" i="1"/>
  <c r="D2125" i="1"/>
  <c r="D2237" i="1"/>
  <c r="D313" i="1"/>
  <c r="D2367" i="1"/>
  <c r="D4590" i="1"/>
  <c r="D3962" i="1"/>
  <c r="D2696" i="1"/>
  <c r="D2241" i="1"/>
  <c r="D3811" i="1"/>
  <c r="D2299" i="1"/>
  <c r="D1077" i="1"/>
  <c r="D3953" i="1"/>
  <c r="D1877" i="1"/>
  <c r="D838" i="1"/>
  <c r="D3909" i="1"/>
  <c r="D1464" i="1"/>
  <c r="D4815" i="1"/>
  <c r="D5176" i="1"/>
  <c r="D737" i="1"/>
  <c r="D493" i="1"/>
  <c r="D3321" i="1"/>
  <c r="D1647" i="1"/>
  <c r="D2009" i="1"/>
  <c r="D3754" i="1"/>
  <c r="D722" i="1"/>
  <c r="D2378" i="1"/>
  <c r="D2724" i="1"/>
  <c r="D4567" i="1"/>
  <c r="D2392" i="1"/>
  <c r="D3418" i="1"/>
  <c r="D1469" i="1"/>
  <c r="D2894" i="1"/>
  <c r="D4193" i="1"/>
  <c r="D1163" i="1"/>
  <c r="D2867" i="1"/>
  <c r="D4057" i="1"/>
  <c r="D1459" i="1"/>
  <c r="D4710" i="1"/>
  <c r="D3413" i="1"/>
  <c r="D3420" i="1"/>
  <c r="D1423" i="1"/>
  <c r="D4639" i="1"/>
  <c r="D4317" i="1"/>
  <c r="D2876" i="1"/>
  <c r="D25" i="1"/>
  <c r="D2547" i="1"/>
  <c r="D4770" i="1"/>
  <c r="D2136" i="1"/>
  <c r="D3731" i="1"/>
  <c r="D1697" i="1"/>
  <c r="D2947" i="1"/>
  <c r="D1556" i="1"/>
  <c r="D1581" i="1"/>
  <c r="D3577" i="1"/>
  <c r="D676" i="1"/>
  <c r="D2795" i="1"/>
  <c r="D4334" i="1"/>
  <c r="D4098" i="1"/>
  <c r="D1920" i="1"/>
  <c r="D1371" i="1"/>
  <c r="D842" i="1"/>
  <c r="D3987" i="1"/>
  <c r="D2763" i="1"/>
  <c r="D3231" i="1"/>
  <c r="D1039" i="1"/>
  <c r="D364" i="1"/>
  <c r="D1083" i="1"/>
  <c r="D3295" i="1"/>
  <c r="D1409" i="1"/>
  <c r="D1193" i="1"/>
  <c r="D3102" i="1"/>
  <c r="D4568" i="1"/>
  <c r="D2546" i="1"/>
  <c r="D3369" i="1"/>
  <c r="D739" i="1"/>
  <c r="D1507" i="1"/>
  <c r="D4852" i="1"/>
  <c r="D3712" i="1"/>
  <c r="D1889" i="1"/>
  <c r="D3948" i="1"/>
  <c r="D4948" i="1"/>
  <c r="D909" i="1"/>
  <c r="D3538" i="1"/>
  <c r="D2592" i="1"/>
  <c r="D1876" i="1"/>
  <c r="D4138" i="1"/>
  <c r="D792" i="1"/>
  <c r="D212" i="1"/>
  <c r="D3823" i="1"/>
  <c r="D2804" i="1"/>
  <c r="D2359" i="1"/>
  <c r="D3617" i="1"/>
  <c r="D3349" i="1"/>
  <c r="D3110" i="1"/>
  <c r="D4147" i="1"/>
  <c r="D3460" i="1"/>
  <c r="D3815" i="1"/>
  <c r="D787" i="1"/>
  <c r="D2875" i="1"/>
  <c r="D4088" i="1"/>
  <c r="D2727" i="1"/>
  <c r="D4519" i="1"/>
  <c r="D3925" i="1"/>
  <c r="D4787" i="1"/>
  <c r="D2775" i="1"/>
  <c r="D3467" i="1"/>
  <c r="D4023" i="1"/>
  <c r="D4124" i="1"/>
  <c r="D447" i="1"/>
  <c r="D2846" i="1"/>
  <c r="D1055" i="1"/>
  <c r="D315" i="1"/>
  <c r="D629" i="1"/>
  <c r="D5005" i="1"/>
  <c r="D4011" i="1"/>
  <c r="D2713" i="1"/>
  <c r="D3825" i="1"/>
  <c r="D3778" i="1"/>
  <c r="D3384" i="1"/>
  <c r="D1635" i="1"/>
  <c r="D3502" i="1"/>
  <c r="D3145" i="1"/>
  <c r="D1100" i="1"/>
  <c r="D875" i="1"/>
  <c r="D2997" i="1"/>
  <c r="D862" i="1"/>
  <c r="D1563" i="1"/>
  <c r="D4022" i="1"/>
  <c r="D3698" i="1"/>
  <c r="D3292" i="1"/>
  <c r="D4154" i="1"/>
  <c r="D2967" i="1"/>
  <c r="D1543" i="1"/>
  <c r="D3113" i="1"/>
  <c r="D3752" i="1"/>
  <c r="D1894" i="1"/>
  <c r="D1588" i="1"/>
  <c r="D3329" i="1"/>
  <c r="D3067" i="1"/>
  <c r="D2245" i="1"/>
  <c r="D3340" i="1"/>
  <c r="D1041" i="1"/>
  <c r="D1747" i="1"/>
  <c r="D915" i="1"/>
  <c r="D3978" i="1"/>
  <c r="D3088" i="1"/>
  <c r="D953" i="1"/>
  <c r="D85" i="1"/>
  <c r="D1329" i="1"/>
  <c r="D5111" i="1"/>
  <c r="D1902" i="1"/>
  <c r="D4777" i="1"/>
  <c r="D4793" i="1"/>
  <c r="D1195" i="1"/>
  <c r="D31" i="1"/>
  <c r="D5010" i="1"/>
  <c r="D2300" i="1"/>
  <c r="D4755" i="1"/>
  <c r="D371" i="1"/>
  <c r="D3481" i="1"/>
  <c r="D61" i="1"/>
  <c r="D672" i="1"/>
  <c r="D356" i="1"/>
  <c r="D71" i="1"/>
  <c r="D4940" i="1"/>
  <c r="D4684" i="1"/>
  <c r="D1629" i="1"/>
  <c r="D2418" i="1"/>
  <c r="D3932" i="1"/>
  <c r="D2184" i="1"/>
  <c r="D1144" i="1"/>
  <c r="D2752" i="1"/>
  <c r="D5079" i="1"/>
  <c r="D4555" i="1"/>
  <c r="D179" i="1"/>
  <c r="D5154" i="1"/>
  <c r="D5128" i="1"/>
  <c r="D5137" i="1"/>
  <c r="D33" i="1"/>
  <c r="D4119" i="1"/>
  <c r="D1231" i="1"/>
  <c r="D3870" i="1"/>
  <c r="D1330" i="1"/>
  <c r="D2462" i="1"/>
  <c r="D5112" i="1"/>
  <c r="D3380" i="1"/>
  <c r="D784" i="1"/>
  <c r="D3931" i="1"/>
  <c r="D4993" i="1"/>
  <c r="D4389" i="1"/>
  <c r="D5181" i="1"/>
  <c r="D155" i="1"/>
  <c r="D4169" i="1"/>
  <c r="D5135" i="1"/>
  <c r="D3076" i="1"/>
  <c r="D214" i="1"/>
  <c r="D104" i="1"/>
  <c r="D999" i="1"/>
  <c r="D235" i="1"/>
  <c r="D194" i="1"/>
  <c r="D3693" i="1"/>
  <c r="D4305" i="1"/>
  <c r="D5109" i="1"/>
  <c r="D1677" i="1"/>
  <c r="D4882" i="1"/>
  <c r="D1074" i="1"/>
  <c r="D331" i="1"/>
  <c r="D1515" i="1"/>
  <c r="D4074" i="1"/>
  <c r="D3549" i="1"/>
  <c r="D3159" i="1"/>
  <c r="D4344" i="1"/>
  <c r="D1851" i="1"/>
  <c r="D3273" i="1"/>
  <c r="D2356" i="1"/>
  <c r="D1687" i="1"/>
  <c r="D3940" i="1"/>
  <c r="D4856" i="1"/>
  <c r="D4580" i="1"/>
  <c r="D4679" i="1"/>
  <c r="D1611" i="1"/>
  <c r="D4871" i="1"/>
  <c r="D2835" i="1"/>
  <c r="D319" i="1"/>
  <c r="D44" i="1"/>
  <c r="D2631" i="1"/>
  <c r="D1043" i="1"/>
  <c r="D1766" i="1"/>
  <c r="D3670" i="1"/>
  <c r="D501" i="1"/>
  <c r="D4812" i="1"/>
  <c r="D2162" i="1"/>
  <c r="D2840" i="1"/>
  <c r="D1094" i="1"/>
  <c r="D468" i="1"/>
  <c r="D2419" i="1"/>
  <c r="D1500" i="1"/>
  <c r="D254" i="1"/>
  <c r="D791" i="1"/>
  <c r="D623" i="1"/>
  <c r="D492" i="1"/>
  <c r="D363" i="1"/>
  <c r="D4437" i="1"/>
  <c r="D605" i="1"/>
  <c r="D3866" i="1"/>
  <c r="D832" i="1"/>
  <c r="D1686" i="1"/>
  <c r="D2102" i="1"/>
  <c r="D3897" i="1"/>
  <c r="D3478" i="1"/>
  <c r="D2773" i="1"/>
  <c r="D1171" i="1"/>
  <c r="D2379" i="1"/>
  <c r="D2766" i="1"/>
  <c r="D1908" i="1"/>
  <c r="D211" i="1"/>
  <c r="D5084" i="1"/>
  <c r="D1373" i="1"/>
  <c r="D579" i="1"/>
  <c r="D3007" i="1"/>
  <c r="D4512" i="1"/>
  <c r="D3767" i="1"/>
  <c r="D4518" i="1"/>
  <c r="D2074" i="1"/>
  <c r="D2033" i="1"/>
  <c r="D1454" i="1"/>
  <c r="D3773" i="1"/>
  <c r="D1489" i="1"/>
  <c r="D3634" i="1"/>
  <c r="D2204" i="1"/>
  <c r="D1723" i="1"/>
  <c r="D2991" i="1"/>
  <c r="D1278" i="1"/>
  <c r="D3490" i="1"/>
  <c r="D2120" i="1"/>
  <c r="D1377" i="1"/>
  <c r="D1416" i="1"/>
  <c r="D3806" i="1"/>
  <c r="D1867" i="1"/>
  <c r="D3902" i="1"/>
  <c r="D2282" i="1"/>
  <c r="D1879" i="1"/>
  <c r="D3722" i="1"/>
  <c r="D4304" i="1"/>
  <c r="D2310" i="1"/>
  <c r="D395" i="1"/>
  <c r="D2855" i="1"/>
  <c r="D377" i="1"/>
  <c r="D3138" i="1"/>
  <c r="D4440" i="1"/>
  <c r="D3304" i="1"/>
  <c r="D191" i="1"/>
  <c r="D4562" i="1"/>
  <c r="D2621" i="1"/>
  <c r="D824" i="1"/>
  <c r="D4950" i="1"/>
  <c r="D130" i="1"/>
  <c r="D2774" i="1"/>
  <c r="D2702" i="1"/>
  <c r="D3564" i="1"/>
  <c r="D206" i="1"/>
  <c r="D405" i="1"/>
  <c r="D4650" i="1"/>
  <c r="D4310" i="1"/>
  <c r="D4572" i="1"/>
  <c r="D1590" i="1"/>
  <c r="D4897" i="1"/>
  <c r="D1024" i="1"/>
  <c r="D541" i="1"/>
  <c r="D4559" i="1"/>
  <c r="D984" i="1"/>
  <c r="D1901" i="1"/>
  <c r="D990" i="1"/>
  <c r="D2024" i="1"/>
  <c r="D2143" i="1"/>
  <c r="D2057" i="1"/>
  <c r="D4780" i="1"/>
  <c r="D4462" i="1"/>
  <c r="D4848" i="1"/>
  <c r="D5088" i="1"/>
  <c r="D207" i="1"/>
  <c r="D310" i="1"/>
  <c r="D330" i="1"/>
  <c r="D1133" i="1"/>
  <c r="D4832" i="1"/>
  <c r="D4360" i="1"/>
  <c r="D460" i="1"/>
  <c r="D545" i="1"/>
  <c r="D403" i="1"/>
  <c r="D2902" i="1"/>
  <c r="D4716" i="1"/>
  <c r="D3281" i="1"/>
  <c r="D857" i="1"/>
  <c r="D448" i="1"/>
  <c r="D3135" i="1"/>
  <c r="D4707" i="1"/>
  <c r="D2869" i="1"/>
  <c r="D2437" i="1"/>
  <c r="D4571" i="1"/>
  <c r="D259" i="1"/>
  <c r="D2132" i="1"/>
  <c r="D482" i="1"/>
  <c r="D2841" i="1"/>
  <c r="D652" i="1"/>
  <c r="D332" i="1"/>
  <c r="D4624" i="1"/>
  <c r="D1568" i="1"/>
  <c r="D625" i="1"/>
  <c r="D1630" i="1"/>
  <c r="D4644" i="1"/>
  <c r="D2908" i="1"/>
  <c r="D459" i="1"/>
  <c r="D4202" i="1"/>
  <c r="D4034" i="1"/>
  <c r="D2193" i="1"/>
  <c r="D4161" i="1"/>
  <c r="D938" i="1"/>
  <c r="D4158" i="1"/>
  <c r="D5018" i="1"/>
  <c r="D5051" i="1"/>
  <c r="D3845" i="1"/>
  <c r="D3085" i="1"/>
  <c r="D170" i="1"/>
  <c r="D195" i="1"/>
  <c r="D4958" i="1"/>
  <c r="D931" i="1"/>
  <c r="D1388" i="1"/>
  <c r="D5058" i="1"/>
  <c r="D368" i="1"/>
  <c r="D701" i="1"/>
  <c r="D5136" i="1"/>
  <c r="D159" i="1"/>
  <c r="D5043" i="1"/>
  <c r="D5074" i="1"/>
  <c r="D1311" i="1"/>
  <c r="D1318" i="1"/>
  <c r="D609" i="1"/>
  <c r="D2596" i="1"/>
  <c r="D618" i="1"/>
  <c r="D2018" i="1"/>
  <c r="D4288" i="1"/>
  <c r="D2595" i="1"/>
  <c r="D4643" i="1"/>
  <c r="D851" i="1"/>
  <c r="D1937" i="1"/>
  <c r="D1905" i="1"/>
  <c r="D1233" i="1"/>
  <c r="D416" i="1"/>
  <c r="D4535" i="1"/>
  <c r="D4867" i="1"/>
  <c r="D854" i="1"/>
  <c r="D975" i="1"/>
  <c r="D5068" i="1"/>
  <c r="D757" i="1"/>
  <c r="D1053" i="1"/>
  <c r="D2586" i="1"/>
  <c r="D502" i="1"/>
  <c r="D3360" i="1"/>
  <c r="D429" i="1"/>
  <c r="D4479" i="1"/>
  <c r="D152" i="1"/>
  <c r="D88" i="1"/>
  <c r="D4925" i="1"/>
  <c r="D1313" i="1"/>
  <c r="D2768" i="1"/>
  <c r="D1978" i="1"/>
  <c r="D4918" i="1"/>
  <c r="D1731" i="1"/>
  <c r="D4557" i="1"/>
  <c r="D4013" i="1"/>
  <c r="D2919" i="1"/>
  <c r="D704" i="1"/>
  <c r="D2955" i="1"/>
  <c r="D604" i="1"/>
  <c r="D3799" i="1"/>
  <c r="D3939" i="1"/>
  <c r="D2370" i="1"/>
  <c r="D2961" i="1"/>
  <c r="D1710" i="1"/>
  <c r="D2288" i="1"/>
  <c r="D3246" i="1"/>
  <c r="D1678" i="1"/>
  <c r="D1522" i="1"/>
  <c r="D1777" i="1"/>
  <c r="D4163" i="1"/>
  <c r="D3696" i="1"/>
  <c r="D2625" i="1"/>
  <c r="D2499" i="1"/>
  <c r="D716" i="1"/>
  <c r="D1386" i="1"/>
  <c r="D41" i="1"/>
  <c r="D5075" i="1"/>
  <c r="D1353" i="1"/>
  <c r="D2732" i="1"/>
  <c r="D2432" i="1"/>
  <c r="D2078" i="1"/>
  <c r="D5022" i="1"/>
  <c r="D439" i="1"/>
  <c r="D3252" i="1"/>
  <c r="D2582" i="1"/>
  <c r="D4687" i="1"/>
  <c r="D1232" i="1"/>
  <c r="D1321" i="1"/>
  <c r="D4106" i="1"/>
  <c r="D2028" i="1"/>
  <c r="D3898" i="1"/>
  <c r="D3186" i="1"/>
  <c r="D3391" i="1"/>
  <c r="D1009" i="1"/>
  <c r="D3298" i="1"/>
  <c r="D1044" i="1"/>
  <c r="D1934" i="1"/>
  <c r="D3709" i="1"/>
  <c r="D2322" i="1"/>
  <c r="D649" i="1"/>
  <c r="D3465" i="1"/>
  <c r="D3462" i="1"/>
  <c r="D4711" i="1"/>
  <c r="D3257" i="1"/>
  <c r="D823" i="1"/>
  <c r="D1209" i="1"/>
  <c r="D2654" i="1"/>
  <c r="D1858" i="1"/>
  <c r="D3669" i="1"/>
  <c r="D3919" i="1"/>
  <c r="D3166" i="1"/>
  <c r="D1180" i="1"/>
  <c r="D4021" i="1"/>
  <c r="D3083" i="1"/>
  <c r="D2657" i="1"/>
  <c r="D4941" i="1"/>
  <c r="D4712" i="1"/>
  <c r="D1308" i="1"/>
  <c r="D5015" i="1"/>
  <c r="D4434" i="1"/>
  <c r="D620" i="1"/>
  <c r="D2749" i="1"/>
  <c r="D900" i="1"/>
  <c r="D2099" i="1"/>
  <c r="D3613" i="1"/>
  <c r="D4720" i="1"/>
  <c r="D365" i="1"/>
  <c r="D1533" i="1"/>
  <c r="D2077" i="1"/>
  <c r="D2397" i="1"/>
  <c r="D932" i="1"/>
  <c r="D4135" i="1"/>
  <c r="D3688" i="1"/>
  <c r="D4691" i="1"/>
  <c r="D4538" i="1"/>
  <c r="D2400" i="1"/>
  <c r="D2756" i="1"/>
  <c r="D3733" i="1"/>
  <c r="D425" i="1"/>
  <c r="D2859" i="1"/>
  <c r="D3671" i="1"/>
  <c r="D2104" i="1"/>
  <c r="D138" i="1"/>
  <c r="D2482" i="1"/>
  <c r="D1662" i="1"/>
  <c r="D4619" i="1"/>
  <c r="D765" i="1"/>
  <c r="D2172" i="1"/>
  <c r="D2733" i="1"/>
  <c r="D1637" i="1"/>
  <c r="D2349" i="1"/>
  <c r="D3783" i="1"/>
  <c r="D3485" i="1"/>
  <c r="D4338" i="1"/>
  <c r="D3804" i="1"/>
  <c r="D2454" i="1"/>
  <c r="D4277" i="1"/>
  <c r="D2857" i="1"/>
  <c r="D4401" i="1"/>
  <c r="D1772" i="1"/>
  <c r="D2735" i="1"/>
  <c r="D2609" i="1"/>
  <c r="D683" i="1"/>
  <c r="D3061" i="1"/>
  <c r="D246" i="1"/>
  <c r="D4083" i="1"/>
  <c r="D3539" i="1"/>
  <c r="D4938" i="1"/>
  <c r="D1671" i="1"/>
  <c r="D2524" i="1"/>
  <c r="D3395" i="1"/>
  <c r="D3504" i="1"/>
  <c r="D2147" i="1"/>
  <c r="D4895" i="1"/>
  <c r="D2091" i="1"/>
  <c r="D3853" i="1"/>
  <c r="D3655" i="1"/>
  <c r="D4301" i="1"/>
  <c r="D1258" i="1"/>
  <c r="D444" i="1"/>
  <c r="D3241" i="1"/>
  <c r="D1257" i="1"/>
  <c r="D2531" i="1"/>
  <c r="D5056" i="1"/>
  <c r="D5122" i="1"/>
  <c r="D3261" i="1"/>
  <c r="D4112" i="1"/>
  <c r="D4429" i="1"/>
  <c r="D2312" i="1"/>
  <c r="D1566" i="1"/>
  <c r="D4890" i="1"/>
  <c r="D4086" i="1"/>
  <c r="D1945" i="1"/>
  <c r="D4035" i="1"/>
  <c r="D2041" i="1"/>
  <c r="D2032" i="1"/>
  <c r="D1692" i="1"/>
  <c r="D714" i="1"/>
  <c r="D4761" i="1"/>
  <c r="D1947" i="1"/>
  <c r="D1135" i="1"/>
  <c r="D4444" i="1"/>
  <c r="D2425" i="1"/>
  <c r="D435" i="1"/>
  <c r="D1746" i="1"/>
  <c r="D176" i="1"/>
  <c r="D1374" i="1"/>
  <c r="D4547" i="1"/>
  <c r="D42" i="1"/>
  <c r="D5049" i="1"/>
  <c r="D1076" i="1"/>
  <c r="D3985" i="1"/>
  <c r="D3443" i="1"/>
  <c r="D4227" i="1"/>
  <c r="D2325" i="1"/>
  <c r="D3019" i="1"/>
  <c r="D4849" i="1"/>
  <c r="D4652" i="1"/>
  <c r="D4713" i="1"/>
  <c r="D1033" i="1"/>
  <c r="D952" i="1"/>
  <c r="D272" i="1"/>
  <c r="D175" i="1"/>
  <c r="D4055" i="1"/>
  <c r="D853" i="1"/>
  <c r="D1146" i="1"/>
  <c r="D2422" i="1"/>
  <c r="D308" i="1"/>
  <c r="D1139" i="1"/>
  <c r="D4875" i="1"/>
  <c r="D5071" i="1"/>
  <c r="D3211" i="1"/>
  <c r="D4205" i="1"/>
  <c r="D4978" i="1"/>
  <c r="D1023" i="1"/>
  <c r="D3218" i="1"/>
  <c r="D4280" i="1"/>
  <c r="D818" i="1"/>
  <c r="D4843" i="1"/>
  <c r="D5174" i="1"/>
  <c r="D5180" i="1"/>
  <c r="D414" i="1"/>
  <c r="D455" i="1"/>
  <c r="D2442" i="1"/>
  <c r="D1305" i="1"/>
  <c r="D1299" i="1"/>
  <c r="D4999" i="1"/>
  <c r="D4279" i="1"/>
  <c r="D657" i="1"/>
  <c r="D244" i="1"/>
  <c r="D3033" i="1"/>
  <c r="D4615" i="1"/>
  <c r="D3691" i="1"/>
  <c r="D3689" i="1"/>
  <c r="D4681" i="1"/>
  <c r="D917" i="1"/>
  <c r="D3843" i="1"/>
  <c r="D2001" i="1"/>
  <c r="D1120" i="1"/>
  <c r="D2799" i="1"/>
  <c r="D1397" i="1"/>
  <c r="D3727" i="1"/>
  <c r="D1501" i="1"/>
  <c r="D3355" i="1"/>
  <c r="D4295" i="1"/>
  <c r="D2006" i="1"/>
  <c r="D665" i="1"/>
  <c r="D4076" i="1"/>
  <c r="D2999" i="1"/>
  <c r="D4756" i="1"/>
  <c r="D4536" i="1"/>
  <c r="D3419" i="1"/>
  <c r="D5125" i="1"/>
  <c r="D2963" i="1"/>
  <c r="D750" i="1"/>
  <c r="D4093" i="1"/>
  <c r="D4602" i="1"/>
  <c r="D1624" i="1"/>
  <c r="D5034" i="1"/>
  <c r="D3056" i="1"/>
  <c r="D5159" i="1"/>
  <c r="D5163" i="1"/>
  <c r="D126" i="1"/>
  <c r="D4698" i="1"/>
  <c r="D428" i="1"/>
  <c r="D97" i="1"/>
  <c r="D4663" i="1"/>
  <c r="D699" i="1"/>
  <c r="D1344" i="1"/>
  <c r="D1013" i="1"/>
  <c r="D3645" i="1"/>
  <c r="D477" i="1"/>
  <c r="D4543" i="1"/>
  <c r="D1281" i="1"/>
  <c r="D914" i="1"/>
  <c r="D1410" i="1"/>
  <c r="D616" i="1"/>
  <c r="D3251" i="1"/>
  <c r="D733" i="1"/>
  <c r="D73" i="1"/>
  <c r="D4933" i="1"/>
  <c r="D2918" i="1"/>
  <c r="D4261" i="1"/>
  <c r="D3595" i="1"/>
  <c r="D2389" i="1"/>
  <c r="D613" i="1"/>
  <c r="D963" i="1"/>
  <c r="D2430" i="1"/>
  <c r="D3749" i="1"/>
  <c r="D3017" i="1"/>
  <c r="D2893" i="1"/>
  <c r="D4374" i="1"/>
  <c r="D4660" i="1"/>
  <c r="D3243" i="1"/>
  <c r="D2853" i="1"/>
  <c r="D600" i="1"/>
  <c r="D2506" i="1"/>
  <c r="D2273" i="1"/>
  <c r="D2705" i="1"/>
  <c r="D2202" i="1"/>
  <c r="D2872" i="1"/>
  <c r="D43" i="1"/>
  <c r="D3005" i="1"/>
  <c r="D3602" i="1"/>
  <c r="D860" i="1"/>
  <c r="D2371" i="1"/>
  <c r="D449" i="1"/>
  <c r="D639" i="1"/>
  <c r="D4524" i="1"/>
  <c r="D3332" i="1"/>
  <c r="D3676" i="1"/>
  <c r="D4686" i="1"/>
  <c r="D486" i="1"/>
  <c r="D4965" i="1"/>
  <c r="D221" i="1"/>
  <c r="D4458" i="1"/>
  <c r="D534" i="1"/>
  <c r="D876" i="1"/>
  <c r="D3004" i="1"/>
  <c r="D2187" i="1"/>
  <c r="D4137" i="1"/>
  <c r="D5108" i="1"/>
  <c r="D4355" i="1"/>
  <c r="D1456" i="1"/>
  <c r="D1109" i="1"/>
  <c r="D1038" i="1"/>
  <c r="D4238" i="1"/>
  <c r="D3003" i="1"/>
  <c r="D456" i="1"/>
  <c r="D3797" i="1"/>
  <c r="D4289" i="1"/>
  <c r="D3316" i="1"/>
  <c r="D1252" i="1"/>
  <c r="D1792" i="1"/>
  <c r="D1073" i="1"/>
  <c r="D1738" i="1"/>
  <c r="D4745" i="1"/>
  <c r="D2372" i="1"/>
  <c r="D4412" i="1"/>
  <c r="D4981" i="1"/>
  <c r="D2852" i="1"/>
  <c r="D1754" i="1"/>
  <c r="D1229" i="1"/>
  <c r="D5144" i="1"/>
  <c r="D4647" i="1"/>
  <c r="D2208" i="1"/>
  <c r="D2739" i="1"/>
  <c r="D1633" i="1"/>
  <c r="D4428" i="1"/>
  <c r="D2761" i="1"/>
  <c r="D2504" i="1"/>
  <c r="D3090" i="1"/>
  <c r="D1587" i="1"/>
  <c r="D4968" i="1"/>
  <c r="D772" i="1"/>
  <c r="D2007" i="1"/>
  <c r="D3025" i="1"/>
  <c r="D2236" i="1"/>
  <c r="D2671" i="1"/>
  <c r="D3120" i="1"/>
  <c r="D4212" i="1"/>
  <c r="D3133" i="1"/>
  <c r="D2730" i="1"/>
  <c r="D3107" i="1"/>
  <c r="D3259" i="1"/>
  <c r="D2303" i="1"/>
  <c r="D2358" i="1"/>
  <c r="D3111" i="1"/>
  <c r="D1795" i="1"/>
  <c r="D3993" i="1"/>
  <c r="D1136" i="1"/>
  <c r="D1399" i="1"/>
  <c r="D1916" i="1"/>
  <c r="D1612" i="1"/>
  <c r="D4397" i="1"/>
  <c r="D1809" i="1"/>
  <c r="D4583" i="1"/>
  <c r="D1887" i="1"/>
  <c r="D3536" i="1"/>
  <c r="D2600" i="1"/>
  <c r="D5050" i="1"/>
  <c r="D4016" i="1"/>
  <c r="D4286" i="1"/>
  <c r="D5070" i="1"/>
  <c r="D1892" i="1"/>
  <c r="D3615" i="1"/>
  <c r="D2871" i="1"/>
  <c r="D3237" i="1"/>
  <c r="D3510" i="1"/>
  <c r="D4302" i="1"/>
  <c r="D4992" i="1"/>
  <c r="D4224" i="1"/>
  <c r="D774" i="1"/>
  <c r="D4951" i="1"/>
  <c r="D2490" i="1"/>
  <c r="D5019" i="1"/>
  <c r="D5178" i="1"/>
  <c r="D5045" i="1"/>
  <c r="D150" i="1"/>
  <c r="D2341" i="1"/>
  <c r="D4816" i="1"/>
  <c r="D1332" i="1"/>
  <c r="D4898" i="1"/>
  <c r="D156" i="1"/>
  <c r="D45" i="1"/>
  <c r="D5066" i="1"/>
  <c r="D5053" i="1"/>
  <c r="D5147" i="1"/>
  <c r="D5020" i="1"/>
  <c r="D59" i="1"/>
  <c r="D1695" i="1"/>
  <c r="D1322" i="1"/>
  <c r="D4274" i="1"/>
  <c r="D3482" i="1"/>
  <c r="D4067" i="1"/>
  <c r="D1001" i="1"/>
  <c r="D23" i="1"/>
  <c r="D5165" i="1"/>
  <c r="D3789" i="1"/>
  <c r="D4359" i="1"/>
  <c r="D4426" i="1"/>
  <c r="D3715" i="1"/>
  <c r="D3529" i="1"/>
  <c r="D3706" i="1"/>
  <c r="D4232" i="1"/>
  <c r="D3983" i="1"/>
  <c r="D4394" i="1"/>
  <c r="D2772" i="1"/>
  <c r="D2545" i="1"/>
  <c r="D1774" i="1"/>
  <c r="D2337" i="1"/>
  <c r="D1899" i="1"/>
  <c r="D4625" i="1"/>
  <c r="D664" i="1"/>
  <c r="D1985" i="1"/>
  <c r="D3970" i="1"/>
  <c r="D471" i="1"/>
  <c r="D3647" i="1"/>
  <c r="D781" i="1"/>
  <c r="D2220" i="1"/>
  <c r="D568" i="1"/>
  <c r="D4059" i="1"/>
  <c r="D4733" i="1"/>
  <c r="D2866" i="1"/>
  <c r="D3022" i="1"/>
  <c r="D3344" i="1"/>
  <c r="D4441" i="1"/>
  <c r="D2619" i="1"/>
  <c r="D2663" i="1"/>
  <c r="D3937" i="1"/>
  <c r="D351" i="1"/>
  <c r="D375" i="1"/>
  <c r="D20" i="1"/>
  <c r="D4039" i="1"/>
  <c r="D5161" i="1"/>
  <c r="D4891" i="1"/>
  <c r="D3895" i="1"/>
  <c r="D4853" i="1"/>
  <c r="D1037" i="1"/>
  <c r="D2089" i="1"/>
  <c r="D3587" i="1"/>
  <c r="D1778" i="1"/>
  <c r="D3523" i="1"/>
  <c r="D4410" i="1"/>
  <c r="D4688" i="1"/>
  <c r="D2828" i="1"/>
  <c r="D2861" i="1"/>
  <c r="D1400" i="1"/>
  <c r="D848" i="1"/>
  <c r="D1823" i="1"/>
  <c r="D3950" i="1"/>
  <c r="D2900" i="1"/>
  <c r="D3385" i="1"/>
  <c r="D3654" i="1"/>
  <c r="D1573" i="1"/>
  <c r="D2626" i="1"/>
  <c r="D2627" i="1"/>
  <c r="D1372" i="1"/>
  <c r="D1080" i="1"/>
  <c r="D1025" i="1"/>
  <c r="D4503" i="1"/>
  <c r="D4715" i="1"/>
  <c r="D2974" i="1"/>
  <c r="D642" i="1"/>
  <c r="D4758" i="1"/>
  <c r="D1462" i="1"/>
  <c r="D3562" i="1"/>
  <c r="D3200" i="1"/>
  <c r="D4432" i="1"/>
  <c r="D3527" i="1"/>
  <c r="D3293" i="1"/>
  <c r="D3540" i="1"/>
  <c r="D4970" i="1"/>
  <c r="D3258" i="1"/>
  <c r="D2717" i="1"/>
  <c r="D1189" i="1"/>
  <c r="D968" i="1"/>
  <c r="D1717" i="1"/>
  <c r="D4051" i="1"/>
  <c r="D3531" i="1"/>
  <c r="D1977" i="1"/>
  <c r="D3427" i="1"/>
  <c r="D2544" i="1"/>
  <c r="D3247" i="1"/>
  <c r="D1972" i="1"/>
  <c r="D3583" i="1"/>
  <c r="D1439" i="1"/>
  <c r="D442" i="1"/>
  <c r="D865" i="1"/>
  <c r="D1881" i="1"/>
  <c r="D644" i="1"/>
  <c r="D3807" i="1"/>
  <c r="D222" i="1"/>
  <c r="D302" i="1"/>
  <c r="D372" i="1"/>
  <c r="D1594" i="1"/>
  <c r="D5152" i="1"/>
  <c r="D2271" i="1"/>
  <c r="D948" i="1"/>
  <c r="D1057" i="1"/>
  <c r="D7" i="1"/>
  <c r="D4435" i="1"/>
  <c r="D1622" i="1"/>
  <c r="D4722" i="1"/>
  <c r="D809" i="1"/>
  <c r="D515" i="1"/>
  <c r="D2434" i="1"/>
  <c r="D113" i="1"/>
  <c r="D2998" i="1"/>
  <c r="D1993" i="1"/>
  <c r="D744" i="1"/>
  <c r="D4156" i="1"/>
  <c r="D3440" i="1"/>
  <c r="D516" i="1"/>
  <c r="D387" i="1"/>
  <c r="D2941" i="1"/>
  <c r="D3161" i="1"/>
  <c r="D30" i="1"/>
  <c r="D3758" i="1"/>
  <c r="D187" i="1"/>
  <c r="D4982" i="1"/>
  <c r="D9" i="1"/>
  <c r="D2912" i="1"/>
  <c r="D5138" i="1"/>
  <c r="D700" i="1"/>
  <c r="D4608" i="1"/>
  <c r="D581" i="1"/>
  <c r="D821" i="1"/>
  <c r="D1760" i="1"/>
  <c r="D3762" i="1"/>
  <c r="D362" i="1"/>
  <c r="D5033" i="1"/>
  <c r="D5080" i="1"/>
  <c r="D406" i="1"/>
  <c r="D521" i="1"/>
  <c r="D2921" i="1"/>
  <c r="D4732" i="1"/>
  <c r="D3299" i="1"/>
  <c r="D1445" i="1"/>
  <c r="D4956" i="1"/>
  <c r="D5142" i="1"/>
  <c r="D2456" i="1"/>
  <c r="D75" i="1"/>
  <c r="D3172" i="1"/>
  <c r="D2101" i="1"/>
  <c r="D4029" i="1"/>
  <c r="D2054" i="1"/>
  <c r="D1691" i="1"/>
  <c r="D4581" i="1"/>
  <c r="D916" i="1"/>
  <c r="D3307" i="1"/>
  <c r="D2943" i="1"/>
  <c r="D4502" i="1"/>
  <c r="D4275" i="1"/>
  <c r="D4605" i="1"/>
  <c r="D2865" i="1"/>
  <c r="D4141" i="1"/>
  <c r="D3082" i="1"/>
  <c r="D654" i="1"/>
  <c r="D219" i="1"/>
  <c r="D1755" i="1"/>
  <c r="D570" i="1"/>
  <c r="D798" i="1"/>
  <c r="D4739" i="1"/>
  <c r="D1326" i="1"/>
  <c r="D1506" i="1"/>
  <c r="D659" i="1"/>
  <c r="D168" i="1"/>
  <c r="D4641" i="1"/>
  <c r="D5141" i="1"/>
  <c r="D908" i="1"/>
  <c r="D1759" i="1"/>
  <c r="D335" i="1"/>
  <c r="D883" i="1"/>
  <c r="D115" i="1"/>
  <c r="D4905" i="1"/>
  <c r="D4788" i="1"/>
  <c r="D2710" i="1"/>
  <c r="D655" i="1"/>
  <c r="D2674" i="1"/>
  <c r="D209" i="1"/>
  <c r="D2064" i="1"/>
  <c r="D4521" i="1"/>
  <c r="D536" i="1"/>
  <c r="D2797" i="1"/>
  <c r="D1162" i="1"/>
  <c r="D3839" i="1"/>
  <c r="D1690" i="1"/>
  <c r="D747" i="1"/>
  <c r="D3702" i="1"/>
  <c r="D4041" i="1"/>
  <c r="D3121" i="1"/>
  <c r="D4108" i="1"/>
  <c r="D3491" i="1"/>
  <c r="D3249" i="1"/>
  <c r="D2274" i="1"/>
  <c r="D1491" i="1"/>
  <c r="D24" i="1"/>
  <c r="D2935" i="1"/>
  <c r="D2882" i="1"/>
  <c r="D4269" i="1"/>
  <c r="D4006" i="1"/>
  <c r="D2166" i="1"/>
  <c r="D1688" i="1"/>
  <c r="D1709" i="1"/>
  <c r="D3196" i="1"/>
  <c r="D2679" i="1"/>
  <c r="D1940" i="1"/>
  <c r="D4371" i="1"/>
  <c r="D3569" i="1"/>
  <c r="D941" i="1"/>
  <c r="D2476" i="1"/>
  <c r="D2508" i="1"/>
  <c r="D760" i="1"/>
  <c r="D4186" i="1"/>
  <c r="D2593" i="1"/>
  <c r="D2977" i="1"/>
  <c r="D4133" i="1"/>
  <c r="D1685" i="1"/>
  <c r="D2409" i="1"/>
  <c r="D3057" i="1"/>
  <c r="D590" i="1"/>
  <c r="D3430" i="1"/>
  <c r="D2512" i="1"/>
  <c r="D263" i="1"/>
  <c r="D3728" i="1"/>
  <c r="D4659" i="1"/>
  <c r="D3571" i="1"/>
  <c r="D2477" i="1"/>
  <c r="D5166" i="1"/>
  <c r="D3469" i="1"/>
  <c r="D4628" i="1"/>
  <c r="D3784" i="1"/>
  <c r="D5085" i="1"/>
  <c r="D307" i="1"/>
  <c r="D717" i="1"/>
  <c r="D3519" i="1"/>
  <c r="D869" i="1"/>
  <c r="D3353" i="1"/>
  <c r="D2837" i="1"/>
  <c r="D1442" i="1"/>
  <c r="D3195" i="1"/>
  <c r="D265" i="1"/>
  <c r="D1223" i="1"/>
  <c r="D2473" i="1"/>
  <c r="D3439" i="1"/>
  <c r="D2624" i="1"/>
  <c r="D396" i="1"/>
  <c r="D3986" i="1"/>
  <c r="D2594" i="1"/>
  <c r="D1626" i="1"/>
  <c r="D4665" i="1"/>
  <c r="D2022" i="1"/>
  <c r="D1470" i="1"/>
  <c r="D4" i="1"/>
  <c r="D21" i="1"/>
  <c r="D4753" i="1"/>
  <c r="D77" i="1"/>
  <c r="D54" i="1"/>
  <c r="D1361" i="1"/>
  <c r="D3483" i="1"/>
  <c r="D4911" i="1"/>
  <c r="D4994" i="1"/>
  <c r="D3015" i="1"/>
  <c r="D1603" i="1"/>
  <c r="D3136" i="1"/>
  <c r="D1751" i="1"/>
  <c r="D3598" i="1"/>
  <c r="D1207" i="1"/>
  <c r="D136" i="1"/>
  <c r="D3079" i="1"/>
  <c r="D4258" i="1"/>
  <c r="D1198" i="1"/>
  <c r="D1763" i="1"/>
  <c r="D1914" i="1"/>
  <c r="D1280" i="1"/>
  <c r="D3621" i="1"/>
  <c r="D3969" i="1"/>
  <c r="D4324" i="1"/>
  <c r="D1114" i="1"/>
  <c r="D1591" i="1"/>
  <c r="D57" i="1"/>
  <c r="D1243" i="1"/>
  <c r="D124" i="1"/>
  <c r="D171" i="1"/>
  <c r="D4751" i="1"/>
  <c r="D4939" i="1"/>
  <c r="D1471" i="1"/>
  <c r="D4902" i="1"/>
  <c r="D3635" i="1"/>
  <c r="D5156" i="1"/>
  <c r="D3150" i="1"/>
  <c r="D895" i="1"/>
  <c r="D292" i="1"/>
  <c r="D4508" i="1"/>
  <c r="D1255" i="1"/>
  <c r="D4782" i="1"/>
  <c r="D4769" i="1"/>
  <c r="D3450" i="1"/>
  <c r="D352" i="1"/>
  <c r="D1301" i="1"/>
  <c r="D1929" i="1"/>
  <c r="D4291" i="1"/>
  <c r="D3968" i="1"/>
  <c r="D1158" i="1"/>
  <c r="D3967" i="1"/>
  <c r="D4552" i="1"/>
  <c r="D4300" i="1"/>
  <c r="D3197" i="1"/>
  <c r="D193" i="1"/>
  <c r="D4170" i="1"/>
  <c r="D1682" i="1"/>
  <c r="D549" i="1"/>
  <c r="D1643" i="1"/>
  <c r="D2962" i="1"/>
  <c r="D2453" i="1"/>
  <c r="D1394" i="1"/>
  <c r="D463" i="1"/>
  <c r="D1745" i="1"/>
  <c r="D4325" i="1"/>
  <c r="D2950" i="1"/>
  <c r="D4531" i="1"/>
  <c r="D1048" i="1"/>
  <c r="D103" i="1"/>
  <c r="D768" i="1"/>
  <c r="D2466" i="1"/>
  <c r="D3309" i="1"/>
  <c r="D74" i="1"/>
  <c r="D4201" i="1"/>
  <c r="D1888" i="1"/>
  <c r="D5008" i="1"/>
  <c r="D1186" i="1"/>
  <c r="D3646" i="1"/>
  <c r="D678" i="1"/>
  <c r="D3833" i="1"/>
  <c r="D4073" i="1"/>
  <c r="D452" i="1"/>
  <c r="D3464" i="1"/>
  <c r="D3713" i="1"/>
  <c r="D1783" i="1"/>
  <c r="D3020" i="1"/>
  <c r="D2461" i="1"/>
  <c r="D2994" i="1"/>
  <c r="D4285" i="1"/>
  <c r="D1526" i="1"/>
  <c r="D2097" i="1"/>
  <c r="D1658" i="1"/>
  <c r="D2839" i="1"/>
  <c r="D2390" i="1"/>
  <c r="D3175" i="1"/>
  <c r="D4838" i="1"/>
  <c r="D762" i="1"/>
  <c r="D3434" i="1"/>
  <c r="D5140" i="1"/>
  <c r="D4750" i="1"/>
  <c r="D1157" i="1"/>
  <c r="D3816" i="1"/>
  <c r="D4823" i="1"/>
  <c r="D674" i="1"/>
  <c r="D4561" i="1"/>
  <c r="D3862" i="1"/>
  <c r="D2877" i="1"/>
  <c r="D1941" i="1"/>
  <c r="D3416" i="1"/>
  <c r="D2196" i="1"/>
  <c r="D5121" i="1"/>
  <c r="D3187" i="1"/>
  <c r="D3977" i="1"/>
  <c r="D1378" i="1"/>
  <c r="D5076" i="1"/>
  <c r="D394" i="1"/>
  <c r="D4033" i="1"/>
  <c r="D944" i="1"/>
  <c r="D199" i="1"/>
  <c r="D4766" i="1"/>
  <c r="D1035" i="1"/>
  <c r="D989" i="1"/>
  <c r="D3306" i="1"/>
  <c r="D3608" i="1"/>
  <c r="D4370" i="1"/>
  <c r="D2240" i="1"/>
  <c r="D204" i="1"/>
  <c r="D4420" i="1"/>
  <c r="D537" i="1"/>
  <c r="D3287" i="1"/>
  <c r="D2071" i="1"/>
  <c r="D1670" i="1"/>
  <c r="D1125" i="1"/>
  <c r="D2543" i="1"/>
  <c r="D3404" i="1"/>
  <c r="D2655" i="1"/>
  <c r="D636" i="1"/>
  <c r="D2047" i="1"/>
  <c r="D2311" i="1"/>
  <c r="D4149" i="1"/>
  <c r="D4079" i="1"/>
  <c r="D3217" i="1"/>
  <c r="D942" i="1"/>
  <c r="D1701" i="1"/>
  <c r="D1773" i="1"/>
  <c r="D3837" i="1"/>
  <c r="D1508" i="1"/>
  <c r="D584" i="1"/>
  <c r="D3908" i="1"/>
  <c r="D3072" i="1"/>
  <c r="D3311" i="1"/>
  <c r="D4221" i="1"/>
  <c r="D1056" i="1"/>
  <c r="D3678" i="1"/>
  <c r="D3399" i="1"/>
  <c r="D3134" i="1"/>
  <c r="D1237" i="1"/>
  <c r="D2613" i="1"/>
  <c r="D5036" i="1"/>
  <c r="D2495" i="1"/>
  <c r="D3327" i="1"/>
  <c r="D3080" i="1"/>
  <c r="D1832" i="1"/>
  <c r="D2224" i="1"/>
  <c r="D3286" i="1"/>
  <c r="D3493" i="1"/>
  <c r="D3361" i="1"/>
  <c r="D3768" i="1"/>
  <c r="D2523" i="1"/>
  <c r="D553" i="1"/>
  <c r="D2698" i="1"/>
  <c r="D4082" i="1"/>
  <c r="D2436" i="1"/>
  <c r="D3951" i="1"/>
  <c r="D3140" i="1"/>
  <c r="D2742" i="1"/>
  <c r="D1387" i="1"/>
  <c r="D3981" i="1"/>
  <c r="D2269" i="1"/>
  <c r="D2618" i="1"/>
  <c r="D3960" i="1"/>
  <c r="D1872" i="1"/>
  <c r="D4298" i="1"/>
  <c r="D4814" i="1"/>
  <c r="D4842" i="1"/>
  <c r="D767" i="1"/>
  <c r="D2972" i="1"/>
  <c r="D397" i="1"/>
  <c r="D3066" i="1"/>
  <c r="D1509" i="1"/>
  <c r="D66" i="1"/>
  <c r="D3747" i="1"/>
  <c r="D4204" i="1"/>
  <c r="D4053" i="1"/>
  <c r="D2286" i="1"/>
  <c r="D3965" i="1"/>
  <c r="D2154" i="1"/>
  <c r="D1165" i="1"/>
  <c r="D4461" i="1"/>
  <c r="D3074" i="1"/>
  <c r="D3616" i="1"/>
  <c r="D2195" i="1"/>
  <c r="D2637" i="1"/>
  <c r="D3041" i="1"/>
  <c r="D3746" i="1"/>
  <c r="D3013" i="1"/>
  <c r="D67" i="1"/>
  <c r="D4421" i="1"/>
  <c r="D117" i="1"/>
  <c r="D801" i="1"/>
  <c r="D3142" i="1"/>
  <c r="D3275" i="1"/>
  <c r="D992" i="1"/>
  <c r="D576" i="1"/>
  <c r="D2464" i="1"/>
  <c r="D3636" i="1"/>
  <c r="D3605" i="1"/>
  <c r="D4708" i="1"/>
  <c r="D2015" i="1"/>
  <c r="D3858" i="1"/>
  <c r="D1249" i="1"/>
  <c r="D2451" i="1"/>
  <c r="D5024" i="1"/>
  <c r="D46" i="1"/>
  <c r="D4818" i="1"/>
  <c r="D3934" i="1"/>
  <c r="D2862" i="1"/>
  <c r="D542" i="1"/>
  <c r="D62" i="1"/>
  <c r="D4337" i="1"/>
  <c r="D559" i="1"/>
  <c r="D690" i="1"/>
  <c r="D3704" i="1"/>
  <c r="D2526" i="1"/>
  <c r="D1160" i="1"/>
  <c r="D4957" i="1"/>
  <c r="D1253" i="1"/>
  <c r="D5000" i="1"/>
  <c r="D4400" i="1"/>
  <c r="D5100" i="1"/>
  <c r="D264" i="1"/>
  <c r="D4642" i="1"/>
  <c r="D1634" i="1"/>
  <c r="D5101" i="1"/>
  <c r="D5132" i="1"/>
  <c r="D906" i="1"/>
  <c r="D250" i="1"/>
  <c r="D522" i="1"/>
  <c r="D1718" i="1"/>
  <c r="D4859" i="1"/>
  <c r="D2447" i="1"/>
  <c r="D2460" i="1"/>
  <c r="D4860" i="1"/>
  <c r="D5026" i="1"/>
  <c r="D183" i="1"/>
  <c r="D101" i="1"/>
  <c r="D336" i="1"/>
  <c r="D828" i="1"/>
  <c r="D3894" i="1"/>
  <c r="D4477" i="1"/>
  <c r="D1117" i="1"/>
  <c r="D3494" i="1"/>
  <c r="D3165" i="1"/>
  <c r="D1320" i="1"/>
  <c r="D2692" i="1"/>
  <c r="D249" i="1"/>
  <c r="D1451" i="1"/>
  <c r="D1122" i="1"/>
  <c r="D2927" i="1"/>
  <c r="D1579" i="1"/>
  <c r="D3859" i="1"/>
  <c r="D4824" i="1"/>
  <c r="D3255" i="1"/>
  <c r="D4934" i="1"/>
  <c r="D4318" i="1"/>
  <c r="D4560" i="1"/>
  <c r="D245" i="1"/>
  <c r="D3377" i="1"/>
  <c r="D4253" i="1"/>
  <c r="D1880" i="1"/>
  <c r="D5041" i="1"/>
  <c r="D2410" i="1"/>
  <c r="D2239" i="1"/>
  <c r="D3503" i="1"/>
  <c r="D3610" i="1"/>
  <c r="D3128" i="1"/>
  <c r="D3857" i="1"/>
  <c r="D4757" i="1"/>
  <c r="D3674" i="1"/>
  <c r="D3551" i="1"/>
  <c r="D2387" i="1"/>
  <c r="D680" i="1"/>
  <c r="D4621" i="1"/>
  <c r="D1490" i="1"/>
  <c r="D4706" i="1"/>
  <c r="D4979" i="1"/>
  <c r="D5011" i="1"/>
  <c r="D145" i="1"/>
  <c r="D178" i="1"/>
  <c r="D3874" i="1"/>
  <c r="D1444" i="1"/>
  <c r="D1287" i="1"/>
  <c r="D4834" i="1"/>
  <c r="D1082" i="1"/>
  <c r="D4255" i="1"/>
  <c r="D4738" i="1"/>
  <c r="D5014" i="1"/>
  <c r="D2542" i="1"/>
  <c r="D3008" i="1"/>
  <c r="D451" i="1"/>
  <c r="D1532" i="1"/>
  <c r="D1997" i="1"/>
  <c r="D4772" i="1"/>
  <c r="D273" i="1"/>
  <c r="D431" i="1"/>
  <c r="D4894" i="1"/>
  <c r="D4293" i="1"/>
  <c r="D993" i="1"/>
  <c r="D4165" i="1"/>
  <c r="D1998" i="1"/>
  <c r="D2391" i="1"/>
  <c r="D4090" i="1"/>
  <c r="D667" i="1"/>
  <c r="D1984" i="1"/>
  <c r="D2767" i="1"/>
  <c r="D1910" i="1"/>
  <c r="D1949" i="1"/>
  <c r="D3456" i="1"/>
  <c r="D1225" i="1"/>
  <c r="D621" i="1"/>
  <c r="D3524" i="1"/>
  <c r="D912" i="1"/>
  <c r="D1273" i="1"/>
  <c r="D3359" i="1"/>
  <c r="D144" i="1"/>
  <c r="D4612" i="1"/>
  <c r="D4664" i="1"/>
  <c r="D4349" i="1"/>
  <c r="D280" i="1"/>
  <c r="D3886" i="1"/>
  <c r="D4487" i="1"/>
  <c r="D3890" i="1"/>
  <c r="D1679" i="1"/>
  <c r="D1297" i="1"/>
  <c r="D3378" i="1"/>
  <c r="D381" i="1"/>
  <c r="D4315" i="1"/>
  <c r="D3899" i="1"/>
  <c r="D3331" i="1"/>
  <c r="D4146" i="1"/>
  <c r="D4247" i="1"/>
  <c r="D4319" i="1"/>
  <c r="D3000" i="1"/>
  <c r="D2326" i="1"/>
  <c r="D2254" i="1"/>
  <c r="D2792" i="1"/>
  <c r="D1730" i="1"/>
  <c r="D3505" i="1"/>
  <c r="D980" i="1"/>
  <c r="D3409" i="1"/>
  <c r="D3958" i="1"/>
  <c r="D4143" i="1"/>
  <c r="D3827" i="1"/>
  <c r="D1441" i="1"/>
  <c r="D4597" i="1"/>
  <c r="D3808" i="1"/>
  <c r="D1598" i="1"/>
  <c r="D1645" i="1"/>
  <c r="D2403" i="1"/>
  <c r="D1931" i="1"/>
  <c r="D624" i="1"/>
  <c r="D1547" i="1"/>
  <c r="D4072" i="1"/>
  <c r="D3302" i="1"/>
  <c r="D4040" i="1"/>
  <c r="D2019" i="1"/>
  <c r="D2210" i="1"/>
  <c r="D1664" i="1"/>
  <c r="D2675" i="1"/>
  <c r="D3192" i="1"/>
  <c r="D326" i="1"/>
  <c r="D4807" i="1"/>
  <c r="D3872" i="1"/>
  <c r="D3801" i="1"/>
  <c r="D4290" i="1"/>
  <c r="D2811" i="1"/>
  <c r="D3352" i="1"/>
  <c r="D2307" i="1"/>
  <c r="D647" i="1"/>
  <c r="D2040" i="1"/>
  <c r="D2197" i="1"/>
  <c r="D1309" i="1"/>
  <c r="D2324" i="1"/>
  <c r="D2522" i="1"/>
  <c r="D473" i="1"/>
  <c r="D1392" i="1"/>
  <c r="D3500" i="1"/>
  <c r="D440" i="1"/>
  <c r="D4182" i="1"/>
  <c r="D4111" i="1"/>
  <c r="D4257" i="1"/>
  <c r="D1758" i="1"/>
  <c r="D1927" i="1"/>
  <c r="D3280" i="1"/>
  <c r="D1188" i="1"/>
  <c r="D1987" i="1"/>
  <c r="D2314" i="1"/>
  <c r="D4159" i="1"/>
  <c r="D978" i="1"/>
  <c r="D4773" i="1"/>
  <c r="D3653" i="1"/>
  <c r="D3062" i="1"/>
  <c r="D3644" i="1"/>
  <c r="D3023" i="1"/>
  <c r="D3092" i="1"/>
  <c r="D4223" i="1"/>
  <c r="D3081" i="1"/>
  <c r="D2899" i="1"/>
  <c r="D4931" i="1"/>
  <c r="D4719" i="1"/>
  <c r="D4969" i="1"/>
  <c r="D661" i="1"/>
  <c r="D2728" i="1"/>
  <c r="D4653" i="1"/>
  <c r="D5039" i="1"/>
  <c r="D2336" i="1"/>
  <c r="D4855" i="1"/>
  <c r="D5105" i="1"/>
  <c r="D1272" i="1"/>
  <c r="D131" i="1"/>
  <c r="D290" i="1"/>
  <c r="D4361" i="1"/>
  <c r="D4987" i="1"/>
  <c r="D703" i="1"/>
  <c r="D1407" i="1"/>
  <c r="D489" i="1"/>
  <c r="D3410" i="1"/>
  <c r="D3766" i="1"/>
  <c r="D69" i="1"/>
  <c r="D1592" i="1"/>
  <c r="D4928" i="1"/>
  <c r="D4645" i="1"/>
  <c r="D2215" i="1"/>
  <c r="D1620" i="1"/>
  <c r="D2760" i="1"/>
  <c r="D868" i="1"/>
  <c r="D2731" i="1"/>
  <c r="D2489" i="1"/>
  <c r="D585" i="1"/>
  <c r="D5012" i="1"/>
  <c r="D3532" i="1"/>
  <c r="D4384" i="1"/>
  <c r="D864" i="1"/>
  <c r="D1961" i="1"/>
  <c r="D4173" i="1"/>
  <c r="D3751" i="1"/>
  <c r="D4889" i="1"/>
  <c r="D2404" i="1"/>
  <c r="D2228" i="1"/>
  <c r="D1224" i="1"/>
  <c r="D544" i="1"/>
  <c r="D3913" i="1"/>
  <c r="D591" i="1"/>
  <c r="D4307" i="1"/>
  <c r="D2608" i="1"/>
  <c r="D1761" i="1"/>
  <c r="D966" i="1"/>
  <c r="D3600" i="1"/>
  <c r="D3949" i="1"/>
  <c r="D2108" i="1"/>
  <c r="D3686" i="1"/>
  <c r="D2313" i="1"/>
  <c r="D51" i="1"/>
  <c r="D602" i="1"/>
  <c r="D2541" i="1"/>
  <c r="D1283" i="1"/>
  <c r="D4189" i="1"/>
  <c r="D1461" i="1"/>
  <c r="D2823" i="1"/>
  <c r="D3889" i="1"/>
  <c r="D4806" i="1"/>
  <c r="D3941" i="1"/>
  <c r="D5148" i="1"/>
  <c r="D2124" i="1"/>
  <c r="D4303" i="1"/>
  <c r="D2620" i="1"/>
  <c r="D4522" i="1"/>
  <c r="D1107" i="1"/>
  <c r="D5007" i="1"/>
  <c r="D1960" i="1"/>
  <c r="D843" i="1"/>
  <c r="D2329" i="1"/>
  <c r="D2647" i="1"/>
  <c r="D2251" i="1"/>
  <c r="D1161" i="1"/>
  <c r="D1704" i="1"/>
  <c r="D1554" i="1"/>
  <c r="D1335" i="1"/>
  <c r="D4589" i="1"/>
  <c r="D1868" i="1"/>
  <c r="D4828" i="1"/>
  <c r="D4240" i="1"/>
  <c r="D3289" i="1"/>
  <c r="D4351" i="1"/>
  <c r="D4546" i="1"/>
  <c r="D4861" i="1"/>
  <c r="D3805" i="1"/>
  <c r="D1298" i="1"/>
  <c r="D3177" i="1"/>
  <c r="D1175" i="1"/>
  <c r="D233" i="1"/>
  <c r="D3666" i="1"/>
  <c r="D4411" i="1"/>
  <c r="D2259" i="1"/>
  <c r="D4320" i="1"/>
  <c r="D3533" i="1"/>
  <c r="D426" i="1"/>
  <c r="D1519" i="1"/>
  <c r="D631" i="1"/>
  <c r="D1913" i="1"/>
  <c r="D230" i="1"/>
  <c r="D1166" i="1"/>
  <c r="D2971" i="1"/>
  <c r="D921" i="1"/>
  <c r="D1447" i="1"/>
  <c r="D2137" i="1"/>
  <c r="D4417" i="1"/>
  <c r="D4723" i="1"/>
  <c r="D1896" i="1"/>
  <c r="D4078" i="1"/>
  <c r="D1924" i="1"/>
  <c r="D2014" i="1"/>
  <c r="D1480" i="1"/>
  <c r="D2111" i="1"/>
  <c r="D2150" i="1"/>
  <c r="D1616" i="1"/>
  <c r="D1558" i="1"/>
  <c r="D65" i="1"/>
  <c r="D526" i="1"/>
  <c r="D4405" i="1"/>
  <c r="D1246" i="1"/>
  <c r="D730" i="1"/>
  <c r="D2975" i="1"/>
  <c r="D3792" i="1"/>
  <c r="D3038" i="1"/>
  <c r="D3945" i="1"/>
  <c r="D2222" i="1"/>
  <c r="D650" i="1"/>
  <c r="D4513" i="1"/>
  <c r="D1597" i="1"/>
  <c r="D4804" i="1"/>
  <c r="D4796" i="1"/>
  <c r="D4242" i="1"/>
  <c r="D4820" i="1"/>
  <c r="D586" i="1"/>
  <c r="D2025" i="1"/>
  <c r="D3030" i="1"/>
  <c r="D1638" i="1"/>
  <c r="D4595" i="1"/>
  <c r="D3266" i="1"/>
  <c r="D3881" i="1"/>
  <c r="D928" i="1"/>
  <c r="D3457" i="1"/>
  <c r="D2038" i="1"/>
  <c r="D3546" i="1"/>
  <c r="D3871" i="1"/>
  <c r="D3971" i="1"/>
  <c r="D3288" i="1"/>
  <c r="D1797" i="1"/>
  <c r="D847" i="1"/>
  <c r="D4857" i="1"/>
  <c r="D2260" i="1"/>
  <c r="D3271" i="1"/>
  <c r="D2043" i="1"/>
  <c r="D3525" i="1"/>
  <c r="D3414" i="1"/>
  <c r="D1609" i="1"/>
  <c r="D557" i="1"/>
  <c r="D688" i="1"/>
  <c r="D2518" i="1"/>
  <c r="D4737" i="1"/>
  <c r="D3979" i="1"/>
  <c r="D810" i="1"/>
  <c r="D2212" i="1"/>
  <c r="D4326" i="1"/>
  <c r="D1615" i="1"/>
  <c r="D1302" i="1"/>
  <c r="D3660" i="1"/>
  <c r="D2940" i="1"/>
  <c r="D1930" i="1"/>
  <c r="D3267" i="1"/>
  <c r="D1900" i="1"/>
  <c r="D3625" i="1"/>
  <c r="D2002" i="1"/>
  <c r="D1787" i="1"/>
  <c r="D1561" i="1"/>
  <c r="D427" i="1"/>
  <c r="D4672" i="1"/>
  <c r="D4604" i="1"/>
  <c r="D1468" i="1"/>
  <c r="D3572" i="1"/>
  <c r="D3415" i="1"/>
  <c r="D2000" i="1"/>
  <c r="D3924" i="1"/>
  <c r="D2740" i="1"/>
  <c r="D1841" i="1"/>
  <c r="D2438" i="1"/>
  <c r="D2151" i="1"/>
  <c r="D734" i="1"/>
  <c r="D1802" i="1"/>
  <c r="D3556" i="1"/>
  <c r="D1675" i="1"/>
  <c r="D1557" i="1"/>
  <c r="D2479" i="1"/>
  <c r="D2995" i="1"/>
  <c r="D3436" i="1"/>
  <c r="D2758" i="1"/>
  <c r="D2320" i="1"/>
  <c r="D2444" i="1"/>
  <c r="D2294" i="1"/>
  <c r="D2272" i="1"/>
  <c r="D2298" i="1"/>
  <c r="D2248" i="1"/>
  <c r="D901" i="1"/>
  <c r="D4184" i="1"/>
  <c r="D2413" i="1"/>
  <c r="D3143" i="1"/>
  <c r="D2634" i="1"/>
  <c r="D2688" i="1"/>
  <c r="D2889" i="1"/>
  <c r="D1560" i="1"/>
  <c r="D1656" i="1"/>
  <c r="D1855" i="1"/>
  <c r="D1045" i="1"/>
  <c r="D1177" i="1"/>
  <c r="D3393" i="1"/>
  <c r="D3060" i="1"/>
  <c r="D1909" i="1"/>
  <c r="D1903" i="1"/>
  <c r="D933" i="1"/>
  <c r="D2690" i="1"/>
  <c r="D1452" i="1"/>
  <c r="D1078" i="1"/>
  <c r="D2982" i="1"/>
  <c r="D3364" i="1"/>
  <c r="D2521" i="1"/>
  <c r="D266" i="1"/>
  <c r="D1516" i="1"/>
  <c r="D2584" i="1"/>
  <c r="D430" i="1"/>
  <c r="D4408" i="1"/>
  <c r="D1608" i="1"/>
  <c r="D1005" i="1"/>
  <c r="D1936" i="1"/>
  <c r="D4909" i="1"/>
  <c r="D5099" i="1"/>
  <c r="D4696" i="1"/>
  <c r="D2520" i="1"/>
  <c r="D4746" i="1"/>
  <c r="D893" i="1"/>
  <c r="D1408" i="1"/>
  <c r="D3193" i="1"/>
  <c r="D423" i="1"/>
  <c r="D4368" i="1"/>
  <c r="D3526" i="1"/>
  <c r="D771" i="1"/>
  <c r="D1267" i="1"/>
  <c r="D3675" i="1"/>
  <c r="D4153" i="1"/>
  <c r="D877" i="1"/>
  <c r="D3604" i="1"/>
  <c r="D3294" i="1"/>
  <c r="D3126" i="1"/>
  <c r="D2234" i="1"/>
  <c r="D2588" i="1"/>
  <c r="D2190" i="1"/>
  <c r="D3561" i="1"/>
  <c r="D1988" i="1"/>
  <c r="D2813" i="1"/>
  <c r="D4009" i="1"/>
  <c r="D2481" i="1"/>
  <c r="D3568" i="1"/>
  <c r="D3372" i="1"/>
  <c r="D2683" i="1"/>
  <c r="D3073" i="1"/>
  <c r="D1000" i="1"/>
  <c r="D610" i="1"/>
  <c r="D1019" i="1"/>
  <c r="D378" i="1"/>
  <c r="D3402" i="1"/>
  <c r="D3929" i="1"/>
  <c r="D1925" i="1"/>
  <c r="D3740" i="1"/>
  <c r="D3325" i="1"/>
  <c r="D3098" i="1"/>
  <c r="D1153" i="1"/>
  <c r="D3756" i="1"/>
  <c r="D2095" i="1"/>
  <c r="D3785" i="1"/>
  <c r="D2302" i="1"/>
  <c r="D3124" i="1"/>
  <c r="D560" i="1"/>
  <c r="D1576" i="1"/>
  <c r="D2585" i="1"/>
  <c r="D4841" i="1"/>
  <c r="D2042" i="1"/>
  <c r="D1610" i="1"/>
  <c r="D3147" i="1"/>
  <c r="D2416" i="1"/>
  <c r="D1732" i="1"/>
  <c r="D1564" i="1"/>
  <c r="D1450" i="1"/>
  <c r="D4497" i="1"/>
  <c r="D1331" i="1"/>
  <c r="D4835" i="1"/>
  <c r="D3876" i="1"/>
  <c r="D1952" i="1"/>
  <c r="D1852" i="1"/>
  <c r="D3265" i="1"/>
  <c r="D3242" i="1"/>
  <c r="D4363" i="1"/>
  <c r="D1206" i="1"/>
  <c r="D2017" i="1"/>
  <c r="D3771" i="1"/>
  <c r="D2261" i="1"/>
  <c r="D1495" i="1"/>
  <c r="D3511" i="1"/>
  <c r="D3100" i="1"/>
  <c r="D2027" i="1"/>
  <c r="D3435" i="1"/>
  <c r="D3458" i="1"/>
  <c r="D3992" i="1"/>
  <c r="D3438" i="1"/>
  <c r="D2332" i="1"/>
  <c r="D1218" i="1"/>
  <c r="D3835" i="1"/>
  <c r="D3069" i="1"/>
  <c r="D1274" i="1"/>
  <c r="D2693" i="1"/>
  <c r="D16" i="1"/>
  <c r="D4760" i="1"/>
  <c r="D1964" i="1"/>
  <c r="D1967" i="1"/>
  <c r="D2884" i="1"/>
  <c r="D4808" i="1"/>
  <c r="D4248" i="1"/>
  <c r="D389" i="1"/>
  <c r="D1707" i="1"/>
  <c r="D3930" i="1"/>
  <c r="D3980" i="1"/>
  <c r="D2796" i="1"/>
  <c r="D1864" i="1"/>
  <c r="D1391" i="1"/>
  <c r="D3445" i="1"/>
  <c r="D4181" i="1"/>
  <c r="D2493" i="1"/>
  <c r="D2587" i="1"/>
  <c r="D1290" i="1"/>
  <c r="D3401" i="1"/>
  <c r="D2686" i="1"/>
  <c r="D1102" i="1"/>
  <c r="D991" i="1"/>
  <c r="D539" i="1"/>
  <c r="D3920" i="1"/>
  <c r="D4215" i="1"/>
  <c r="D3791" i="1"/>
  <c r="D2449" i="1"/>
  <c r="D4008" i="1"/>
  <c r="D3550" i="1"/>
  <c r="D1412" i="1"/>
  <c r="D2253" i="1"/>
  <c r="D924" i="1"/>
  <c r="D3887" i="1"/>
  <c r="D3639" i="1"/>
  <c r="D2824" i="1"/>
  <c r="D4962" i="1"/>
  <c r="D4225" i="1"/>
  <c r="D2604" i="1"/>
  <c r="D2645" i="1"/>
  <c r="D1404" i="1"/>
  <c r="D2883" i="1"/>
  <c r="D2885" i="1"/>
  <c r="D1806" i="1"/>
  <c r="D3741" i="1"/>
  <c r="D2115" i="1"/>
  <c r="D3842" i="1"/>
  <c r="D4070" i="1"/>
  <c r="D2519" i="1"/>
  <c r="D4194" i="1"/>
  <c r="D2406" i="1"/>
  <c r="D2695" i="1"/>
  <c r="D2076" i="1"/>
  <c r="D4068" i="1"/>
  <c r="D2765" i="1"/>
  <c r="D2815" i="1"/>
  <c r="D3268" i="1"/>
  <c r="D503" i="1"/>
  <c r="D3904" i="1"/>
  <c r="D2328" i="1"/>
  <c r="D1438" i="1"/>
  <c r="D5087" i="1"/>
  <c r="D1156" i="1"/>
  <c r="D5001" i="1"/>
  <c r="D4749" i="1"/>
  <c r="D2474" i="1"/>
  <c r="D1719" i="1"/>
  <c r="D380" i="1"/>
  <c r="D2812" i="1"/>
  <c r="D461" i="1"/>
  <c r="D4514" i="1"/>
  <c r="D3375" i="1"/>
  <c r="D3864" i="1"/>
  <c r="D806" i="1"/>
  <c r="D926" i="1"/>
  <c r="D149" i="1"/>
  <c r="D4544" i="1"/>
  <c r="D5069" i="1"/>
  <c r="D3803" i="1"/>
  <c r="D4754" i="1"/>
  <c r="D4697" i="1"/>
  <c r="D3995" i="1"/>
  <c r="D496" i="1"/>
  <c r="D485" i="1"/>
  <c r="D1943" i="1"/>
  <c r="D3739" i="1"/>
  <c r="D2423" i="1"/>
  <c r="D3363" i="1"/>
  <c r="D4576" i="1"/>
  <c r="D3043" i="1"/>
  <c r="D1427" i="1"/>
  <c r="D2936" i="1"/>
  <c r="D1898" i="1"/>
  <c r="D2338" i="1"/>
  <c r="D2498" i="1"/>
  <c r="D1314" i="1"/>
  <c r="D626" i="1"/>
  <c r="D4819" i="1"/>
  <c r="D2267" i="1"/>
  <c r="D1969" i="1"/>
  <c r="D3685" i="1"/>
  <c r="D2798" i="1"/>
  <c r="D247" i="1"/>
  <c r="D3926" i="1"/>
  <c r="D4404" i="1"/>
  <c r="D3109" i="1"/>
  <c r="D1757" i="1"/>
  <c r="D2517" i="1"/>
  <c r="D3125" i="1"/>
  <c r="D3662" i="1"/>
  <c r="D2540" i="1"/>
  <c r="D2452" i="1"/>
  <c r="D1907" i="1"/>
  <c r="D1248" i="1"/>
  <c r="D4080" i="1"/>
  <c r="D2911" i="1"/>
  <c r="D3157" i="1"/>
  <c r="D2834" i="1"/>
  <c r="D4465" i="1"/>
  <c r="D3956" i="1"/>
  <c r="D2973" i="1"/>
  <c r="D1689" i="1"/>
  <c r="D1762" i="1"/>
  <c r="D3183" i="1"/>
  <c r="D2881" i="1"/>
  <c r="D4831" i="1"/>
  <c r="D1093" i="1"/>
  <c r="D3966" i="1"/>
  <c r="D2060" i="1"/>
  <c r="D1574" i="1"/>
  <c r="D2496" i="1"/>
  <c r="D4390" i="1"/>
  <c r="D1944" i="1"/>
  <c r="D2746" i="1"/>
  <c r="D836" i="1"/>
  <c r="D2131" i="1"/>
  <c r="D2484" i="1"/>
  <c r="D3070" i="1"/>
  <c r="D3518" i="1"/>
  <c r="D2948" i="1"/>
  <c r="D1631" i="1"/>
  <c r="D5054" i="1"/>
  <c r="D2138" i="1"/>
  <c r="D1389" i="1"/>
  <c r="D970" i="1"/>
  <c r="D719" i="1"/>
  <c r="D2687" i="1"/>
  <c r="D4534" i="1"/>
  <c r="D2122" i="1"/>
  <c r="D2381" i="1"/>
  <c r="D2126" i="1"/>
  <c r="D202" i="1"/>
  <c r="D554" i="1"/>
  <c r="D2051" i="1"/>
  <c r="D1786" i="1"/>
  <c r="D628" i="1"/>
  <c r="D3116" i="1"/>
  <c r="D3588" i="1"/>
  <c r="D1242" i="1"/>
  <c r="D1458" i="1"/>
  <c r="D1607" i="1"/>
  <c r="D2344" i="1"/>
  <c r="D4908" i="1"/>
  <c r="D4406" i="1"/>
  <c r="D4467" i="1"/>
  <c r="D3947" i="1"/>
  <c r="D3429" i="1"/>
  <c r="D2870" i="1"/>
  <c r="D4495" i="1"/>
  <c r="D4529" i="1"/>
  <c r="D4961" i="1"/>
  <c r="D4352" i="1"/>
  <c r="D566" i="1"/>
  <c r="D1539" i="1"/>
  <c r="D4069" i="1"/>
  <c r="D1064" i="1"/>
  <c r="D2662" i="1"/>
  <c r="D2978" i="1"/>
  <c r="D4348" i="1"/>
  <c r="D3086" i="1"/>
  <c r="D2514" i="1"/>
  <c r="D1600" i="1"/>
  <c r="D2070" i="1"/>
  <c r="D3051" i="1"/>
  <c r="D4506" i="1"/>
  <c r="D3892" i="1"/>
  <c r="D402" i="1"/>
  <c r="D2515" i="1"/>
  <c r="D99" i="1"/>
  <c r="D4802" i="1"/>
  <c r="D937" i="1"/>
  <c r="D3942" i="1"/>
  <c r="D4598" i="1"/>
  <c r="D2053" i="1"/>
  <c r="D3011" i="1"/>
  <c r="D3044" i="1"/>
  <c r="D2308" i="1"/>
  <c r="D4244" i="1"/>
  <c r="D3928" i="1"/>
  <c r="D2374" i="1"/>
  <c r="D1137" i="1"/>
  <c r="D1523" i="1"/>
  <c r="D3642" i="1"/>
  <c r="D3392" i="1"/>
  <c r="D3290" i="1"/>
  <c r="D14" i="1"/>
  <c r="D4175" i="1"/>
  <c r="D4540" i="1"/>
  <c r="D3473" i="1"/>
  <c r="D954" i="1"/>
  <c r="D1553" i="1"/>
  <c r="D3123" i="1"/>
  <c r="D2769" i="1"/>
  <c r="D1337" i="1"/>
  <c r="D2357" i="1"/>
  <c r="D1105" i="1"/>
  <c r="D271" i="1"/>
  <c r="D4671" i="1"/>
  <c r="D3227" i="1"/>
  <c r="D1812" i="1"/>
  <c r="D2153" i="1"/>
  <c r="D1251" i="1"/>
  <c r="D2905" i="1"/>
  <c r="D3989" i="1"/>
  <c r="D2605" i="1"/>
  <c r="D10" i="1"/>
  <c r="D3819" i="1"/>
  <c r="D2722" i="1"/>
  <c r="D4494" i="1"/>
  <c r="D1525" i="1"/>
  <c r="D122" i="1"/>
  <c r="D3263" i="1"/>
  <c r="D4045" i="1"/>
  <c r="D3499" i="1"/>
  <c r="D4478" i="1"/>
  <c r="D3221" i="1"/>
  <c r="D4162" i="1"/>
  <c r="D1197" i="1"/>
  <c r="D1227" i="1"/>
  <c r="D3732" i="1"/>
  <c r="D643" i="1"/>
  <c r="D3408" i="1"/>
  <c r="D82" i="1"/>
  <c r="D453" i="1"/>
  <c r="D370" i="1"/>
  <c r="D347" i="1"/>
  <c r="D89" i="1"/>
  <c r="D731" i="1"/>
  <c r="D4448" i="1"/>
  <c r="D2952" i="1"/>
  <c r="D17" i="1"/>
  <c r="D5114" i="1"/>
  <c r="D1191" i="1"/>
  <c r="D1473" i="1"/>
  <c r="D509" i="1"/>
  <c r="D2182" i="1"/>
  <c r="D4783" i="1"/>
  <c r="D3498" i="1"/>
  <c r="D29" i="1"/>
  <c r="D4172" i="1"/>
  <c r="D464" i="1"/>
  <c r="D1084" i="1"/>
  <c r="D1706" i="1"/>
  <c r="D1782" i="1"/>
  <c r="D1012" i="1"/>
  <c r="D3323" i="1"/>
  <c r="D110" i="1"/>
  <c r="D236" i="1"/>
  <c r="D1741" i="1"/>
  <c r="D2231" i="1"/>
  <c r="D5134" i="1"/>
  <c r="D165" i="1"/>
  <c r="D2188" i="1"/>
  <c r="D4946" i="1"/>
  <c r="D3184" i="1"/>
  <c r="D3065" i="1"/>
  <c r="D2117" i="1"/>
  <c r="D2175" i="1"/>
  <c r="D4553" i="1"/>
  <c r="D3729" i="1"/>
  <c r="D3386" i="1"/>
  <c r="D4998" i="1"/>
  <c r="D284" i="1"/>
  <c r="D1514" i="1"/>
  <c r="D2010" i="1"/>
  <c r="D4464" i="1"/>
  <c r="D4868" i="1"/>
  <c r="D320" i="1"/>
  <c r="D344" i="1"/>
  <c r="D640" i="1"/>
  <c r="D4054" i="1"/>
  <c r="D323" i="1"/>
  <c r="D4593" i="1"/>
  <c r="D1289" i="1"/>
  <c r="D3755" i="1"/>
  <c r="D3220" i="1"/>
  <c r="D2005" i="1"/>
  <c r="D4575" i="1"/>
  <c r="D1789" i="1"/>
  <c r="D4019" i="1"/>
  <c r="D200" i="1"/>
  <c r="D87" i="1"/>
  <c r="D899" i="1"/>
  <c r="D167" i="1"/>
  <c r="D388" i="1"/>
  <c r="D2421" i="1"/>
  <c r="D940" i="1"/>
  <c r="D3244" i="1"/>
  <c r="D1499" i="1"/>
  <c r="D1059" i="1"/>
  <c r="D15" i="1"/>
  <c r="D56" i="1"/>
  <c r="D479" i="1"/>
  <c r="D2968" i="1"/>
  <c r="D5160" i="1"/>
  <c r="D5124" i="1"/>
  <c r="D37" i="1"/>
  <c r="D4947" i="1"/>
  <c r="D769" i="1"/>
  <c r="D4692" i="1"/>
  <c r="D1496" i="1"/>
  <c r="D4314" i="1"/>
  <c r="D4208" i="1"/>
  <c r="D2785" i="1"/>
  <c r="D1124" i="1"/>
  <c r="D3356" i="1"/>
  <c r="D3775" i="1"/>
  <c r="D5133" i="1"/>
  <c r="D1029" i="1"/>
  <c r="D4542" i="1"/>
  <c r="D805" i="1"/>
  <c r="D1230" i="1"/>
  <c r="D1089" i="1"/>
  <c r="D4347" i="1"/>
  <c r="D612" i="1"/>
  <c r="D4433" i="1"/>
  <c r="D2623" i="1"/>
  <c r="D4528" i="1"/>
  <c r="D1518" i="1"/>
  <c r="D1895" i="1"/>
  <c r="D4354" i="1"/>
  <c r="D903" i="1"/>
  <c r="D243" i="1"/>
  <c r="D2830" i="1"/>
  <c r="D4423" i="1"/>
  <c r="D2539" i="1"/>
  <c r="D4674" i="1"/>
  <c r="D483" i="1"/>
  <c r="D3601" i="1"/>
  <c r="D4493" i="1"/>
  <c r="D2581" i="1"/>
  <c r="D4064" i="1"/>
  <c r="D2817" i="1"/>
  <c r="D4196" i="1"/>
  <c r="D2960" i="1"/>
  <c r="D5021" i="1"/>
  <c r="D2355" i="1"/>
  <c r="D1425" i="1"/>
  <c r="D3461" i="1"/>
  <c r="D3777" i="1"/>
  <c r="D4893" i="1"/>
  <c r="D1061" i="1"/>
  <c r="D1066" i="1"/>
  <c r="D1711" i="1"/>
  <c r="D95" i="1"/>
  <c r="D3389" i="1"/>
  <c r="D5083" i="1"/>
  <c r="D958" i="1"/>
  <c r="D1415" i="1"/>
  <c r="D4587" i="1"/>
  <c r="D2983" i="1"/>
  <c r="D1699" i="1"/>
  <c r="D205" i="1"/>
  <c r="D2509" i="1"/>
  <c r="D726" i="1"/>
  <c r="D1781" i="1"/>
  <c r="D3943" i="1"/>
  <c r="D721" i="1"/>
  <c r="D4229" i="1"/>
  <c r="D4056" i="1"/>
  <c r="D5064" i="1"/>
  <c r="D300" i="1"/>
  <c r="D638" i="1"/>
  <c r="D4345" i="1"/>
  <c r="D3176" i="1"/>
  <c r="D173" i="1"/>
  <c r="D4309" i="1"/>
  <c r="D2081" i="1"/>
  <c r="D3869" i="1"/>
  <c r="D153" i="1"/>
  <c r="D325" i="1"/>
  <c r="D2140" i="1"/>
  <c r="D2045" i="1"/>
  <c r="D3936" i="1"/>
  <c r="D3277" i="1"/>
  <c r="D745" i="1"/>
  <c r="D1095" i="1"/>
  <c r="D5092" i="1"/>
  <c r="D3860" i="1"/>
  <c r="D2932" i="1"/>
  <c r="D962" i="1"/>
  <c r="D3776" i="1"/>
  <c r="D598" i="1"/>
  <c r="D1602" i="1"/>
  <c r="D241" i="1"/>
  <c r="D4626" i="1"/>
  <c r="D2503" i="1"/>
  <c r="D2611" i="1"/>
  <c r="D1016" i="1"/>
  <c r="D3584" i="1"/>
  <c r="D4356" i="1"/>
  <c r="D4026" i="1"/>
  <c r="D2450" i="1"/>
  <c r="D4498" i="1"/>
  <c r="D4235" i="1"/>
  <c r="D305" i="1"/>
  <c r="D2090" i="1"/>
  <c r="D4445" i="1"/>
  <c r="D3821" i="1"/>
  <c r="D3830" i="1"/>
  <c r="D1424" i="1"/>
  <c r="D3515" i="1"/>
  <c r="D4385" i="1"/>
  <c r="D1417" i="1"/>
  <c r="D599" i="1"/>
  <c r="D2407" i="1"/>
  <c r="D2465" i="1"/>
  <c r="D1142" i="1"/>
  <c r="D3975" i="1"/>
  <c r="D1585" i="1"/>
  <c r="D2598" i="1"/>
  <c r="D855" i="1"/>
  <c r="D3534" i="1"/>
  <c r="D2277" i="1"/>
  <c r="D2268" i="1"/>
  <c r="D1497" i="1"/>
  <c r="D2094" i="1"/>
  <c r="D3162" i="1"/>
  <c r="D1517" i="1"/>
  <c r="D3961" i="1"/>
  <c r="D2672" i="1"/>
  <c r="D1847" i="1"/>
  <c r="D3680" i="1"/>
  <c r="D3543" i="1"/>
  <c r="D4943" i="1"/>
  <c r="D1034" i="1"/>
  <c r="D873" i="1"/>
  <c r="D36" i="1"/>
  <c r="D2321" i="1"/>
  <c r="D4885" i="1"/>
  <c r="D4110" i="1"/>
  <c r="D5017" i="1"/>
  <c r="D1222" i="1"/>
  <c r="D1164" i="1"/>
  <c r="D627" i="1"/>
  <c r="D3411" i="1"/>
  <c r="D4455" i="1"/>
  <c r="D3651" i="1"/>
  <c r="D1794" i="1"/>
  <c r="D3454" i="1"/>
  <c r="D2023" i="1"/>
  <c r="D3338" i="1"/>
  <c r="D2538" i="1"/>
  <c r="D4821" i="1"/>
  <c r="D4694" i="1"/>
  <c r="D437" i="1"/>
  <c r="D2747" i="1"/>
  <c r="D1976" i="1"/>
  <c r="D1217" i="1"/>
  <c r="D1756" i="1"/>
  <c r="D1185" i="1"/>
  <c r="D3790" i="1"/>
  <c r="D2330" i="1"/>
  <c r="D2845" i="1"/>
  <c r="D2697" i="1"/>
  <c r="D2533" i="1"/>
  <c r="D934" i="1"/>
  <c r="D3891" i="1"/>
  <c r="D2956" i="1"/>
  <c r="D4635" i="1"/>
  <c r="D2318" i="1"/>
  <c r="D2537" i="1"/>
  <c r="D1807" i="1"/>
  <c r="D2209" i="1"/>
  <c r="D3035" i="1"/>
  <c r="D2864" i="1"/>
  <c r="D2734" i="1"/>
  <c r="D3182" i="1"/>
  <c r="D2536" i="1"/>
  <c r="D506" i="1"/>
  <c r="D4214" i="1"/>
  <c r="D1652" i="1"/>
  <c r="D3130" i="1"/>
  <c r="D443" i="1"/>
  <c r="D2243" i="1"/>
  <c r="D4803" i="1"/>
  <c r="D3922" i="1"/>
  <c r="D3963" i="1"/>
  <c r="D1551" i="1"/>
  <c r="D3638" i="1"/>
  <c r="D1990" i="1"/>
  <c r="D3730" i="1"/>
  <c r="D5059" i="1"/>
  <c r="D3236" i="1"/>
  <c r="D218" i="1"/>
  <c r="D4369" i="1"/>
  <c r="D1453" i="1"/>
  <c r="D3215" i="1"/>
  <c r="D2062" i="1"/>
  <c r="D2103" i="1"/>
  <c r="D2929" i="1"/>
  <c r="D2388" i="1"/>
  <c r="D1310" i="1"/>
  <c r="D1380" i="1"/>
  <c r="D2105" i="1"/>
  <c r="D1002" i="1"/>
  <c r="D1918" i="1"/>
  <c r="D242" i="1"/>
  <c r="D3047" i="1"/>
  <c r="D379" i="1"/>
  <c r="D64" i="1"/>
  <c r="D4485" i="1"/>
  <c r="D491" i="1"/>
  <c r="D1127" i="1"/>
  <c r="D3918" i="1"/>
  <c r="D1390" i="1"/>
  <c r="D3750" i="1"/>
  <c r="D68" i="1"/>
  <c r="D3212" i="1"/>
  <c r="D4491" i="1"/>
  <c r="D3343" i="1"/>
  <c r="D3868" i="1"/>
  <c r="D2787" i="1"/>
  <c r="D2412" i="1"/>
  <c r="D3254" i="1"/>
  <c r="D314" i="1"/>
  <c r="D2676" i="1"/>
  <c r="D4200" i="1"/>
  <c r="D4331" i="1"/>
  <c r="D1324" i="1"/>
  <c r="D1665" i="1"/>
  <c r="D800" i="1"/>
  <c r="D106" i="1"/>
  <c r="D946" i="1"/>
  <c r="D8" i="1"/>
  <c r="D4252" i="1"/>
  <c r="D2118" i="1"/>
  <c r="D4220" i="1"/>
  <c r="D120" i="1"/>
  <c r="D4136" i="1"/>
  <c r="D3661" i="1"/>
  <c r="D441" i="1"/>
  <c r="D2296" i="1"/>
  <c r="D49" i="1"/>
  <c r="D5" i="1"/>
  <c r="D3952" i="1"/>
  <c r="D234" i="1"/>
  <c r="D4896" i="1"/>
  <c r="D5153" i="1"/>
  <c r="D4418" i="1"/>
  <c r="D565" i="1"/>
  <c r="D5042" i="1"/>
  <c r="D4322" i="1"/>
  <c r="D2843" i="1"/>
  <c r="D1973" i="1"/>
  <c r="D3684" i="1"/>
  <c r="D5167" i="1"/>
  <c r="D1379" i="1"/>
  <c r="D2896" i="1"/>
  <c r="D4509" i="1"/>
  <c r="D4669" i="1"/>
  <c r="D94" i="1"/>
  <c r="D269" i="1"/>
  <c r="D4199" i="1"/>
  <c r="D35" i="1"/>
  <c r="D998" i="1"/>
  <c r="D1639" i="1"/>
  <c r="D311" i="1"/>
  <c r="D4209" i="1"/>
  <c r="D3373" i="1"/>
  <c r="D3207" i="1"/>
  <c r="D4066" i="1"/>
  <c r="D1411" i="1"/>
  <c r="D4966" i="1"/>
  <c r="D5169" i="1"/>
  <c r="D4373" i="1"/>
  <c r="D775" i="1"/>
  <c r="D4767" i="1"/>
  <c r="D5107" i="1"/>
  <c r="D5035" i="1"/>
  <c r="D39" i="1"/>
  <c r="D505" i="1"/>
  <c r="D4574" i="1"/>
  <c r="D384" i="1"/>
  <c r="D433" i="1"/>
  <c r="D5127" i="1"/>
  <c r="D4646" i="1"/>
  <c r="D583" i="1"/>
  <c r="D885" i="1"/>
  <c r="D4160" i="1"/>
  <c r="D499" i="1"/>
  <c r="D2820" i="1"/>
  <c r="D3230" i="1"/>
  <c r="D1828" i="1"/>
  <c r="D407" i="1"/>
  <c r="D2965" i="1"/>
  <c r="D4118" i="1"/>
  <c r="D197" i="1"/>
  <c r="D2667" i="1"/>
  <c r="D1843" i="1"/>
  <c r="D2513" i="1"/>
  <c r="D1954" i="1"/>
  <c r="D1263" i="1"/>
  <c r="D2500" i="1"/>
  <c r="D5094" i="1"/>
  <c r="D5103" i="1"/>
  <c r="D2011" i="1"/>
  <c r="D2714" i="1"/>
  <c r="D4983" i="1"/>
  <c r="D597" i="1"/>
  <c r="D1382" i="1"/>
  <c r="D5004" i="1"/>
  <c r="D1683" i="1"/>
  <c r="D2139" i="1"/>
  <c r="D1220" i="1"/>
  <c r="D1341" i="1"/>
  <c r="D981" i="1"/>
  <c r="D188" i="1"/>
  <c r="D1118" i="1"/>
  <c r="D4222" i="1"/>
  <c r="D743" i="1"/>
  <c r="D1672" i="1"/>
  <c r="D3705" i="1"/>
  <c r="D4936" i="1"/>
  <c r="D977" i="1"/>
  <c r="D1488" i="1"/>
  <c r="D3370" i="1"/>
  <c r="D1443" i="1"/>
  <c r="D3037" i="1"/>
  <c r="D1052" i="1"/>
  <c r="D4586" i="1"/>
  <c r="D3153" i="1"/>
  <c r="D1813" i="1"/>
  <c r="D1661" i="1"/>
  <c r="D114" i="1"/>
  <c r="D1814" i="1"/>
  <c r="D517" i="1"/>
  <c r="D2530" i="1"/>
  <c r="D830" i="1"/>
  <c r="D834" i="1"/>
  <c r="D825" i="1"/>
  <c r="D2914" i="1"/>
  <c r="D18" i="1"/>
  <c r="D216" i="1"/>
  <c r="D4874" i="1"/>
  <c r="D1235" i="1"/>
  <c r="D163" i="1"/>
  <c r="D4187" i="1"/>
  <c r="D174" i="1"/>
  <c r="D295" i="1"/>
  <c r="D4099" i="1"/>
  <c r="D3744" i="1"/>
  <c r="D695" i="1"/>
  <c r="D4584" i="1"/>
  <c r="D5104" i="1"/>
  <c r="D3850" i="1"/>
  <c r="D2777" i="1"/>
  <c r="D494" i="1"/>
  <c r="D1116" i="1"/>
  <c r="D6" i="1"/>
  <c r="D630" i="1"/>
  <c r="D4995" i="1"/>
  <c r="D4358" i="1"/>
  <c r="D287" i="1"/>
  <c r="D1241" i="1"/>
  <c r="D421" i="1"/>
  <c r="D1856" i="1"/>
  <c r="D4037" i="1"/>
  <c r="D4239" i="1"/>
  <c r="D794" i="1"/>
  <c r="D1528" i="1"/>
  <c r="D5065" i="1"/>
  <c r="D4631" i="1"/>
  <c r="D53" i="1"/>
  <c r="D401" i="1"/>
  <c r="D3718" i="1"/>
  <c r="D776" i="1"/>
  <c r="D1284" i="1"/>
  <c r="D4977" i="1"/>
  <c r="D4742" i="1"/>
  <c r="D1668" i="1"/>
  <c r="D844" i="1"/>
  <c r="D4383" i="1"/>
  <c r="D1721" i="1"/>
  <c r="D3048" i="1"/>
  <c r="D2856" i="1"/>
  <c r="D3284" i="1"/>
  <c r="D1979" i="1"/>
  <c r="D2501" i="1"/>
  <c r="D469" i="1"/>
  <c r="D2013" i="1"/>
  <c r="D4328" i="1"/>
  <c r="D4839" i="1"/>
  <c r="D4145" i="1"/>
  <c r="D4523" i="1"/>
  <c r="D472" i="1"/>
  <c r="D2207" i="1"/>
  <c r="D4018" i="1"/>
  <c r="D1348" i="1"/>
  <c r="D2743" i="1"/>
  <c r="D1295" i="1"/>
  <c r="D2878" i="1"/>
  <c r="D3351" i="1"/>
  <c r="D3278" i="1"/>
  <c r="D1800" i="1"/>
  <c r="D2046" i="1"/>
  <c r="D2873" i="1"/>
  <c r="D4115" i="1"/>
  <c r="D3042" i="1"/>
  <c r="D2825" i="1"/>
  <c r="D2420" i="1"/>
  <c r="D4798" i="1"/>
  <c r="D2933" i="1"/>
  <c r="D276" i="1"/>
  <c r="D4854" i="1"/>
  <c r="D3014" i="1"/>
  <c r="D920" i="1"/>
  <c r="D3570" i="1"/>
  <c r="D4623" i="1"/>
  <c r="D923" i="1"/>
  <c r="D3269" i="1"/>
  <c r="D239" i="1"/>
  <c r="D1520" i="1"/>
  <c r="D1883" i="1"/>
  <c r="D275" i="1"/>
  <c r="D504" i="1"/>
  <c r="D3614" i="1"/>
  <c r="D4273" i="1"/>
  <c r="D1291" i="1"/>
  <c r="D3708" i="1"/>
  <c r="D2333" i="1"/>
  <c r="D3854" i="1"/>
  <c r="D5082" i="1"/>
  <c r="D232" i="1"/>
  <c r="D686" i="1"/>
  <c r="D123" i="1"/>
  <c r="D588" i="1"/>
  <c r="D3118" i="1"/>
  <c r="D434" i="1"/>
  <c r="D4579" i="1"/>
  <c r="D1906" i="1"/>
  <c r="D766" i="1"/>
  <c r="D1548" i="1"/>
  <c r="D3350" i="1"/>
  <c r="D3626" i="1"/>
  <c r="D2026" i="1"/>
  <c r="D3301" i="1"/>
  <c r="D2488" i="1"/>
  <c r="D2205" i="1"/>
  <c r="D4264" i="1"/>
  <c r="D4047" i="1"/>
  <c r="D3205" i="1"/>
  <c r="D4960" i="1"/>
  <c r="D4107" i="1"/>
  <c r="D3974" i="1"/>
  <c r="D2938" i="1"/>
  <c r="D4990" i="1"/>
  <c r="D4475" i="1"/>
  <c r="D5091" i="1"/>
  <c r="D5129" i="1"/>
  <c r="D360" i="1"/>
  <c r="D4174" i="1"/>
  <c r="D1780" i="1"/>
  <c r="D681" i="1"/>
  <c r="D349" i="1"/>
  <c r="D116" i="1"/>
  <c r="D973" i="1"/>
  <c r="D255" i="1"/>
  <c r="D72" i="1"/>
  <c r="D849" i="1"/>
  <c r="D5126" i="1"/>
  <c r="D4847" i="1"/>
  <c r="D874" i="1"/>
  <c r="D3117" i="1"/>
  <c r="D4747" i="1"/>
  <c r="D4596" i="1"/>
  <c r="D5131" i="1"/>
  <c r="D4975" i="1"/>
  <c r="D100" i="1"/>
  <c r="D4527" i="1"/>
  <c r="D898" i="1"/>
  <c r="D1716" i="1"/>
  <c r="D3990" i="1"/>
  <c r="D1565" i="1"/>
  <c r="D4131" i="1"/>
  <c r="D5067" i="1"/>
  <c r="D3479" i="1"/>
  <c r="D5047" i="1"/>
  <c r="D1799" i="1"/>
  <c r="D162" i="1"/>
  <c r="D1293" i="1"/>
  <c r="D1349" i="1"/>
  <c r="D947" i="1"/>
  <c r="D2576" i="1"/>
  <c r="D260" i="1"/>
  <c r="D2343" i="1"/>
  <c r="D3328" i="1"/>
  <c r="D2366" i="1"/>
  <c r="D3581" i="1"/>
  <c r="D3677" i="1"/>
  <c r="D2897" i="1"/>
  <c r="D2186" i="1"/>
  <c r="D1087" i="1"/>
  <c r="D2892" i="1"/>
  <c r="D3224" i="1"/>
  <c r="D4450" i="1"/>
  <c r="D4752" i="1"/>
  <c r="D685" i="1"/>
  <c r="D2658" i="1"/>
  <c r="D1448" i="1"/>
  <c r="D2174" i="1"/>
  <c r="D3687" i="1"/>
  <c r="D3769" i="1"/>
  <c r="D3028" i="1"/>
  <c r="D2670" i="1"/>
  <c r="D446" i="1"/>
  <c r="D1570" i="1"/>
  <c r="D2700" i="1"/>
  <c r="D2146" i="1"/>
  <c r="D1201" i="1"/>
  <c r="D4132" i="1"/>
  <c r="D2155" i="1"/>
  <c r="D3326" i="1"/>
  <c r="D532" i="1"/>
  <c r="D896" i="1"/>
  <c r="D5119" i="1"/>
  <c r="D2660" i="1"/>
  <c r="D2842" i="1"/>
  <c r="D3737" i="1"/>
  <c r="D4402" i="1"/>
  <c r="D3170" i="1"/>
  <c r="D2659" i="1"/>
  <c r="D1286" i="1"/>
  <c r="D1989" i="1"/>
  <c r="D3208" i="1"/>
  <c r="D727" i="1"/>
  <c r="D2640" i="1"/>
  <c r="D2836" i="1"/>
  <c r="D1345" i="1"/>
  <c r="D2819" i="1"/>
  <c r="D4539" i="1"/>
  <c r="D4191" i="1"/>
  <c r="D3210" i="1"/>
  <c r="D4774" i="1"/>
  <c r="D1092" i="1"/>
  <c r="D2181" i="1"/>
  <c r="D1027" i="1"/>
  <c r="D2632" i="1"/>
  <c r="D4588" i="1"/>
  <c r="D3640" i="1"/>
  <c r="D905" i="1"/>
  <c r="D4103" i="1"/>
  <c r="D3554" i="1"/>
  <c r="D1155" i="1"/>
  <c r="D2230" i="1"/>
  <c r="D2981" i="1"/>
  <c r="D3036" i="1"/>
  <c r="D2748" i="1"/>
  <c r="D2408" i="1"/>
  <c r="D2157" i="1"/>
  <c r="D3725" i="1"/>
  <c r="D3158" i="1"/>
  <c r="D1494" i="1"/>
  <c r="D2990" i="1"/>
  <c r="D2874" i="1"/>
  <c r="D2898" i="1"/>
  <c r="D4914" i="1"/>
  <c r="D3641" i="1"/>
  <c r="D2954" i="1"/>
  <c r="D2226" i="1"/>
  <c r="D2350" i="1"/>
  <c r="D524" i="1"/>
  <c r="D1734" i="1"/>
  <c r="D4178" i="1"/>
  <c r="D3921" i="1"/>
  <c r="D1430" i="1"/>
  <c r="D2744" i="1"/>
  <c r="D4046" i="1"/>
  <c r="D4049" i="1"/>
  <c r="D2677" i="1"/>
  <c r="D4457" i="1"/>
  <c r="D1266" i="1"/>
  <c r="D1740" i="1"/>
  <c r="D2446" i="1"/>
  <c r="D2988" i="1"/>
  <c r="D2246" i="1"/>
  <c r="D4794" i="1"/>
  <c r="D632" i="1"/>
  <c r="D1835" i="1"/>
  <c r="D4249" i="1"/>
  <c r="D1815" i="1"/>
  <c r="D2949" i="1"/>
  <c r="D3565" i="1"/>
  <c r="D3087" i="1"/>
  <c r="D2185" i="1"/>
  <c r="D1694" i="1"/>
  <c r="D160" i="1"/>
  <c r="D4413" i="1"/>
  <c r="D4425" i="1"/>
  <c r="D3059" i="1"/>
  <c r="D3105" i="1"/>
  <c r="D4150" i="1"/>
  <c r="D1712" i="1"/>
  <c r="D3122" i="1"/>
  <c r="D3599" i="1"/>
  <c r="D2491" i="1"/>
  <c r="D2363" i="1"/>
  <c r="D1912" i="1"/>
  <c r="D3903" i="1"/>
  <c r="D2579" i="1"/>
  <c r="D4683" i="1"/>
  <c r="D1271" i="1"/>
  <c r="D3180" i="1"/>
  <c r="D3753" i="1"/>
  <c r="D2113" i="1"/>
  <c r="D4393" i="1"/>
  <c r="D2134" i="1"/>
  <c r="D3206" i="1"/>
  <c r="D2723" i="1"/>
  <c r="D4113" i="1"/>
  <c r="D1959" i="1"/>
  <c r="D1085" i="1"/>
  <c r="D1935" i="1"/>
  <c r="D2597" i="1"/>
  <c r="D2854" i="1"/>
  <c r="D2216" i="1"/>
  <c r="D2848" i="1"/>
  <c r="D3814" i="1"/>
  <c r="D3820" i="1"/>
  <c r="D3664" i="1"/>
  <c r="D2794" i="1"/>
  <c r="D5149" i="1"/>
  <c r="D1790" i="1"/>
  <c r="D1848" i="1"/>
  <c r="D1753" i="1"/>
  <c r="D3846" i="1"/>
  <c r="D4427" i="1"/>
  <c r="D4168" i="1"/>
  <c r="D2616" i="1"/>
  <c r="D3996" i="1"/>
  <c r="D3045" i="1"/>
  <c r="D3703" i="1"/>
  <c r="D723" i="1"/>
  <c r="D1492" i="1"/>
  <c r="D2502" i="1"/>
  <c r="D3484" i="1"/>
  <c r="D3339" i="1"/>
  <c r="D4044" i="1"/>
  <c r="D4837" i="1"/>
  <c r="D4620" i="1"/>
  <c r="D268" i="1"/>
  <c r="D1342" i="1"/>
  <c r="D4792" i="1"/>
  <c r="D3667" i="1"/>
  <c r="D3905" i="1"/>
  <c r="D3593" i="1"/>
  <c r="D1724" i="1"/>
  <c r="D4945" i="1"/>
  <c r="D1244" i="1"/>
  <c r="D5102" i="1"/>
  <c r="D5078" i="1"/>
  <c r="D3497" i="1"/>
  <c r="D2806" i="1"/>
  <c r="D2470" i="1"/>
  <c r="D4866" i="1"/>
  <c r="D1974" i="1"/>
  <c r="D225" i="1"/>
  <c r="D140" i="1"/>
  <c r="D93" i="1"/>
  <c r="D1327" i="1"/>
  <c r="D3054" i="1"/>
  <c r="D1398" i="1"/>
  <c r="D697" i="1"/>
  <c r="D1575" i="1"/>
  <c r="D713" i="1"/>
  <c r="D712" i="1"/>
  <c r="D2607" i="1"/>
  <c r="D1821" i="1"/>
  <c r="D692" i="1"/>
  <c r="D327" i="1"/>
  <c r="D2249" i="1"/>
  <c r="D4456" i="1"/>
  <c r="D2414" i="1"/>
  <c r="D3437" i="1"/>
  <c r="D4476" i="1"/>
  <c r="D1811" i="1"/>
  <c r="D3786" i="1"/>
  <c r="D4903" i="1"/>
  <c r="D4638" i="1"/>
  <c r="D4398" i="1"/>
  <c r="D694" i="1"/>
  <c r="D1086" i="1"/>
  <c r="D870" i="1"/>
  <c r="D1011" i="1"/>
  <c r="D1958" i="1"/>
  <c r="D3406" i="1"/>
  <c r="D1381" i="1"/>
  <c r="D1549" i="1"/>
  <c r="D4731" i="1"/>
  <c r="D2931" i="1"/>
  <c r="D1088" i="1"/>
  <c r="D3513" i="1"/>
  <c r="D2067" i="1"/>
  <c r="D3055" i="1"/>
  <c r="D1455" i="1"/>
  <c r="D1922" i="1"/>
  <c r="D137" i="1"/>
  <c r="D1980" i="1"/>
  <c r="D4662" i="1"/>
  <c r="D2066" i="1"/>
  <c r="D1567" i="1"/>
  <c r="D4630" i="1"/>
  <c r="D2008" i="1"/>
  <c r="D3603" i="1"/>
  <c r="D4566" i="1"/>
  <c r="D950" i="1"/>
  <c r="D1268" i="1"/>
  <c r="D2199" i="1"/>
  <c r="D3063" i="1"/>
  <c r="D3724" i="1"/>
  <c r="D582" i="1"/>
  <c r="D2149" i="1"/>
  <c r="D3296" i="1"/>
  <c r="D2323" i="1"/>
  <c r="D3721" i="1"/>
  <c r="D4795" i="1"/>
  <c r="D793" i="1"/>
  <c r="D3106" i="1"/>
  <c r="D1646" i="1"/>
  <c r="D1054" i="1"/>
  <c r="D3432" i="1"/>
  <c r="D3607" i="1"/>
  <c r="D724" i="1"/>
  <c r="D2890" i="1"/>
  <c r="D3240" i="1"/>
  <c r="D3412" i="1"/>
  <c r="D2930" i="1"/>
  <c r="D3537" i="1"/>
  <c r="D3348" i="1"/>
  <c r="D3441" i="1"/>
  <c r="D2396" i="1"/>
  <c r="D3683" i="1"/>
  <c r="D1481" i="1"/>
  <c r="D3530" i="1"/>
  <c r="D1770" i="1"/>
  <c r="D237" i="1"/>
  <c r="D2021" i="1"/>
  <c r="D4031" i="1"/>
  <c r="D4176" i="1"/>
  <c r="D985" i="1"/>
  <c r="D2643" i="1"/>
  <c r="D3742" i="1"/>
  <c r="D2219" i="1"/>
  <c r="D3031" i="1"/>
  <c r="D3557" i="1"/>
  <c r="D3324" i="1"/>
  <c r="D1060" i="1"/>
  <c r="D1364" i="1"/>
  <c r="D476" i="1"/>
  <c r="D4042" i="1"/>
  <c r="D894" i="1"/>
  <c r="D2050" i="1"/>
  <c r="D3893" i="1"/>
  <c r="D3695" i="1"/>
  <c r="D2987" i="1"/>
  <c r="D3204" i="1"/>
  <c r="D1744" i="1"/>
  <c r="D1981" i="1"/>
  <c r="D2439" i="1"/>
  <c r="D788" i="1"/>
  <c r="D1796" i="1"/>
  <c r="D4060" i="1"/>
  <c r="D4699" i="1"/>
  <c r="D3586" i="1"/>
  <c r="D1355" i="1"/>
  <c r="D2360" i="1"/>
  <c r="D1260" i="1"/>
  <c r="D3337" i="1"/>
  <c r="D3628" i="1"/>
  <c r="D1684" i="1"/>
  <c r="D2849" i="1"/>
  <c r="D2635" i="1"/>
  <c r="D1693" i="1"/>
  <c r="D1921" i="1"/>
  <c r="D2510" i="1"/>
  <c r="D2331" i="1"/>
  <c r="D3127" i="1"/>
  <c r="D2827" i="1"/>
  <c r="D4104" i="1"/>
  <c r="D5030" i="1"/>
  <c r="D5164" i="1"/>
  <c r="D2485" i="1"/>
  <c r="D728" i="1"/>
  <c r="D4447" i="1"/>
  <c r="D4211" i="1"/>
  <c r="D1067" i="1"/>
  <c r="D603" i="1"/>
  <c r="D3852" i="1"/>
  <c r="D32" i="1"/>
  <c r="D484" i="1"/>
  <c r="D2263" i="1"/>
  <c r="D4028" i="1"/>
  <c r="D1446" i="1"/>
  <c r="D2346" i="1"/>
  <c r="D2989" i="1"/>
  <c r="D1791" i="1"/>
  <c r="D3039" i="1"/>
  <c r="D2256" i="1"/>
  <c r="D258" i="1"/>
  <c r="D2218" i="1"/>
  <c r="D2652" i="1"/>
  <c r="D1938" i="1"/>
  <c r="D3863" i="1"/>
  <c r="D3957" i="1"/>
  <c r="D2106" i="1"/>
  <c r="D2223" i="1"/>
  <c r="D3609" i="1"/>
  <c r="D822" i="1"/>
  <c r="D520" i="1"/>
  <c r="D1213" i="1"/>
  <c r="D2285" i="1"/>
  <c r="D2755" i="1"/>
  <c r="D1810" i="1"/>
  <c r="D2405" i="1"/>
  <c r="D1857" i="1"/>
  <c r="D1727" i="1"/>
  <c r="D3923" i="1"/>
  <c r="D2916" i="1"/>
  <c r="D3362" i="1"/>
  <c r="D3077" i="1"/>
  <c r="D1413" i="1"/>
  <c r="D3093" i="1"/>
  <c r="D3421" i="1"/>
  <c r="D3174" i="1"/>
  <c r="D1584" i="1"/>
  <c r="D417" i="1"/>
  <c r="D1926" i="1"/>
  <c r="D2128" i="1"/>
  <c r="D3367" i="1"/>
  <c r="D4087" i="1"/>
  <c r="D4004" i="1"/>
  <c r="D2049" i="1"/>
  <c r="D907" i="1"/>
  <c r="D3624" i="1"/>
  <c r="D4207" i="1"/>
  <c r="D4923" i="1"/>
  <c r="D3982" i="1"/>
  <c r="D687" i="1"/>
  <c r="D645" i="1"/>
  <c r="D2976" i="1"/>
  <c r="D2915" i="1"/>
  <c r="D4533" i="1"/>
  <c r="D4166" i="1"/>
  <c r="D1196" i="1"/>
  <c r="D2780" i="1"/>
  <c r="D863" i="1"/>
  <c r="D4128" i="1"/>
  <c r="D1826" i="1"/>
  <c r="D3736" i="1"/>
  <c r="D1370" i="1"/>
  <c r="D328" i="1"/>
  <c r="D1426" i="1"/>
  <c r="D2262" i="1"/>
  <c r="D756" i="1"/>
  <c r="D3829" i="1"/>
  <c r="D1014" i="1"/>
  <c r="D1994" i="1"/>
  <c r="D2399" i="1"/>
  <c r="D2044" i="1"/>
  <c r="D2578" i="1"/>
  <c r="D3812" i="1"/>
  <c r="D4256" i="1"/>
  <c r="D3238" i="1"/>
  <c r="D3672" i="1"/>
  <c r="D4726" i="1"/>
  <c r="D4967" i="1"/>
  <c r="D1101" i="1"/>
  <c r="D4510" i="1"/>
  <c r="D2708" i="1"/>
  <c r="D1703" i="1"/>
  <c r="D3991" i="1"/>
  <c r="D3132" i="1"/>
  <c r="D398" i="1"/>
  <c r="D2158" i="1"/>
  <c r="D322" i="1"/>
  <c r="D2383" i="1"/>
  <c r="D4724" i="1"/>
  <c r="D1228" i="1"/>
  <c r="D1435" i="1"/>
  <c r="D3394" i="1"/>
  <c r="D3488" i="1"/>
  <c r="D2653" i="1"/>
  <c r="D3955" i="1"/>
  <c r="D1184" i="1"/>
  <c r="D2229" i="1"/>
  <c r="D1285" i="1"/>
  <c r="D4700" i="1"/>
  <c r="D2304" i="1"/>
  <c r="D3365" i="1"/>
  <c r="D2093" i="1"/>
  <c r="D1098" i="1"/>
  <c r="D1212" i="1"/>
  <c r="D3559" i="1"/>
  <c r="D1982" i="1"/>
  <c r="D1530" i="1"/>
  <c r="D1214" i="1"/>
  <c r="D634" i="1"/>
  <c r="D3606" i="1"/>
  <c r="D1831" i="1"/>
  <c r="D3772" i="1"/>
  <c r="D4667" i="1"/>
  <c r="D671" i="1"/>
  <c r="D2782" i="1"/>
  <c r="D288" i="1"/>
  <c r="D2614" i="1"/>
  <c r="D982" i="1"/>
  <c r="D2580" i="1"/>
  <c r="D2290" i="1"/>
  <c r="D861" i="1"/>
  <c r="D3209" i="1"/>
  <c r="D3627" i="1"/>
  <c r="D4101" i="1"/>
  <c r="D4558" i="1"/>
  <c r="D2201" i="1"/>
  <c r="D1357" i="1"/>
  <c r="D4656" i="1"/>
  <c r="D707" i="1"/>
  <c r="D3216" i="1"/>
  <c r="D790" i="1"/>
  <c r="D4245" i="1"/>
  <c r="D4027" i="1"/>
  <c r="D3052" i="1"/>
  <c r="D1545" i="1"/>
  <c r="D1808" i="1"/>
  <c r="D1657" i="1"/>
  <c r="D807" i="1"/>
  <c r="D3578" i="1"/>
  <c r="D1948" i="1"/>
  <c r="D2004" i="1"/>
  <c r="D3673" i="1"/>
  <c r="D3558" i="1"/>
  <c r="D410" i="1"/>
  <c r="D3972" i="1"/>
  <c r="D1236" i="1"/>
  <c r="D1097" i="1"/>
  <c r="D2072" i="1"/>
  <c r="D1750" i="1"/>
  <c r="D2191" i="1"/>
  <c r="D2810" i="1"/>
  <c r="D424" i="1"/>
  <c r="D3006" i="1"/>
  <c r="D2516" i="1"/>
  <c r="D1928" i="1"/>
  <c r="D2376" i="1"/>
  <c r="D2382" i="1"/>
  <c r="D3964" i="1"/>
  <c r="D2056" i="1"/>
  <c r="D342" i="1"/>
  <c r="D2715" i="1"/>
  <c r="D1140" i="1"/>
  <c r="D3283" i="1"/>
  <c r="D2736" i="1"/>
  <c r="D2923" i="1"/>
  <c r="D4452" i="1"/>
  <c r="D4850" i="1"/>
  <c r="D4790" i="1"/>
  <c r="D1300" i="1"/>
  <c r="D4932" i="1"/>
  <c r="D2109" i="1"/>
  <c r="D755" i="1"/>
  <c r="D2275" i="1"/>
  <c r="D1582" i="1"/>
  <c r="D1256" i="1"/>
  <c r="D3514" i="1"/>
  <c r="D3726" i="1"/>
  <c r="D4183" i="1"/>
  <c r="D2365" i="1"/>
  <c r="D2148" i="1"/>
  <c r="D1873" i="1"/>
  <c r="D827" i="1"/>
  <c r="D614" i="1"/>
  <c r="D3620" i="1"/>
  <c r="D1261" i="1"/>
  <c r="D3506" i="1"/>
  <c r="D2887" i="1"/>
  <c r="D3656" i="1"/>
  <c r="D4886" i="1"/>
  <c r="D1849" i="1"/>
  <c r="D2492" i="1"/>
  <c r="D1437" i="1"/>
  <c r="D2906" i="1"/>
  <c r="D2603" i="1"/>
  <c r="D651" i="1"/>
  <c r="D4563" i="1"/>
  <c r="D4845" i="1"/>
  <c r="D1884" i="1"/>
  <c r="D1623" i="1"/>
  <c r="D2754" i="1"/>
  <c r="D4668" i="1"/>
  <c r="D1395" i="1"/>
  <c r="D538" i="1"/>
  <c r="D4472" i="1"/>
  <c r="D1068" i="1"/>
  <c r="D2247" i="1"/>
  <c r="D2716" i="1"/>
  <c r="D1070" i="1"/>
  <c r="D2084" i="1"/>
  <c r="D1062" i="1"/>
  <c r="D3509" i="1"/>
  <c r="D1614" i="1"/>
  <c r="D682" i="1"/>
  <c r="D2161" i="1"/>
  <c r="D2764" i="1"/>
  <c r="D2602" i="1"/>
  <c r="D3312" i="1"/>
  <c r="D316" i="1"/>
  <c r="D530" i="1"/>
  <c r="D203" i="1"/>
  <c r="D2472" i="1"/>
  <c r="D884" i="1"/>
  <c r="D3596" i="1"/>
  <c r="D4139" i="1"/>
  <c r="D488" i="1"/>
  <c r="D4321" i="1"/>
  <c r="D1733" i="1"/>
  <c r="D5063" i="1"/>
  <c r="D4254" i="1"/>
  <c r="D462" i="1"/>
  <c r="D1429" i="1"/>
  <c r="D4030" i="1"/>
  <c r="D1834" i="1"/>
  <c r="D4611" i="1"/>
  <c r="D3480" i="1"/>
  <c r="D886" i="1"/>
  <c r="D1202" i="1"/>
  <c r="D4704" i="1"/>
  <c r="D1536" i="1"/>
  <c r="D1983" i="1"/>
  <c r="D658" i="1"/>
  <c r="D3139" i="1"/>
  <c r="D513" i="1"/>
  <c r="D4386" i="1"/>
  <c r="D1150" i="1"/>
  <c r="D1619" i="1"/>
  <c r="D2666" i="1"/>
  <c r="D4372" i="1"/>
  <c r="D3431" i="1"/>
  <c r="D4901" i="1"/>
  <c r="D653" i="1"/>
  <c r="D1173" i="1"/>
  <c r="D1018" i="1"/>
  <c r="D3167" i="1"/>
  <c r="D306" i="1"/>
  <c r="D2339" i="1"/>
  <c r="D1939" i="1"/>
  <c r="D1306" i="1"/>
  <c r="D3341" i="1"/>
  <c r="D1474" i="1"/>
  <c r="D1649" i="1"/>
  <c r="D2348" i="1"/>
  <c r="D2964" i="1"/>
  <c r="D974" i="1"/>
  <c r="D2052" i="1"/>
  <c r="D3938" i="1"/>
  <c r="D4888" i="1"/>
  <c r="D353" i="1"/>
  <c r="D1825" i="1"/>
  <c r="D1071" i="1"/>
  <c r="D3160" i="1"/>
  <c r="D3442" i="1"/>
  <c r="D1401" i="1"/>
  <c r="D1375" i="1"/>
  <c r="D1708" i="1"/>
  <c r="D367" i="1"/>
  <c r="D3757" i="1"/>
  <c r="D2494" i="1"/>
  <c r="D2402" i="1"/>
  <c r="D3387" i="1"/>
  <c r="D2030" i="1"/>
  <c r="D4765" i="1"/>
  <c r="D1221" i="1"/>
  <c r="D3694" i="1"/>
  <c r="D2703" i="1"/>
  <c r="D146" i="1"/>
  <c r="D3743" i="1"/>
  <c r="D2427" i="1"/>
  <c r="D4306" i="1"/>
  <c r="D2309" i="1"/>
  <c r="D2039" i="1"/>
  <c r="D4357" i="1"/>
  <c r="D1824" i="1"/>
  <c r="D3761" i="1"/>
  <c r="D3809" i="1"/>
  <c r="D1123" i="1"/>
  <c r="D3998" i="1"/>
  <c r="D1986" i="1"/>
  <c r="D1265" i="1"/>
  <c r="D1276" i="1"/>
  <c r="D2534" i="1"/>
  <c r="D2726" i="1"/>
  <c r="D3542" i="1"/>
  <c r="D1168" i="1"/>
  <c r="D2177" i="1"/>
  <c r="D4353" i="1"/>
  <c r="D2096" i="1"/>
  <c r="D3146" i="1"/>
  <c r="D4116" i="1"/>
  <c r="D1702" i="1"/>
  <c r="D888" i="1"/>
  <c r="D1845" i="1"/>
  <c r="D4466" i="1"/>
  <c r="D4549" i="1"/>
  <c r="D4419" i="1"/>
  <c r="D1715" i="1"/>
  <c r="D3665" i="1"/>
  <c r="D4718" i="1"/>
  <c r="D1065" i="1"/>
  <c r="D1621" i="1"/>
  <c r="D1245" i="1"/>
  <c r="D4734" i="1"/>
  <c r="D1971" i="1"/>
  <c r="D4714" i="1"/>
  <c r="D4657" i="1"/>
  <c r="D4473" i="1"/>
  <c r="D4944" i="1"/>
  <c r="D3611" i="1"/>
  <c r="D4241" i="1"/>
  <c r="D2003" i="1"/>
  <c r="D820" i="1"/>
  <c r="D4785" i="1"/>
  <c r="D3796" i="1"/>
  <c r="D5175" i="1"/>
  <c r="D4949" i="1"/>
  <c r="D224" i="1"/>
  <c r="D4972" i="1"/>
  <c r="D2814" i="1"/>
  <c r="D1169" i="1"/>
  <c r="D201" i="1"/>
  <c r="D5032" i="1"/>
  <c r="D3520" i="1"/>
  <c r="D1138" i="1"/>
  <c r="D4614" i="1"/>
  <c r="D2369" i="1"/>
  <c r="D4388" i="1"/>
  <c r="D1367" i="1"/>
  <c r="D753" i="1"/>
  <c r="D880" i="1"/>
  <c r="D738" i="1"/>
  <c r="D358" i="1"/>
  <c r="D4633" i="1"/>
  <c r="D1126" i="1"/>
  <c r="D4114" i="1"/>
  <c r="D1663" i="1"/>
  <c r="D4670" i="1"/>
  <c r="D4810" i="1"/>
  <c r="D1350" i="1"/>
  <c r="D4081" i="1"/>
  <c r="D2169" i="1"/>
  <c r="D4884" i="1"/>
  <c r="D866" i="1"/>
  <c r="D1846" i="1"/>
  <c r="D4177" i="1"/>
  <c r="D939" i="1"/>
  <c r="D2297" i="1"/>
  <c r="D1700" i="1"/>
  <c r="D1216" i="1"/>
  <c r="D4017" i="1"/>
  <c r="D846" i="1"/>
  <c r="D1827" i="1"/>
  <c r="D2075" i="1"/>
  <c r="D1696" i="1"/>
  <c r="D4809" i="1"/>
  <c r="D2917" i="1"/>
  <c r="D4776" i="1"/>
  <c r="D696" i="1"/>
  <c r="D689" i="1"/>
  <c r="D2803" i="1"/>
  <c r="D1449" i="1"/>
  <c r="D4126" i="1"/>
  <c r="D3223" i="1"/>
  <c r="D3879" i="1"/>
  <c r="D1995" i="1"/>
  <c r="D3699" i="1"/>
  <c r="D3448" i="1"/>
  <c r="D2822" i="1"/>
  <c r="D804" i="1"/>
  <c r="D2340" i="1"/>
  <c r="D1743" i="1"/>
  <c r="D1875" i="1"/>
  <c r="D2784" i="1"/>
  <c r="D2020" i="1"/>
  <c r="D4607" i="1"/>
  <c r="D4618" i="1"/>
  <c r="D3305" i="1"/>
  <c r="D2832" i="1"/>
  <c r="D2617" i="1"/>
  <c r="D3452" i="1"/>
  <c r="D1776" i="1"/>
  <c r="D1485" i="1"/>
  <c r="D3573" i="1"/>
  <c r="D2821" i="1"/>
  <c r="D3232" i="1"/>
  <c r="D2478" i="1"/>
  <c r="D2048" i="1"/>
  <c r="D2684" i="1"/>
  <c r="D4878" i="1"/>
  <c r="D4481" i="1"/>
  <c r="D4980" i="1"/>
  <c r="D1434" i="1"/>
  <c r="D3308" i="1"/>
  <c r="D3270" i="1"/>
  <c r="D1031" i="1"/>
  <c r="D2646" i="1"/>
  <c r="D1535" i="1"/>
  <c r="D1406" i="1"/>
  <c r="D1103" i="1"/>
  <c r="D4395" i="1"/>
  <c r="D2650" i="1"/>
  <c r="D4260" i="1"/>
  <c r="D3396" i="1"/>
  <c r="D4594" i="1"/>
  <c r="D2669" i="1"/>
  <c r="D2993" i="1"/>
  <c r="D348" i="1"/>
  <c r="D1360" i="1"/>
  <c r="D1991" i="1"/>
  <c r="D3026" i="1"/>
  <c r="D4471" i="1"/>
  <c r="D2601" i="1"/>
  <c r="D2165" i="1"/>
  <c r="D561" i="1"/>
  <c r="D1128" i="1"/>
  <c r="D691" i="1"/>
  <c r="D1436" i="1"/>
  <c r="D2913" i="1"/>
  <c r="D2801" i="1"/>
  <c r="D2123" i="1"/>
  <c r="D2353" i="1"/>
  <c r="D3832" i="1"/>
  <c r="D523" i="1"/>
  <c r="D2292" i="1"/>
  <c r="D2145" i="1"/>
  <c r="D2393" i="1"/>
  <c r="D3318" i="1"/>
  <c r="D4565" i="1"/>
  <c r="D2398" i="1"/>
  <c r="D3451" i="1"/>
  <c r="D1650" i="1"/>
  <c r="D2281" i="1"/>
  <c r="D904" i="1"/>
  <c r="D3154" i="1"/>
  <c r="D4014" i="1"/>
  <c r="D2119" i="1"/>
  <c r="D2694" i="1"/>
  <c r="D2606" i="1"/>
  <c r="D2283" i="1"/>
  <c r="D3446" i="1"/>
  <c r="D2183" i="1"/>
  <c r="D510" i="1"/>
  <c r="D3566" i="1"/>
  <c r="D4705" i="1"/>
  <c r="D2480" i="1"/>
  <c r="D3276" i="1"/>
  <c r="D4480" i="1"/>
  <c r="D2868" i="1"/>
  <c r="D3179" i="1"/>
  <c r="D1636" i="1"/>
  <c r="D4924" i="1"/>
  <c r="D4610" i="1"/>
  <c r="D4316" i="1"/>
  <c r="D2284" i="1"/>
  <c r="D2443" i="1"/>
  <c r="D2168" i="1"/>
  <c r="D2689" i="1"/>
  <c r="D4376" i="1"/>
  <c r="D3470" i="1"/>
  <c r="D1359" i="1"/>
  <c r="D2252" i="1"/>
  <c r="D1152" i="1"/>
  <c r="D3040" i="1"/>
  <c r="D4554" i="1"/>
  <c r="D1431" i="1"/>
  <c r="D2944" i="1"/>
  <c r="D1036" i="1"/>
  <c r="D1296" i="1"/>
  <c r="D1340" i="1"/>
  <c r="D2133" i="1"/>
  <c r="D3112" i="1"/>
  <c r="D4065" i="1"/>
  <c r="D1541" i="1"/>
  <c r="D4003" i="1"/>
  <c r="D4062" i="1"/>
  <c r="D2301" i="1"/>
  <c r="D2535" i="1"/>
  <c r="D1384" i="1"/>
  <c r="D4001" i="1"/>
  <c r="D3798" i="1"/>
  <c r="D987" i="1"/>
  <c r="D1866" i="1"/>
  <c r="D2144" i="1"/>
  <c r="D4578" i="1"/>
  <c r="D1830" i="1"/>
  <c r="D1784" i="1"/>
  <c r="D3738" i="1"/>
  <c r="D1739" i="1"/>
  <c r="D1542" i="1"/>
  <c r="D1460" i="1"/>
  <c r="D1505" i="1"/>
  <c r="D1149" i="1"/>
  <c r="D735" i="1"/>
  <c r="D2486" i="1"/>
  <c r="D3423" i="1"/>
  <c r="D4673" i="1"/>
  <c r="D4490" i="1"/>
  <c r="D1358" i="1"/>
  <c r="D3141" i="1"/>
  <c r="D3449" i="1"/>
  <c r="D1736" i="1"/>
  <c r="D4953" i="1"/>
  <c r="D2826" i="1"/>
  <c r="D5168" i="1"/>
  <c r="D4015" i="1"/>
  <c r="D4985" i="1"/>
  <c r="D4799" i="1"/>
  <c r="D3780" i="1"/>
  <c r="D4488" i="1"/>
  <c r="D3190" i="1"/>
  <c r="D3900" i="1"/>
  <c r="D3765" i="1"/>
  <c r="D4775" i="1"/>
  <c r="D608" i="1"/>
  <c r="D4873" i="1"/>
  <c r="D1418" i="1"/>
  <c r="D4721" i="1"/>
  <c r="D391" i="1"/>
  <c r="D3855" i="1"/>
  <c r="D902" i="1"/>
  <c r="D2532" i="1"/>
  <c r="D4833" i="1"/>
  <c r="D2178" i="1"/>
  <c r="D1046" i="1"/>
  <c r="D1550" i="1"/>
  <c r="D4185" i="1"/>
  <c r="D789" i="1"/>
  <c r="D4988" i="1"/>
  <c r="D112" i="1"/>
  <c r="D2937" i="1"/>
  <c r="D1805" i="1"/>
  <c r="D3129" i="1"/>
  <c r="D4784" i="1"/>
  <c r="D1946" i="1"/>
  <c r="D3433" i="1"/>
  <c r="D4695" i="1"/>
  <c r="D1259" i="1"/>
  <c r="D1022" i="1"/>
  <c r="D1303" i="1"/>
  <c r="D1484" i="1"/>
  <c r="D2441" i="1"/>
  <c r="D2211" i="1"/>
  <c r="D837" i="1"/>
  <c r="D4974" i="1"/>
  <c r="D1897" i="1"/>
  <c r="D4333" i="1"/>
  <c r="D617" i="1"/>
  <c r="D1722" i="1"/>
  <c r="D182" i="1"/>
  <c r="D4655" i="1"/>
  <c r="D637" i="1"/>
  <c r="D3095" i="1"/>
  <c r="D3468" i="1"/>
  <c r="D2946" i="1"/>
  <c r="D997" i="1"/>
  <c r="D3357" i="1"/>
  <c r="D2970" i="1"/>
  <c r="D5115" i="1"/>
  <c r="D4759" i="1"/>
  <c r="D839" i="1"/>
  <c r="D813" i="1"/>
  <c r="D1803" i="1"/>
  <c r="D498" i="1"/>
  <c r="D196" i="1"/>
  <c r="D2511" i="1"/>
  <c r="D3528" i="1"/>
  <c r="D918" i="1"/>
  <c r="D177" i="1"/>
  <c r="D1837" i="1"/>
  <c r="D450" i="1"/>
  <c r="D922" i="1"/>
  <c r="D698" i="1"/>
  <c r="D3156" i="1"/>
  <c r="D1333" i="1"/>
  <c r="D2741" i="1"/>
  <c r="D4496" i="1"/>
  <c r="D2471" i="1"/>
  <c r="D1893" i="1"/>
  <c r="D3152" i="1"/>
  <c r="D3094" i="1"/>
  <c r="D4365" i="1"/>
  <c r="D2590" i="1"/>
  <c r="D2440" i="1"/>
  <c r="D2858" i="1"/>
  <c r="D736" i="1"/>
  <c r="D2100" i="1"/>
  <c r="D4206" i="1"/>
  <c r="D4052" i="1"/>
  <c r="D1343" i="1"/>
  <c r="D2791" i="1"/>
  <c r="D2327" i="1"/>
  <c r="D2385" i="1"/>
  <c r="D1572" i="1"/>
  <c r="D4526" i="1"/>
  <c r="D2591" i="1"/>
  <c r="D761" i="1"/>
  <c r="D119" i="1"/>
  <c r="D4050" i="1"/>
  <c r="D1674" i="1"/>
  <c r="D4422" i="1"/>
  <c r="D3888" i="1"/>
  <c r="D778" i="1"/>
  <c r="D1354" i="1"/>
  <c r="D3314" i="1"/>
  <c r="D2142" i="1"/>
  <c r="D1239" i="1"/>
  <c r="D3935" i="1"/>
  <c r="D2361" i="1"/>
  <c r="D2958" i="1"/>
  <c r="D4180" i="1"/>
  <c r="D4822" i="1"/>
  <c r="D1282" i="1"/>
  <c r="D1673" i="1"/>
  <c r="D3507" i="1"/>
  <c r="D2280" i="1"/>
  <c r="D2487" i="1"/>
  <c r="D1393" i="1"/>
  <c r="D4283" i="1"/>
  <c r="D2092" i="1"/>
  <c r="D3336" i="1"/>
  <c r="D668" i="1"/>
  <c r="D1854" i="1"/>
  <c r="D223" i="1"/>
  <c r="D951" i="1"/>
  <c r="D279" i="1"/>
  <c r="D1432" i="1"/>
  <c r="D3865" i="1"/>
  <c r="D3764" i="1"/>
  <c r="D936" i="1"/>
  <c r="D1850" i="1"/>
  <c r="D1725" i="1"/>
  <c r="D3178" i="1"/>
  <c r="D4453" i="1"/>
  <c r="D2029" i="1"/>
  <c r="D4148" i="1"/>
  <c r="D662" i="1"/>
  <c r="D3555" i="1"/>
  <c r="D1660" i="1"/>
  <c r="D81" i="1"/>
  <c r="D2895" i="1"/>
  <c r="D1729" i="1"/>
  <c r="D3119" i="1"/>
  <c r="D646" i="1"/>
  <c r="D802" i="1"/>
  <c r="D4391" i="1"/>
  <c r="D666" i="1"/>
  <c r="D5046" i="1"/>
  <c r="D5013" i="1"/>
  <c r="D4296" i="1"/>
  <c r="D386" i="1"/>
  <c r="D3612" i="1"/>
  <c r="D1648" i="1"/>
  <c r="D4152" i="1"/>
  <c r="D4717" i="1"/>
  <c r="D4829" i="1"/>
  <c r="D5057" i="1"/>
  <c r="D125" i="1"/>
  <c r="D28" i="1"/>
  <c r="D5061" i="1"/>
  <c r="D1957" i="1"/>
  <c r="D2984" i="1"/>
  <c r="D5077" i="1"/>
  <c r="D293" i="1"/>
  <c r="D5172" i="1"/>
  <c r="D4907" i="1"/>
  <c r="D5170" i="1"/>
  <c r="D5113" i="1"/>
  <c r="D5117" i="1"/>
  <c r="D5182" i="1"/>
  <c r="D339" i="1"/>
  <c r="D5171" i="1"/>
  <c r="D1476" i="1"/>
  <c r="D133" i="1"/>
  <c r="D158" i="1"/>
  <c r="D569" i="1"/>
  <c r="D5086" i="1"/>
  <c r="D294" i="1"/>
  <c r="D4883" i="1"/>
  <c r="D4501" i="1"/>
  <c r="D83" i="1"/>
  <c r="D2778" i="1"/>
  <c r="D38" i="1"/>
  <c r="D4929" i="1"/>
  <c r="D55" i="1"/>
  <c r="D4693" i="1"/>
  <c r="D2673" i="1"/>
  <c r="D795" i="1"/>
  <c r="D3256" i="1"/>
  <c r="D3425" i="1"/>
  <c r="D1891" i="1"/>
  <c r="D373" i="1"/>
  <c r="D27" i="1"/>
  <c r="D4219" i="1"/>
  <c r="D2745" i="1"/>
  <c r="D4010" i="1"/>
  <c r="D4996" i="1"/>
  <c r="D2121" i="1"/>
  <c r="D3426" i="1"/>
  <c r="D508" i="1"/>
  <c r="D4520" i="1"/>
  <c r="D1819" i="1"/>
  <c r="D1463" i="1"/>
  <c r="D2783" i="1"/>
  <c r="D4102" i="1"/>
  <c r="D1737" i="1"/>
  <c r="D4341" i="1"/>
  <c r="D1347" i="1"/>
  <c r="D949" i="1"/>
  <c r="D4407" i="1"/>
  <c r="D2058" i="1"/>
  <c r="D4382" i="1"/>
  <c r="D3813" i="1"/>
  <c r="D1861" i="1"/>
  <c r="D1383" i="1"/>
  <c r="D986" i="1"/>
  <c r="D208" i="1"/>
  <c r="D2939" i="1"/>
  <c r="D1764" i="1"/>
  <c r="D1010" i="1"/>
  <c r="D3717" i="1"/>
  <c r="D1486" i="1"/>
  <c r="D189" i="1"/>
  <c r="D1871" i="1"/>
  <c r="D2642" i="1"/>
  <c r="D2851" i="1"/>
  <c r="D3901" i="1"/>
  <c r="D3658" i="1"/>
  <c r="D1613" i="1"/>
  <c r="D2529" i="1"/>
  <c r="D2160" i="1"/>
  <c r="D2083" i="1"/>
  <c r="D3657" i="1"/>
  <c r="D3148" i="1"/>
  <c r="D376" i="1"/>
  <c r="D2920" i="1"/>
  <c r="D2691" i="1"/>
  <c r="D1950" i="1"/>
  <c r="D1538" i="1"/>
  <c r="D2668" i="1"/>
  <c r="D1748" i="1"/>
  <c r="D2264" i="1"/>
  <c r="D2035" i="1"/>
  <c r="D2198" i="1"/>
  <c r="D2289" i="1"/>
  <c r="D3690" i="1"/>
  <c r="D3878" i="1"/>
  <c r="D1769" i="1"/>
  <c r="D1020" i="1"/>
  <c r="D2200" i="1"/>
  <c r="D1968" i="1"/>
  <c r="D2615" i="1"/>
  <c r="D3371" i="1"/>
  <c r="D2725" i="1"/>
  <c r="D3310" i="1"/>
  <c r="D3201" i="1"/>
  <c r="D815" i="1"/>
  <c r="D684" i="1"/>
  <c r="D1121" i="1"/>
  <c r="D4541" i="1"/>
  <c r="D955" i="1"/>
  <c r="D4463" i="1"/>
  <c r="D413" i="1"/>
  <c r="D925" i="1"/>
  <c r="D2428" i="1"/>
  <c r="D548" i="1"/>
  <c r="D3489" i="1"/>
  <c r="D2244" i="1"/>
  <c r="D1951" i="1"/>
  <c r="D2458" i="1"/>
  <c r="D1531" i="1"/>
  <c r="D359" i="1"/>
  <c r="D4043" i="1"/>
  <c r="D1405" i="1"/>
  <c r="D3297" i="1"/>
  <c r="D1487" i="1"/>
  <c r="D911" i="1"/>
  <c r="D1836" i="1"/>
  <c r="D238" i="1"/>
  <c r="D3910" i="1"/>
  <c r="D5089" i="1"/>
  <c r="D867" i="1"/>
  <c r="D422" i="1"/>
  <c r="D478" i="1"/>
  <c r="D4362" i="1"/>
  <c r="D511" i="1"/>
  <c r="D656" i="1"/>
  <c r="D2305" i="1"/>
  <c r="D480" i="1"/>
  <c r="D814" i="1"/>
  <c r="D1580" i="1"/>
  <c r="D3880" i="1"/>
  <c r="D3984" i="1"/>
  <c r="D1396" i="1"/>
  <c r="D3476" i="1"/>
  <c r="D1642" i="1"/>
  <c r="D4954" i="1"/>
  <c r="D4570" i="1"/>
  <c r="D3994" i="1"/>
  <c r="D129" i="1"/>
  <c r="D622" i="1"/>
  <c r="D4197" i="1"/>
  <c r="D2037" i="1"/>
  <c r="D3512" i="1"/>
  <c r="D185" i="1"/>
  <c r="D438" i="1"/>
  <c r="D3517" i="1"/>
  <c r="D1210" i="1"/>
  <c r="D3185" i="1"/>
  <c r="D161" i="1"/>
  <c r="D3834" i="1"/>
  <c r="D2467" i="1"/>
  <c r="D2163" i="1"/>
  <c r="D540" i="1"/>
  <c r="D3884" i="1"/>
  <c r="D1269" i="1"/>
  <c r="D826" i="1"/>
  <c r="D346" i="1"/>
  <c r="D574" i="1"/>
  <c r="D840" i="1"/>
  <c r="D4262" i="1"/>
  <c r="D5003" i="1"/>
  <c r="D5031" i="1"/>
  <c r="D1079" i="1"/>
  <c r="D4591" i="1"/>
  <c r="D811" i="1"/>
  <c r="D2152" i="1"/>
  <c r="D910" i="1"/>
  <c r="D3487" i="1"/>
  <c r="D4336" i="1"/>
  <c r="D4959" i="1"/>
  <c r="D777" i="1"/>
  <c r="D3374" i="1"/>
  <c r="D2661" i="1"/>
  <c r="D1402" i="1"/>
  <c r="D1705" i="1"/>
  <c r="D871" i="1"/>
  <c r="D3831" i="1"/>
  <c r="D2173" i="1"/>
  <c r="D1042" i="1"/>
  <c r="D2415" i="1"/>
  <c r="D4236" i="1"/>
  <c r="D4342" i="1"/>
  <c r="D198" i="1"/>
  <c r="D702" i="1"/>
  <c r="D436" i="1"/>
  <c r="D2085" i="1"/>
  <c r="D3911" i="1"/>
  <c r="D1069" i="1"/>
  <c r="D3347" i="1"/>
  <c r="D4268" i="1"/>
  <c r="D4725" i="1"/>
  <c r="D2904" i="1"/>
  <c r="D2985" i="1"/>
  <c r="D799" i="1"/>
  <c r="D1714" i="1"/>
  <c r="D3800" i="1"/>
  <c r="D2171" i="1"/>
  <c r="D5060" i="1"/>
  <c r="D139" i="1"/>
  <c r="D70" i="1"/>
  <c r="D4091" i="1"/>
  <c r="D278" i="1"/>
  <c r="D1578" i="1"/>
  <c r="D2776" i="1"/>
  <c r="D3567" i="1"/>
  <c r="D1021" i="1"/>
  <c r="D1804" i="1"/>
  <c r="D324" i="1"/>
  <c r="D961" i="1"/>
  <c r="D2295" i="1"/>
  <c r="D816" i="1"/>
  <c r="D393" i="1"/>
  <c r="D4032" i="1"/>
  <c r="D12" i="1"/>
  <c r="D226" i="1"/>
  <c r="D5072" i="1"/>
  <c r="D181" i="1"/>
  <c r="D92" i="1"/>
  <c r="D299" i="1"/>
  <c r="D5150" i="1"/>
  <c r="D3104" i="1"/>
  <c r="D4864" i="1"/>
  <c r="D96" i="1"/>
  <c r="D4627" i="1"/>
  <c r="D357" i="1"/>
  <c r="D40" i="1"/>
  <c r="D4768" i="1"/>
  <c r="D1966" i="1"/>
  <c r="D4234" i="1"/>
  <c r="D3001" i="1"/>
  <c r="D1641" i="1"/>
  <c r="D1483" i="1"/>
  <c r="D4246" i="1"/>
  <c r="D2098" i="1"/>
  <c r="D2469" i="1"/>
  <c r="D1728" i="1"/>
  <c r="D1562" i="1"/>
  <c r="D4601" i="1"/>
  <c r="D4548" i="1"/>
  <c r="D2880" i="1"/>
  <c r="D4678" i="1"/>
  <c r="D964" i="1"/>
  <c r="D3475" i="1"/>
  <c r="D3282" i="1"/>
  <c r="D3444" i="1"/>
  <c r="D3976" i="1"/>
  <c r="D3997" i="1"/>
  <c r="D3585" i="1"/>
  <c r="D274" i="1"/>
  <c r="D1194" i="1"/>
  <c r="D2751" i="1"/>
  <c r="D4459" i="1"/>
  <c r="D1141" i="1"/>
  <c r="D1419" i="1"/>
  <c r="D3046" i="1"/>
  <c r="D892" i="1"/>
  <c r="D3181" i="1"/>
  <c r="D4764" i="1"/>
  <c r="D458" i="1"/>
  <c r="D4121" i="1"/>
  <c r="D2135" i="1"/>
  <c r="D4550" i="1"/>
  <c r="D4573" i="1"/>
  <c r="D1007" i="1"/>
  <c r="D1219" i="1"/>
  <c r="D2364" i="1"/>
  <c r="D577" i="1"/>
  <c r="D550" i="1"/>
  <c r="D1771" i="1"/>
  <c r="D742" i="1"/>
  <c r="D1869" i="1"/>
  <c r="D257" i="1"/>
  <c r="D5106" i="1"/>
  <c r="D4786" i="1"/>
  <c r="D408" i="1"/>
  <c r="D1369" i="1"/>
  <c r="D593" i="1"/>
  <c r="D4210" i="1"/>
  <c r="D1129" i="1"/>
  <c r="D267" i="1"/>
  <c r="D1955" i="1"/>
  <c r="D3552" i="1"/>
  <c r="D361" i="1"/>
  <c r="D663" i="1"/>
  <c r="D619" i="1"/>
  <c r="D1143" i="1"/>
  <c r="D58" i="1"/>
  <c r="D2629" i="1"/>
  <c r="D4530" i="1"/>
  <c r="D4267" i="1"/>
  <c r="D4446" i="1"/>
  <c r="D4675" i="1"/>
  <c r="D2352" i="1"/>
  <c r="D3818" i="1"/>
  <c r="D301" i="1"/>
  <c r="D1625" i="1"/>
  <c r="D2805" i="1"/>
  <c r="D3649" i="1"/>
  <c r="D4061" i="1"/>
  <c r="D2059" i="1"/>
  <c r="D3099" i="1"/>
  <c r="D2699" i="1"/>
  <c r="D1385" i="1"/>
  <c r="D1798" i="1"/>
  <c r="D2127" i="1"/>
  <c r="D3623" i="1"/>
  <c r="D3144" i="1"/>
  <c r="D3303" i="1"/>
  <c r="D2641" i="1"/>
  <c r="D1319" i="1"/>
  <c r="D404" i="1"/>
  <c r="D3553" i="1"/>
  <c r="D759" i="1"/>
  <c r="D1890" i="1"/>
  <c r="D2888" i="1"/>
  <c r="D2934" i="1"/>
  <c r="D3248" i="1"/>
  <c r="D3103" i="1"/>
  <c r="D4617" i="1"/>
  <c r="D3068" i="1"/>
  <c r="D1006" i="1"/>
  <c r="D3455" i="1"/>
  <c r="D841" i="1"/>
  <c r="D1742" i="1"/>
  <c r="D1176" i="1"/>
  <c r="D256" i="1"/>
  <c r="D86" i="1"/>
  <c r="D4025" i="1"/>
  <c r="D283" i="1"/>
  <c r="D3810" i="1"/>
  <c r="D4130" i="1"/>
  <c r="D4127" i="1"/>
  <c r="D3795" i="1"/>
  <c r="D783" i="1"/>
  <c r="D1544" i="1"/>
  <c r="D3358" i="1"/>
  <c r="D1203" i="1"/>
  <c r="D675" i="1"/>
  <c r="D4976" i="1"/>
  <c r="D4330" i="1"/>
  <c r="D3459" i="1"/>
  <c r="D1304" i="1"/>
  <c r="D2468" i="1"/>
  <c r="D3840" i="1"/>
  <c r="D3222" i="1"/>
  <c r="D2507" i="1"/>
  <c r="D748" i="1"/>
  <c r="D3849" i="1"/>
  <c r="D2644" i="1"/>
  <c r="D770" i="1"/>
  <c r="D4198" i="1"/>
  <c r="D2194" i="1"/>
  <c r="D3501" i="1"/>
  <c r="D1599" i="1"/>
  <c r="D3366" i="1"/>
  <c r="D3700" i="1"/>
  <c r="D763" i="1"/>
  <c r="D1669" i="1"/>
  <c r="D1049" i="1"/>
  <c r="D107" i="1"/>
  <c r="D2373" i="1"/>
  <c r="D2291" i="1"/>
  <c r="D3679" i="1"/>
  <c r="D1328" i="1"/>
  <c r="D1294" i="1"/>
  <c r="D1472" i="1"/>
  <c r="D2375" i="1"/>
  <c r="D3541" i="1"/>
  <c r="D3824" i="1"/>
  <c r="D1119" i="1"/>
  <c r="D1172" i="1"/>
  <c r="D3422" i="1"/>
  <c r="D2793" i="1"/>
  <c r="D1618" i="1"/>
  <c r="D3787" i="1"/>
  <c r="D1315" i="1"/>
  <c r="D1115" i="1"/>
  <c r="D3096" i="1"/>
  <c r="D705" i="1"/>
  <c r="D1713" i="1"/>
  <c r="D132" i="1"/>
  <c r="D147" i="1"/>
  <c r="D4916" i="1"/>
  <c r="D3379" i="1"/>
  <c r="D679" i="1"/>
  <c r="D729" i="1"/>
  <c r="D4600" i="1"/>
  <c r="D3648" i="1"/>
  <c r="D3856" i="1"/>
  <c r="D2630" i="1"/>
  <c r="D454" i="1"/>
  <c r="D976" i="1"/>
  <c r="D3522" i="1"/>
  <c r="D184" i="1"/>
  <c r="D567" i="1"/>
  <c r="D4327" i="1"/>
  <c r="D2525" i="1"/>
  <c r="D4629" i="1"/>
  <c r="D1735" i="1"/>
  <c r="D786" i="1"/>
  <c r="D1589" i="1"/>
  <c r="D3108" i="1"/>
  <c r="D4284" i="1"/>
  <c r="D4997" i="1"/>
  <c r="D878" i="1"/>
  <c r="D4927" i="1"/>
  <c r="D1414" i="1"/>
  <c r="D2738" i="1"/>
  <c r="D1975" i="1"/>
  <c r="D3078" i="1"/>
  <c r="D1040" i="1"/>
  <c r="D1028" i="1"/>
  <c r="D995" i="1"/>
  <c r="D2016" i="1"/>
  <c r="D3233" i="1"/>
  <c r="D1262" i="1"/>
  <c r="D812" i="1"/>
  <c r="D615" i="1"/>
  <c r="D3260" i="1"/>
  <c r="D1513" i="1"/>
  <c r="D2924" i="1"/>
  <c r="D2628" i="1"/>
  <c r="D4800" i="1"/>
  <c r="D5090" i="1"/>
  <c r="D2377" i="1"/>
  <c r="D3084" i="1"/>
  <c r="D3697" i="1"/>
  <c r="D4350" i="1"/>
  <c r="D4689" i="1"/>
  <c r="D1003" i="1"/>
  <c r="D1030" i="1"/>
  <c r="D1112" i="1"/>
  <c r="D4002" i="1"/>
  <c r="D4846" i="1"/>
  <c r="D432" i="1"/>
  <c r="D2718" i="1"/>
  <c r="D1606" i="1"/>
  <c r="D1651" i="1"/>
  <c r="D4399" i="1"/>
  <c r="D708" i="1"/>
  <c r="D4634" i="1"/>
  <c r="D1801" i="1"/>
  <c r="D4763" i="1"/>
  <c r="D5062" i="1"/>
  <c r="D2527" i="1"/>
  <c r="D1726" i="1"/>
  <c r="D2250" i="1"/>
  <c r="D2335" i="1"/>
  <c r="D3711" i="1"/>
  <c r="D1159" i="1"/>
  <c r="D497" i="1"/>
  <c r="D960" i="1"/>
  <c r="D1595" i="1"/>
  <c r="D2069" i="1"/>
  <c r="D1238" i="1"/>
  <c r="D2847" i="1"/>
  <c r="D4117" i="1"/>
  <c r="D3896" i="1"/>
  <c r="D466" i="1"/>
  <c r="D3591" i="1"/>
  <c r="D575" i="1"/>
  <c r="D251" i="1"/>
  <c r="D4020" i="1"/>
  <c r="D1279" i="1"/>
  <c r="D2966" i="1"/>
  <c r="D47" i="1"/>
  <c r="D134" i="1"/>
  <c r="D4797" i="1"/>
  <c r="D4492" i="1"/>
  <c r="D913" i="1"/>
  <c r="D4730" i="1"/>
  <c r="D564" i="1"/>
  <c r="D157" i="1"/>
  <c r="D4340" i="1"/>
  <c r="D2276" i="1"/>
  <c r="D4609" i="1"/>
  <c r="D1008" i="1"/>
  <c r="D589" i="1"/>
  <c r="D2942" i="1"/>
  <c r="D1818" i="1"/>
  <c r="D3516" i="1"/>
  <c r="D4685" i="1"/>
  <c r="D5123" i="1"/>
  <c r="D595" i="1"/>
  <c r="D4171" i="1"/>
  <c r="D3492" i="1"/>
  <c r="D1863" i="1"/>
  <c r="D4912" i="1"/>
  <c r="D4632" i="1"/>
  <c r="D1842" i="1"/>
  <c r="D5155" i="1"/>
  <c r="D111" i="1"/>
  <c r="D3723" i="1"/>
  <c r="D872" i="1"/>
  <c r="D1226" i="1"/>
  <c r="D2306" i="1"/>
  <c r="D4299" i="1"/>
  <c r="D2233" i="1"/>
  <c r="D142" i="1"/>
  <c r="D2270" i="1"/>
  <c r="D1147" i="1"/>
  <c r="D1820" i="1"/>
  <c r="D4564" i="1"/>
  <c r="D533" i="1"/>
  <c r="D547" i="1"/>
  <c r="D3018" i="1"/>
  <c r="D1211" i="1"/>
  <c r="D749" i="1"/>
  <c r="D3774" i="1"/>
  <c r="D22" i="1"/>
  <c r="D105" i="1"/>
  <c r="D5073" i="1"/>
  <c r="D210" i="1"/>
  <c r="D4276" i="1"/>
  <c r="D1676" i="1"/>
  <c r="D1457" i="1"/>
  <c r="D4063" i="1"/>
  <c r="D2351" i="1"/>
  <c r="D4217" i="1"/>
  <c r="D3383" i="1"/>
  <c r="D2203" i="1"/>
  <c r="D4879" i="1"/>
  <c r="D2926" i="1"/>
  <c r="D5130" i="1"/>
  <c r="D4167" i="1"/>
  <c r="D1204" i="1"/>
  <c r="D1365" i="1"/>
  <c r="D166" i="1"/>
  <c r="D4984" i="1"/>
  <c r="D4438" i="1"/>
  <c r="D1026" i="1"/>
  <c r="D4263" i="1"/>
  <c r="D3885" i="1"/>
  <c r="D3637" i="1"/>
  <c r="D1288" i="1"/>
  <c r="D1860" i="1"/>
  <c r="D4971" i="1"/>
  <c r="D4937" i="1"/>
  <c r="D5093" i="1"/>
  <c r="D1659" i="1"/>
  <c r="D2347" i="1"/>
  <c r="D11" i="1"/>
  <c r="D571" i="1"/>
  <c r="D1583" i="1"/>
  <c r="D580" i="1"/>
  <c r="D4439" i="1"/>
  <c r="D988" i="1"/>
  <c r="D1170" i="1"/>
  <c r="D3668" i="1"/>
  <c r="D4964" i="1"/>
  <c r="D1075" i="1"/>
  <c r="D1569" i="1"/>
  <c r="D4805" i="1"/>
  <c r="D369" i="1"/>
  <c r="D660" i="1"/>
  <c r="D2242" i="1"/>
  <c r="D4515" i="1"/>
  <c r="D525" i="1"/>
  <c r="D3582" i="1"/>
  <c r="D2685" i="1"/>
  <c r="D1537" i="1"/>
  <c r="D3719" i="1"/>
  <c r="D4216" i="1"/>
  <c r="D3576" i="1"/>
  <c r="D4486" i="1"/>
  <c r="D4424" i="1"/>
  <c r="D4500" i="1"/>
  <c r="D5139" i="1"/>
  <c r="D321" i="1"/>
  <c r="D3463" i="1"/>
  <c r="D340" i="1"/>
  <c r="D2455" i="1"/>
  <c r="D706" i="1"/>
  <c r="D1932" i="1"/>
  <c r="D967" i="1"/>
  <c r="D2789" i="1"/>
  <c r="D2833" i="1"/>
  <c r="D3548" i="1"/>
  <c r="D3652" i="1"/>
  <c r="D3002" i="1"/>
  <c r="D1275" i="1"/>
  <c r="D3779" i="1"/>
  <c r="D1838" i="1"/>
  <c r="D3759" i="1"/>
  <c r="D4801" i="1"/>
  <c r="D1420" i="1"/>
  <c r="D465" i="1"/>
  <c r="D1956" i="1"/>
  <c r="D2928" i="1"/>
  <c r="D2079" i="1"/>
  <c r="D1512" i="1"/>
  <c r="D773" i="1"/>
  <c r="D1058" i="1"/>
  <c r="D4381" i="1"/>
  <c r="D1234" i="1"/>
  <c r="D1593" i="1"/>
  <c r="D1181" i="1"/>
  <c r="D2156" i="1"/>
  <c r="D3590" i="1"/>
  <c r="D782" i="1"/>
  <c r="D1316" i="1"/>
  <c r="D343" i="1"/>
  <c r="D670" i="1"/>
  <c r="D3663" i="1"/>
  <c r="D2112" i="1"/>
  <c r="D76" i="1"/>
  <c r="D467" i="1"/>
  <c r="D1521" i="1"/>
  <c r="D3330" i="1"/>
  <c r="D5006" i="1"/>
  <c r="D4877" i="1"/>
  <c r="D4272" i="1"/>
  <c r="D709" i="1"/>
  <c r="D4431" i="1"/>
  <c r="D4817" i="1"/>
  <c r="D5055" i="1"/>
  <c r="D1081" i="1"/>
  <c r="D2528" i="1"/>
  <c r="D4880" i="1"/>
  <c r="D945" i="1"/>
  <c r="D2922" i="1"/>
  <c r="D3016" i="1"/>
  <c r="D3189" i="1"/>
  <c r="D1923" i="1"/>
  <c r="D1720" i="1"/>
  <c r="D785" i="1"/>
  <c r="D4366" i="1"/>
  <c r="D2953" i="1"/>
  <c r="D4278" i="1"/>
  <c r="D3034" i="1"/>
  <c r="D758" i="1"/>
  <c r="D3630" i="1"/>
  <c r="D919" i="1"/>
  <c r="D4095" i="1"/>
  <c r="D4919" i="1"/>
  <c r="D4537" i="1"/>
  <c r="D1498" i="1"/>
  <c r="D2459" i="1"/>
  <c r="D1183" i="1"/>
  <c r="D4727" i="1"/>
  <c r="D856" i="1"/>
  <c r="D1510" i="1"/>
  <c r="D2925" i="1"/>
  <c r="D2107" i="1"/>
  <c r="D3547" i="1"/>
  <c r="D4281" i="1"/>
  <c r="D3234" i="1"/>
  <c r="D983" i="1"/>
  <c r="D5157" i="1"/>
  <c r="D5146" i="1"/>
  <c r="D1179" i="1"/>
  <c r="D1667" i="1"/>
  <c r="D4142" i="1"/>
  <c r="D1839" i="1"/>
  <c r="D4237" i="1"/>
  <c r="D4516" i="1"/>
  <c r="D4442" i="1"/>
  <c r="D1032" i="1"/>
  <c r="D3235" i="1"/>
  <c r="D2771" i="1"/>
  <c r="D3398" i="1"/>
  <c r="D2287" i="1"/>
  <c r="D1529" i="1"/>
  <c r="D2176" i="1"/>
  <c r="D3734" i="1"/>
  <c r="D1963" i="1"/>
  <c r="D2334" i="1"/>
  <c r="D2141" i="1"/>
  <c r="D3447" i="1"/>
  <c r="D4094" i="1"/>
  <c r="D1749" i="1"/>
  <c r="D3229" i="1"/>
  <c r="D3071" i="1"/>
  <c r="D4000" i="1"/>
  <c r="D4250" i="1"/>
  <c r="D732" i="1"/>
  <c r="D2265" i="1"/>
  <c r="D2829" i="1"/>
  <c r="D457" i="1"/>
  <c r="D1628" i="1"/>
  <c r="D3194" i="1"/>
  <c r="D3707" i="1"/>
  <c r="D3770" i="1"/>
  <c r="D3368" i="1"/>
  <c r="D2665" i="1"/>
  <c r="D3883" i="1"/>
  <c r="D3472" i="1"/>
  <c r="D3579" i="1"/>
  <c r="D2757" i="1"/>
  <c r="D3745" i="1"/>
  <c r="D4332" i="1"/>
  <c r="D3841" i="1"/>
  <c r="D3285" i="1"/>
  <c r="D4294" i="1"/>
  <c r="D4585" i="1"/>
  <c r="D4892" i="1"/>
  <c r="D102" i="1"/>
  <c r="D606" i="1"/>
  <c r="D4151" i="1"/>
  <c r="D3851" i="1"/>
  <c r="D2031" i="1"/>
  <c r="D2279" i="1"/>
  <c r="D979" i="1"/>
  <c r="D3405" i="1"/>
  <c r="D3927" i="1"/>
  <c r="D4096" i="1"/>
  <c r="D1885" i="1"/>
  <c r="D3169" i="1"/>
  <c r="D2232" i="1"/>
  <c r="D2945" i="1"/>
  <c r="D1768" i="1"/>
  <c r="D2354" i="1"/>
  <c r="D2505" i="1"/>
  <c r="D2394" i="1"/>
  <c r="D1882" i="1"/>
  <c r="D1376" i="1"/>
  <c r="D289" i="1"/>
  <c r="D1844" i="1"/>
  <c r="D4122" i="1"/>
  <c r="D1511" i="1"/>
  <c r="D3933" i="1"/>
  <c r="D1666" i="1"/>
  <c r="D3198" i="1"/>
  <c r="D2706" i="1"/>
  <c r="D2863" i="1"/>
  <c r="D1200" i="1"/>
  <c r="D2159" i="1"/>
  <c r="D2457" i="1"/>
  <c r="D2781" i="1"/>
  <c r="D2589" i="1"/>
  <c r="D4231" i="1"/>
  <c r="D2129" i="1"/>
  <c r="D1698" i="1"/>
  <c r="D1915" i="1"/>
  <c r="D3032" i="1"/>
  <c r="D2475" i="1"/>
  <c r="D2649" i="1"/>
  <c r="D4468" i="1"/>
  <c r="D3164" i="1"/>
  <c r="D2068" i="1"/>
  <c r="D4551" i="1"/>
  <c r="D4910" i="1"/>
  <c r="D1477" i="1"/>
  <c r="D3381" i="1"/>
  <c r="D2088" i="1"/>
  <c r="D1527" i="1"/>
  <c r="D1110" i="1"/>
  <c r="D3560" i="1"/>
  <c r="D3226" i="1"/>
  <c r="D4346" i="1"/>
  <c r="D3788" i="1"/>
  <c r="D2086" i="1"/>
  <c r="D2061" i="1"/>
  <c r="D1788" i="1"/>
  <c r="D4378" i="1"/>
  <c r="D1640" i="1"/>
  <c r="D3228" i="1"/>
  <c r="D2850" i="1"/>
  <c r="D3334" i="1"/>
  <c r="D3407" i="1"/>
  <c r="D3149" i="1"/>
  <c r="D1992" i="1"/>
  <c r="D2483" i="1"/>
  <c r="D1627" i="1"/>
  <c r="D1215" i="1"/>
  <c r="D3151" i="1"/>
  <c r="D831" i="1"/>
  <c r="D587" i="1"/>
  <c r="D2633" i="1"/>
  <c r="D4071" i="1"/>
  <c r="D2431" i="1"/>
  <c r="D1363" i="1"/>
  <c r="D3629" i="1"/>
  <c r="D3563" i="1"/>
  <c r="D2034" i="1"/>
  <c r="D3097" i="1"/>
  <c r="D2214" i="1"/>
  <c r="D2192" i="1"/>
  <c r="D261" i="1"/>
  <c r="D1524" i="1"/>
  <c r="D2577" i="1"/>
  <c r="D1965" i="1"/>
  <c r="D1853" i="1"/>
  <c r="D3594" i="1"/>
  <c r="D1015" i="1"/>
  <c r="D518" i="1"/>
  <c r="D969" i="1"/>
  <c r="D1467" i="1"/>
  <c r="D4228" i="1"/>
  <c r="D3333" i="1"/>
  <c r="G6415" i="3" l="1"/>
  <c r="G5371" i="3"/>
  <c r="G9942" i="3"/>
  <c r="G9862" i="3"/>
  <c r="G9798" i="3"/>
  <c r="G9734" i="3"/>
  <c r="G9670" i="3"/>
  <c r="G9606" i="3"/>
  <c r="G9542" i="3"/>
  <c r="G9462" i="3"/>
  <c r="G9414" i="3"/>
  <c r="G9350" i="3"/>
  <c r="G9274" i="3"/>
  <c r="G9169" i="3"/>
  <c r="G9062" i="3"/>
  <c r="G8809" i="3"/>
  <c r="G6639" i="3"/>
  <c r="G9993" i="3"/>
  <c r="G9977" i="3"/>
  <c r="G9961" i="3"/>
  <c r="G9945" i="3"/>
  <c r="G9929" i="3"/>
  <c r="G9913" i="3"/>
  <c r="G9897" i="3"/>
  <c r="G9881" i="3"/>
  <c r="G9865" i="3"/>
  <c r="G9849" i="3"/>
  <c r="G9833" i="3"/>
  <c r="G9817" i="3"/>
  <c r="G9801" i="3"/>
  <c r="G9785" i="3"/>
  <c r="G9769" i="3"/>
  <c r="G9753" i="3"/>
  <c r="G9737" i="3"/>
  <c r="G9721" i="3"/>
  <c r="G9705" i="3"/>
  <c r="G9689" i="3"/>
  <c r="G9673" i="3"/>
  <c r="G9657" i="3"/>
  <c r="G9641" i="3"/>
  <c r="G9625" i="3"/>
  <c r="G9609" i="3"/>
  <c r="G9593" i="3"/>
  <c r="G9577" i="3"/>
  <c r="G9561" i="3"/>
  <c r="G9545" i="3"/>
  <c r="G9529" i="3"/>
  <c r="G9513" i="3"/>
  <c r="G9497" i="3"/>
  <c r="G9481" i="3"/>
  <c r="G9465" i="3"/>
  <c r="G9449" i="3"/>
  <c r="G9433" i="3"/>
  <c r="G9417" i="3"/>
  <c r="G9401" i="3"/>
  <c r="G9385" i="3"/>
  <c r="G9369" i="3"/>
  <c r="G9353" i="3"/>
  <c r="G9337" i="3"/>
  <c r="G9321" i="3"/>
  <c r="G9298" i="3"/>
  <c r="G9278" i="3"/>
  <c r="G9257" i="3"/>
  <c r="G9234" i="3"/>
  <c r="G9214" i="3"/>
  <c r="G9193" i="3"/>
  <c r="G9170" i="3"/>
  <c r="G9150" i="3"/>
  <c r="G9129" i="3"/>
  <c r="G9106" i="3"/>
  <c r="G9086" i="3"/>
  <c r="G9065" i="3"/>
  <c r="G9042" i="3"/>
  <c r="G9022" i="3"/>
  <c r="G9001" i="3"/>
  <c r="G8978" i="3"/>
  <c r="G8958" i="3"/>
  <c r="G8937" i="3"/>
  <c r="G8911" i="3"/>
  <c r="G8888" i="3"/>
  <c r="G8864" i="3"/>
  <c r="G8838" i="3"/>
  <c r="G8814" i="3"/>
  <c r="G8787" i="3"/>
  <c r="G8756" i="3"/>
  <c r="G8728" i="3"/>
  <c r="G8694" i="3"/>
  <c r="G8659" i="3"/>
  <c r="G8627" i="3"/>
  <c r="G8590" i="3"/>
  <c r="G8544" i="3"/>
  <c r="G8504" i="3"/>
  <c r="G8462" i="3"/>
  <c r="G8416" i="3"/>
  <c r="G8376" i="3"/>
  <c r="G8334" i="3"/>
  <c r="G8288" i="3"/>
  <c r="G8248" i="3"/>
  <c r="G8206" i="3"/>
  <c r="G8160" i="3"/>
  <c r="G8109" i="3"/>
  <c r="G8053" i="3"/>
  <c r="G7990" i="3"/>
  <c r="G7936" i="3"/>
  <c r="G7880" i="3"/>
  <c r="G7821" i="3"/>
  <c r="G7766" i="3"/>
  <c r="G7710" i="3"/>
  <c r="G7648" i="3"/>
  <c r="G7597" i="3"/>
  <c r="G7541" i="3"/>
  <c r="G7478" i="3"/>
  <c r="G7424" i="3"/>
  <c r="G7368" i="3"/>
  <c r="G7309" i="3"/>
  <c r="G7254" i="3"/>
  <c r="G7189" i="3"/>
  <c r="G7088" i="3"/>
  <c r="G6895" i="3"/>
  <c r="G6671" i="3"/>
  <c r="G6416" i="3"/>
  <c r="G6200" i="3"/>
  <c r="G5666" i="3"/>
  <c r="G9974" i="3"/>
  <c r="G9894" i="3"/>
  <c r="G9814" i="3"/>
  <c r="G9750" i="3"/>
  <c r="G9686" i="3"/>
  <c r="G9622" i="3"/>
  <c r="G9558" i="3"/>
  <c r="G9494" i="3"/>
  <c r="G9430" i="3"/>
  <c r="G9366" i="3"/>
  <c r="G9297" i="3"/>
  <c r="G9233" i="3"/>
  <c r="G9146" i="3"/>
  <c r="G9105" i="3"/>
  <c r="G9041" i="3"/>
  <c r="G8977" i="3"/>
  <c r="G8934" i="3"/>
  <c r="G8884" i="3"/>
  <c r="G8837" i="3"/>
  <c r="G8755" i="3"/>
  <c r="G8691" i="3"/>
  <c r="G8620" i="3"/>
  <c r="G8542" i="3"/>
  <c r="G8414" i="3"/>
  <c r="G8328" i="3"/>
  <c r="G8240" i="3"/>
  <c r="G8200" i="3"/>
  <c r="G8096" i="3"/>
  <c r="G8045" i="3"/>
  <c r="G7989" i="3"/>
  <c r="G7872" i="3"/>
  <c r="G7816" i="3"/>
  <c r="G7757" i="3"/>
  <c r="G7702" i="3"/>
  <c r="G7646" i="3"/>
  <c r="G7584" i="3"/>
  <c r="G7533" i="3"/>
  <c r="G7477" i="3"/>
  <c r="G7414" i="3"/>
  <c r="G7360" i="3"/>
  <c r="G7304" i="3"/>
  <c r="G7245" i="3"/>
  <c r="G7177" i="3"/>
  <c r="G7081" i="3"/>
  <c r="G6840" i="3"/>
  <c r="G5538" i="3"/>
  <c r="G10003" i="3"/>
  <c r="G9987" i="3"/>
  <c r="G9971" i="3"/>
  <c r="G9955" i="3"/>
  <c r="G9939" i="3"/>
  <c r="G9923" i="3"/>
  <c r="G9907" i="3"/>
  <c r="G9891" i="3"/>
  <c r="G9875" i="3"/>
  <c r="G9859" i="3"/>
  <c r="G9843" i="3"/>
  <c r="G9827" i="3"/>
  <c r="G9811" i="3"/>
  <c r="G9795" i="3"/>
  <c r="G9779" i="3"/>
  <c r="G9763" i="3"/>
  <c r="G9747" i="3"/>
  <c r="G9731" i="3"/>
  <c r="G9715" i="3"/>
  <c r="G9699" i="3"/>
  <c r="G9683" i="3"/>
  <c r="G9667" i="3"/>
  <c r="G9651" i="3"/>
  <c r="G9635" i="3"/>
  <c r="G9619" i="3"/>
  <c r="G9603" i="3"/>
  <c r="G9587" i="3"/>
  <c r="G9571" i="3"/>
  <c r="G9555" i="3"/>
  <c r="G9539" i="3"/>
  <c r="G9523" i="3"/>
  <c r="G9507" i="3"/>
  <c r="G9491" i="3"/>
  <c r="G9475" i="3"/>
  <c r="G9459" i="3"/>
  <c r="G9443" i="3"/>
  <c r="G9427" i="3"/>
  <c r="G9411" i="3"/>
  <c r="G9395" i="3"/>
  <c r="G9379" i="3"/>
  <c r="G9363" i="3"/>
  <c r="G9347" i="3"/>
  <c r="G9331" i="3"/>
  <c r="G9314" i="3"/>
  <c r="G9294" i="3"/>
  <c r="G9273" i="3"/>
  <c r="G9250" i="3"/>
  <c r="G9230" i="3"/>
  <c r="G9209" i="3"/>
  <c r="G9186" i="3"/>
  <c r="G9166" i="3"/>
  <c r="G9145" i="3"/>
  <c r="G9122" i="3"/>
  <c r="G9102" i="3"/>
  <c r="G9081" i="3"/>
  <c r="G9058" i="3"/>
  <c r="G9038" i="3"/>
  <c r="G9017" i="3"/>
  <c r="G8994" i="3"/>
  <c r="G8974" i="3"/>
  <c r="G8953" i="3"/>
  <c r="G8929" i="3"/>
  <c r="G8907" i="3"/>
  <c r="G8883" i="3"/>
  <c r="G8856" i="3"/>
  <c r="G8833" i="3"/>
  <c r="G8808" i="3"/>
  <c r="G8777" i="3"/>
  <c r="G8750" i="3"/>
  <c r="G8720" i="3"/>
  <c r="G8684" i="3"/>
  <c r="G8652" i="3"/>
  <c r="G8619" i="3"/>
  <c r="G8576" i="3"/>
  <c r="G8536" i="3"/>
  <c r="G8494" i="3"/>
  <c r="G8448" i="3"/>
  <c r="G8408" i="3"/>
  <c r="G8366" i="3"/>
  <c r="G8320" i="3"/>
  <c r="G8280" i="3"/>
  <c r="G8238" i="3"/>
  <c r="G8192" i="3"/>
  <c r="G8150" i="3"/>
  <c r="G8094" i="3"/>
  <c r="G8032" i="3"/>
  <c r="G7981" i="3"/>
  <c r="G7925" i="3"/>
  <c r="G7862" i="3"/>
  <c r="G7808" i="3"/>
  <c r="G7752" i="3"/>
  <c r="G7693" i="3"/>
  <c r="G7638" i="3"/>
  <c r="G7582" i="3"/>
  <c r="G7520" i="3"/>
  <c r="G7469" i="3"/>
  <c r="G7413" i="3"/>
  <c r="G7350" i="3"/>
  <c r="G7296" i="3"/>
  <c r="G7240" i="3"/>
  <c r="G7166" i="3"/>
  <c r="G7056" i="3"/>
  <c r="G6832" i="3"/>
  <c r="G6584" i="3"/>
  <c r="G6383" i="3"/>
  <c r="G6159" i="3"/>
  <c r="G5378" i="3"/>
  <c r="G10002" i="3"/>
  <c r="G9986" i="3"/>
  <c r="G9970" i="3"/>
  <c r="G9954" i="3"/>
  <c r="G9938" i="3"/>
  <c r="G9922" i="3"/>
  <c r="G9906" i="3"/>
  <c r="G9890" i="3"/>
  <c r="G9874" i="3"/>
  <c r="G9858" i="3"/>
  <c r="G9842" i="3"/>
  <c r="G9826" i="3"/>
  <c r="G9810" i="3"/>
  <c r="G9794" i="3"/>
  <c r="G9778" i="3"/>
  <c r="G9762" i="3"/>
  <c r="G9746" i="3"/>
  <c r="G9730" i="3"/>
  <c r="G9714" i="3"/>
  <c r="G9698" i="3"/>
  <c r="G9682" i="3"/>
  <c r="G9666" i="3"/>
  <c r="G9650" i="3"/>
  <c r="G9634" i="3"/>
  <c r="G9618" i="3"/>
  <c r="G9602" i="3"/>
  <c r="G9586" i="3"/>
  <c r="G9570" i="3"/>
  <c r="G9554" i="3"/>
  <c r="G9538" i="3"/>
  <c r="G9522" i="3"/>
  <c r="G9506" i="3"/>
  <c r="G9490" i="3"/>
  <c r="G9474" i="3"/>
  <c r="G9458" i="3"/>
  <c r="G9442" i="3"/>
  <c r="G9426" i="3"/>
  <c r="G9410" i="3"/>
  <c r="G9394" i="3"/>
  <c r="G9378" i="3"/>
  <c r="G9362" i="3"/>
  <c r="G9346" i="3"/>
  <c r="G9330" i="3"/>
  <c r="G9313" i="3"/>
  <c r="G9290" i="3"/>
  <c r="G9270" i="3"/>
  <c r="G9249" i="3"/>
  <c r="G9226" i="3"/>
  <c r="G9206" i="3"/>
  <c r="G9185" i="3"/>
  <c r="G9162" i="3"/>
  <c r="G9142" i="3"/>
  <c r="G9121" i="3"/>
  <c r="G9098" i="3"/>
  <c r="G9078" i="3"/>
  <c r="G9057" i="3"/>
  <c r="G9034" i="3"/>
  <c r="G9014" i="3"/>
  <c r="G8993" i="3"/>
  <c r="G8970" i="3"/>
  <c r="G8950" i="3"/>
  <c r="G8928" i="3"/>
  <c r="G8902" i="3"/>
  <c r="G8879" i="3"/>
  <c r="G8855" i="3"/>
  <c r="G8829" i="3"/>
  <c r="G8804" i="3"/>
  <c r="G8776" i="3"/>
  <c r="G8745" i="3"/>
  <c r="G8716" i="3"/>
  <c r="G8683" i="3"/>
  <c r="G8645" i="3"/>
  <c r="G8613" i="3"/>
  <c r="G8574" i="3"/>
  <c r="G8528" i="3"/>
  <c r="G8488" i="3"/>
  <c r="G8446" i="3"/>
  <c r="G8400" i="3"/>
  <c r="G8360" i="3"/>
  <c r="G8318" i="3"/>
  <c r="G8272" i="3"/>
  <c r="G8232" i="3"/>
  <c r="G8190" i="3"/>
  <c r="G8141" i="3"/>
  <c r="G8086" i="3"/>
  <c r="G8030" i="3"/>
  <c r="G7968" i="3"/>
  <c r="G7917" i="3"/>
  <c r="G7861" i="3"/>
  <c r="G7798" i="3"/>
  <c r="G7744" i="3"/>
  <c r="G7688" i="3"/>
  <c r="G7629" i="3"/>
  <c r="G7574" i="3"/>
  <c r="G7518" i="3"/>
  <c r="G7456" i="3"/>
  <c r="G7405" i="3"/>
  <c r="G7349" i="3"/>
  <c r="G7286" i="3"/>
  <c r="G7232" i="3"/>
  <c r="G7159" i="3"/>
  <c r="G7023" i="3"/>
  <c r="G6800" i="3"/>
  <c r="G6576" i="3"/>
  <c r="G6328" i="3"/>
  <c r="G6127" i="3"/>
  <c r="G9958" i="3"/>
  <c r="G9910" i="3"/>
  <c r="G9846" i="3"/>
  <c r="G9782" i="3"/>
  <c r="G9718" i="3"/>
  <c r="G9638" i="3"/>
  <c r="G9574" i="3"/>
  <c r="G9510" i="3"/>
  <c r="G9446" i="3"/>
  <c r="G9382" i="3"/>
  <c r="G9318" i="3"/>
  <c r="G9254" i="3"/>
  <c r="G9190" i="3"/>
  <c r="G9126" i="3"/>
  <c r="G9082" i="3"/>
  <c r="G9018" i="3"/>
  <c r="G8954" i="3"/>
  <c r="G8910" i="3"/>
  <c r="G8861" i="3"/>
  <c r="G8782" i="3"/>
  <c r="G8723" i="3"/>
  <c r="G8656" i="3"/>
  <c r="G8584" i="3"/>
  <c r="G8496" i="3"/>
  <c r="G8368" i="3"/>
  <c r="G8286" i="3"/>
  <c r="G8158" i="3"/>
  <c r="G7926" i="3"/>
  <c r="G6160" i="3"/>
  <c r="G5" i="3"/>
  <c r="G6" i="3"/>
  <c r="G7" i="3"/>
  <c r="G8" i="3"/>
  <c r="G9" i="3"/>
  <c r="G10" i="3"/>
  <c r="G18" i="3"/>
  <c r="G26" i="3"/>
  <c r="G34" i="3"/>
  <c r="G42" i="3"/>
  <c r="G50" i="3"/>
  <c r="G58" i="3"/>
  <c r="G66" i="3"/>
  <c r="G74" i="3"/>
  <c r="G82" i="3"/>
  <c r="G90" i="3"/>
  <c r="G98" i="3"/>
  <c r="G106" i="3"/>
  <c r="G114" i="3"/>
  <c r="G122" i="3"/>
  <c r="G130" i="3"/>
  <c r="G138" i="3"/>
  <c r="G146" i="3"/>
  <c r="G154" i="3"/>
  <c r="G162" i="3"/>
  <c r="G170" i="3"/>
  <c r="G178" i="3"/>
  <c r="G186" i="3"/>
  <c r="G194" i="3"/>
  <c r="G202" i="3"/>
  <c r="G210" i="3"/>
  <c r="G218" i="3"/>
  <c r="G226" i="3"/>
  <c r="G234" i="3"/>
  <c r="G242" i="3"/>
  <c r="G250" i="3"/>
  <c r="G258" i="3"/>
  <c r="G266" i="3"/>
  <c r="G274" i="3"/>
  <c r="G282" i="3"/>
  <c r="G290" i="3"/>
  <c r="G298" i="3"/>
  <c r="G306" i="3"/>
  <c r="G314" i="3"/>
  <c r="G322" i="3"/>
  <c r="G330" i="3"/>
  <c r="G338" i="3"/>
  <c r="G346" i="3"/>
  <c r="G354" i="3"/>
  <c r="G362" i="3"/>
  <c r="G11" i="3"/>
  <c r="G12" i="3"/>
  <c r="G20" i="3"/>
  <c r="G28" i="3"/>
  <c r="G36" i="3"/>
  <c r="G44" i="3"/>
  <c r="G52" i="3"/>
  <c r="G60" i="3"/>
  <c r="G68" i="3"/>
  <c r="G76" i="3"/>
  <c r="G84" i="3"/>
  <c r="G92" i="3"/>
  <c r="G100" i="3"/>
  <c r="G108" i="3"/>
  <c r="G116" i="3"/>
  <c r="G124" i="3"/>
  <c r="G132" i="3"/>
  <c r="G140" i="3"/>
  <c r="G148" i="3"/>
  <c r="G156" i="3"/>
  <c r="G164" i="3"/>
  <c r="G172" i="3"/>
  <c r="G180" i="3"/>
  <c r="G188" i="3"/>
  <c r="G196" i="3"/>
  <c r="G204" i="3"/>
  <c r="G212" i="3"/>
  <c r="G220" i="3"/>
  <c r="G228" i="3"/>
  <c r="G236" i="3"/>
  <c r="G244" i="3"/>
  <c r="G252" i="3"/>
  <c r="G260" i="3"/>
  <c r="G268" i="3"/>
  <c r="G276" i="3"/>
  <c r="G284" i="3"/>
  <c r="G292" i="3"/>
  <c r="G300" i="3"/>
  <c r="G308" i="3"/>
  <c r="G316" i="3"/>
  <c r="G324" i="3"/>
  <c r="G332" i="3"/>
  <c r="G340" i="3"/>
  <c r="G348" i="3"/>
  <c r="G356" i="3"/>
  <c r="G364" i="3"/>
  <c r="G372" i="3"/>
  <c r="G380" i="3"/>
  <c r="G388" i="3"/>
  <c r="G396" i="3"/>
  <c r="G404" i="3"/>
  <c r="G412" i="3"/>
  <c r="G420" i="3"/>
  <c r="G428" i="3"/>
  <c r="G436" i="3"/>
  <c r="G444" i="3"/>
  <c r="G452" i="3"/>
  <c r="G460" i="3"/>
  <c r="G468" i="3"/>
  <c r="G476" i="3"/>
  <c r="G484" i="3"/>
  <c r="G492" i="3"/>
  <c r="G500" i="3"/>
  <c r="G508" i="3"/>
  <c r="G516" i="3"/>
  <c r="G524" i="3"/>
  <c r="G532" i="3"/>
  <c r="G540" i="3"/>
  <c r="G548" i="3"/>
  <c r="G556" i="3"/>
  <c r="G564" i="3"/>
  <c r="G572" i="3"/>
  <c r="G580" i="3"/>
  <c r="G588" i="3"/>
  <c r="G596" i="3"/>
  <c r="G604" i="3"/>
  <c r="G612" i="3"/>
  <c r="G620" i="3"/>
  <c r="G628" i="3"/>
  <c r="G636" i="3"/>
  <c r="G644" i="3"/>
  <c r="G652" i="3"/>
  <c r="G660" i="3"/>
  <c r="G668" i="3"/>
  <c r="G676" i="3"/>
  <c r="G684" i="3"/>
  <c r="G13" i="3"/>
  <c r="G23" i="3"/>
  <c r="G33" i="3"/>
  <c r="G45" i="3"/>
  <c r="G55" i="3"/>
  <c r="G65" i="3"/>
  <c r="G77" i="3"/>
  <c r="G87" i="3"/>
  <c r="G97" i="3"/>
  <c r="G109" i="3"/>
  <c r="G119" i="3"/>
  <c r="G129" i="3"/>
  <c r="G141" i="3"/>
  <c r="G151" i="3"/>
  <c r="G161" i="3"/>
  <c r="G173" i="3"/>
  <c r="G183" i="3"/>
  <c r="G193" i="3"/>
  <c r="G205" i="3"/>
  <c r="G215" i="3"/>
  <c r="G225" i="3"/>
  <c r="G237" i="3"/>
  <c r="G247" i="3"/>
  <c r="G257" i="3"/>
  <c r="G269" i="3"/>
  <c r="G279" i="3"/>
  <c r="G289" i="3"/>
  <c r="G301" i="3"/>
  <c r="G311" i="3"/>
  <c r="G321" i="3"/>
  <c r="G333" i="3"/>
  <c r="G343" i="3"/>
  <c r="G353" i="3"/>
  <c r="G365" i="3"/>
  <c r="G374" i="3"/>
  <c r="G383" i="3"/>
  <c r="G392" i="3"/>
  <c r="G401" i="3"/>
  <c r="G410" i="3"/>
  <c r="G419" i="3"/>
  <c r="G429" i="3"/>
  <c r="G438" i="3"/>
  <c r="G447" i="3"/>
  <c r="G456" i="3"/>
  <c r="G465" i="3"/>
  <c r="G474" i="3"/>
  <c r="G483" i="3"/>
  <c r="G493" i="3"/>
  <c r="G502" i="3"/>
  <c r="G511" i="3"/>
  <c r="G520" i="3"/>
  <c r="G529" i="3"/>
  <c r="G538" i="3"/>
  <c r="G547" i="3"/>
  <c r="G557" i="3"/>
  <c r="G566" i="3"/>
  <c r="G575" i="3"/>
  <c r="G584" i="3"/>
  <c r="G593" i="3"/>
  <c r="G602" i="3"/>
  <c r="G611" i="3"/>
  <c r="G621" i="3"/>
  <c r="G630" i="3"/>
  <c r="G639" i="3"/>
  <c r="G648" i="3"/>
  <c r="G657" i="3"/>
  <c r="G666" i="3"/>
  <c r="G675" i="3"/>
  <c r="G685" i="3"/>
  <c r="G693" i="3"/>
  <c r="G701" i="3"/>
  <c r="G709" i="3"/>
  <c r="G717" i="3"/>
  <c r="G725" i="3"/>
  <c r="G733" i="3"/>
  <c r="G741" i="3"/>
  <c r="G749" i="3"/>
  <c r="G757" i="3"/>
  <c r="G765" i="3"/>
  <c r="G773" i="3"/>
  <c r="G781" i="3"/>
  <c r="G789" i="3"/>
  <c r="G797" i="3"/>
  <c r="G805" i="3"/>
  <c r="G813" i="3"/>
  <c r="G14" i="3"/>
  <c r="G24" i="3"/>
  <c r="G35" i="3"/>
  <c r="G46" i="3"/>
  <c r="G56" i="3"/>
  <c r="G67" i="3"/>
  <c r="G78" i="3"/>
  <c r="G88" i="3"/>
  <c r="G99" i="3"/>
  <c r="G110" i="3"/>
  <c r="G120" i="3"/>
  <c r="G131" i="3"/>
  <c r="G142" i="3"/>
  <c r="G152" i="3"/>
  <c r="G163" i="3"/>
  <c r="G174" i="3"/>
  <c r="G184" i="3"/>
  <c r="G195" i="3"/>
  <c r="G206" i="3"/>
  <c r="G216" i="3"/>
  <c r="G227" i="3"/>
  <c r="G238" i="3"/>
  <c r="G248" i="3"/>
  <c r="G259" i="3"/>
  <c r="G270" i="3"/>
  <c r="G280" i="3"/>
  <c r="G291" i="3"/>
  <c r="G302" i="3"/>
  <c r="G312" i="3"/>
  <c r="G323" i="3"/>
  <c r="G334" i="3"/>
  <c r="G344" i="3"/>
  <c r="G355" i="3"/>
  <c r="G366" i="3"/>
  <c r="G375" i="3"/>
  <c r="G384" i="3"/>
  <c r="G393" i="3"/>
  <c r="G402" i="3"/>
  <c r="G411" i="3"/>
  <c r="G421" i="3"/>
  <c r="G430" i="3"/>
  <c r="G439" i="3"/>
  <c r="G448" i="3"/>
  <c r="G457" i="3"/>
  <c r="G466" i="3"/>
  <c r="G475" i="3"/>
  <c r="G485" i="3"/>
  <c r="G494" i="3"/>
  <c r="G503" i="3"/>
  <c r="G512" i="3"/>
  <c r="G521" i="3"/>
  <c r="G530" i="3"/>
  <c r="G539" i="3"/>
  <c r="G549" i="3"/>
  <c r="G558" i="3"/>
  <c r="G567" i="3"/>
  <c r="G576" i="3"/>
  <c r="G585" i="3"/>
  <c r="G594" i="3"/>
  <c r="G603" i="3"/>
  <c r="G613" i="3"/>
  <c r="G622" i="3"/>
  <c r="G631" i="3"/>
  <c r="G640" i="3"/>
  <c r="G649" i="3"/>
  <c r="G658" i="3"/>
  <c r="G667" i="3"/>
  <c r="G677" i="3"/>
  <c r="G15" i="3"/>
  <c r="G25" i="3"/>
  <c r="G37" i="3"/>
  <c r="G47" i="3"/>
  <c r="G57" i="3"/>
  <c r="G69" i="3"/>
  <c r="G79" i="3"/>
  <c r="G89" i="3"/>
  <c r="G101" i="3"/>
  <c r="G111" i="3"/>
  <c r="G121" i="3"/>
  <c r="G133" i="3"/>
  <c r="G143" i="3"/>
  <c r="G153" i="3"/>
  <c r="G165" i="3"/>
  <c r="G175" i="3"/>
  <c r="G185" i="3"/>
  <c r="G197" i="3"/>
  <c r="G207" i="3"/>
  <c r="G217" i="3"/>
  <c r="G229" i="3"/>
  <c r="G239" i="3"/>
  <c r="G249" i="3"/>
  <c r="G261" i="3"/>
  <c r="G271" i="3"/>
  <c r="G281" i="3"/>
  <c r="G293" i="3"/>
  <c r="G303" i="3"/>
  <c r="G313" i="3"/>
  <c r="G325" i="3"/>
  <c r="G335" i="3"/>
  <c r="G345" i="3"/>
  <c r="G357" i="3"/>
  <c r="G367" i="3"/>
  <c r="G376" i="3"/>
  <c r="G385" i="3"/>
  <c r="G394" i="3"/>
  <c r="G403" i="3"/>
  <c r="G413" i="3"/>
  <c r="G422" i="3"/>
  <c r="G431" i="3"/>
  <c r="G440" i="3"/>
  <c r="G449" i="3"/>
  <c r="G458" i="3"/>
  <c r="G467" i="3"/>
  <c r="G477" i="3"/>
  <c r="G486" i="3"/>
  <c r="G495" i="3"/>
  <c r="G504" i="3"/>
  <c r="G513" i="3"/>
  <c r="G522" i="3"/>
  <c r="G531" i="3"/>
  <c r="G541" i="3"/>
  <c r="G550" i="3"/>
  <c r="G559" i="3"/>
  <c r="G568" i="3"/>
  <c r="G577" i="3"/>
  <c r="G586" i="3"/>
  <c r="G595" i="3"/>
  <c r="G605" i="3"/>
  <c r="G614" i="3"/>
  <c r="G623" i="3"/>
  <c r="G632" i="3"/>
  <c r="G641" i="3"/>
  <c r="G650" i="3"/>
  <c r="G659" i="3"/>
  <c r="G669" i="3"/>
  <c r="G678" i="3"/>
  <c r="G687" i="3"/>
  <c r="G16" i="3"/>
  <c r="G27" i="3"/>
  <c r="G38" i="3"/>
  <c r="G48" i="3"/>
  <c r="G59" i="3"/>
  <c r="G70" i="3"/>
  <c r="G80" i="3"/>
  <c r="G91" i="3"/>
  <c r="G102" i="3"/>
  <c r="G112" i="3"/>
  <c r="G123" i="3"/>
  <c r="G134" i="3"/>
  <c r="G144" i="3"/>
  <c r="G155" i="3"/>
  <c r="G166" i="3"/>
  <c r="G176" i="3"/>
  <c r="G187" i="3"/>
  <c r="G198" i="3"/>
  <c r="G208" i="3"/>
  <c r="G219" i="3"/>
  <c r="G230" i="3"/>
  <c r="G240" i="3"/>
  <c r="G251" i="3"/>
  <c r="G262" i="3"/>
  <c r="G272" i="3"/>
  <c r="G283" i="3"/>
  <c r="G294" i="3"/>
  <c r="G304" i="3"/>
  <c r="G315" i="3"/>
  <c r="G326" i="3"/>
  <c r="G336" i="3"/>
  <c r="G347" i="3"/>
  <c r="G358" i="3"/>
  <c r="G368" i="3"/>
  <c r="G377" i="3"/>
  <c r="G386" i="3"/>
  <c r="G395" i="3"/>
  <c r="G405" i="3"/>
  <c r="G414" i="3"/>
  <c r="G423" i="3"/>
  <c r="G432" i="3"/>
  <c r="G441" i="3"/>
  <c r="G450" i="3"/>
  <c r="G459" i="3"/>
  <c r="G469" i="3"/>
  <c r="G478" i="3"/>
  <c r="G487" i="3"/>
  <c r="G496" i="3"/>
  <c r="G505" i="3"/>
  <c r="G514" i="3"/>
  <c r="G523" i="3"/>
  <c r="G533" i="3"/>
  <c r="G542" i="3"/>
  <c r="G551" i="3"/>
  <c r="G560" i="3"/>
  <c r="G569" i="3"/>
  <c r="G578" i="3"/>
  <c r="G587" i="3"/>
  <c r="G597" i="3"/>
  <c r="G606" i="3"/>
  <c r="G615" i="3"/>
  <c r="G624" i="3"/>
  <c r="G17" i="3"/>
  <c r="G29" i="3"/>
  <c r="G39" i="3"/>
  <c r="G49" i="3"/>
  <c r="G61" i="3"/>
  <c r="G71" i="3"/>
  <c r="G81" i="3"/>
  <c r="G93" i="3"/>
  <c r="G103" i="3"/>
  <c r="G113" i="3"/>
  <c r="G125" i="3"/>
  <c r="G135" i="3"/>
  <c r="G145" i="3"/>
  <c r="G157" i="3"/>
  <c r="G167" i="3"/>
  <c r="G177" i="3"/>
  <c r="G189" i="3"/>
  <c r="G199" i="3"/>
  <c r="G209" i="3"/>
  <c r="G221" i="3"/>
  <c r="G231" i="3"/>
  <c r="G241" i="3"/>
  <c r="G253" i="3"/>
  <c r="G263" i="3"/>
  <c r="G273" i="3"/>
  <c r="G285" i="3"/>
  <c r="G295" i="3"/>
  <c r="G305" i="3"/>
  <c r="G317" i="3"/>
  <c r="G327" i="3"/>
  <c r="G337" i="3"/>
  <c r="G349" i="3"/>
  <c r="G359" i="3"/>
  <c r="G369" i="3"/>
  <c r="G378" i="3"/>
  <c r="G387" i="3"/>
  <c r="G397" i="3"/>
  <c r="G406" i="3"/>
  <c r="G415" i="3"/>
  <c r="G424" i="3"/>
  <c r="G433" i="3"/>
  <c r="G442" i="3"/>
  <c r="G451" i="3"/>
  <c r="G461" i="3"/>
  <c r="G470" i="3"/>
  <c r="G479" i="3"/>
  <c r="G488" i="3"/>
  <c r="G497" i="3"/>
  <c r="G506" i="3"/>
  <c r="G515" i="3"/>
  <c r="G525" i="3"/>
  <c r="G19" i="3"/>
  <c r="G30" i="3"/>
  <c r="G40" i="3"/>
  <c r="G51" i="3"/>
  <c r="G62" i="3"/>
  <c r="G72" i="3"/>
  <c r="G83" i="3"/>
  <c r="G94" i="3"/>
  <c r="G104" i="3"/>
  <c r="G115" i="3"/>
  <c r="G126" i="3"/>
  <c r="G136" i="3"/>
  <c r="G147" i="3"/>
  <c r="G158" i="3"/>
  <c r="G168" i="3"/>
  <c r="G179" i="3"/>
  <c r="G190" i="3"/>
  <c r="G200" i="3"/>
  <c r="G211" i="3"/>
  <c r="G222" i="3"/>
  <c r="G232" i="3"/>
  <c r="G243" i="3"/>
  <c r="G254" i="3"/>
  <c r="G264" i="3"/>
  <c r="G275" i="3"/>
  <c r="G286" i="3"/>
  <c r="G296" i="3"/>
  <c r="G307" i="3"/>
  <c r="G318" i="3"/>
  <c r="G328" i="3"/>
  <c r="G339" i="3"/>
  <c r="G350" i="3"/>
  <c r="G360" i="3"/>
  <c r="G370" i="3"/>
  <c r="G379" i="3"/>
  <c r="G389" i="3"/>
  <c r="G398" i="3"/>
  <c r="G407" i="3"/>
  <c r="G416" i="3"/>
  <c r="G425" i="3"/>
  <c r="G434" i="3"/>
  <c r="G443" i="3"/>
  <c r="G453" i="3"/>
  <c r="G462" i="3"/>
  <c r="G471" i="3"/>
  <c r="G22" i="3"/>
  <c r="G32" i="3"/>
  <c r="G43" i="3"/>
  <c r="G54" i="3"/>
  <c r="G64" i="3"/>
  <c r="G75" i="3"/>
  <c r="G86" i="3"/>
  <c r="G96" i="3"/>
  <c r="G107" i="3"/>
  <c r="G118" i="3"/>
  <c r="G128" i="3"/>
  <c r="G139" i="3"/>
  <c r="G150" i="3"/>
  <c r="G160" i="3"/>
  <c r="G171" i="3"/>
  <c r="G182" i="3"/>
  <c r="G192" i="3"/>
  <c r="G203" i="3"/>
  <c r="G214" i="3"/>
  <c r="G224" i="3"/>
  <c r="G235" i="3"/>
  <c r="G246" i="3"/>
  <c r="G256" i="3"/>
  <c r="G267" i="3"/>
  <c r="G278" i="3"/>
  <c r="G288" i="3"/>
  <c r="G299" i="3"/>
  <c r="G310" i="3"/>
  <c r="G320" i="3"/>
  <c r="G331" i="3"/>
  <c r="G342" i="3"/>
  <c r="G352" i="3"/>
  <c r="G363" i="3"/>
  <c r="G373" i="3"/>
  <c r="G382" i="3"/>
  <c r="G391" i="3"/>
  <c r="G400" i="3"/>
  <c r="G409" i="3"/>
  <c r="G418" i="3"/>
  <c r="G427" i="3"/>
  <c r="G437" i="3"/>
  <c r="G446" i="3"/>
  <c r="G455" i="3"/>
  <c r="G464" i="3"/>
  <c r="G473" i="3"/>
  <c r="G482" i="3"/>
  <c r="G491" i="3"/>
  <c r="G501" i="3"/>
  <c r="G510" i="3"/>
  <c r="G21" i="3"/>
  <c r="G105" i="3"/>
  <c r="G191" i="3"/>
  <c r="G277" i="3"/>
  <c r="G361" i="3"/>
  <c r="G435" i="3"/>
  <c r="G490" i="3"/>
  <c r="G526" i="3"/>
  <c r="G544" i="3"/>
  <c r="G562" i="3"/>
  <c r="G581" i="3"/>
  <c r="G599" i="3"/>
  <c r="G617" i="3"/>
  <c r="G634" i="3"/>
  <c r="G647" i="3"/>
  <c r="G663" i="3"/>
  <c r="G679" i="3"/>
  <c r="G690" i="3"/>
  <c r="G699" i="3"/>
  <c r="G708" i="3"/>
  <c r="G718" i="3"/>
  <c r="G727" i="3"/>
  <c r="G736" i="3"/>
  <c r="G745" i="3"/>
  <c r="G754" i="3"/>
  <c r="G763" i="3"/>
  <c r="G772" i="3"/>
  <c r="G782" i="3"/>
  <c r="G791" i="3"/>
  <c r="G800" i="3"/>
  <c r="G809" i="3"/>
  <c r="G818" i="3"/>
  <c r="G826" i="3"/>
  <c r="G834" i="3"/>
  <c r="G842" i="3"/>
  <c r="G850" i="3"/>
  <c r="G858" i="3"/>
  <c r="G866" i="3"/>
  <c r="G874" i="3"/>
  <c r="G882" i="3"/>
  <c r="G890" i="3"/>
  <c r="G898" i="3"/>
  <c r="G906" i="3"/>
  <c r="G914" i="3"/>
  <c r="G922" i="3"/>
  <c r="G930" i="3"/>
  <c r="G938" i="3"/>
  <c r="G946" i="3"/>
  <c r="G954" i="3"/>
  <c r="G962" i="3"/>
  <c r="G970" i="3"/>
  <c r="G978" i="3"/>
  <c r="G986" i="3"/>
  <c r="G994" i="3"/>
  <c r="G1002" i="3"/>
  <c r="G1010" i="3"/>
  <c r="G1018" i="3"/>
  <c r="G1026" i="3"/>
  <c r="G1034" i="3"/>
  <c r="G1042" i="3"/>
  <c r="G1050" i="3"/>
  <c r="G1058" i="3"/>
  <c r="G1066" i="3"/>
  <c r="G1074" i="3"/>
  <c r="G1082" i="3"/>
  <c r="G1090" i="3"/>
  <c r="G1098" i="3"/>
  <c r="G1106" i="3"/>
  <c r="G1114" i="3"/>
  <c r="G1122" i="3"/>
  <c r="G1130" i="3"/>
  <c r="G1138" i="3"/>
  <c r="G1146" i="3"/>
  <c r="G1154" i="3"/>
  <c r="G1162" i="3"/>
  <c r="G1170" i="3"/>
  <c r="G1178" i="3"/>
  <c r="G1186" i="3"/>
  <c r="G1194" i="3"/>
  <c r="G1202" i="3"/>
  <c r="G1210" i="3"/>
  <c r="G1218" i="3"/>
  <c r="G1226" i="3"/>
  <c r="G1234" i="3"/>
  <c r="G1242" i="3"/>
  <c r="G1250" i="3"/>
  <c r="G1258" i="3"/>
  <c r="G1266" i="3"/>
  <c r="G1274" i="3"/>
  <c r="G1282" i="3"/>
  <c r="G1290" i="3"/>
  <c r="G1298" i="3"/>
  <c r="G1306" i="3"/>
  <c r="G1314" i="3"/>
  <c r="G1322" i="3"/>
  <c r="G1330" i="3"/>
  <c r="G1338" i="3"/>
  <c r="G1346" i="3"/>
  <c r="G1354" i="3"/>
  <c r="G31" i="3"/>
  <c r="G117" i="3"/>
  <c r="G201" i="3"/>
  <c r="G287" i="3"/>
  <c r="G371" i="3"/>
  <c r="G445" i="3"/>
  <c r="G498" i="3"/>
  <c r="G527" i="3"/>
  <c r="G545" i="3"/>
  <c r="G563" i="3"/>
  <c r="G582" i="3"/>
  <c r="G600" i="3"/>
  <c r="G618" i="3"/>
  <c r="G635" i="3"/>
  <c r="G651" i="3"/>
  <c r="G664" i="3"/>
  <c r="G680" i="3"/>
  <c r="G691" i="3"/>
  <c r="G700" i="3"/>
  <c r="G710" i="3"/>
  <c r="G719" i="3"/>
  <c r="G728" i="3"/>
  <c r="G737" i="3"/>
  <c r="G746" i="3"/>
  <c r="G755" i="3"/>
  <c r="G764" i="3"/>
  <c r="G774" i="3"/>
  <c r="G783" i="3"/>
  <c r="G792" i="3"/>
  <c r="G801" i="3"/>
  <c r="G810" i="3"/>
  <c r="G819" i="3"/>
  <c r="G827" i="3"/>
  <c r="G835" i="3"/>
  <c r="G843" i="3"/>
  <c r="G851" i="3"/>
  <c r="G859" i="3"/>
  <c r="G867" i="3"/>
  <c r="G875" i="3"/>
  <c r="G883" i="3"/>
  <c r="G891" i="3"/>
  <c r="G899" i="3"/>
  <c r="G907" i="3"/>
  <c r="G915" i="3"/>
  <c r="G923" i="3"/>
  <c r="G931" i="3"/>
  <c r="G939" i="3"/>
  <c r="G947" i="3"/>
  <c r="G955" i="3"/>
  <c r="G963" i="3"/>
  <c r="G971" i="3"/>
  <c r="G979" i="3"/>
  <c r="G987" i="3"/>
  <c r="G995" i="3"/>
  <c r="G1003" i="3"/>
  <c r="G1011" i="3"/>
  <c r="G1019" i="3"/>
  <c r="G1027" i="3"/>
  <c r="G1035" i="3"/>
  <c r="G1043" i="3"/>
  <c r="G1051" i="3"/>
  <c r="G1059" i="3"/>
  <c r="G1067" i="3"/>
  <c r="G1075" i="3"/>
  <c r="G1083" i="3"/>
  <c r="G1091" i="3"/>
  <c r="G1099" i="3"/>
  <c r="G1107" i="3"/>
  <c r="G1115" i="3"/>
  <c r="G1123" i="3"/>
  <c r="G1131" i="3"/>
  <c r="G1139" i="3"/>
  <c r="G1147" i="3"/>
  <c r="G1155" i="3"/>
  <c r="G1163" i="3"/>
  <c r="G1171" i="3"/>
  <c r="G1179" i="3"/>
  <c r="G1187" i="3"/>
  <c r="G1195" i="3"/>
  <c r="G1203" i="3"/>
  <c r="G1211" i="3"/>
  <c r="G1219" i="3"/>
  <c r="G1227" i="3"/>
  <c r="G1235" i="3"/>
  <c r="G1243" i="3"/>
  <c r="G41" i="3"/>
  <c r="G127" i="3"/>
  <c r="G213" i="3"/>
  <c r="G297" i="3"/>
  <c r="G381" i="3"/>
  <c r="G454" i="3"/>
  <c r="G499" i="3"/>
  <c r="G528" i="3"/>
  <c r="G546" i="3"/>
  <c r="G565" i="3"/>
  <c r="G583" i="3"/>
  <c r="G601" i="3"/>
  <c r="G619" i="3"/>
  <c r="G637" i="3"/>
  <c r="G653" i="3"/>
  <c r="G665" i="3"/>
  <c r="G681" i="3"/>
  <c r="G692" i="3"/>
  <c r="G702" i="3"/>
  <c r="G711" i="3"/>
  <c r="G720" i="3"/>
  <c r="G729" i="3"/>
  <c r="G738" i="3"/>
  <c r="G747" i="3"/>
  <c r="G756" i="3"/>
  <c r="G766" i="3"/>
  <c r="G775" i="3"/>
  <c r="G784" i="3"/>
  <c r="G793" i="3"/>
  <c r="G802" i="3"/>
  <c r="G811" i="3"/>
  <c r="G820" i="3"/>
  <c r="G828" i="3"/>
  <c r="G836" i="3"/>
  <c r="G844" i="3"/>
  <c r="G852" i="3"/>
  <c r="G860" i="3"/>
  <c r="G868" i="3"/>
  <c r="G876" i="3"/>
  <c r="G884" i="3"/>
  <c r="G892" i="3"/>
  <c r="G900" i="3"/>
  <c r="G908" i="3"/>
  <c r="G916" i="3"/>
  <c r="G924" i="3"/>
  <c r="G932" i="3"/>
  <c r="G940" i="3"/>
  <c r="G948" i="3"/>
  <c r="G956" i="3"/>
  <c r="G964" i="3"/>
  <c r="G972" i="3"/>
  <c r="G980" i="3"/>
  <c r="G988" i="3"/>
  <c r="G996" i="3"/>
  <c r="G1004" i="3"/>
  <c r="G1012" i="3"/>
  <c r="G1020" i="3"/>
  <c r="G1028" i="3"/>
  <c r="G1036" i="3"/>
  <c r="G1044" i="3"/>
  <c r="G1052" i="3"/>
  <c r="G1060" i="3"/>
  <c r="G1068" i="3"/>
  <c r="G1076" i="3"/>
  <c r="G1084" i="3"/>
  <c r="G1092" i="3"/>
  <c r="G1100" i="3"/>
  <c r="G1108" i="3"/>
  <c r="G1116" i="3"/>
  <c r="G1124" i="3"/>
  <c r="G1132" i="3"/>
  <c r="G1140" i="3"/>
  <c r="G1148" i="3"/>
  <c r="G1156" i="3"/>
  <c r="G1164" i="3"/>
  <c r="G1172" i="3"/>
  <c r="G1180" i="3"/>
  <c r="G1188" i="3"/>
  <c r="G1196" i="3"/>
  <c r="G1204" i="3"/>
  <c r="G1212" i="3"/>
  <c r="G1220" i="3"/>
  <c r="G1228" i="3"/>
  <c r="G53" i="3"/>
  <c r="G137" i="3"/>
  <c r="G223" i="3"/>
  <c r="G309" i="3"/>
  <c r="G390" i="3"/>
  <c r="G463" i="3"/>
  <c r="G507" i="3"/>
  <c r="G534" i="3"/>
  <c r="G552" i="3"/>
  <c r="G570" i="3"/>
  <c r="G589" i="3"/>
  <c r="G607" i="3"/>
  <c r="G625" i="3"/>
  <c r="G638" i="3"/>
  <c r="G654" i="3"/>
  <c r="G670" i="3"/>
  <c r="G682" i="3"/>
  <c r="G694" i="3"/>
  <c r="G703" i="3"/>
  <c r="G712" i="3"/>
  <c r="G721" i="3"/>
  <c r="G730" i="3"/>
  <c r="G739" i="3"/>
  <c r="G748" i="3"/>
  <c r="G758" i="3"/>
  <c r="G767" i="3"/>
  <c r="G776" i="3"/>
  <c r="G785" i="3"/>
  <c r="G794" i="3"/>
  <c r="G803" i="3"/>
  <c r="G812" i="3"/>
  <c r="G821" i="3"/>
  <c r="G829" i="3"/>
  <c r="G837" i="3"/>
  <c r="G845" i="3"/>
  <c r="G853" i="3"/>
  <c r="G861" i="3"/>
  <c r="G869" i="3"/>
  <c r="G877" i="3"/>
  <c r="G885" i="3"/>
  <c r="G893" i="3"/>
  <c r="G901" i="3"/>
  <c r="G909" i="3"/>
  <c r="G917" i="3"/>
  <c r="G925" i="3"/>
  <c r="G933" i="3"/>
  <c r="G941" i="3"/>
  <c r="G949" i="3"/>
  <c r="G957" i="3"/>
  <c r="G965" i="3"/>
  <c r="G973" i="3"/>
  <c r="G981" i="3"/>
  <c r="G989" i="3"/>
  <c r="G997" i="3"/>
  <c r="G1005" i="3"/>
  <c r="G1013" i="3"/>
  <c r="G1021" i="3"/>
  <c r="G1029" i="3"/>
  <c r="G1037" i="3"/>
  <c r="G1045" i="3"/>
  <c r="G1053" i="3"/>
  <c r="G1061" i="3"/>
  <c r="G1069" i="3"/>
  <c r="G1077" i="3"/>
  <c r="G1085" i="3"/>
  <c r="G1093" i="3"/>
  <c r="G63" i="3"/>
  <c r="G149" i="3"/>
  <c r="G233" i="3"/>
  <c r="G319" i="3"/>
  <c r="G399" i="3"/>
  <c r="G472" i="3"/>
  <c r="G509" i="3"/>
  <c r="G535" i="3"/>
  <c r="G553" i="3"/>
  <c r="G571" i="3"/>
  <c r="G590" i="3"/>
  <c r="G608" i="3"/>
  <c r="G626" i="3"/>
  <c r="G642" i="3"/>
  <c r="G655" i="3"/>
  <c r="G671" i="3"/>
  <c r="G683" i="3"/>
  <c r="G695" i="3"/>
  <c r="G704" i="3"/>
  <c r="G713" i="3"/>
  <c r="G722" i="3"/>
  <c r="G731" i="3"/>
  <c r="G740" i="3"/>
  <c r="G750" i="3"/>
  <c r="G759" i="3"/>
  <c r="G768" i="3"/>
  <c r="G777" i="3"/>
  <c r="G786" i="3"/>
  <c r="G795" i="3"/>
  <c r="G804" i="3"/>
  <c r="G814" i="3"/>
  <c r="G822" i="3"/>
  <c r="G830" i="3"/>
  <c r="G838" i="3"/>
  <c r="G846" i="3"/>
  <c r="G854" i="3"/>
  <c r="G862" i="3"/>
  <c r="G73" i="3"/>
  <c r="G265" i="3"/>
  <c r="G481" i="3"/>
  <c r="G554" i="3"/>
  <c r="G598" i="3"/>
  <c r="G645" i="3"/>
  <c r="G686" i="3"/>
  <c r="G707" i="3"/>
  <c r="G734" i="3"/>
  <c r="G760" i="3"/>
  <c r="G780" i="3"/>
  <c r="G807" i="3"/>
  <c r="G831" i="3"/>
  <c r="G849" i="3"/>
  <c r="G871" i="3"/>
  <c r="G887" i="3"/>
  <c r="G903" i="3"/>
  <c r="G919" i="3"/>
  <c r="G935" i="3"/>
  <c r="G951" i="3"/>
  <c r="G967" i="3"/>
  <c r="G983" i="3"/>
  <c r="G999" i="3"/>
  <c r="G1015" i="3"/>
  <c r="G1031" i="3"/>
  <c r="G1047" i="3"/>
  <c r="G1063" i="3"/>
  <c r="G1079" i="3"/>
  <c r="G1095" i="3"/>
  <c r="G1109" i="3"/>
  <c r="G1120" i="3"/>
  <c r="G1134" i="3"/>
  <c r="G1145" i="3"/>
  <c r="G1159" i="3"/>
  <c r="G1173" i="3"/>
  <c r="G1184" i="3"/>
  <c r="G1198" i="3"/>
  <c r="G1209" i="3"/>
  <c r="G1223" i="3"/>
  <c r="G1236" i="3"/>
  <c r="G1246" i="3"/>
  <c r="G1255" i="3"/>
  <c r="G1264" i="3"/>
  <c r="G1273" i="3"/>
  <c r="G1283" i="3"/>
  <c r="G1292" i="3"/>
  <c r="G1301" i="3"/>
  <c r="G1310" i="3"/>
  <c r="G1319" i="3"/>
  <c r="G1328" i="3"/>
  <c r="G1337" i="3"/>
  <c r="G1347" i="3"/>
  <c r="G1356" i="3"/>
  <c r="G1364" i="3"/>
  <c r="G1372" i="3"/>
  <c r="G1380" i="3"/>
  <c r="G1388" i="3"/>
  <c r="G1396" i="3"/>
  <c r="G1404" i="3"/>
  <c r="G1412" i="3"/>
  <c r="G1420" i="3"/>
  <c r="G1428" i="3"/>
  <c r="G1436" i="3"/>
  <c r="G1444" i="3"/>
  <c r="G1452" i="3"/>
  <c r="G1460" i="3"/>
  <c r="G1468" i="3"/>
  <c r="G1476" i="3"/>
  <c r="G1484" i="3"/>
  <c r="G1492" i="3"/>
  <c r="G1500" i="3"/>
  <c r="G1508" i="3"/>
  <c r="G1516" i="3"/>
  <c r="G1524" i="3"/>
  <c r="G1532" i="3"/>
  <c r="G1540" i="3"/>
  <c r="G1548" i="3"/>
  <c r="G1556" i="3"/>
  <c r="G1564" i="3"/>
  <c r="G1572" i="3"/>
  <c r="G1580" i="3"/>
  <c r="G1588" i="3"/>
  <c r="G1596" i="3"/>
  <c r="G1604" i="3"/>
  <c r="G1612" i="3"/>
  <c r="G1620" i="3"/>
  <c r="G1628" i="3"/>
  <c r="G85" i="3"/>
  <c r="G329" i="3"/>
  <c r="G489" i="3"/>
  <c r="G555" i="3"/>
  <c r="G609" i="3"/>
  <c r="G646" i="3"/>
  <c r="G688" i="3"/>
  <c r="G714" i="3"/>
  <c r="G735" i="3"/>
  <c r="G761" i="3"/>
  <c r="G787" i="3"/>
  <c r="G808" i="3"/>
  <c r="G832" i="3"/>
  <c r="G855" i="3"/>
  <c r="G872" i="3"/>
  <c r="G888" i="3"/>
  <c r="G904" i="3"/>
  <c r="G920" i="3"/>
  <c r="G936" i="3"/>
  <c r="G952" i="3"/>
  <c r="G968" i="3"/>
  <c r="G984" i="3"/>
  <c r="G1000" i="3"/>
  <c r="G1016" i="3"/>
  <c r="G1032" i="3"/>
  <c r="G1048" i="3"/>
  <c r="G1064" i="3"/>
  <c r="G1080" i="3"/>
  <c r="G1096" i="3"/>
  <c r="G1110" i="3"/>
  <c r="G1121" i="3"/>
  <c r="G1135" i="3"/>
  <c r="G1149" i="3"/>
  <c r="G1160" i="3"/>
  <c r="G1174" i="3"/>
  <c r="G1185" i="3"/>
  <c r="G1199" i="3"/>
  <c r="G1213" i="3"/>
  <c r="G1224" i="3"/>
  <c r="G1237" i="3"/>
  <c r="G1247" i="3"/>
  <c r="G1256" i="3"/>
  <c r="G1265" i="3"/>
  <c r="G1275" i="3"/>
  <c r="G1284" i="3"/>
  <c r="G1293" i="3"/>
  <c r="G1302" i="3"/>
  <c r="G1311" i="3"/>
  <c r="G1320" i="3"/>
  <c r="G1329" i="3"/>
  <c r="G1339" i="3"/>
  <c r="G1348" i="3"/>
  <c r="G1357" i="3"/>
  <c r="G1365" i="3"/>
  <c r="G1373" i="3"/>
  <c r="G1381" i="3"/>
  <c r="G1389" i="3"/>
  <c r="G1397" i="3"/>
  <c r="G1405" i="3"/>
  <c r="G1413" i="3"/>
  <c r="G1421" i="3"/>
  <c r="G1429" i="3"/>
  <c r="G1437" i="3"/>
  <c r="G1445" i="3"/>
  <c r="G1453" i="3"/>
  <c r="G1461" i="3"/>
  <c r="G1469" i="3"/>
  <c r="G1477" i="3"/>
  <c r="G1485" i="3"/>
  <c r="G1493" i="3"/>
  <c r="G1501" i="3"/>
  <c r="G1509" i="3"/>
  <c r="G1517" i="3"/>
  <c r="G1525" i="3"/>
  <c r="G1533" i="3"/>
  <c r="G1541" i="3"/>
  <c r="G1549" i="3"/>
  <c r="G1557" i="3"/>
  <c r="G95" i="3"/>
  <c r="G341" i="3"/>
  <c r="G517" i="3"/>
  <c r="G561" i="3"/>
  <c r="G610" i="3"/>
  <c r="G656" i="3"/>
  <c r="G689" i="3"/>
  <c r="G715" i="3"/>
  <c r="G742" i="3"/>
  <c r="G762" i="3"/>
  <c r="G788" i="3"/>
  <c r="G815" i="3"/>
  <c r="G833" i="3"/>
  <c r="G856" i="3"/>
  <c r="G873" i="3"/>
  <c r="G889" i="3"/>
  <c r="G905" i="3"/>
  <c r="G921" i="3"/>
  <c r="G937" i="3"/>
  <c r="G953" i="3"/>
  <c r="G969" i="3"/>
  <c r="G985" i="3"/>
  <c r="G1001" i="3"/>
  <c r="G1017" i="3"/>
  <c r="G1033" i="3"/>
  <c r="G1049" i="3"/>
  <c r="G1065" i="3"/>
  <c r="G1081" i="3"/>
  <c r="G1097" i="3"/>
  <c r="G1111" i="3"/>
  <c r="G1125" i="3"/>
  <c r="G1136" i="3"/>
  <c r="G1150" i="3"/>
  <c r="G1161" i="3"/>
  <c r="G1175" i="3"/>
  <c r="G1189" i="3"/>
  <c r="G1200" i="3"/>
  <c r="G1214" i="3"/>
  <c r="G1225" i="3"/>
  <c r="G1238" i="3"/>
  <c r="G1248" i="3"/>
  <c r="G1257" i="3"/>
  <c r="G1267" i="3"/>
  <c r="G1276" i="3"/>
  <c r="G1285" i="3"/>
  <c r="G1294" i="3"/>
  <c r="G1303" i="3"/>
  <c r="G1312" i="3"/>
  <c r="G1321" i="3"/>
  <c r="G1331" i="3"/>
  <c r="G1340" i="3"/>
  <c r="G1349" i="3"/>
  <c r="G1358" i="3"/>
  <c r="G1366" i="3"/>
  <c r="G1374" i="3"/>
  <c r="G1382" i="3"/>
  <c r="G1390" i="3"/>
  <c r="G1398" i="3"/>
  <c r="G1406" i="3"/>
  <c r="G1414" i="3"/>
  <c r="G1422" i="3"/>
  <c r="G1430" i="3"/>
  <c r="G1438" i="3"/>
  <c r="G1446" i="3"/>
  <c r="G1454" i="3"/>
  <c r="G1462" i="3"/>
  <c r="G1470" i="3"/>
  <c r="G1478" i="3"/>
  <c r="G1486" i="3"/>
  <c r="G1494" i="3"/>
  <c r="G1502" i="3"/>
  <c r="G1510" i="3"/>
  <c r="G1518" i="3"/>
  <c r="G1526" i="3"/>
  <c r="G159" i="3"/>
  <c r="G351" i="3"/>
  <c r="G518" i="3"/>
  <c r="G573" i="3"/>
  <c r="G616" i="3"/>
  <c r="G661" i="3"/>
  <c r="G696" i="3"/>
  <c r="G716" i="3"/>
  <c r="G743" i="3"/>
  <c r="G769" i="3"/>
  <c r="G790" i="3"/>
  <c r="G816" i="3"/>
  <c r="G839" i="3"/>
  <c r="G857" i="3"/>
  <c r="G878" i="3"/>
  <c r="G894" i="3"/>
  <c r="G910" i="3"/>
  <c r="G926" i="3"/>
  <c r="G942" i="3"/>
  <c r="G958" i="3"/>
  <c r="G974" i="3"/>
  <c r="G990" i="3"/>
  <c r="G1006" i="3"/>
  <c r="G1022" i="3"/>
  <c r="G1038" i="3"/>
  <c r="G1054" i="3"/>
  <c r="G1070" i="3"/>
  <c r="G1086" i="3"/>
  <c r="G1101" i="3"/>
  <c r="G1112" i="3"/>
  <c r="G1126" i="3"/>
  <c r="G1137" i="3"/>
  <c r="G1151" i="3"/>
  <c r="G1165" i="3"/>
  <c r="G1176" i="3"/>
  <c r="G1190" i="3"/>
  <c r="G1201" i="3"/>
  <c r="G1215" i="3"/>
  <c r="G1229" i="3"/>
  <c r="G1239" i="3"/>
  <c r="G1249" i="3"/>
  <c r="G1259" i="3"/>
  <c r="G1268" i="3"/>
  <c r="G1277" i="3"/>
  <c r="G1286" i="3"/>
  <c r="G1295" i="3"/>
  <c r="G1304" i="3"/>
  <c r="G1313" i="3"/>
  <c r="G1323" i="3"/>
  <c r="G1332" i="3"/>
  <c r="G1341" i="3"/>
  <c r="G1350" i="3"/>
  <c r="G1359" i="3"/>
  <c r="G1367" i="3"/>
  <c r="G1375" i="3"/>
  <c r="G1383" i="3"/>
  <c r="G1391" i="3"/>
  <c r="G1399" i="3"/>
  <c r="G1407" i="3"/>
  <c r="G1415" i="3"/>
  <c r="G1423" i="3"/>
  <c r="G1431" i="3"/>
  <c r="G1439" i="3"/>
  <c r="G1447" i="3"/>
  <c r="G1455" i="3"/>
  <c r="G1463" i="3"/>
  <c r="G1471" i="3"/>
  <c r="G1479" i="3"/>
  <c r="G1487" i="3"/>
  <c r="G1495" i="3"/>
  <c r="G1503" i="3"/>
  <c r="G1511" i="3"/>
  <c r="G1519" i="3"/>
  <c r="G1527" i="3"/>
  <c r="G1535" i="3"/>
  <c r="G1543" i="3"/>
  <c r="G1551" i="3"/>
  <c r="G1559" i="3"/>
  <c r="G1567" i="3"/>
  <c r="G1575" i="3"/>
  <c r="G1583" i="3"/>
  <c r="G1591" i="3"/>
  <c r="G1599" i="3"/>
  <c r="G1607" i="3"/>
  <c r="G1615" i="3"/>
  <c r="G169" i="3"/>
  <c r="G408" i="3"/>
  <c r="G519" i="3"/>
  <c r="G574" i="3"/>
  <c r="G627" i="3"/>
  <c r="G662" i="3"/>
  <c r="G697" i="3"/>
  <c r="G723" i="3"/>
  <c r="G744" i="3"/>
  <c r="G770" i="3"/>
  <c r="G796" i="3"/>
  <c r="G817" i="3"/>
  <c r="G840" i="3"/>
  <c r="G863" i="3"/>
  <c r="G879" i="3"/>
  <c r="G895" i="3"/>
  <c r="G911" i="3"/>
  <c r="G927" i="3"/>
  <c r="G943" i="3"/>
  <c r="G959" i="3"/>
  <c r="G975" i="3"/>
  <c r="G991" i="3"/>
  <c r="G1007" i="3"/>
  <c r="G1023" i="3"/>
  <c r="G1039" i="3"/>
  <c r="G1055" i="3"/>
  <c r="G1071" i="3"/>
  <c r="G1087" i="3"/>
  <c r="G1102" i="3"/>
  <c r="G1113" i="3"/>
  <c r="G1127" i="3"/>
  <c r="G1141" i="3"/>
  <c r="G1152" i="3"/>
  <c r="G1166" i="3"/>
  <c r="G1177" i="3"/>
  <c r="G1191" i="3"/>
  <c r="G1205" i="3"/>
  <c r="G1216" i="3"/>
  <c r="G1230" i="3"/>
  <c r="G1240" i="3"/>
  <c r="G1251" i="3"/>
  <c r="G1260" i="3"/>
  <c r="G1269" i="3"/>
  <c r="G1278" i="3"/>
  <c r="G1287" i="3"/>
  <c r="G1296" i="3"/>
  <c r="G1305" i="3"/>
  <c r="G1315" i="3"/>
  <c r="G1324" i="3"/>
  <c r="G1333" i="3"/>
  <c r="G1342" i="3"/>
  <c r="G1351" i="3"/>
  <c r="G1360" i="3"/>
  <c r="G1368" i="3"/>
  <c r="G1376" i="3"/>
  <c r="G1384" i="3"/>
  <c r="G1392" i="3"/>
  <c r="G1400" i="3"/>
  <c r="G1408" i="3"/>
  <c r="G1416" i="3"/>
  <c r="G1424" i="3"/>
  <c r="G1432" i="3"/>
  <c r="G1440" i="3"/>
  <c r="G1448" i="3"/>
  <c r="G1456" i="3"/>
  <c r="G1464" i="3"/>
  <c r="G1472" i="3"/>
  <c r="G1480" i="3"/>
  <c r="G1488" i="3"/>
  <c r="G1496" i="3"/>
  <c r="G1504" i="3"/>
  <c r="G1512" i="3"/>
  <c r="G1520" i="3"/>
  <c r="G181" i="3"/>
  <c r="G543" i="3"/>
  <c r="G673" i="3"/>
  <c r="G751" i="3"/>
  <c r="G806" i="3"/>
  <c r="G865" i="3"/>
  <c r="G912" i="3"/>
  <c r="G950" i="3"/>
  <c r="G993" i="3"/>
  <c r="G1040" i="3"/>
  <c r="G1078" i="3"/>
  <c r="G1118" i="3"/>
  <c r="G1153" i="3"/>
  <c r="G1183" i="3"/>
  <c r="G1221" i="3"/>
  <c r="G1252" i="3"/>
  <c r="G1272" i="3"/>
  <c r="G1299" i="3"/>
  <c r="G1325" i="3"/>
  <c r="G1345" i="3"/>
  <c r="G1370" i="3"/>
  <c r="G1393" i="3"/>
  <c r="G1411" i="3"/>
  <c r="G1434" i="3"/>
  <c r="G1457" i="3"/>
  <c r="G1475" i="3"/>
  <c r="G1498" i="3"/>
  <c r="G1521" i="3"/>
  <c r="G1536" i="3"/>
  <c r="G1547" i="3"/>
  <c r="G1561" i="3"/>
  <c r="G1571" i="3"/>
  <c r="G1582" i="3"/>
  <c r="G1593" i="3"/>
  <c r="G1603" i="3"/>
  <c r="G1614" i="3"/>
  <c r="G1624" i="3"/>
  <c r="G1633" i="3"/>
  <c r="G1641" i="3"/>
  <c r="G1649" i="3"/>
  <c r="G1657" i="3"/>
  <c r="G1665" i="3"/>
  <c r="G1673" i="3"/>
  <c r="G1681" i="3"/>
  <c r="G1689" i="3"/>
  <c r="G1697" i="3"/>
  <c r="G1705" i="3"/>
  <c r="G1713" i="3"/>
  <c r="G1721" i="3"/>
  <c r="G1729" i="3"/>
  <c r="G1737" i="3"/>
  <c r="G1745" i="3"/>
  <c r="G1753" i="3"/>
  <c r="G1761" i="3"/>
  <c r="G1769" i="3"/>
  <c r="G1777" i="3"/>
  <c r="G1785" i="3"/>
  <c r="G1793" i="3"/>
  <c r="G1801" i="3"/>
  <c r="G1809" i="3"/>
  <c r="G1817" i="3"/>
  <c r="G1825" i="3"/>
  <c r="G1833" i="3"/>
  <c r="G1841" i="3"/>
  <c r="G1849" i="3"/>
  <c r="G1857" i="3"/>
  <c r="G1865" i="3"/>
  <c r="G1873" i="3"/>
  <c r="G1881" i="3"/>
  <c r="G1889" i="3"/>
  <c r="G1897" i="3"/>
  <c r="G1905" i="3"/>
  <c r="G1913" i="3"/>
  <c r="G1921" i="3"/>
  <c r="G1929" i="3"/>
  <c r="G1937" i="3"/>
  <c r="G1945" i="3"/>
  <c r="G1953" i="3"/>
  <c r="G1961" i="3"/>
  <c r="G1969" i="3"/>
  <c r="G1977" i="3"/>
  <c r="G1985" i="3"/>
  <c r="G1993" i="3"/>
  <c r="G2001" i="3"/>
  <c r="G2009" i="3"/>
  <c r="G2017" i="3"/>
  <c r="G2025" i="3"/>
  <c r="G2033" i="3"/>
  <c r="G2041" i="3"/>
  <c r="G2049" i="3"/>
  <c r="G2057" i="3"/>
  <c r="G2065" i="3"/>
  <c r="G2073" i="3"/>
  <c r="G2081" i="3"/>
  <c r="G2089" i="3"/>
  <c r="G2097" i="3"/>
  <c r="G2105" i="3"/>
  <c r="G245" i="3"/>
  <c r="G579" i="3"/>
  <c r="G674" i="3"/>
  <c r="G752" i="3"/>
  <c r="G823" i="3"/>
  <c r="G870" i="3"/>
  <c r="G913" i="3"/>
  <c r="G960" i="3"/>
  <c r="G998" i="3"/>
  <c r="G1041" i="3"/>
  <c r="G1088" i="3"/>
  <c r="G1119" i="3"/>
  <c r="G1157" i="3"/>
  <c r="G1192" i="3"/>
  <c r="G1222" i="3"/>
  <c r="G1253" i="3"/>
  <c r="G1279" i="3"/>
  <c r="G1300" i="3"/>
  <c r="G1326" i="3"/>
  <c r="G1352" i="3"/>
  <c r="G1371" i="3"/>
  <c r="G1394" i="3"/>
  <c r="G1417" i="3"/>
  <c r="G1435" i="3"/>
  <c r="G1458" i="3"/>
  <c r="G1481" i="3"/>
  <c r="G1499" i="3"/>
  <c r="G1522" i="3"/>
  <c r="G1537" i="3"/>
  <c r="G1550" i="3"/>
  <c r="G1562" i="3"/>
  <c r="G1573" i="3"/>
  <c r="G1584" i="3"/>
  <c r="G1594" i="3"/>
  <c r="G1605" i="3"/>
  <c r="G1616" i="3"/>
  <c r="G1625" i="3"/>
  <c r="G1634" i="3"/>
  <c r="G1642" i="3"/>
  <c r="G1650" i="3"/>
  <c r="G1658" i="3"/>
  <c r="G1666" i="3"/>
  <c r="G1674" i="3"/>
  <c r="G1682" i="3"/>
  <c r="G1690" i="3"/>
  <c r="G1698" i="3"/>
  <c r="G1706" i="3"/>
  <c r="G1714" i="3"/>
  <c r="G1722" i="3"/>
  <c r="G1730" i="3"/>
  <c r="G1738" i="3"/>
  <c r="G1746" i="3"/>
  <c r="G1754" i="3"/>
  <c r="G1762" i="3"/>
  <c r="G1770" i="3"/>
  <c r="G1778" i="3"/>
  <c r="G1786" i="3"/>
  <c r="G1794" i="3"/>
  <c r="G1802" i="3"/>
  <c r="G1810" i="3"/>
  <c r="G1818" i="3"/>
  <c r="G1826" i="3"/>
  <c r="G1834" i="3"/>
  <c r="G1842" i="3"/>
  <c r="G1850" i="3"/>
  <c r="G1858" i="3"/>
  <c r="G1866" i="3"/>
  <c r="G1874" i="3"/>
  <c r="G1882" i="3"/>
  <c r="G1890" i="3"/>
  <c r="G1898" i="3"/>
  <c r="G1906" i="3"/>
  <c r="G1914" i="3"/>
  <c r="G1922" i="3"/>
  <c r="G1930" i="3"/>
  <c r="G1938" i="3"/>
  <c r="G1946" i="3"/>
  <c r="G1954" i="3"/>
  <c r="G1962" i="3"/>
  <c r="G1970" i="3"/>
  <c r="G1978" i="3"/>
  <c r="G1986" i="3"/>
  <c r="G1994" i="3"/>
  <c r="G2002" i="3"/>
  <c r="G2010" i="3"/>
  <c r="G2018" i="3"/>
  <c r="G2026" i="3"/>
  <c r="G2034" i="3"/>
  <c r="G2042" i="3"/>
  <c r="G2050" i="3"/>
  <c r="G2058" i="3"/>
  <c r="G2066" i="3"/>
  <c r="G2074" i="3"/>
  <c r="G2082" i="3"/>
  <c r="G255" i="3"/>
  <c r="G591" i="3"/>
  <c r="G698" i="3"/>
  <c r="G753" i="3"/>
  <c r="G824" i="3"/>
  <c r="G880" i="3"/>
  <c r="G918" i="3"/>
  <c r="G961" i="3"/>
  <c r="G1008" i="3"/>
  <c r="G1046" i="3"/>
  <c r="G1089" i="3"/>
  <c r="G1128" i="3"/>
  <c r="G1158" i="3"/>
  <c r="G1193" i="3"/>
  <c r="G1231" i="3"/>
  <c r="G1254" i="3"/>
  <c r="G1280" i="3"/>
  <c r="G1307" i="3"/>
  <c r="G1327" i="3"/>
  <c r="G1353" i="3"/>
  <c r="G1377" i="3"/>
  <c r="G1395" i="3"/>
  <c r="G1418" i="3"/>
  <c r="G1441" i="3"/>
  <c r="G1459" i="3"/>
  <c r="G1482" i="3"/>
  <c r="G1505" i="3"/>
  <c r="G1523" i="3"/>
  <c r="G1538" i="3"/>
  <c r="G1552" i="3"/>
  <c r="G1563" i="3"/>
  <c r="G1574" i="3"/>
  <c r="G1585" i="3"/>
  <c r="G1595" i="3"/>
  <c r="G1606" i="3"/>
  <c r="G1617" i="3"/>
  <c r="G1626" i="3"/>
  <c r="G1635" i="3"/>
  <c r="G1643" i="3"/>
  <c r="G1651" i="3"/>
  <c r="G1659" i="3"/>
  <c r="G1667" i="3"/>
  <c r="G1675" i="3"/>
  <c r="G1683" i="3"/>
  <c r="G1691" i="3"/>
  <c r="G1699" i="3"/>
  <c r="G1707" i="3"/>
  <c r="G1715" i="3"/>
  <c r="G1723" i="3"/>
  <c r="G1731" i="3"/>
  <c r="G1739" i="3"/>
  <c r="G1747" i="3"/>
  <c r="G1755" i="3"/>
  <c r="G1763" i="3"/>
  <c r="G1771" i="3"/>
  <c r="G1779" i="3"/>
  <c r="G1787" i="3"/>
  <c r="G1795" i="3"/>
  <c r="G1803" i="3"/>
  <c r="G1811" i="3"/>
  <c r="G1819" i="3"/>
  <c r="G1827" i="3"/>
  <c r="G1835" i="3"/>
  <c r="G1843" i="3"/>
  <c r="G1851" i="3"/>
  <c r="G1859" i="3"/>
  <c r="G1867" i="3"/>
  <c r="G1875" i="3"/>
  <c r="G1883" i="3"/>
  <c r="G1891" i="3"/>
  <c r="G1899" i="3"/>
  <c r="G1907" i="3"/>
  <c r="G1915" i="3"/>
  <c r="G1923" i="3"/>
  <c r="G1931" i="3"/>
  <c r="G1939" i="3"/>
  <c r="G1947" i="3"/>
  <c r="G1955" i="3"/>
  <c r="G1963" i="3"/>
  <c r="G1971" i="3"/>
  <c r="G1979" i="3"/>
  <c r="G1987" i="3"/>
  <c r="G1995" i="3"/>
  <c r="G2003" i="3"/>
  <c r="G2011" i="3"/>
  <c r="G417" i="3"/>
  <c r="G592" i="3"/>
  <c r="G705" i="3"/>
  <c r="G771" i="3"/>
  <c r="G825" i="3"/>
  <c r="G881" i="3"/>
  <c r="G928" i="3"/>
  <c r="G966" i="3"/>
  <c r="G1009" i="3"/>
  <c r="G1056" i="3"/>
  <c r="G1094" i="3"/>
  <c r="G1129" i="3"/>
  <c r="G1167" i="3"/>
  <c r="G1197" i="3"/>
  <c r="G1232" i="3"/>
  <c r="G1261" i="3"/>
  <c r="G1281" i="3"/>
  <c r="G1308" i="3"/>
  <c r="G1334" i="3"/>
  <c r="G1355" i="3"/>
  <c r="G1378" i="3"/>
  <c r="G1401" i="3"/>
  <c r="G1419" i="3"/>
  <c r="G1442" i="3"/>
  <c r="G1465" i="3"/>
  <c r="G1483" i="3"/>
  <c r="G1506" i="3"/>
  <c r="G1528" i="3"/>
  <c r="G1539" i="3"/>
  <c r="G1553" i="3"/>
  <c r="G1565" i="3"/>
  <c r="G1576" i="3"/>
  <c r="G1586" i="3"/>
  <c r="G1597" i="3"/>
  <c r="G1608" i="3"/>
  <c r="G1618" i="3"/>
  <c r="G1627" i="3"/>
  <c r="G1636" i="3"/>
  <c r="G1644" i="3"/>
  <c r="G1652" i="3"/>
  <c r="G1660" i="3"/>
  <c r="G1668" i="3"/>
  <c r="G1676" i="3"/>
  <c r="G1684" i="3"/>
  <c r="G1692" i="3"/>
  <c r="G1700" i="3"/>
  <c r="G1708" i="3"/>
  <c r="G1716" i="3"/>
  <c r="G1724" i="3"/>
  <c r="G1732" i="3"/>
  <c r="G1740" i="3"/>
  <c r="G1748" i="3"/>
  <c r="G1756" i="3"/>
  <c r="G1764" i="3"/>
  <c r="G1772" i="3"/>
  <c r="G1780" i="3"/>
  <c r="G1788" i="3"/>
  <c r="G1796" i="3"/>
  <c r="G1804" i="3"/>
  <c r="G1812" i="3"/>
  <c r="G1820" i="3"/>
  <c r="G1828" i="3"/>
  <c r="G1836" i="3"/>
  <c r="G1844" i="3"/>
  <c r="G1852" i="3"/>
  <c r="G1860" i="3"/>
  <c r="G1868" i="3"/>
  <c r="G1876" i="3"/>
  <c r="G1884" i="3"/>
  <c r="G1892" i="3"/>
  <c r="G1900" i="3"/>
  <c r="G1908" i="3"/>
  <c r="G1916" i="3"/>
  <c r="G1924" i="3"/>
  <c r="G1932" i="3"/>
  <c r="G426" i="3"/>
  <c r="G629" i="3"/>
  <c r="G706" i="3"/>
  <c r="G778" i="3"/>
  <c r="G841" i="3"/>
  <c r="G886" i="3"/>
  <c r="G929" i="3"/>
  <c r="G976" i="3"/>
  <c r="G1014" i="3"/>
  <c r="G1057" i="3"/>
  <c r="G1103" i="3"/>
  <c r="G1133" i="3"/>
  <c r="G1168" i="3"/>
  <c r="G1206" i="3"/>
  <c r="G1233" i="3"/>
  <c r="G1262" i="3"/>
  <c r="G1288" i="3"/>
  <c r="G1309" i="3"/>
  <c r="G1335" i="3"/>
  <c r="G1361" i="3"/>
  <c r="G1379" i="3"/>
  <c r="G1402" i="3"/>
  <c r="G1425" i="3"/>
  <c r="G1443" i="3"/>
  <c r="G1466" i="3"/>
  <c r="G1489" i="3"/>
  <c r="G1507" i="3"/>
  <c r="G1529" i="3"/>
  <c r="G1542" i="3"/>
  <c r="G1554" i="3"/>
  <c r="G1566" i="3"/>
  <c r="G1577" i="3"/>
  <c r="G1587" i="3"/>
  <c r="G1598" i="3"/>
  <c r="G1609" i="3"/>
  <c r="G1619" i="3"/>
  <c r="G1629" i="3"/>
  <c r="G1637" i="3"/>
  <c r="G1645" i="3"/>
  <c r="G1653" i="3"/>
  <c r="G1661" i="3"/>
  <c r="G1669" i="3"/>
  <c r="G1677" i="3"/>
  <c r="G1685" i="3"/>
  <c r="G1693" i="3"/>
  <c r="G1701" i="3"/>
  <c r="G1709" i="3"/>
  <c r="G1717" i="3"/>
  <c r="G1725" i="3"/>
  <c r="G1733" i="3"/>
  <c r="G1741" i="3"/>
  <c r="G1749" i="3"/>
  <c r="G1757" i="3"/>
  <c r="G1765" i="3"/>
  <c r="G1773" i="3"/>
  <c r="G1781" i="3"/>
  <c r="G1789" i="3"/>
  <c r="G1797" i="3"/>
  <c r="G1805" i="3"/>
  <c r="G1813" i="3"/>
  <c r="G1821" i="3"/>
  <c r="G1829" i="3"/>
  <c r="G1837" i="3"/>
  <c r="G1845" i="3"/>
  <c r="G1853" i="3"/>
  <c r="G1861" i="3"/>
  <c r="G1869" i="3"/>
  <c r="G1877" i="3"/>
  <c r="G1885" i="3"/>
  <c r="G1893" i="3"/>
  <c r="G1901" i="3"/>
  <c r="G1909" i="3"/>
  <c r="G1917" i="3"/>
  <c r="G1925" i="3"/>
  <c r="G1933" i="3"/>
  <c r="G1941" i="3"/>
  <c r="G1949" i="3"/>
  <c r="G480" i="3"/>
  <c r="G732" i="3"/>
  <c r="G897" i="3"/>
  <c r="G1024" i="3"/>
  <c r="G1117" i="3"/>
  <c r="G1208" i="3"/>
  <c r="G1289" i="3"/>
  <c r="G1344" i="3"/>
  <c r="G1409" i="3"/>
  <c r="G1467" i="3"/>
  <c r="G1515" i="3"/>
  <c r="G1558" i="3"/>
  <c r="G1589" i="3"/>
  <c r="G1613" i="3"/>
  <c r="G1639" i="3"/>
  <c r="G1662" i="3"/>
  <c r="G1680" i="3"/>
  <c r="G1703" i="3"/>
  <c r="G1726" i="3"/>
  <c r="G1744" i="3"/>
  <c r="G1767" i="3"/>
  <c r="G1790" i="3"/>
  <c r="G1808" i="3"/>
  <c r="G1831" i="3"/>
  <c r="G1854" i="3"/>
  <c r="G1872" i="3"/>
  <c r="G1895" i="3"/>
  <c r="G1918" i="3"/>
  <c r="G1936" i="3"/>
  <c r="G1952" i="3"/>
  <c r="G1966" i="3"/>
  <c r="G1980" i="3"/>
  <c r="G1991" i="3"/>
  <c r="G2005" i="3"/>
  <c r="G2016" i="3"/>
  <c r="G2028" i="3"/>
  <c r="G2038" i="3"/>
  <c r="G2048" i="3"/>
  <c r="G2060" i="3"/>
  <c r="G2070" i="3"/>
  <c r="G2080" i="3"/>
  <c r="G2091" i="3"/>
  <c r="G2100" i="3"/>
  <c r="G2109" i="3"/>
  <c r="G2117" i="3"/>
  <c r="G2125" i="3"/>
  <c r="G2133" i="3"/>
  <c r="G2141" i="3"/>
  <c r="G2149" i="3"/>
  <c r="G2157" i="3"/>
  <c r="G2165" i="3"/>
  <c r="G2173" i="3"/>
  <c r="G2181" i="3"/>
  <c r="G2189" i="3"/>
  <c r="G2197" i="3"/>
  <c r="G2205" i="3"/>
  <c r="G2213" i="3"/>
  <c r="G2221" i="3"/>
  <c r="G2229" i="3"/>
  <c r="G2237" i="3"/>
  <c r="G2245" i="3"/>
  <c r="G2253" i="3"/>
  <c r="G2261" i="3"/>
  <c r="G2269" i="3"/>
  <c r="G2277" i="3"/>
  <c r="G2285" i="3"/>
  <c r="G2293" i="3"/>
  <c r="G2301" i="3"/>
  <c r="G2309" i="3"/>
  <c r="G2317" i="3"/>
  <c r="G2325" i="3"/>
  <c r="G2333" i="3"/>
  <c r="G2341" i="3"/>
  <c r="G2349" i="3"/>
  <c r="G2357" i="3"/>
  <c r="G2365" i="3"/>
  <c r="G2373" i="3"/>
  <c r="G2381" i="3"/>
  <c r="G2389" i="3"/>
  <c r="G2397" i="3"/>
  <c r="G2405" i="3"/>
  <c r="G2413" i="3"/>
  <c r="G2421" i="3"/>
  <c r="G2429" i="3"/>
  <c r="G2437" i="3"/>
  <c r="G2445" i="3"/>
  <c r="G2453" i="3"/>
  <c r="G2461" i="3"/>
  <c r="G2469" i="3"/>
  <c r="G2477" i="3"/>
  <c r="G2485" i="3"/>
  <c r="G2493" i="3"/>
  <c r="G2501" i="3"/>
  <c r="G2509" i="3"/>
  <c r="G2517" i="3"/>
  <c r="G2525" i="3"/>
  <c r="G2533" i="3"/>
  <c r="G2541" i="3"/>
  <c r="G2549" i="3"/>
  <c r="G2557" i="3"/>
  <c r="G2565" i="3"/>
  <c r="G2573" i="3"/>
  <c r="G2581" i="3"/>
  <c r="G2589" i="3"/>
  <c r="G2597" i="3"/>
  <c r="G2605" i="3"/>
  <c r="G2613" i="3"/>
  <c r="G2621" i="3"/>
  <c r="G2629" i="3"/>
  <c r="G536" i="3"/>
  <c r="G779" i="3"/>
  <c r="G902" i="3"/>
  <c r="G1025" i="3"/>
  <c r="G1142" i="3"/>
  <c r="G1217" i="3"/>
  <c r="G1291" i="3"/>
  <c r="G1362" i="3"/>
  <c r="G1410" i="3"/>
  <c r="G1473" i="3"/>
  <c r="G1530" i="3"/>
  <c r="G1560" i="3"/>
  <c r="G1590" i="3"/>
  <c r="G1621" i="3"/>
  <c r="G1640" i="3"/>
  <c r="G1663" i="3"/>
  <c r="G1686" i="3"/>
  <c r="G1704" i="3"/>
  <c r="G1727" i="3"/>
  <c r="G1750" i="3"/>
  <c r="G1768" i="3"/>
  <c r="G1791" i="3"/>
  <c r="G1814" i="3"/>
  <c r="G1832" i="3"/>
  <c r="G1855" i="3"/>
  <c r="G1878" i="3"/>
  <c r="G1896" i="3"/>
  <c r="G1919" i="3"/>
  <c r="G1940" i="3"/>
  <c r="G1956" i="3"/>
  <c r="G1967" i="3"/>
  <c r="G1981" i="3"/>
  <c r="G1992" i="3"/>
  <c r="G2006" i="3"/>
  <c r="G2019" i="3"/>
  <c r="G2029" i="3"/>
  <c r="G2039" i="3"/>
  <c r="G2051" i="3"/>
  <c r="G2061" i="3"/>
  <c r="G2071" i="3"/>
  <c r="G2083" i="3"/>
  <c r="G2092" i="3"/>
  <c r="G2101" i="3"/>
  <c r="G2110" i="3"/>
  <c r="G2118" i="3"/>
  <c r="G2126" i="3"/>
  <c r="G2134" i="3"/>
  <c r="G2142" i="3"/>
  <c r="G2150" i="3"/>
  <c r="G2158" i="3"/>
  <c r="G2166" i="3"/>
  <c r="G2174" i="3"/>
  <c r="G2182" i="3"/>
  <c r="G2190" i="3"/>
  <c r="G2198" i="3"/>
  <c r="G2206" i="3"/>
  <c r="G2214" i="3"/>
  <c r="G2222" i="3"/>
  <c r="G2230" i="3"/>
  <c r="G2238" i="3"/>
  <c r="G2246" i="3"/>
  <c r="G2254" i="3"/>
  <c r="G2262" i="3"/>
  <c r="G2270" i="3"/>
  <c r="G2278" i="3"/>
  <c r="G2286" i="3"/>
  <c r="G2294" i="3"/>
  <c r="G2302" i="3"/>
  <c r="G2310" i="3"/>
  <c r="G2318" i="3"/>
  <c r="G2326" i="3"/>
  <c r="G2334" i="3"/>
  <c r="G2342" i="3"/>
  <c r="G2350" i="3"/>
  <c r="G2358" i="3"/>
  <c r="G2366" i="3"/>
  <c r="G2374" i="3"/>
  <c r="G2382" i="3"/>
  <c r="G2390" i="3"/>
  <c r="G2398" i="3"/>
  <c r="G2406" i="3"/>
  <c r="G2414" i="3"/>
  <c r="G2422" i="3"/>
  <c r="G2430" i="3"/>
  <c r="G2438" i="3"/>
  <c r="G2446" i="3"/>
  <c r="G2454" i="3"/>
  <c r="G2462" i="3"/>
  <c r="G2470" i="3"/>
  <c r="G2478" i="3"/>
  <c r="G2486" i="3"/>
  <c r="G2494" i="3"/>
  <c r="G2502" i="3"/>
  <c r="G2510" i="3"/>
  <c r="G2518" i="3"/>
  <c r="G2526" i="3"/>
  <c r="G2534" i="3"/>
  <c r="G2542" i="3"/>
  <c r="G537" i="3"/>
  <c r="G798" i="3"/>
  <c r="G934" i="3"/>
  <c r="G1030" i="3"/>
  <c r="G1143" i="3"/>
  <c r="G1241" i="3"/>
  <c r="G1297" i="3"/>
  <c r="G1363" i="3"/>
  <c r="G1426" i="3"/>
  <c r="G1474" i="3"/>
  <c r="G1531" i="3"/>
  <c r="G1568" i="3"/>
  <c r="G1592" i="3"/>
  <c r="G1622" i="3"/>
  <c r="G1646" i="3"/>
  <c r="G1664" i="3"/>
  <c r="G1687" i="3"/>
  <c r="G1710" i="3"/>
  <c r="G1728" i="3"/>
  <c r="G1751" i="3"/>
  <c r="G1774" i="3"/>
  <c r="G1792" i="3"/>
  <c r="G1815" i="3"/>
  <c r="G1838" i="3"/>
  <c r="G1856" i="3"/>
  <c r="G1879" i="3"/>
  <c r="G1902" i="3"/>
  <c r="G1920" i="3"/>
  <c r="G1942" i="3"/>
  <c r="G1957" i="3"/>
  <c r="G1968" i="3"/>
  <c r="G1982" i="3"/>
  <c r="G1996" i="3"/>
  <c r="G2007" i="3"/>
  <c r="G2020" i="3"/>
  <c r="G2030" i="3"/>
  <c r="G2040" i="3"/>
  <c r="G2052" i="3"/>
  <c r="G2062" i="3"/>
  <c r="G2072" i="3"/>
  <c r="G2084" i="3"/>
  <c r="G2093" i="3"/>
  <c r="G2102" i="3"/>
  <c r="G2111" i="3"/>
  <c r="G2119" i="3"/>
  <c r="G2127" i="3"/>
  <c r="G2135" i="3"/>
  <c r="G2143" i="3"/>
  <c r="G2151" i="3"/>
  <c r="G2159" i="3"/>
  <c r="G2167" i="3"/>
  <c r="G2175" i="3"/>
  <c r="G2183" i="3"/>
  <c r="G2191" i="3"/>
  <c r="G2199" i="3"/>
  <c r="G2207" i="3"/>
  <c r="G2215" i="3"/>
  <c r="G2223" i="3"/>
  <c r="G2231" i="3"/>
  <c r="G2239" i="3"/>
  <c r="G2247" i="3"/>
  <c r="G2255" i="3"/>
  <c r="G2263" i="3"/>
  <c r="G2271" i="3"/>
  <c r="G2279" i="3"/>
  <c r="G2287" i="3"/>
  <c r="G2295" i="3"/>
  <c r="G2303" i="3"/>
  <c r="G2311" i="3"/>
  <c r="G2319" i="3"/>
  <c r="G2327" i="3"/>
  <c r="G2335" i="3"/>
  <c r="G2343" i="3"/>
  <c r="G2351" i="3"/>
  <c r="G2359" i="3"/>
  <c r="G2367" i="3"/>
  <c r="G2375" i="3"/>
  <c r="G2383" i="3"/>
  <c r="G2391" i="3"/>
  <c r="G2399" i="3"/>
  <c r="G2407" i="3"/>
  <c r="G2415" i="3"/>
  <c r="G2423" i="3"/>
  <c r="G2431" i="3"/>
  <c r="G2439" i="3"/>
  <c r="G2447" i="3"/>
  <c r="G2455" i="3"/>
  <c r="G2463" i="3"/>
  <c r="G2471" i="3"/>
  <c r="G2479" i="3"/>
  <c r="G2487" i="3"/>
  <c r="G2495" i="3"/>
  <c r="G633" i="3"/>
  <c r="G799" i="3"/>
  <c r="G944" i="3"/>
  <c r="G1062" i="3"/>
  <c r="G1144" i="3"/>
  <c r="G1244" i="3"/>
  <c r="G1316" i="3"/>
  <c r="G1369" i="3"/>
  <c r="G1427" i="3"/>
  <c r="G1490" i="3"/>
  <c r="G1534" i="3"/>
  <c r="G1569" i="3"/>
  <c r="G1600" i="3"/>
  <c r="G1623" i="3"/>
  <c r="G1647" i="3"/>
  <c r="G1670" i="3"/>
  <c r="G1688" i="3"/>
  <c r="G1711" i="3"/>
  <c r="G1734" i="3"/>
  <c r="G1752" i="3"/>
  <c r="G1775" i="3"/>
  <c r="G1798" i="3"/>
  <c r="G1816" i="3"/>
  <c r="G1839" i="3"/>
  <c r="G1862" i="3"/>
  <c r="G1880" i="3"/>
  <c r="G1903" i="3"/>
  <c r="G1926" i="3"/>
  <c r="G1943" i="3"/>
  <c r="G1958" i="3"/>
  <c r="G1972" i="3"/>
  <c r="G1983" i="3"/>
  <c r="G1997" i="3"/>
  <c r="G2008" i="3"/>
  <c r="G2021" i="3"/>
  <c r="G2031" i="3"/>
  <c r="G2043" i="3"/>
  <c r="G2053" i="3"/>
  <c r="G2063" i="3"/>
  <c r="G2075" i="3"/>
  <c r="G2085" i="3"/>
  <c r="G2094" i="3"/>
  <c r="G2103" i="3"/>
  <c r="G2112" i="3"/>
  <c r="G2120" i="3"/>
  <c r="G2128" i="3"/>
  <c r="G2136" i="3"/>
  <c r="G2144" i="3"/>
  <c r="G2152" i="3"/>
  <c r="G2160" i="3"/>
  <c r="G2168" i="3"/>
  <c r="G2176" i="3"/>
  <c r="G2184" i="3"/>
  <c r="G2192" i="3"/>
  <c r="G2200" i="3"/>
  <c r="G2208" i="3"/>
  <c r="G2216" i="3"/>
  <c r="G2224" i="3"/>
  <c r="G2232" i="3"/>
  <c r="G2240" i="3"/>
  <c r="G2248" i="3"/>
  <c r="G2256" i="3"/>
  <c r="G2264" i="3"/>
  <c r="G2272" i="3"/>
  <c r="G2280" i="3"/>
  <c r="G2288" i="3"/>
  <c r="G2296" i="3"/>
  <c r="G2304" i="3"/>
  <c r="G2312" i="3"/>
  <c r="G2320" i="3"/>
  <c r="G2328" i="3"/>
  <c r="G2336" i="3"/>
  <c r="G2344" i="3"/>
  <c r="G2352" i="3"/>
  <c r="G2360" i="3"/>
  <c r="G2368" i="3"/>
  <c r="G2376" i="3"/>
  <c r="G2384" i="3"/>
  <c r="G2392" i="3"/>
  <c r="G2400" i="3"/>
  <c r="G2408" i="3"/>
  <c r="G2416" i="3"/>
  <c r="G2424" i="3"/>
  <c r="G2432" i="3"/>
  <c r="G2440" i="3"/>
  <c r="G2448" i="3"/>
  <c r="G643" i="3"/>
  <c r="G847" i="3"/>
  <c r="G945" i="3"/>
  <c r="G1072" i="3"/>
  <c r="G1169" i="3"/>
  <c r="G1245" i="3"/>
  <c r="G1317" i="3"/>
  <c r="G1385" i="3"/>
  <c r="G1433" i="3"/>
  <c r="G1491" i="3"/>
  <c r="G1544" i="3"/>
  <c r="G1570" i="3"/>
  <c r="G1601" i="3"/>
  <c r="G1630" i="3"/>
  <c r="G1648" i="3"/>
  <c r="G1671" i="3"/>
  <c r="G1694" i="3"/>
  <c r="G1712" i="3"/>
  <c r="G1735" i="3"/>
  <c r="G1758" i="3"/>
  <c r="G1776" i="3"/>
  <c r="G1799" i="3"/>
  <c r="G1822" i="3"/>
  <c r="G1840" i="3"/>
  <c r="G1863" i="3"/>
  <c r="G1886" i="3"/>
  <c r="G1904" i="3"/>
  <c r="G1927" i="3"/>
  <c r="G1944" i="3"/>
  <c r="G1959" i="3"/>
  <c r="G1973" i="3"/>
  <c r="G1984" i="3"/>
  <c r="G1998" i="3"/>
  <c r="G2012" i="3"/>
  <c r="G2022" i="3"/>
  <c r="G2032" i="3"/>
  <c r="G2044" i="3"/>
  <c r="G2054" i="3"/>
  <c r="G2064" i="3"/>
  <c r="G2076" i="3"/>
  <c r="G2086" i="3"/>
  <c r="G2095" i="3"/>
  <c r="G2104" i="3"/>
  <c r="G2113" i="3"/>
  <c r="G2121" i="3"/>
  <c r="G2129" i="3"/>
  <c r="G2137" i="3"/>
  <c r="G2145" i="3"/>
  <c r="G2153" i="3"/>
  <c r="G2161" i="3"/>
  <c r="G2169" i="3"/>
  <c r="G2177" i="3"/>
  <c r="G2185" i="3"/>
  <c r="G2193" i="3"/>
  <c r="G2201" i="3"/>
  <c r="G2209" i="3"/>
  <c r="G2217" i="3"/>
  <c r="G2225" i="3"/>
  <c r="G2233" i="3"/>
  <c r="G2241" i="3"/>
  <c r="G2249" i="3"/>
  <c r="G2257" i="3"/>
  <c r="G2265" i="3"/>
  <c r="G2273" i="3"/>
  <c r="G2281" i="3"/>
  <c r="G2289" i="3"/>
  <c r="G2297" i="3"/>
  <c r="G2305" i="3"/>
  <c r="G2313" i="3"/>
  <c r="G2321" i="3"/>
  <c r="G2329" i="3"/>
  <c r="G2337" i="3"/>
  <c r="G2345" i="3"/>
  <c r="G2353" i="3"/>
  <c r="G2361" i="3"/>
  <c r="G2369" i="3"/>
  <c r="G2377" i="3"/>
  <c r="G2385" i="3"/>
  <c r="G2393" i="3"/>
  <c r="G2401" i="3"/>
  <c r="G2409" i="3"/>
  <c r="G2417" i="3"/>
  <c r="G2425" i="3"/>
  <c r="G2433" i="3"/>
  <c r="G2441" i="3"/>
  <c r="G672" i="3"/>
  <c r="G848" i="3"/>
  <c r="G977" i="3"/>
  <c r="G1073" i="3"/>
  <c r="G1181" i="3"/>
  <c r="G1263" i="3"/>
  <c r="G1318" i="3"/>
  <c r="G1386" i="3"/>
  <c r="G1449" i="3"/>
  <c r="G1497" i="3"/>
  <c r="G1545" i="3"/>
  <c r="G1578" i="3"/>
  <c r="G1602" i="3"/>
  <c r="G1631" i="3"/>
  <c r="G1654" i="3"/>
  <c r="G1672" i="3"/>
  <c r="G1695" i="3"/>
  <c r="G1718" i="3"/>
  <c r="G1736" i="3"/>
  <c r="G1759" i="3"/>
  <c r="G1782" i="3"/>
  <c r="G1800" i="3"/>
  <c r="G1823" i="3"/>
  <c r="G1846" i="3"/>
  <c r="G1864" i="3"/>
  <c r="G1887" i="3"/>
  <c r="G1910" i="3"/>
  <c r="G1928" i="3"/>
  <c r="G1948" i="3"/>
  <c r="G1960" i="3"/>
  <c r="G1974" i="3"/>
  <c r="G1988" i="3"/>
  <c r="G1999" i="3"/>
  <c r="G2013" i="3"/>
  <c r="G2023" i="3"/>
  <c r="G2035" i="3"/>
  <c r="G2045" i="3"/>
  <c r="G2055" i="3"/>
  <c r="G2067" i="3"/>
  <c r="G2077" i="3"/>
  <c r="G2087" i="3"/>
  <c r="G2096" i="3"/>
  <c r="G724" i="3"/>
  <c r="G1182" i="3"/>
  <c r="G1450" i="3"/>
  <c r="G1610" i="3"/>
  <c r="G1696" i="3"/>
  <c r="G1783" i="3"/>
  <c r="G1870" i="3"/>
  <c r="G1950" i="3"/>
  <c r="G2000" i="3"/>
  <c r="G2046" i="3"/>
  <c r="G2088" i="3"/>
  <c r="G2115" i="3"/>
  <c r="G2138" i="3"/>
  <c r="G2156" i="3"/>
  <c r="G2179" i="3"/>
  <c r="G2202" i="3"/>
  <c r="G2220" i="3"/>
  <c r="G2243" i="3"/>
  <c r="G2266" i="3"/>
  <c r="G2284" i="3"/>
  <c r="G2307" i="3"/>
  <c r="G2330" i="3"/>
  <c r="G2348" i="3"/>
  <c r="G2371" i="3"/>
  <c r="G2394" i="3"/>
  <c r="G2412" i="3"/>
  <c r="G2435" i="3"/>
  <c r="G2452" i="3"/>
  <c r="G2466" i="3"/>
  <c r="G2480" i="3"/>
  <c r="G2491" i="3"/>
  <c r="G2504" i="3"/>
  <c r="G2514" i="3"/>
  <c r="G2524" i="3"/>
  <c r="G2536" i="3"/>
  <c r="G2546" i="3"/>
  <c r="G2555" i="3"/>
  <c r="G2564" i="3"/>
  <c r="G2574" i="3"/>
  <c r="G2583" i="3"/>
  <c r="G2592" i="3"/>
  <c r="G2601" i="3"/>
  <c r="G2610" i="3"/>
  <c r="G2619" i="3"/>
  <c r="G2628" i="3"/>
  <c r="G2637" i="3"/>
  <c r="G2645" i="3"/>
  <c r="G2653" i="3"/>
  <c r="G2661" i="3"/>
  <c r="G2669" i="3"/>
  <c r="G2677" i="3"/>
  <c r="G2685" i="3"/>
  <c r="G2693" i="3"/>
  <c r="G2701" i="3"/>
  <c r="G2709" i="3"/>
  <c r="G2717" i="3"/>
  <c r="G2725" i="3"/>
  <c r="G2733" i="3"/>
  <c r="G2741" i="3"/>
  <c r="G2749" i="3"/>
  <c r="G2757" i="3"/>
  <c r="G2765" i="3"/>
  <c r="G2773" i="3"/>
  <c r="G2781" i="3"/>
  <c r="G2789" i="3"/>
  <c r="G2797" i="3"/>
  <c r="G2805" i="3"/>
  <c r="G2813" i="3"/>
  <c r="G2821" i="3"/>
  <c r="G2829" i="3"/>
  <c r="G2837" i="3"/>
  <c r="G2845" i="3"/>
  <c r="G2853" i="3"/>
  <c r="G2861" i="3"/>
  <c r="G2869" i="3"/>
  <c r="G2877" i="3"/>
  <c r="G2885" i="3"/>
  <c r="G2893" i="3"/>
  <c r="G2901" i="3"/>
  <c r="G2909" i="3"/>
  <c r="G2917" i="3"/>
  <c r="G2925" i="3"/>
  <c r="G2933" i="3"/>
  <c r="G2941" i="3"/>
  <c r="G2949" i="3"/>
  <c r="G2957" i="3"/>
  <c r="G2965" i="3"/>
  <c r="G2973" i="3"/>
  <c r="G2981" i="3"/>
  <c r="G2989" i="3"/>
  <c r="G2997" i="3"/>
  <c r="G3005" i="3"/>
  <c r="G3013" i="3"/>
  <c r="G3021" i="3"/>
  <c r="G3029" i="3"/>
  <c r="G3037" i="3"/>
  <c r="G3045" i="3"/>
  <c r="G3053" i="3"/>
  <c r="G3061" i="3"/>
  <c r="G3069" i="3"/>
  <c r="G3077" i="3"/>
  <c r="G3085" i="3"/>
  <c r="G3093" i="3"/>
  <c r="G3101" i="3"/>
  <c r="G3109" i="3"/>
  <c r="G3117" i="3"/>
  <c r="G3125" i="3"/>
  <c r="G3133" i="3"/>
  <c r="G3141" i="3"/>
  <c r="G3149" i="3"/>
  <c r="G3157" i="3"/>
  <c r="G3165" i="3"/>
  <c r="G3173" i="3"/>
  <c r="G3181" i="3"/>
  <c r="G3189" i="3"/>
  <c r="G3197" i="3"/>
  <c r="G3205" i="3"/>
  <c r="G3213" i="3"/>
  <c r="G3221" i="3"/>
  <c r="G3229" i="3"/>
  <c r="G3237" i="3"/>
  <c r="G3245" i="3"/>
  <c r="G3253" i="3"/>
  <c r="G3261" i="3"/>
  <c r="G3269" i="3"/>
  <c r="G3277" i="3"/>
  <c r="G3285" i="3"/>
  <c r="G3293" i="3"/>
  <c r="G3301" i="3"/>
  <c r="G3309" i="3"/>
  <c r="G3317" i="3"/>
  <c r="G3325" i="3"/>
  <c r="G3333" i="3"/>
  <c r="G3341" i="3"/>
  <c r="G3349" i="3"/>
  <c r="G3357" i="3"/>
  <c r="G3365" i="3"/>
  <c r="G3373" i="3"/>
  <c r="G3381" i="3"/>
  <c r="G3389" i="3"/>
  <c r="G3397" i="3"/>
  <c r="G3405" i="3"/>
  <c r="G3413" i="3"/>
  <c r="G3421" i="3"/>
  <c r="G3429" i="3"/>
  <c r="G3437" i="3"/>
  <c r="G3445" i="3"/>
  <c r="G3453" i="3"/>
  <c r="G726" i="3"/>
  <c r="G1207" i="3"/>
  <c r="G1451" i="3"/>
  <c r="G1611" i="3"/>
  <c r="G1702" i="3"/>
  <c r="G1784" i="3"/>
  <c r="G1871" i="3"/>
  <c r="G1951" i="3"/>
  <c r="G2004" i="3"/>
  <c r="G2047" i="3"/>
  <c r="G2090" i="3"/>
  <c r="G2116" i="3"/>
  <c r="G2139" i="3"/>
  <c r="G2162" i="3"/>
  <c r="G2180" i="3"/>
  <c r="G2203" i="3"/>
  <c r="G2226" i="3"/>
  <c r="G2244" i="3"/>
  <c r="G2267" i="3"/>
  <c r="G2290" i="3"/>
  <c r="G2308" i="3"/>
  <c r="G2331" i="3"/>
  <c r="G2354" i="3"/>
  <c r="G2372" i="3"/>
  <c r="G2395" i="3"/>
  <c r="G2418" i="3"/>
  <c r="G2436" i="3"/>
  <c r="G2456" i="3"/>
  <c r="G2467" i="3"/>
  <c r="G2481" i="3"/>
  <c r="G2492" i="3"/>
  <c r="G2505" i="3"/>
  <c r="G2515" i="3"/>
  <c r="G2527" i="3"/>
  <c r="G2537" i="3"/>
  <c r="G2547" i="3"/>
  <c r="G2556" i="3"/>
  <c r="G2566" i="3"/>
  <c r="G2575" i="3"/>
  <c r="G2584" i="3"/>
  <c r="G2593" i="3"/>
  <c r="G2602" i="3"/>
  <c r="G2611" i="3"/>
  <c r="G2620" i="3"/>
  <c r="G2630" i="3"/>
  <c r="G2638" i="3"/>
  <c r="G2646" i="3"/>
  <c r="G2654" i="3"/>
  <c r="G2662" i="3"/>
  <c r="G2670" i="3"/>
  <c r="G2678" i="3"/>
  <c r="G2686" i="3"/>
  <c r="G2694" i="3"/>
  <c r="G2702" i="3"/>
  <c r="G2710" i="3"/>
  <c r="G2718" i="3"/>
  <c r="G2726" i="3"/>
  <c r="G2734" i="3"/>
  <c r="G2742" i="3"/>
  <c r="G2750" i="3"/>
  <c r="G2758" i="3"/>
  <c r="G2766" i="3"/>
  <c r="G2774" i="3"/>
  <c r="G2782" i="3"/>
  <c r="G2790" i="3"/>
  <c r="G2798" i="3"/>
  <c r="G2806" i="3"/>
  <c r="G2814" i="3"/>
  <c r="G2822" i="3"/>
  <c r="G2830" i="3"/>
  <c r="G2838" i="3"/>
  <c r="G2846" i="3"/>
  <c r="G2854" i="3"/>
  <c r="G2862" i="3"/>
  <c r="G2870" i="3"/>
  <c r="G2878" i="3"/>
  <c r="G2886" i="3"/>
  <c r="G2894" i="3"/>
  <c r="G2902" i="3"/>
  <c r="G2910" i="3"/>
  <c r="G2918" i="3"/>
  <c r="G2926" i="3"/>
  <c r="G2934" i="3"/>
  <c r="G2942" i="3"/>
  <c r="G2950" i="3"/>
  <c r="G2958" i="3"/>
  <c r="G2966" i="3"/>
  <c r="G2974" i="3"/>
  <c r="G2982" i="3"/>
  <c r="G2990" i="3"/>
  <c r="G2998" i="3"/>
  <c r="G3006" i="3"/>
  <c r="G3014" i="3"/>
  <c r="G3022" i="3"/>
  <c r="G3030" i="3"/>
  <c r="G3038" i="3"/>
  <c r="G3046" i="3"/>
  <c r="G3054" i="3"/>
  <c r="G3062" i="3"/>
  <c r="G3070" i="3"/>
  <c r="G3078" i="3"/>
  <c r="G3086" i="3"/>
  <c r="G3094" i="3"/>
  <c r="G3102" i="3"/>
  <c r="G3110" i="3"/>
  <c r="G3118" i="3"/>
  <c r="G3126" i="3"/>
  <c r="G3134" i="3"/>
  <c r="G3142" i="3"/>
  <c r="G3150" i="3"/>
  <c r="G3158" i="3"/>
  <c r="G3166" i="3"/>
  <c r="G3174" i="3"/>
  <c r="G3182" i="3"/>
  <c r="G3190" i="3"/>
  <c r="G3198" i="3"/>
  <c r="G3206" i="3"/>
  <c r="G3214" i="3"/>
  <c r="G3222" i="3"/>
  <c r="G3230" i="3"/>
  <c r="G3238" i="3"/>
  <c r="G3246" i="3"/>
  <c r="G3254" i="3"/>
  <c r="G3262" i="3"/>
  <c r="G3270" i="3"/>
  <c r="G3278" i="3"/>
  <c r="G3286" i="3"/>
  <c r="G3294" i="3"/>
  <c r="G3302" i="3"/>
  <c r="G3310" i="3"/>
  <c r="G3318" i="3"/>
  <c r="G3326" i="3"/>
  <c r="G3334" i="3"/>
  <c r="G3342" i="3"/>
  <c r="G3350" i="3"/>
  <c r="G3358" i="3"/>
  <c r="G3366" i="3"/>
  <c r="G3374" i="3"/>
  <c r="G3382" i="3"/>
  <c r="G3390" i="3"/>
  <c r="G3398" i="3"/>
  <c r="G3406" i="3"/>
  <c r="G3414" i="3"/>
  <c r="G3422" i="3"/>
  <c r="G3430" i="3"/>
  <c r="G3438" i="3"/>
  <c r="G3446" i="3"/>
  <c r="G3454" i="3"/>
  <c r="G3462" i="3"/>
  <c r="G3470" i="3"/>
  <c r="G3478" i="3"/>
  <c r="G3486" i="3"/>
  <c r="G3494" i="3"/>
  <c r="G3502" i="3"/>
  <c r="G3510" i="3"/>
  <c r="G3518" i="3"/>
  <c r="G3526" i="3"/>
  <c r="G3534" i="3"/>
  <c r="G3542" i="3"/>
  <c r="G3550" i="3"/>
  <c r="G3558" i="3"/>
  <c r="G3566" i="3"/>
  <c r="G3574" i="3"/>
  <c r="G3582" i="3"/>
  <c r="G3590" i="3"/>
  <c r="G3598" i="3"/>
  <c r="G3606" i="3"/>
  <c r="G3614" i="3"/>
  <c r="G3622" i="3"/>
  <c r="G3630" i="3"/>
  <c r="G864" i="3"/>
  <c r="G1270" i="3"/>
  <c r="G1513" i="3"/>
  <c r="G1632" i="3"/>
  <c r="G1719" i="3"/>
  <c r="G1806" i="3"/>
  <c r="G1888" i="3"/>
  <c r="G1964" i="3"/>
  <c r="G2014" i="3"/>
  <c r="G2056" i="3"/>
  <c r="G2098" i="3"/>
  <c r="G2122" i="3"/>
  <c r="G2140" i="3"/>
  <c r="G2163" i="3"/>
  <c r="G2186" i="3"/>
  <c r="G2204" i="3"/>
  <c r="G2227" i="3"/>
  <c r="G2250" i="3"/>
  <c r="G2268" i="3"/>
  <c r="G2291" i="3"/>
  <c r="G2314" i="3"/>
  <c r="G2332" i="3"/>
  <c r="G2355" i="3"/>
  <c r="G2378" i="3"/>
  <c r="G2396" i="3"/>
  <c r="G2419" i="3"/>
  <c r="G2442" i="3"/>
  <c r="G2457" i="3"/>
  <c r="G2468" i="3"/>
  <c r="G2482" i="3"/>
  <c r="G2496" i="3"/>
  <c r="G2506" i="3"/>
  <c r="G2516" i="3"/>
  <c r="G2528" i="3"/>
  <c r="G2538" i="3"/>
  <c r="G2548" i="3"/>
  <c r="G2558" i="3"/>
  <c r="G2567" i="3"/>
  <c r="G2576" i="3"/>
  <c r="G2585" i="3"/>
  <c r="G2594" i="3"/>
  <c r="G2603" i="3"/>
  <c r="G2612" i="3"/>
  <c r="G2622" i="3"/>
  <c r="G2631" i="3"/>
  <c r="G2639" i="3"/>
  <c r="G2647" i="3"/>
  <c r="G2655" i="3"/>
  <c r="G2663" i="3"/>
  <c r="G2671" i="3"/>
  <c r="G2679" i="3"/>
  <c r="G2687" i="3"/>
  <c r="G2695" i="3"/>
  <c r="G2703" i="3"/>
  <c r="G2711" i="3"/>
  <c r="G2719" i="3"/>
  <c r="G2727" i="3"/>
  <c r="G2735" i="3"/>
  <c r="G2743" i="3"/>
  <c r="G2751" i="3"/>
  <c r="G2759" i="3"/>
  <c r="G2767" i="3"/>
  <c r="G2775" i="3"/>
  <c r="G2783" i="3"/>
  <c r="G2791" i="3"/>
  <c r="G2799" i="3"/>
  <c r="G2807" i="3"/>
  <c r="G2815" i="3"/>
  <c r="G2823" i="3"/>
  <c r="G2831" i="3"/>
  <c r="G2839" i="3"/>
  <c r="G2847" i="3"/>
  <c r="G2855" i="3"/>
  <c r="G2863" i="3"/>
  <c r="G2871" i="3"/>
  <c r="G2879" i="3"/>
  <c r="G2887" i="3"/>
  <c r="G2895" i="3"/>
  <c r="G2903" i="3"/>
  <c r="G2911" i="3"/>
  <c r="G2919" i="3"/>
  <c r="G2927" i="3"/>
  <c r="G2935" i="3"/>
  <c r="G2943" i="3"/>
  <c r="G2951" i="3"/>
  <c r="G2959" i="3"/>
  <c r="G2967" i="3"/>
  <c r="G2975" i="3"/>
  <c r="G2983" i="3"/>
  <c r="G2991" i="3"/>
  <c r="G2999" i="3"/>
  <c r="G3007" i="3"/>
  <c r="G3015" i="3"/>
  <c r="G3023" i="3"/>
  <c r="G3031" i="3"/>
  <c r="G3039" i="3"/>
  <c r="G3047" i="3"/>
  <c r="G3055" i="3"/>
  <c r="G3063" i="3"/>
  <c r="G3071" i="3"/>
  <c r="G3079" i="3"/>
  <c r="G3087" i="3"/>
  <c r="G3095" i="3"/>
  <c r="G3103" i="3"/>
  <c r="G3111" i="3"/>
  <c r="G3119" i="3"/>
  <c r="G3127" i="3"/>
  <c r="G3135" i="3"/>
  <c r="G3143" i="3"/>
  <c r="G3151" i="3"/>
  <c r="G3159" i="3"/>
  <c r="G3167" i="3"/>
  <c r="G3175" i="3"/>
  <c r="G3183" i="3"/>
  <c r="G3191" i="3"/>
  <c r="G3199" i="3"/>
  <c r="G3207" i="3"/>
  <c r="G3215" i="3"/>
  <c r="G3223" i="3"/>
  <c r="G3231" i="3"/>
  <c r="G3239" i="3"/>
  <c r="G3247" i="3"/>
  <c r="G3255" i="3"/>
  <c r="G3263" i="3"/>
  <c r="G3271" i="3"/>
  <c r="G3279" i="3"/>
  <c r="G3287" i="3"/>
  <c r="G3295" i="3"/>
  <c r="G3303" i="3"/>
  <c r="G3311" i="3"/>
  <c r="G3319" i="3"/>
  <c r="G3327" i="3"/>
  <c r="G3335" i="3"/>
  <c r="G3343" i="3"/>
  <c r="G3351" i="3"/>
  <c r="G3359" i="3"/>
  <c r="G3367" i="3"/>
  <c r="G3375" i="3"/>
  <c r="G3383" i="3"/>
  <c r="G3391" i="3"/>
  <c r="G3399" i="3"/>
  <c r="G3407" i="3"/>
  <c r="G3415" i="3"/>
  <c r="G3423" i="3"/>
  <c r="G3431" i="3"/>
  <c r="G3439" i="3"/>
  <c r="G3447" i="3"/>
  <c r="G3455" i="3"/>
  <c r="G3463" i="3"/>
  <c r="G3471" i="3"/>
  <c r="G3479" i="3"/>
  <c r="G3487" i="3"/>
  <c r="G3495" i="3"/>
  <c r="G3503" i="3"/>
  <c r="G3511" i="3"/>
  <c r="G3519" i="3"/>
  <c r="G896" i="3"/>
  <c r="G1271" i="3"/>
  <c r="G1514" i="3"/>
  <c r="G1638" i="3"/>
  <c r="G1720" i="3"/>
  <c r="G1807" i="3"/>
  <c r="G1894" i="3"/>
  <c r="G1965" i="3"/>
  <c r="G2015" i="3"/>
  <c r="G2059" i="3"/>
  <c r="G2099" i="3"/>
  <c r="G2123" i="3"/>
  <c r="G2146" i="3"/>
  <c r="G2164" i="3"/>
  <c r="G2187" i="3"/>
  <c r="G2210" i="3"/>
  <c r="G2228" i="3"/>
  <c r="G2251" i="3"/>
  <c r="G2274" i="3"/>
  <c r="G2292" i="3"/>
  <c r="G2315" i="3"/>
  <c r="G2338" i="3"/>
  <c r="G2356" i="3"/>
  <c r="G2379" i="3"/>
  <c r="G2402" i="3"/>
  <c r="G2420" i="3"/>
  <c r="G2443" i="3"/>
  <c r="G2458" i="3"/>
  <c r="G2472" i="3"/>
  <c r="G2483" i="3"/>
  <c r="G2497" i="3"/>
  <c r="G2507" i="3"/>
  <c r="G2519" i="3"/>
  <c r="G2529" i="3"/>
  <c r="G2539" i="3"/>
  <c r="G2550" i="3"/>
  <c r="G2559" i="3"/>
  <c r="G2568" i="3"/>
  <c r="G2577" i="3"/>
  <c r="G2586" i="3"/>
  <c r="G2595" i="3"/>
  <c r="G2604" i="3"/>
  <c r="G2614" i="3"/>
  <c r="G2623" i="3"/>
  <c r="G2632" i="3"/>
  <c r="G2640" i="3"/>
  <c r="G2648" i="3"/>
  <c r="G2656" i="3"/>
  <c r="G2664" i="3"/>
  <c r="G2672" i="3"/>
  <c r="G2680" i="3"/>
  <c r="G2688" i="3"/>
  <c r="G2696" i="3"/>
  <c r="G2704" i="3"/>
  <c r="G2712" i="3"/>
  <c r="G2720" i="3"/>
  <c r="G2728" i="3"/>
  <c r="G2736" i="3"/>
  <c r="G2744" i="3"/>
  <c r="G2752" i="3"/>
  <c r="G2760" i="3"/>
  <c r="G2768" i="3"/>
  <c r="G2776" i="3"/>
  <c r="G2784" i="3"/>
  <c r="G2792" i="3"/>
  <c r="G2800" i="3"/>
  <c r="G2808" i="3"/>
  <c r="G2816" i="3"/>
  <c r="G2824" i="3"/>
  <c r="G2832" i="3"/>
  <c r="G2840" i="3"/>
  <c r="G2848" i="3"/>
  <c r="G2856" i="3"/>
  <c r="G2864" i="3"/>
  <c r="G2872" i="3"/>
  <c r="G2880" i="3"/>
  <c r="G2888" i="3"/>
  <c r="G2896" i="3"/>
  <c r="G2904" i="3"/>
  <c r="G2912" i="3"/>
  <c r="G2920" i="3"/>
  <c r="G2928" i="3"/>
  <c r="G2936" i="3"/>
  <c r="G2944" i="3"/>
  <c r="G2952" i="3"/>
  <c r="G2960" i="3"/>
  <c r="G2968" i="3"/>
  <c r="G2976" i="3"/>
  <c r="G2984" i="3"/>
  <c r="G2992" i="3"/>
  <c r="G3000" i="3"/>
  <c r="G3008" i="3"/>
  <c r="G3016" i="3"/>
  <c r="G3024" i="3"/>
  <c r="G3032" i="3"/>
  <c r="G3040" i="3"/>
  <c r="G3048" i="3"/>
  <c r="G3056" i="3"/>
  <c r="G3064" i="3"/>
  <c r="G3072" i="3"/>
  <c r="G3080" i="3"/>
  <c r="G3088" i="3"/>
  <c r="G3096" i="3"/>
  <c r="G3104" i="3"/>
  <c r="G3112" i="3"/>
  <c r="G3120" i="3"/>
  <c r="G3128" i="3"/>
  <c r="G3136" i="3"/>
  <c r="G3144" i="3"/>
  <c r="G3152" i="3"/>
  <c r="G3160" i="3"/>
  <c r="G3168" i="3"/>
  <c r="G3176" i="3"/>
  <c r="G3184" i="3"/>
  <c r="G3192" i="3"/>
  <c r="G3200" i="3"/>
  <c r="G3208" i="3"/>
  <c r="G3216" i="3"/>
  <c r="G3224" i="3"/>
  <c r="G3232" i="3"/>
  <c r="G3240" i="3"/>
  <c r="G3248" i="3"/>
  <c r="G3256" i="3"/>
  <c r="G3264" i="3"/>
  <c r="G3272" i="3"/>
  <c r="G3280" i="3"/>
  <c r="G3288" i="3"/>
  <c r="G3296" i="3"/>
  <c r="G3304" i="3"/>
  <c r="G3312" i="3"/>
  <c r="G3320" i="3"/>
  <c r="G3328" i="3"/>
  <c r="G3336" i="3"/>
  <c r="G3344" i="3"/>
  <c r="G3352" i="3"/>
  <c r="G3360" i="3"/>
  <c r="G3368" i="3"/>
  <c r="G3376" i="3"/>
  <c r="G3384" i="3"/>
  <c r="G3392" i="3"/>
  <c r="G3400" i="3"/>
  <c r="G3408" i="3"/>
  <c r="G3416" i="3"/>
  <c r="G3424" i="3"/>
  <c r="G3432" i="3"/>
  <c r="G3440" i="3"/>
  <c r="G3448" i="3"/>
  <c r="G3456" i="3"/>
  <c r="G3464" i="3"/>
  <c r="G3472" i="3"/>
  <c r="G3480" i="3"/>
  <c r="G3488" i="3"/>
  <c r="G3496" i="3"/>
  <c r="G3504" i="3"/>
  <c r="G3512" i="3"/>
  <c r="G3520" i="3"/>
  <c r="G3528" i="3"/>
  <c r="G3536" i="3"/>
  <c r="G3544" i="3"/>
  <c r="G3552" i="3"/>
  <c r="G3560" i="3"/>
  <c r="G3568" i="3"/>
  <c r="G3576" i="3"/>
  <c r="G3584" i="3"/>
  <c r="G3592" i="3"/>
  <c r="G3600" i="3"/>
  <c r="G3608" i="3"/>
  <c r="G982" i="3"/>
  <c r="G1336" i="3"/>
  <c r="G1546" i="3"/>
  <c r="G1655" i="3"/>
  <c r="G1742" i="3"/>
  <c r="G1824" i="3"/>
  <c r="G1911" i="3"/>
  <c r="G1975" i="3"/>
  <c r="G2024" i="3"/>
  <c r="G2068" i="3"/>
  <c r="G2106" i="3"/>
  <c r="G2124" i="3"/>
  <c r="G2147" i="3"/>
  <c r="G2170" i="3"/>
  <c r="G2188" i="3"/>
  <c r="G2211" i="3"/>
  <c r="G2234" i="3"/>
  <c r="G2252" i="3"/>
  <c r="G2275" i="3"/>
  <c r="G2298" i="3"/>
  <c r="G2316" i="3"/>
  <c r="G2339" i="3"/>
  <c r="G2362" i="3"/>
  <c r="G2380" i="3"/>
  <c r="G2403" i="3"/>
  <c r="G2426" i="3"/>
  <c r="G2444" i="3"/>
  <c r="G2459" i="3"/>
  <c r="G2473" i="3"/>
  <c r="G2484" i="3"/>
  <c r="G2498" i="3"/>
  <c r="G2508" i="3"/>
  <c r="G2520" i="3"/>
  <c r="G2530" i="3"/>
  <c r="G2540" i="3"/>
  <c r="G2551" i="3"/>
  <c r="G2560" i="3"/>
  <c r="G2569" i="3"/>
  <c r="G2578" i="3"/>
  <c r="G2587" i="3"/>
  <c r="G2596" i="3"/>
  <c r="G2606" i="3"/>
  <c r="G2615" i="3"/>
  <c r="G2624" i="3"/>
  <c r="G2633" i="3"/>
  <c r="G2641" i="3"/>
  <c r="G2649" i="3"/>
  <c r="G2657" i="3"/>
  <c r="G2665" i="3"/>
  <c r="G2673" i="3"/>
  <c r="G2681" i="3"/>
  <c r="G2689" i="3"/>
  <c r="G2697" i="3"/>
  <c r="G2705" i="3"/>
  <c r="G2713" i="3"/>
  <c r="G2721" i="3"/>
  <c r="G2729" i="3"/>
  <c r="G2737" i="3"/>
  <c r="G2745" i="3"/>
  <c r="G2753" i="3"/>
  <c r="G2761" i="3"/>
  <c r="G2769" i="3"/>
  <c r="G2777" i="3"/>
  <c r="G2785" i="3"/>
  <c r="G2793" i="3"/>
  <c r="G2801" i="3"/>
  <c r="G2809" i="3"/>
  <c r="G2817" i="3"/>
  <c r="G2825" i="3"/>
  <c r="G2833" i="3"/>
  <c r="G2841" i="3"/>
  <c r="G2849" i="3"/>
  <c r="G2857" i="3"/>
  <c r="G2865" i="3"/>
  <c r="G2873" i="3"/>
  <c r="G2881" i="3"/>
  <c r="G2889" i="3"/>
  <c r="G2897" i="3"/>
  <c r="G2905" i="3"/>
  <c r="G2913" i="3"/>
  <c r="G2921" i="3"/>
  <c r="G2929" i="3"/>
  <c r="G2937" i="3"/>
  <c r="G2945" i="3"/>
  <c r="G2953" i="3"/>
  <c r="G2961" i="3"/>
  <c r="G2969" i="3"/>
  <c r="G2977" i="3"/>
  <c r="G2985" i="3"/>
  <c r="G2993" i="3"/>
  <c r="G3001" i="3"/>
  <c r="G3009" i="3"/>
  <c r="G3017" i="3"/>
  <c r="G3025" i="3"/>
  <c r="G3033" i="3"/>
  <c r="G3041" i="3"/>
  <c r="G3049" i="3"/>
  <c r="G3057" i="3"/>
  <c r="G3065" i="3"/>
  <c r="G3073" i="3"/>
  <c r="G3081" i="3"/>
  <c r="G3089" i="3"/>
  <c r="G3097" i="3"/>
  <c r="G3105" i="3"/>
  <c r="G3113" i="3"/>
  <c r="G3121" i="3"/>
  <c r="G3129" i="3"/>
  <c r="G3137" i="3"/>
  <c r="G3145" i="3"/>
  <c r="G3153" i="3"/>
  <c r="G3161" i="3"/>
  <c r="G3169" i="3"/>
  <c r="G3177" i="3"/>
  <c r="G3185" i="3"/>
  <c r="G3193" i="3"/>
  <c r="G3201" i="3"/>
  <c r="G3209" i="3"/>
  <c r="G3217" i="3"/>
  <c r="G3225" i="3"/>
  <c r="G3233" i="3"/>
  <c r="G3241" i="3"/>
  <c r="G3249" i="3"/>
  <c r="G3257" i="3"/>
  <c r="G3265" i="3"/>
  <c r="G3273" i="3"/>
  <c r="G3281" i="3"/>
  <c r="G3289" i="3"/>
  <c r="G3297" i="3"/>
  <c r="G3305" i="3"/>
  <c r="G3313" i="3"/>
  <c r="G3321" i="3"/>
  <c r="G3329" i="3"/>
  <c r="G3337" i="3"/>
  <c r="G3345" i="3"/>
  <c r="G3353" i="3"/>
  <c r="G3361" i="3"/>
  <c r="G3369" i="3"/>
  <c r="G3377" i="3"/>
  <c r="G3385" i="3"/>
  <c r="G3393" i="3"/>
  <c r="G3401" i="3"/>
  <c r="G3409" i="3"/>
  <c r="G3417" i="3"/>
  <c r="G3425" i="3"/>
  <c r="G3433" i="3"/>
  <c r="G3441" i="3"/>
  <c r="G3449" i="3"/>
  <c r="G3457" i="3"/>
  <c r="G3465" i="3"/>
  <c r="G3473" i="3"/>
  <c r="G3481" i="3"/>
  <c r="G3489" i="3"/>
  <c r="G3497" i="3"/>
  <c r="G3505" i="3"/>
  <c r="G3513" i="3"/>
  <c r="G3521" i="3"/>
  <c r="G1105" i="3"/>
  <c r="G1403" i="3"/>
  <c r="G1581" i="3"/>
  <c r="G1679" i="3"/>
  <c r="G1766" i="3"/>
  <c r="G1848" i="3"/>
  <c r="G1935" i="3"/>
  <c r="G1990" i="3"/>
  <c r="G2037" i="3"/>
  <c r="G2079" i="3"/>
  <c r="G2114" i="3"/>
  <c r="G2132" i="3"/>
  <c r="G2155" i="3"/>
  <c r="G2178" i="3"/>
  <c r="G2196" i="3"/>
  <c r="G2219" i="3"/>
  <c r="G2242" i="3"/>
  <c r="G2260" i="3"/>
  <c r="G2283" i="3"/>
  <c r="G2306" i="3"/>
  <c r="G2324" i="3"/>
  <c r="G2347" i="3"/>
  <c r="G2370" i="3"/>
  <c r="G2388" i="3"/>
  <c r="G2411" i="3"/>
  <c r="G2434" i="3"/>
  <c r="G2451" i="3"/>
  <c r="G2465" i="3"/>
  <c r="G2476" i="3"/>
  <c r="G2490" i="3"/>
  <c r="G2503" i="3"/>
  <c r="G2513" i="3"/>
  <c r="G2523" i="3"/>
  <c r="G2535" i="3"/>
  <c r="G2545" i="3"/>
  <c r="G2554" i="3"/>
  <c r="G2563" i="3"/>
  <c r="G2572" i="3"/>
  <c r="G2582" i="3"/>
  <c r="G2591" i="3"/>
  <c r="G2600" i="3"/>
  <c r="G2609" i="3"/>
  <c r="G2618" i="3"/>
  <c r="G2627" i="3"/>
  <c r="G2636" i="3"/>
  <c r="G2644" i="3"/>
  <c r="G2652" i="3"/>
  <c r="G2660" i="3"/>
  <c r="G2668" i="3"/>
  <c r="G2676" i="3"/>
  <c r="G2684" i="3"/>
  <c r="G2692" i="3"/>
  <c r="G2700" i="3"/>
  <c r="G2708" i="3"/>
  <c r="G2716" i="3"/>
  <c r="G2724" i="3"/>
  <c r="G2732" i="3"/>
  <c r="G2740" i="3"/>
  <c r="G2748" i="3"/>
  <c r="G2756" i="3"/>
  <c r="G2764" i="3"/>
  <c r="G2772" i="3"/>
  <c r="G2780" i="3"/>
  <c r="G2788" i="3"/>
  <c r="G2796" i="3"/>
  <c r="G2804" i="3"/>
  <c r="G2812" i="3"/>
  <c r="G2820" i="3"/>
  <c r="G2828" i="3"/>
  <c r="G2836" i="3"/>
  <c r="G2844" i="3"/>
  <c r="G2852" i="3"/>
  <c r="G2860" i="3"/>
  <c r="G2868" i="3"/>
  <c r="G2876" i="3"/>
  <c r="G2884" i="3"/>
  <c r="G2892" i="3"/>
  <c r="G2900" i="3"/>
  <c r="G2908" i="3"/>
  <c r="G2916" i="3"/>
  <c r="G2924" i="3"/>
  <c r="G2932" i="3"/>
  <c r="G2940" i="3"/>
  <c r="G2948" i="3"/>
  <c r="G2956" i="3"/>
  <c r="G2964" i="3"/>
  <c r="G2972" i="3"/>
  <c r="G2980" i="3"/>
  <c r="G2988" i="3"/>
  <c r="G2996" i="3"/>
  <c r="G3004" i="3"/>
  <c r="G3012" i="3"/>
  <c r="G3020" i="3"/>
  <c r="G3028" i="3"/>
  <c r="G3036" i="3"/>
  <c r="G3044" i="3"/>
  <c r="G3052" i="3"/>
  <c r="G3060" i="3"/>
  <c r="G3068" i="3"/>
  <c r="G3076" i="3"/>
  <c r="G3084" i="3"/>
  <c r="G3092" i="3"/>
  <c r="G3100" i="3"/>
  <c r="G3108" i="3"/>
  <c r="G3116" i="3"/>
  <c r="G3124" i="3"/>
  <c r="G3132" i="3"/>
  <c r="G3140" i="3"/>
  <c r="G3148" i="3"/>
  <c r="G3156" i="3"/>
  <c r="G3164" i="3"/>
  <c r="G3172" i="3"/>
  <c r="G3180" i="3"/>
  <c r="G3188" i="3"/>
  <c r="G3196" i="3"/>
  <c r="G3204" i="3"/>
  <c r="G3212" i="3"/>
  <c r="G3220" i="3"/>
  <c r="G3228" i="3"/>
  <c r="G3236" i="3"/>
  <c r="G3244" i="3"/>
  <c r="G3252" i="3"/>
  <c r="G3260" i="3"/>
  <c r="G3268" i="3"/>
  <c r="G3276" i="3"/>
  <c r="G3284" i="3"/>
  <c r="G3292" i="3"/>
  <c r="G3300" i="3"/>
  <c r="G3308" i="3"/>
  <c r="G3316" i="3"/>
  <c r="G3324" i="3"/>
  <c r="G3332" i="3"/>
  <c r="G3340" i="3"/>
  <c r="G3348" i="3"/>
  <c r="G3356" i="3"/>
  <c r="G3364" i="3"/>
  <c r="G3372" i="3"/>
  <c r="G3380" i="3"/>
  <c r="G3388" i="3"/>
  <c r="G3396" i="3"/>
  <c r="G3404" i="3"/>
  <c r="G3412" i="3"/>
  <c r="G3420" i="3"/>
  <c r="G3428" i="3"/>
  <c r="G3436" i="3"/>
  <c r="G3444" i="3"/>
  <c r="G3452" i="3"/>
  <c r="G3460" i="3"/>
  <c r="G3468" i="3"/>
  <c r="G3476" i="3"/>
  <c r="G3484" i="3"/>
  <c r="G3492" i="3"/>
  <c r="G3500" i="3"/>
  <c r="G3508" i="3"/>
  <c r="G3516" i="3"/>
  <c r="G3524" i="3"/>
  <c r="G3532" i="3"/>
  <c r="G3540" i="3"/>
  <c r="G3548" i="3"/>
  <c r="G992" i="3"/>
  <c r="G1743" i="3"/>
  <c r="G2027" i="3"/>
  <c r="G2148" i="3"/>
  <c r="G2235" i="3"/>
  <c r="G2322" i="3"/>
  <c r="G2404" i="3"/>
  <c r="G2474" i="3"/>
  <c r="G2521" i="3"/>
  <c r="G2561" i="3"/>
  <c r="G2598" i="3"/>
  <c r="G2634" i="3"/>
  <c r="G2666" i="3"/>
  <c r="G2698" i="3"/>
  <c r="G2730" i="3"/>
  <c r="G2762" i="3"/>
  <c r="G2794" i="3"/>
  <c r="G2826" i="3"/>
  <c r="G2858" i="3"/>
  <c r="G2890" i="3"/>
  <c r="G2922" i="3"/>
  <c r="G2954" i="3"/>
  <c r="G2986" i="3"/>
  <c r="G3018" i="3"/>
  <c r="G3050" i="3"/>
  <c r="G3082" i="3"/>
  <c r="G3114" i="3"/>
  <c r="G3146" i="3"/>
  <c r="G3178" i="3"/>
  <c r="G3210" i="3"/>
  <c r="G3242" i="3"/>
  <c r="G3274" i="3"/>
  <c r="G3306" i="3"/>
  <c r="G3338" i="3"/>
  <c r="G3370" i="3"/>
  <c r="G3402" i="3"/>
  <c r="G3434" i="3"/>
  <c r="G3461" i="3"/>
  <c r="G3483" i="3"/>
  <c r="G3506" i="3"/>
  <c r="G3525" i="3"/>
  <c r="G3538" i="3"/>
  <c r="G3551" i="3"/>
  <c r="G3562" i="3"/>
  <c r="G3572" i="3"/>
  <c r="G3583" i="3"/>
  <c r="G3594" i="3"/>
  <c r="G3604" i="3"/>
  <c r="G3615" i="3"/>
  <c r="G3624" i="3"/>
  <c r="G3633" i="3"/>
  <c r="G3641" i="3"/>
  <c r="G3649" i="3"/>
  <c r="G3657" i="3"/>
  <c r="G3665" i="3"/>
  <c r="G3673" i="3"/>
  <c r="G3681" i="3"/>
  <c r="G3689" i="3"/>
  <c r="G3697" i="3"/>
  <c r="G3705" i="3"/>
  <c r="G3713" i="3"/>
  <c r="G3721" i="3"/>
  <c r="G3729" i="3"/>
  <c r="G3737" i="3"/>
  <c r="G3745" i="3"/>
  <c r="G3753" i="3"/>
  <c r="G3761" i="3"/>
  <c r="G3769" i="3"/>
  <c r="G3777" i="3"/>
  <c r="G3785" i="3"/>
  <c r="G3793" i="3"/>
  <c r="G3801" i="3"/>
  <c r="G3809" i="3"/>
  <c r="G3817" i="3"/>
  <c r="G3825" i="3"/>
  <c r="G3833" i="3"/>
  <c r="G3841" i="3"/>
  <c r="G3849" i="3"/>
  <c r="G3857" i="3"/>
  <c r="G3865" i="3"/>
  <c r="G3873" i="3"/>
  <c r="G3881" i="3"/>
  <c r="G3889" i="3"/>
  <c r="G3897" i="3"/>
  <c r="G3905" i="3"/>
  <c r="G3913" i="3"/>
  <c r="G3921" i="3"/>
  <c r="G3929" i="3"/>
  <c r="G3937" i="3"/>
  <c r="G3945" i="3"/>
  <c r="G3953" i="3"/>
  <c r="G3961" i="3"/>
  <c r="G3969" i="3"/>
  <c r="G3977" i="3"/>
  <c r="G3985" i="3"/>
  <c r="G3993" i="3"/>
  <c r="G4001" i="3"/>
  <c r="G4009" i="3"/>
  <c r="G4017" i="3"/>
  <c r="G4025" i="3"/>
  <c r="G4033" i="3"/>
  <c r="G4041" i="3"/>
  <c r="G4049" i="3"/>
  <c r="G4057" i="3"/>
  <c r="G4065" i="3"/>
  <c r="G4073" i="3"/>
  <c r="G4081" i="3"/>
  <c r="G4089" i="3"/>
  <c r="G4097" i="3"/>
  <c r="G4105" i="3"/>
  <c r="G4113" i="3"/>
  <c r="G4121" i="3"/>
  <c r="G4129" i="3"/>
  <c r="G4137" i="3"/>
  <c r="G4145" i="3"/>
  <c r="G4153" i="3"/>
  <c r="G4161" i="3"/>
  <c r="G4169" i="3"/>
  <c r="G1104" i="3"/>
  <c r="G1760" i="3"/>
  <c r="G2036" i="3"/>
  <c r="G2154" i="3"/>
  <c r="G2236" i="3"/>
  <c r="G2323" i="3"/>
  <c r="G2410" i="3"/>
  <c r="G2475" i="3"/>
  <c r="G2522" i="3"/>
  <c r="G2562" i="3"/>
  <c r="G2599" i="3"/>
  <c r="G2635" i="3"/>
  <c r="G2667" i="3"/>
  <c r="G2699" i="3"/>
  <c r="G2731" i="3"/>
  <c r="G2763" i="3"/>
  <c r="G2795" i="3"/>
  <c r="G2827" i="3"/>
  <c r="G2859" i="3"/>
  <c r="G2891" i="3"/>
  <c r="G2923" i="3"/>
  <c r="G2955" i="3"/>
  <c r="G2987" i="3"/>
  <c r="G3019" i="3"/>
  <c r="G3051" i="3"/>
  <c r="G3083" i="3"/>
  <c r="G3115" i="3"/>
  <c r="G3147" i="3"/>
  <c r="G3179" i="3"/>
  <c r="G3211" i="3"/>
  <c r="G3243" i="3"/>
  <c r="G3275" i="3"/>
  <c r="G3307" i="3"/>
  <c r="G3339" i="3"/>
  <c r="G3371" i="3"/>
  <c r="G3403" i="3"/>
  <c r="G3435" i="3"/>
  <c r="G3466" i="3"/>
  <c r="G3485" i="3"/>
  <c r="G3507" i="3"/>
  <c r="G3527" i="3"/>
  <c r="G3539" i="3"/>
  <c r="G3553" i="3"/>
  <c r="G3563" i="3"/>
  <c r="G3573" i="3"/>
  <c r="G3585" i="3"/>
  <c r="G3595" i="3"/>
  <c r="G3605" i="3"/>
  <c r="G3616" i="3"/>
  <c r="G3625" i="3"/>
  <c r="G3634" i="3"/>
  <c r="G3642" i="3"/>
  <c r="G3650" i="3"/>
  <c r="G3658" i="3"/>
  <c r="G3666" i="3"/>
  <c r="G3674" i="3"/>
  <c r="G3682" i="3"/>
  <c r="G3690" i="3"/>
  <c r="G3698" i="3"/>
  <c r="G3706" i="3"/>
  <c r="G3714" i="3"/>
  <c r="G3722" i="3"/>
  <c r="G3730" i="3"/>
  <c r="G3738" i="3"/>
  <c r="G3746" i="3"/>
  <c r="G3754" i="3"/>
  <c r="G3762" i="3"/>
  <c r="G3770" i="3"/>
  <c r="G3778" i="3"/>
  <c r="G3786" i="3"/>
  <c r="G3794" i="3"/>
  <c r="G3802" i="3"/>
  <c r="G3810" i="3"/>
  <c r="G3818" i="3"/>
  <c r="G3826" i="3"/>
  <c r="G3834" i="3"/>
  <c r="G3842" i="3"/>
  <c r="G3850" i="3"/>
  <c r="G3858" i="3"/>
  <c r="G3866" i="3"/>
  <c r="G3874" i="3"/>
  <c r="G3882" i="3"/>
  <c r="G3890" i="3"/>
  <c r="G3898" i="3"/>
  <c r="G3906" i="3"/>
  <c r="G3914" i="3"/>
  <c r="G3922" i="3"/>
  <c r="G3930" i="3"/>
  <c r="G3938" i="3"/>
  <c r="G3946" i="3"/>
  <c r="G3954" i="3"/>
  <c r="G3962" i="3"/>
  <c r="G3970" i="3"/>
  <c r="G3978" i="3"/>
  <c r="G3986" i="3"/>
  <c r="G3994" i="3"/>
  <c r="G4002" i="3"/>
  <c r="G4010" i="3"/>
  <c r="G4018" i="3"/>
  <c r="G4026" i="3"/>
  <c r="G4034" i="3"/>
  <c r="G4042" i="3"/>
  <c r="G4050" i="3"/>
  <c r="G4058" i="3"/>
  <c r="G1343" i="3"/>
  <c r="G1830" i="3"/>
  <c r="G2069" i="3"/>
  <c r="G2171" i="3"/>
  <c r="G2258" i="3"/>
  <c r="G2340" i="3"/>
  <c r="G2427" i="3"/>
  <c r="G2488" i="3"/>
  <c r="G2531" i="3"/>
  <c r="G2570" i="3"/>
  <c r="G2607" i="3"/>
  <c r="G2642" i="3"/>
  <c r="G2674" i="3"/>
  <c r="G2706" i="3"/>
  <c r="G2738" i="3"/>
  <c r="G2770" i="3"/>
  <c r="G2802" i="3"/>
  <c r="G2834" i="3"/>
  <c r="G2866" i="3"/>
  <c r="G2898" i="3"/>
  <c r="G2930" i="3"/>
  <c r="G2962" i="3"/>
  <c r="G2994" i="3"/>
  <c r="G3026" i="3"/>
  <c r="G3058" i="3"/>
  <c r="G3090" i="3"/>
  <c r="G3122" i="3"/>
  <c r="G3154" i="3"/>
  <c r="G3186" i="3"/>
  <c r="G3218" i="3"/>
  <c r="G3250" i="3"/>
  <c r="G3282" i="3"/>
  <c r="G3314" i="3"/>
  <c r="G3346" i="3"/>
  <c r="G3378" i="3"/>
  <c r="G3410" i="3"/>
  <c r="G3442" i="3"/>
  <c r="G3467" i="3"/>
  <c r="G3490" i="3"/>
  <c r="G3509" i="3"/>
  <c r="G3529" i="3"/>
  <c r="G3541" i="3"/>
  <c r="G3554" i="3"/>
  <c r="G3564" i="3"/>
  <c r="G3575" i="3"/>
  <c r="G3586" i="3"/>
  <c r="G3596" i="3"/>
  <c r="G3607" i="3"/>
  <c r="G3617" i="3"/>
  <c r="G3626" i="3"/>
  <c r="G3635" i="3"/>
  <c r="G3643" i="3"/>
  <c r="G3651" i="3"/>
  <c r="G3659" i="3"/>
  <c r="G3667" i="3"/>
  <c r="G3675" i="3"/>
  <c r="G3683" i="3"/>
  <c r="G3691" i="3"/>
  <c r="G3699" i="3"/>
  <c r="G3707" i="3"/>
  <c r="G3715" i="3"/>
  <c r="G3723" i="3"/>
  <c r="G3731" i="3"/>
  <c r="G3739" i="3"/>
  <c r="G3747" i="3"/>
  <c r="G3755" i="3"/>
  <c r="G3763" i="3"/>
  <c r="G3771" i="3"/>
  <c r="G3779" i="3"/>
  <c r="G3787" i="3"/>
  <c r="G3795" i="3"/>
  <c r="G3803" i="3"/>
  <c r="G3811" i="3"/>
  <c r="G3819" i="3"/>
  <c r="G3827" i="3"/>
  <c r="G3835" i="3"/>
  <c r="G3843" i="3"/>
  <c r="G3851" i="3"/>
  <c r="G3859" i="3"/>
  <c r="G3867" i="3"/>
  <c r="G3875" i="3"/>
  <c r="G3883" i="3"/>
  <c r="G3891" i="3"/>
  <c r="G3899" i="3"/>
  <c r="G3907" i="3"/>
  <c r="G3915" i="3"/>
  <c r="G1387" i="3"/>
  <c r="G1847" i="3"/>
  <c r="G2078" i="3"/>
  <c r="G2172" i="3"/>
  <c r="G2259" i="3"/>
  <c r="G2346" i="3"/>
  <c r="G2428" i="3"/>
  <c r="G2489" i="3"/>
  <c r="G2532" i="3"/>
  <c r="G2571" i="3"/>
  <c r="G2608" i="3"/>
  <c r="G2643" i="3"/>
  <c r="G2675" i="3"/>
  <c r="G2707" i="3"/>
  <c r="G2739" i="3"/>
  <c r="G2771" i="3"/>
  <c r="G2803" i="3"/>
  <c r="G2835" i="3"/>
  <c r="G2867" i="3"/>
  <c r="G2899" i="3"/>
  <c r="G2931" i="3"/>
  <c r="G2963" i="3"/>
  <c r="G2995" i="3"/>
  <c r="G3027" i="3"/>
  <c r="G3059" i="3"/>
  <c r="G3091" i="3"/>
  <c r="G3123" i="3"/>
  <c r="G3155" i="3"/>
  <c r="G3187" i="3"/>
  <c r="G3219" i="3"/>
  <c r="G3251" i="3"/>
  <c r="G3283" i="3"/>
  <c r="G3315" i="3"/>
  <c r="G3347" i="3"/>
  <c r="G3379" i="3"/>
  <c r="G3411" i="3"/>
  <c r="G3443" i="3"/>
  <c r="G3469" i="3"/>
  <c r="G3491" i="3"/>
  <c r="G3514" i="3"/>
  <c r="G3530" i="3"/>
  <c r="G3543" i="3"/>
  <c r="G3555" i="3"/>
  <c r="G3565" i="3"/>
  <c r="G3577" i="3"/>
  <c r="G3587" i="3"/>
  <c r="G3597" i="3"/>
  <c r="G3609" i="3"/>
  <c r="G3618" i="3"/>
  <c r="G3627" i="3"/>
  <c r="G3636" i="3"/>
  <c r="G3644" i="3"/>
  <c r="G3652" i="3"/>
  <c r="G3660" i="3"/>
  <c r="G3668" i="3"/>
  <c r="G3676" i="3"/>
  <c r="G3684" i="3"/>
  <c r="G3692" i="3"/>
  <c r="G3700" i="3"/>
  <c r="G3708" i="3"/>
  <c r="G3716" i="3"/>
  <c r="G3724" i="3"/>
  <c r="G3732" i="3"/>
  <c r="G3740" i="3"/>
  <c r="G3748" i="3"/>
  <c r="G3756" i="3"/>
  <c r="G3764" i="3"/>
  <c r="G3772" i="3"/>
  <c r="G3780" i="3"/>
  <c r="G3788" i="3"/>
  <c r="G3796" i="3"/>
  <c r="G3804" i="3"/>
  <c r="G3812" i="3"/>
  <c r="G3820" i="3"/>
  <c r="G3828" i="3"/>
  <c r="G3836" i="3"/>
  <c r="G3844" i="3"/>
  <c r="G3852" i="3"/>
  <c r="G3860" i="3"/>
  <c r="G3868" i="3"/>
  <c r="G3876" i="3"/>
  <c r="G3884" i="3"/>
  <c r="G3892" i="3"/>
  <c r="G3900" i="3"/>
  <c r="G3908" i="3"/>
  <c r="G3916" i="3"/>
  <c r="G3924" i="3"/>
  <c r="G3932" i="3"/>
  <c r="G3940" i="3"/>
  <c r="G3948" i="3"/>
  <c r="G3956" i="3"/>
  <c r="G3964" i="3"/>
  <c r="G3972" i="3"/>
  <c r="G3980" i="3"/>
  <c r="G3988" i="3"/>
  <c r="G3996" i="3"/>
  <c r="G4004" i="3"/>
  <c r="G4012" i="3"/>
  <c r="G4020" i="3"/>
  <c r="G4028" i="3"/>
  <c r="G4036" i="3"/>
  <c r="G4044" i="3"/>
  <c r="G4052" i="3"/>
  <c r="G4060" i="3"/>
  <c r="G1555" i="3"/>
  <c r="G1912" i="3"/>
  <c r="G2107" i="3"/>
  <c r="G2194" i="3"/>
  <c r="G2276" i="3"/>
  <c r="G2363" i="3"/>
  <c r="G2449" i="3"/>
  <c r="G2499" i="3"/>
  <c r="G2543" i="3"/>
  <c r="G2579" i="3"/>
  <c r="G2616" i="3"/>
  <c r="G2650" i="3"/>
  <c r="G2682" i="3"/>
  <c r="G2714" i="3"/>
  <c r="G2746" i="3"/>
  <c r="G2778" i="3"/>
  <c r="G2810" i="3"/>
  <c r="G2842" i="3"/>
  <c r="G2874" i="3"/>
  <c r="G2906" i="3"/>
  <c r="G2938" i="3"/>
  <c r="G2970" i="3"/>
  <c r="G3002" i="3"/>
  <c r="G3034" i="3"/>
  <c r="G3066" i="3"/>
  <c r="G3098" i="3"/>
  <c r="G3130" i="3"/>
  <c r="G3162" i="3"/>
  <c r="G3194" i="3"/>
  <c r="G3226" i="3"/>
  <c r="G3258" i="3"/>
  <c r="G3290" i="3"/>
  <c r="G3322" i="3"/>
  <c r="G3354" i="3"/>
  <c r="G3386" i="3"/>
  <c r="G3418" i="3"/>
  <c r="G3450" i="3"/>
  <c r="G3474" i="3"/>
  <c r="G3493" i="3"/>
  <c r="G3515" i="3"/>
  <c r="G3531" i="3"/>
  <c r="G3545" i="3"/>
  <c r="G3556" i="3"/>
  <c r="G3567" i="3"/>
  <c r="G3578" i="3"/>
  <c r="G3588" i="3"/>
  <c r="G3599" i="3"/>
  <c r="G3610" i="3"/>
  <c r="G3619" i="3"/>
  <c r="G3628" i="3"/>
  <c r="G3637" i="3"/>
  <c r="G3645" i="3"/>
  <c r="G3653" i="3"/>
  <c r="G3661" i="3"/>
  <c r="G3669" i="3"/>
  <c r="G3677" i="3"/>
  <c r="G3685" i="3"/>
  <c r="G3693" i="3"/>
  <c r="G3701" i="3"/>
  <c r="G3709" i="3"/>
  <c r="G3717" i="3"/>
  <c r="G3725" i="3"/>
  <c r="G3733" i="3"/>
  <c r="G3741" i="3"/>
  <c r="G3749" i="3"/>
  <c r="G3757" i="3"/>
  <c r="G3765" i="3"/>
  <c r="G3773" i="3"/>
  <c r="G3781" i="3"/>
  <c r="G3789" i="3"/>
  <c r="G3797" i="3"/>
  <c r="G3805" i="3"/>
  <c r="G3813" i="3"/>
  <c r="G3821" i="3"/>
  <c r="G3829" i="3"/>
  <c r="G3837" i="3"/>
  <c r="G3845" i="3"/>
  <c r="G3853" i="3"/>
  <c r="G3861" i="3"/>
  <c r="G1579" i="3"/>
  <c r="G1934" i="3"/>
  <c r="G2108" i="3"/>
  <c r="G2195" i="3"/>
  <c r="G2282" i="3"/>
  <c r="G2364" i="3"/>
  <c r="G2450" i="3"/>
  <c r="G2500" i="3"/>
  <c r="G2544" i="3"/>
  <c r="G2580" i="3"/>
  <c r="G2617" i="3"/>
  <c r="G2651" i="3"/>
  <c r="G2683" i="3"/>
  <c r="G2715" i="3"/>
  <c r="G2747" i="3"/>
  <c r="G2779" i="3"/>
  <c r="G2811" i="3"/>
  <c r="G2843" i="3"/>
  <c r="G2875" i="3"/>
  <c r="G2907" i="3"/>
  <c r="G2939" i="3"/>
  <c r="G2971" i="3"/>
  <c r="G3003" i="3"/>
  <c r="G3035" i="3"/>
  <c r="G3067" i="3"/>
  <c r="G3099" i="3"/>
  <c r="G3131" i="3"/>
  <c r="G3163" i="3"/>
  <c r="G3195" i="3"/>
  <c r="G3227" i="3"/>
  <c r="G3259" i="3"/>
  <c r="G3291" i="3"/>
  <c r="G3323" i="3"/>
  <c r="G3355" i="3"/>
  <c r="G3387" i="3"/>
  <c r="G3419" i="3"/>
  <c r="G3451" i="3"/>
  <c r="G3475" i="3"/>
  <c r="G3498" i="3"/>
  <c r="G3517" i="3"/>
  <c r="G3533" i="3"/>
  <c r="G3546" i="3"/>
  <c r="G3557" i="3"/>
  <c r="G3569" i="3"/>
  <c r="G3579" i="3"/>
  <c r="G3589" i="3"/>
  <c r="G3601" i="3"/>
  <c r="G3611" i="3"/>
  <c r="G3620" i="3"/>
  <c r="G3629" i="3"/>
  <c r="G3638" i="3"/>
  <c r="G3646" i="3"/>
  <c r="G3654" i="3"/>
  <c r="G3662" i="3"/>
  <c r="G3670" i="3"/>
  <c r="G3678" i="3"/>
  <c r="G3686" i="3"/>
  <c r="G3694" i="3"/>
  <c r="G3702" i="3"/>
  <c r="G3710" i="3"/>
  <c r="G3718" i="3"/>
  <c r="G3726" i="3"/>
  <c r="G3734" i="3"/>
  <c r="G3742" i="3"/>
  <c r="G3750" i="3"/>
  <c r="G3758" i="3"/>
  <c r="G3766" i="3"/>
  <c r="G3774" i="3"/>
  <c r="G3782" i="3"/>
  <c r="G3790" i="3"/>
  <c r="G3798" i="3"/>
  <c r="G3806" i="3"/>
  <c r="G3814" i="3"/>
  <c r="G3822" i="3"/>
  <c r="G3830" i="3"/>
  <c r="G3838" i="3"/>
  <c r="G3846" i="3"/>
  <c r="G3854" i="3"/>
  <c r="G3862" i="3"/>
  <c r="G3870" i="3"/>
  <c r="G3878" i="3"/>
  <c r="G3886" i="3"/>
  <c r="G3894" i="3"/>
  <c r="G3902" i="3"/>
  <c r="G3910" i="3"/>
  <c r="G1656" i="3"/>
  <c r="G2299" i="3"/>
  <c r="G2552" i="3"/>
  <c r="G2690" i="3"/>
  <c r="G2818" i="3"/>
  <c r="G2946" i="3"/>
  <c r="G3074" i="3"/>
  <c r="G3202" i="3"/>
  <c r="G3330" i="3"/>
  <c r="G3458" i="3"/>
  <c r="G3535" i="3"/>
  <c r="G3580" i="3"/>
  <c r="G3621" i="3"/>
  <c r="G3655" i="3"/>
  <c r="G3687" i="3"/>
  <c r="G3719" i="3"/>
  <c r="G3751" i="3"/>
  <c r="G3783" i="3"/>
  <c r="G3815" i="3"/>
  <c r="G3847" i="3"/>
  <c r="G3872" i="3"/>
  <c r="G3895" i="3"/>
  <c r="G3917" i="3"/>
  <c r="G3928" i="3"/>
  <c r="G3942" i="3"/>
  <c r="G3955" i="3"/>
  <c r="G3967" i="3"/>
  <c r="G3981" i="3"/>
  <c r="G3992" i="3"/>
  <c r="G4006" i="3"/>
  <c r="G4019" i="3"/>
  <c r="G4031" i="3"/>
  <c r="G4045" i="3"/>
  <c r="G4056" i="3"/>
  <c r="G4068" i="3"/>
  <c r="G4077" i="3"/>
  <c r="G4086" i="3"/>
  <c r="G4095" i="3"/>
  <c r="G4104" i="3"/>
  <c r="G4114" i="3"/>
  <c r="G4123" i="3"/>
  <c r="G4132" i="3"/>
  <c r="G4141" i="3"/>
  <c r="G4150" i="3"/>
  <c r="G4159" i="3"/>
  <c r="G4168" i="3"/>
  <c r="G4177" i="3"/>
  <c r="G4185" i="3"/>
  <c r="G4193" i="3"/>
  <c r="G4201" i="3"/>
  <c r="G4209" i="3"/>
  <c r="G4217" i="3"/>
  <c r="G4225" i="3"/>
  <c r="G4233" i="3"/>
  <c r="G4241" i="3"/>
  <c r="G4249" i="3"/>
  <c r="G4257" i="3"/>
  <c r="G4265" i="3"/>
  <c r="G4273" i="3"/>
  <c r="G4281" i="3"/>
  <c r="G4289" i="3"/>
  <c r="G4297" i="3"/>
  <c r="G4305" i="3"/>
  <c r="G4313" i="3"/>
  <c r="G4321" i="3"/>
  <c r="G4329" i="3"/>
  <c r="G4337" i="3"/>
  <c r="G4345" i="3"/>
  <c r="G4353" i="3"/>
  <c r="G4361" i="3"/>
  <c r="G4369" i="3"/>
  <c r="G4377" i="3"/>
  <c r="G4385" i="3"/>
  <c r="G4393" i="3"/>
  <c r="G4401" i="3"/>
  <c r="G4409" i="3"/>
  <c r="G4417" i="3"/>
  <c r="G4425" i="3"/>
  <c r="G4433" i="3"/>
  <c r="G4441" i="3"/>
  <c r="G4449" i="3"/>
  <c r="G4457" i="3"/>
  <c r="G4465" i="3"/>
  <c r="G4473" i="3"/>
  <c r="G4481" i="3"/>
  <c r="G4489" i="3"/>
  <c r="G4497" i="3"/>
  <c r="G4505" i="3"/>
  <c r="G4513" i="3"/>
  <c r="G4521" i="3"/>
  <c r="G4529" i="3"/>
  <c r="G4537" i="3"/>
  <c r="G4545" i="3"/>
  <c r="G4553" i="3"/>
  <c r="G4561" i="3"/>
  <c r="G4569" i="3"/>
  <c r="G4577" i="3"/>
  <c r="G4585" i="3"/>
  <c r="G4593" i="3"/>
  <c r="G4601" i="3"/>
  <c r="G4609" i="3"/>
  <c r="G4617" i="3"/>
  <c r="G4625" i="3"/>
  <c r="G4633" i="3"/>
  <c r="G4641" i="3"/>
  <c r="G4649" i="3"/>
  <c r="G4657" i="3"/>
  <c r="G4665" i="3"/>
  <c r="G4673" i="3"/>
  <c r="G4681" i="3"/>
  <c r="G4689" i="3"/>
  <c r="G4697" i="3"/>
  <c r="G4705" i="3"/>
  <c r="G4713" i="3"/>
  <c r="G4721" i="3"/>
  <c r="G4729" i="3"/>
  <c r="G4737" i="3"/>
  <c r="G4745" i="3"/>
  <c r="G4753" i="3"/>
  <c r="G4761" i="3"/>
  <c r="G4769" i="3"/>
  <c r="G4777" i="3"/>
  <c r="G4785" i="3"/>
  <c r="G4793" i="3"/>
  <c r="G4801" i="3"/>
  <c r="G4809" i="3"/>
  <c r="G4817" i="3"/>
  <c r="G4825" i="3"/>
  <c r="G4833" i="3"/>
  <c r="G4841" i="3"/>
  <c r="G4849" i="3"/>
  <c r="G4857" i="3"/>
  <c r="G4865" i="3"/>
  <c r="G4873" i="3"/>
  <c r="G4881" i="3"/>
  <c r="G4889" i="3"/>
  <c r="G4897" i="3"/>
  <c r="G4905" i="3"/>
  <c r="G4913" i="3"/>
  <c r="G4921" i="3"/>
  <c r="G4929" i="3"/>
  <c r="G4937" i="3"/>
  <c r="G4945" i="3"/>
  <c r="G4953" i="3"/>
  <c r="G4961" i="3"/>
  <c r="G4969" i="3"/>
  <c r="G4977" i="3"/>
  <c r="G4985" i="3"/>
  <c r="G4993" i="3"/>
  <c r="G5001" i="3"/>
  <c r="G5009" i="3"/>
  <c r="G5017" i="3"/>
  <c r="G5025" i="3"/>
  <c r="G5033" i="3"/>
  <c r="G5041" i="3"/>
  <c r="G1678" i="3"/>
  <c r="G2300" i="3"/>
  <c r="G2553" i="3"/>
  <c r="G2691" i="3"/>
  <c r="G2819" i="3"/>
  <c r="G2947" i="3"/>
  <c r="G3075" i="3"/>
  <c r="G3203" i="3"/>
  <c r="G3331" i="3"/>
  <c r="G3459" i="3"/>
  <c r="G3537" i="3"/>
  <c r="G3581" i="3"/>
  <c r="G3623" i="3"/>
  <c r="G3656" i="3"/>
  <c r="G3688" i="3"/>
  <c r="G3720" i="3"/>
  <c r="G3752" i="3"/>
  <c r="G3784" i="3"/>
  <c r="G3816" i="3"/>
  <c r="G3848" i="3"/>
  <c r="G3877" i="3"/>
  <c r="G3896" i="3"/>
  <c r="G3918" i="3"/>
  <c r="G3931" i="3"/>
  <c r="G3943" i="3"/>
  <c r="G3957" i="3"/>
  <c r="G3968" i="3"/>
  <c r="G3982" i="3"/>
  <c r="G3995" i="3"/>
  <c r="G4007" i="3"/>
  <c r="G4021" i="3"/>
  <c r="G4032" i="3"/>
  <c r="G4046" i="3"/>
  <c r="G4059" i="3"/>
  <c r="G4069" i="3"/>
  <c r="G4078" i="3"/>
  <c r="G4087" i="3"/>
  <c r="G4096" i="3"/>
  <c r="G4106" i="3"/>
  <c r="G4115" i="3"/>
  <c r="G4124" i="3"/>
  <c r="G4133" i="3"/>
  <c r="G4142" i="3"/>
  <c r="G4151" i="3"/>
  <c r="G4160" i="3"/>
  <c r="G4170" i="3"/>
  <c r="G4178" i="3"/>
  <c r="G4186" i="3"/>
  <c r="G4194" i="3"/>
  <c r="G4202" i="3"/>
  <c r="G4210" i="3"/>
  <c r="G4218" i="3"/>
  <c r="G4226" i="3"/>
  <c r="G4234" i="3"/>
  <c r="G4242" i="3"/>
  <c r="G4250" i="3"/>
  <c r="G4258" i="3"/>
  <c r="G4266" i="3"/>
  <c r="G4274" i="3"/>
  <c r="G4282" i="3"/>
  <c r="G4290" i="3"/>
  <c r="G4298" i="3"/>
  <c r="G4306" i="3"/>
  <c r="G4314" i="3"/>
  <c r="G4322" i="3"/>
  <c r="G4330" i="3"/>
  <c r="G4338" i="3"/>
  <c r="G4346" i="3"/>
  <c r="G4354" i="3"/>
  <c r="G4362" i="3"/>
  <c r="G4370" i="3"/>
  <c r="G4378" i="3"/>
  <c r="G4386" i="3"/>
  <c r="G4394" i="3"/>
  <c r="G4402" i="3"/>
  <c r="G4410" i="3"/>
  <c r="G4418" i="3"/>
  <c r="G4426" i="3"/>
  <c r="G4434" i="3"/>
  <c r="G4442" i="3"/>
  <c r="G4450" i="3"/>
  <c r="G4458" i="3"/>
  <c r="G4466" i="3"/>
  <c r="G4474" i="3"/>
  <c r="G4482" i="3"/>
  <c r="G4490" i="3"/>
  <c r="G4498" i="3"/>
  <c r="G4506" i="3"/>
  <c r="G4514" i="3"/>
  <c r="G4522" i="3"/>
  <c r="G4530" i="3"/>
  <c r="G4538" i="3"/>
  <c r="G4546" i="3"/>
  <c r="G4554" i="3"/>
  <c r="G4562" i="3"/>
  <c r="G4570" i="3"/>
  <c r="G4578" i="3"/>
  <c r="G4586" i="3"/>
  <c r="G4594" i="3"/>
  <c r="G4602" i="3"/>
  <c r="G4610" i="3"/>
  <c r="G4618" i="3"/>
  <c r="G4626" i="3"/>
  <c r="G4634" i="3"/>
  <c r="G4642" i="3"/>
  <c r="G4650" i="3"/>
  <c r="G4658" i="3"/>
  <c r="G4666" i="3"/>
  <c r="G4674" i="3"/>
  <c r="G4682" i="3"/>
  <c r="G4690" i="3"/>
  <c r="G4698" i="3"/>
  <c r="G4706" i="3"/>
  <c r="G4714" i="3"/>
  <c r="G4722" i="3"/>
  <c r="G4730" i="3"/>
  <c r="G4738" i="3"/>
  <c r="G4746" i="3"/>
  <c r="G4754" i="3"/>
  <c r="G4762" i="3"/>
  <c r="G4770" i="3"/>
  <c r="G4778" i="3"/>
  <c r="G4786" i="3"/>
  <c r="G4794" i="3"/>
  <c r="G4802" i="3"/>
  <c r="G4810" i="3"/>
  <c r="G4818" i="3"/>
  <c r="G4826" i="3"/>
  <c r="G4834" i="3"/>
  <c r="G4842" i="3"/>
  <c r="G4850" i="3"/>
  <c r="G4858" i="3"/>
  <c r="G4866" i="3"/>
  <c r="G4874" i="3"/>
  <c r="G4882" i="3"/>
  <c r="G4890" i="3"/>
  <c r="G4898" i="3"/>
  <c r="G4906" i="3"/>
  <c r="G4914" i="3"/>
  <c r="G4922" i="3"/>
  <c r="G4930" i="3"/>
  <c r="G4938" i="3"/>
  <c r="G4946" i="3"/>
  <c r="G4954" i="3"/>
  <c r="G4962" i="3"/>
  <c r="G4970" i="3"/>
  <c r="G4978" i="3"/>
  <c r="G4986" i="3"/>
  <c r="G4994" i="3"/>
  <c r="G5002" i="3"/>
  <c r="G5010" i="3"/>
  <c r="G5018" i="3"/>
  <c r="G5026" i="3"/>
  <c r="G5034" i="3"/>
  <c r="G5042" i="3"/>
  <c r="G5050" i="3"/>
  <c r="G5058" i="3"/>
  <c r="G5066" i="3"/>
  <c r="G1976" i="3"/>
  <c r="G2386" i="3"/>
  <c r="G2588" i="3"/>
  <c r="G2722" i="3"/>
  <c r="G2850" i="3"/>
  <c r="G2978" i="3"/>
  <c r="G3106" i="3"/>
  <c r="G3234" i="3"/>
  <c r="G3362" i="3"/>
  <c r="G3477" i="3"/>
  <c r="G3547" i="3"/>
  <c r="G3591" i="3"/>
  <c r="G3631" i="3"/>
  <c r="G3663" i="3"/>
  <c r="G3695" i="3"/>
  <c r="G3727" i="3"/>
  <c r="G3759" i="3"/>
  <c r="G3791" i="3"/>
  <c r="G3823" i="3"/>
  <c r="G3855" i="3"/>
  <c r="G3879" i="3"/>
  <c r="G3901" i="3"/>
  <c r="G3919" i="3"/>
  <c r="G3933" i="3"/>
  <c r="G3944" i="3"/>
  <c r="G3958" i="3"/>
  <c r="G3971" i="3"/>
  <c r="G3983" i="3"/>
  <c r="G3997" i="3"/>
  <c r="G4008" i="3"/>
  <c r="G4022" i="3"/>
  <c r="G4035" i="3"/>
  <c r="G4047" i="3"/>
  <c r="G4061" i="3"/>
  <c r="G4070" i="3"/>
  <c r="G4079" i="3"/>
  <c r="G4088" i="3"/>
  <c r="G4098" i="3"/>
  <c r="G4107" i="3"/>
  <c r="G4116" i="3"/>
  <c r="G4125" i="3"/>
  <c r="G4134" i="3"/>
  <c r="G4143" i="3"/>
  <c r="G4152" i="3"/>
  <c r="G4162" i="3"/>
  <c r="G4171" i="3"/>
  <c r="G4179" i="3"/>
  <c r="G4187" i="3"/>
  <c r="G4195" i="3"/>
  <c r="G4203" i="3"/>
  <c r="G4211" i="3"/>
  <c r="G4219" i="3"/>
  <c r="G4227" i="3"/>
  <c r="G4235" i="3"/>
  <c r="G4243" i="3"/>
  <c r="G4251" i="3"/>
  <c r="G4259" i="3"/>
  <c r="G4267" i="3"/>
  <c r="G4275" i="3"/>
  <c r="G4283" i="3"/>
  <c r="G4291" i="3"/>
  <c r="G4299" i="3"/>
  <c r="G4307" i="3"/>
  <c r="G4315" i="3"/>
  <c r="G4323" i="3"/>
  <c r="G4331" i="3"/>
  <c r="G4339" i="3"/>
  <c r="G4347" i="3"/>
  <c r="G4355" i="3"/>
  <c r="G4363" i="3"/>
  <c r="G4371" i="3"/>
  <c r="G4379" i="3"/>
  <c r="G4387" i="3"/>
  <c r="G4395" i="3"/>
  <c r="G4403" i="3"/>
  <c r="G4411" i="3"/>
  <c r="G4419" i="3"/>
  <c r="G4427" i="3"/>
  <c r="G4435" i="3"/>
  <c r="G4443" i="3"/>
  <c r="G4451" i="3"/>
  <c r="G4459" i="3"/>
  <c r="G4467" i="3"/>
  <c r="G4475" i="3"/>
  <c r="G4483" i="3"/>
  <c r="G4491" i="3"/>
  <c r="G4499" i="3"/>
  <c r="G4507" i="3"/>
  <c r="G4515" i="3"/>
  <c r="G4523" i="3"/>
  <c r="G4531" i="3"/>
  <c r="G4539" i="3"/>
  <c r="G4547" i="3"/>
  <c r="G4555" i="3"/>
  <c r="G4563" i="3"/>
  <c r="G4571" i="3"/>
  <c r="G4579" i="3"/>
  <c r="G4587" i="3"/>
  <c r="G4595" i="3"/>
  <c r="G4603" i="3"/>
  <c r="G4611" i="3"/>
  <c r="G4619" i="3"/>
  <c r="G4627" i="3"/>
  <c r="G4635" i="3"/>
  <c r="G4643" i="3"/>
  <c r="G4651" i="3"/>
  <c r="G4659" i="3"/>
  <c r="G4667" i="3"/>
  <c r="G4675" i="3"/>
  <c r="G4683" i="3"/>
  <c r="G4691" i="3"/>
  <c r="G4699" i="3"/>
  <c r="G4707" i="3"/>
  <c r="G4715" i="3"/>
  <c r="G4723" i="3"/>
  <c r="G4731" i="3"/>
  <c r="G4739" i="3"/>
  <c r="G4747" i="3"/>
  <c r="G4755" i="3"/>
  <c r="G4763" i="3"/>
  <c r="G4771" i="3"/>
  <c r="G4779" i="3"/>
  <c r="G4787" i="3"/>
  <c r="G4795" i="3"/>
  <c r="G4803" i="3"/>
  <c r="G4811" i="3"/>
  <c r="G4819" i="3"/>
  <c r="G4827" i="3"/>
  <c r="G4835" i="3"/>
  <c r="G4843" i="3"/>
  <c r="G4851" i="3"/>
  <c r="G4859" i="3"/>
  <c r="G4867" i="3"/>
  <c r="G4875" i="3"/>
  <c r="G4883" i="3"/>
  <c r="G4891" i="3"/>
  <c r="G4899" i="3"/>
  <c r="G4907" i="3"/>
  <c r="G4915" i="3"/>
  <c r="G4923" i="3"/>
  <c r="G4931" i="3"/>
  <c r="G4939" i="3"/>
  <c r="G4947" i="3"/>
  <c r="G4955" i="3"/>
  <c r="G4963" i="3"/>
  <c r="G4971" i="3"/>
  <c r="G4979" i="3"/>
  <c r="G4987" i="3"/>
  <c r="G4995" i="3"/>
  <c r="G5003" i="3"/>
  <c r="G5011" i="3"/>
  <c r="G5019" i="3"/>
  <c r="G5027" i="3"/>
  <c r="G5035" i="3"/>
  <c r="G5043" i="3"/>
  <c r="G1989" i="3"/>
  <c r="G2387" i="3"/>
  <c r="G2590" i="3"/>
  <c r="G2723" i="3"/>
  <c r="G2851" i="3"/>
  <c r="G2979" i="3"/>
  <c r="G3107" i="3"/>
  <c r="G3235" i="3"/>
  <c r="G3363" i="3"/>
  <c r="G3482" i="3"/>
  <c r="G3549" i="3"/>
  <c r="G3593" i="3"/>
  <c r="G3632" i="3"/>
  <c r="G3664" i="3"/>
  <c r="G3696" i="3"/>
  <c r="G3728" i="3"/>
  <c r="G3760" i="3"/>
  <c r="G3792" i="3"/>
  <c r="G3824" i="3"/>
  <c r="G3856" i="3"/>
  <c r="G3880" i="3"/>
  <c r="G3903" i="3"/>
  <c r="G3920" i="3"/>
  <c r="G3934" i="3"/>
  <c r="G3947" i="3"/>
  <c r="G3959" i="3"/>
  <c r="G3973" i="3"/>
  <c r="G3984" i="3"/>
  <c r="G3998" i="3"/>
  <c r="G4011" i="3"/>
  <c r="G4023" i="3"/>
  <c r="G4037" i="3"/>
  <c r="G4048" i="3"/>
  <c r="G4062" i="3"/>
  <c r="G4071" i="3"/>
  <c r="G4080" i="3"/>
  <c r="G4090" i="3"/>
  <c r="G4099" i="3"/>
  <c r="G4108" i="3"/>
  <c r="G4117" i="3"/>
  <c r="G4126" i="3"/>
  <c r="G4135" i="3"/>
  <c r="G4144" i="3"/>
  <c r="G4154" i="3"/>
  <c r="G4163" i="3"/>
  <c r="G4172" i="3"/>
  <c r="G4180" i="3"/>
  <c r="G4188" i="3"/>
  <c r="G4196" i="3"/>
  <c r="G4204" i="3"/>
  <c r="G4212" i="3"/>
  <c r="G4220" i="3"/>
  <c r="G4228" i="3"/>
  <c r="G4236" i="3"/>
  <c r="G4244" i="3"/>
  <c r="G4252" i="3"/>
  <c r="G4260" i="3"/>
  <c r="G4268" i="3"/>
  <c r="G4276" i="3"/>
  <c r="G4284" i="3"/>
  <c r="G4292" i="3"/>
  <c r="G4300" i="3"/>
  <c r="G4308" i="3"/>
  <c r="G4316" i="3"/>
  <c r="G4324" i="3"/>
  <c r="G4332" i="3"/>
  <c r="G4340" i="3"/>
  <c r="G4348" i="3"/>
  <c r="G4356" i="3"/>
  <c r="G4364" i="3"/>
  <c r="G4372" i="3"/>
  <c r="G4380" i="3"/>
  <c r="G4388" i="3"/>
  <c r="G4396" i="3"/>
  <c r="G4404" i="3"/>
  <c r="G4412" i="3"/>
  <c r="G4420" i="3"/>
  <c r="G4428" i="3"/>
  <c r="G4436" i="3"/>
  <c r="G4444" i="3"/>
  <c r="G4452" i="3"/>
  <c r="G4460" i="3"/>
  <c r="G4468" i="3"/>
  <c r="G4476" i="3"/>
  <c r="G4484" i="3"/>
  <c r="G4492" i="3"/>
  <c r="G4500" i="3"/>
  <c r="G4508" i="3"/>
  <c r="G4516" i="3"/>
  <c r="G4524" i="3"/>
  <c r="G4532" i="3"/>
  <c r="G4540" i="3"/>
  <c r="G4548" i="3"/>
  <c r="G4556" i="3"/>
  <c r="G4564" i="3"/>
  <c r="G4572" i="3"/>
  <c r="G4580" i="3"/>
  <c r="G4588" i="3"/>
  <c r="G4596" i="3"/>
  <c r="G4604" i="3"/>
  <c r="G4612" i="3"/>
  <c r="G4620" i="3"/>
  <c r="G4628" i="3"/>
  <c r="G4636" i="3"/>
  <c r="G4644" i="3"/>
  <c r="G4652" i="3"/>
  <c r="G4660" i="3"/>
  <c r="G4668" i="3"/>
  <c r="G4676" i="3"/>
  <c r="G4684" i="3"/>
  <c r="G4692" i="3"/>
  <c r="G4700" i="3"/>
  <c r="G4708" i="3"/>
  <c r="G4716" i="3"/>
  <c r="G4724" i="3"/>
  <c r="G4732" i="3"/>
  <c r="G4740" i="3"/>
  <c r="G4748" i="3"/>
  <c r="G4756" i="3"/>
  <c r="G4764" i="3"/>
  <c r="G4772" i="3"/>
  <c r="G4780" i="3"/>
  <c r="G4788" i="3"/>
  <c r="G4796" i="3"/>
  <c r="G4804" i="3"/>
  <c r="G4812" i="3"/>
  <c r="G4820" i="3"/>
  <c r="G4828" i="3"/>
  <c r="G4836" i="3"/>
  <c r="G4844" i="3"/>
  <c r="G4852" i="3"/>
  <c r="G4860" i="3"/>
  <c r="G4868" i="3"/>
  <c r="G4876" i="3"/>
  <c r="G4884" i="3"/>
  <c r="G4892" i="3"/>
  <c r="G4900" i="3"/>
  <c r="G4908" i="3"/>
  <c r="G4916" i="3"/>
  <c r="G4924" i="3"/>
  <c r="G4932" i="3"/>
  <c r="G4940" i="3"/>
  <c r="G4948" i="3"/>
  <c r="G4956" i="3"/>
  <c r="G4964" i="3"/>
  <c r="G4972" i="3"/>
  <c r="G4980" i="3"/>
  <c r="G4988" i="3"/>
  <c r="G4996" i="3"/>
  <c r="G5004" i="3"/>
  <c r="G5012" i="3"/>
  <c r="G5020" i="3"/>
  <c r="G5028" i="3"/>
  <c r="G5036" i="3"/>
  <c r="G5044" i="3"/>
  <c r="G5052" i="3"/>
  <c r="G5060" i="3"/>
  <c r="G5068" i="3"/>
  <c r="G5076" i="3"/>
  <c r="G5084" i="3"/>
  <c r="G5092" i="3"/>
  <c r="G5100" i="3"/>
  <c r="G5108" i="3"/>
  <c r="G5116" i="3"/>
  <c r="G5124" i="3"/>
  <c r="G5132" i="3"/>
  <c r="G5140" i="3"/>
  <c r="G5148" i="3"/>
  <c r="G5156" i="3"/>
  <c r="G5164" i="3"/>
  <c r="G2130" i="3"/>
  <c r="G2460" i="3"/>
  <c r="G2625" i="3"/>
  <c r="G2754" i="3"/>
  <c r="G2882" i="3"/>
  <c r="G3010" i="3"/>
  <c r="G3138" i="3"/>
  <c r="G3266" i="3"/>
  <c r="G3394" i="3"/>
  <c r="G3499" i="3"/>
  <c r="G3559" i="3"/>
  <c r="G3602" i="3"/>
  <c r="G3639" i="3"/>
  <c r="G3671" i="3"/>
  <c r="G3703" i="3"/>
  <c r="G3735" i="3"/>
  <c r="G3767" i="3"/>
  <c r="G3799" i="3"/>
  <c r="G3831" i="3"/>
  <c r="G3863" i="3"/>
  <c r="G3885" i="3"/>
  <c r="G3904" i="3"/>
  <c r="G3923" i="3"/>
  <c r="G3935" i="3"/>
  <c r="G3949" i="3"/>
  <c r="G3960" i="3"/>
  <c r="G3974" i="3"/>
  <c r="G3987" i="3"/>
  <c r="G3999" i="3"/>
  <c r="G4013" i="3"/>
  <c r="G4024" i="3"/>
  <c r="G4038" i="3"/>
  <c r="G4051" i="3"/>
  <c r="G4063" i="3"/>
  <c r="G4072" i="3"/>
  <c r="G4082" i="3"/>
  <c r="G4091" i="3"/>
  <c r="G4100" i="3"/>
  <c r="G4109" i="3"/>
  <c r="G4118" i="3"/>
  <c r="G4127" i="3"/>
  <c r="G4136" i="3"/>
  <c r="G4146" i="3"/>
  <c r="G4155" i="3"/>
  <c r="G4164" i="3"/>
  <c r="G4173" i="3"/>
  <c r="G4181" i="3"/>
  <c r="G4189" i="3"/>
  <c r="G4197" i="3"/>
  <c r="G4205" i="3"/>
  <c r="G4213" i="3"/>
  <c r="G4221" i="3"/>
  <c r="G4229" i="3"/>
  <c r="G4237" i="3"/>
  <c r="G4245" i="3"/>
  <c r="G4253" i="3"/>
  <c r="G4261" i="3"/>
  <c r="G4269" i="3"/>
  <c r="G4277" i="3"/>
  <c r="G4285" i="3"/>
  <c r="G4293" i="3"/>
  <c r="G4301" i="3"/>
  <c r="G4309" i="3"/>
  <c r="G4317" i="3"/>
  <c r="G4325" i="3"/>
  <c r="G4333" i="3"/>
  <c r="G4341" i="3"/>
  <c r="G4349" i="3"/>
  <c r="G4357" i="3"/>
  <c r="G4365" i="3"/>
  <c r="G4373" i="3"/>
  <c r="G4381" i="3"/>
  <c r="G4389" i="3"/>
  <c r="G4397" i="3"/>
  <c r="G4405" i="3"/>
  <c r="G4413" i="3"/>
  <c r="G4421" i="3"/>
  <c r="G4429" i="3"/>
  <c r="G4437" i="3"/>
  <c r="G4445" i="3"/>
  <c r="G4453" i="3"/>
  <c r="G4461" i="3"/>
  <c r="G4469" i="3"/>
  <c r="G4477" i="3"/>
  <c r="G4485" i="3"/>
  <c r="G4493" i="3"/>
  <c r="G4501" i="3"/>
  <c r="G4509" i="3"/>
  <c r="G4517" i="3"/>
  <c r="G4525" i="3"/>
  <c r="G4533" i="3"/>
  <c r="G4541" i="3"/>
  <c r="G4549" i="3"/>
  <c r="G4557" i="3"/>
  <c r="G4565" i="3"/>
  <c r="G4573" i="3"/>
  <c r="G4581" i="3"/>
  <c r="G4589" i="3"/>
  <c r="G4597" i="3"/>
  <c r="G4605" i="3"/>
  <c r="G4613" i="3"/>
  <c r="G4621" i="3"/>
  <c r="G4629" i="3"/>
  <c r="G4637" i="3"/>
  <c r="G4645" i="3"/>
  <c r="G4653" i="3"/>
  <c r="G4661" i="3"/>
  <c r="G4669" i="3"/>
  <c r="G4677" i="3"/>
  <c r="G4685" i="3"/>
  <c r="G4693" i="3"/>
  <c r="G4701" i="3"/>
  <c r="G4709" i="3"/>
  <c r="G4717" i="3"/>
  <c r="G4725" i="3"/>
  <c r="G4733" i="3"/>
  <c r="G4741" i="3"/>
  <c r="G4749" i="3"/>
  <c r="G4757" i="3"/>
  <c r="G4765" i="3"/>
  <c r="G4773" i="3"/>
  <c r="G4781" i="3"/>
  <c r="G4789" i="3"/>
  <c r="G4797" i="3"/>
  <c r="G4805" i="3"/>
  <c r="G4813" i="3"/>
  <c r="G4821" i="3"/>
  <c r="G4829" i="3"/>
  <c r="G4837" i="3"/>
  <c r="G4845" i="3"/>
  <c r="G4853" i="3"/>
  <c r="G4861" i="3"/>
  <c r="G4869" i="3"/>
  <c r="G4877" i="3"/>
  <c r="G4885" i="3"/>
  <c r="G4893" i="3"/>
  <c r="G4901" i="3"/>
  <c r="G4909" i="3"/>
  <c r="G4917" i="3"/>
  <c r="G4925" i="3"/>
  <c r="G4933" i="3"/>
  <c r="G4941" i="3"/>
  <c r="G4949" i="3"/>
  <c r="G4957" i="3"/>
  <c r="G4965" i="3"/>
  <c r="G4973" i="3"/>
  <c r="G4981" i="3"/>
  <c r="G4989" i="3"/>
  <c r="G2218" i="3"/>
  <c r="G2512" i="3"/>
  <c r="G2659" i="3"/>
  <c r="G2787" i="3"/>
  <c r="G2915" i="3"/>
  <c r="G3043" i="3"/>
  <c r="G3171" i="3"/>
  <c r="G3299" i="3"/>
  <c r="G3427" i="3"/>
  <c r="G3523" i="3"/>
  <c r="G3571" i="3"/>
  <c r="G3613" i="3"/>
  <c r="G3648" i="3"/>
  <c r="G3680" i="3"/>
  <c r="G3712" i="3"/>
  <c r="G3744" i="3"/>
  <c r="G3776" i="3"/>
  <c r="G3808" i="3"/>
  <c r="G3840" i="3"/>
  <c r="G3871" i="3"/>
  <c r="G3893" i="3"/>
  <c r="G3912" i="3"/>
  <c r="G3927" i="3"/>
  <c r="G3941" i="3"/>
  <c r="G3952" i="3"/>
  <c r="G3966" i="3"/>
  <c r="G3979" i="3"/>
  <c r="G3991" i="3"/>
  <c r="G4005" i="3"/>
  <c r="G4016" i="3"/>
  <c r="G4030" i="3"/>
  <c r="G4043" i="3"/>
  <c r="G4055" i="3"/>
  <c r="G4067" i="3"/>
  <c r="G4076" i="3"/>
  <c r="G4085" i="3"/>
  <c r="G4094" i="3"/>
  <c r="G4103" i="3"/>
  <c r="G4112" i="3"/>
  <c r="G4122" i="3"/>
  <c r="G4131" i="3"/>
  <c r="G4140" i="3"/>
  <c r="G4149" i="3"/>
  <c r="G4158" i="3"/>
  <c r="G4167" i="3"/>
  <c r="G4176" i="3"/>
  <c r="G4184" i="3"/>
  <c r="G4192" i="3"/>
  <c r="G4200" i="3"/>
  <c r="G4208" i="3"/>
  <c r="G4216" i="3"/>
  <c r="G4224" i="3"/>
  <c r="G4232" i="3"/>
  <c r="G4240" i="3"/>
  <c r="G4248" i="3"/>
  <c r="G4256" i="3"/>
  <c r="G4264" i="3"/>
  <c r="G4272" i="3"/>
  <c r="G4280" i="3"/>
  <c r="G4288" i="3"/>
  <c r="G4296" i="3"/>
  <c r="G4304" i="3"/>
  <c r="G4312" i="3"/>
  <c r="G4320" i="3"/>
  <c r="G4328" i="3"/>
  <c r="G4336" i="3"/>
  <c r="G4344" i="3"/>
  <c r="G4352" i="3"/>
  <c r="G4360" i="3"/>
  <c r="G4368" i="3"/>
  <c r="G4376" i="3"/>
  <c r="G4384" i="3"/>
  <c r="G4392" i="3"/>
  <c r="G4400" i="3"/>
  <c r="G4408" i="3"/>
  <c r="G4416" i="3"/>
  <c r="G4424" i="3"/>
  <c r="G4432" i="3"/>
  <c r="G4440" i="3"/>
  <c r="G4448" i="3"/>
  <c r="G4456" i="3"/>
  <c r="G4464" i="3"/>
  <c r="G4472" i="3"/>
  <c r="G4480" i="3"/>
  <c r="G4488" i="3"/>
  <c r="G4496" i="3"/>
  <c r="G4504" i="3"/>
  <c r="G4512" i="3"/>
  <c r="G4520" i="3"/>
  <c r="G4528" i="3"/>
  <c r="G4536" i="3"/>
  <c r="G4544" i="3"/>
  <c r="G4552" i="3"/>
  <c r="G4560" i="3"/>
  <c r="G4568" i="3"/>
  <c r="G4576" i="3"/>
  <c r="G4584" i="3"/>
  <c r="G4592" i="3"/>
  <c r="G4600" i="3"/>
  <c r="G4608" i="3"/>
  <c r="G4616" i="3"/>
  <c r="G4624" i="3"/>
  <c r="G4632" i="3"/>
  <c r="G4640" i="3"/>
  <c r="G4648" i="3"/>
  <c r="G4656" i="3"/>
  <c r="G4664" i="3"/>
  <c r="G4672" i="3"/>
  <c r="G4680" i="3"/>
  <c r="G4688" i="3"/>
  <c r="G4696" i="3"/>
  <c r="G4704" i="3"/>
  <c r="G4712" i="3"/>
  <c r="G4720" i="3"/>
  <c r="G4728" i="3"/>
  <c r="G4736" i="3"/>
  <c r="G4744" i="3"/>
  <c r="G4752" i="3"/>
  <c r="G4760" i="3"/>
  <c r="G4768" i="3"/>
  <c r="G4776" i="3"/>
  <c r="G4784" i="3"/>
  <c r="G4792" i="3"/>
  <c r="G4800" i="3"/>
  <c r="G4808" i="3"/>
  <c r="G4816" i="3"/>
  <c r="G4824" i="3"/>
  <c r="G4832" i="3"/>
  <c r="G4840" i="3"/>
  <c r="G4848" i="3"/>
  <c r="G4856" i="3"/>
  <c r="G4864" i="3"/>
  <c r="G4872" i="3"/>
  <c r="G4880" i="3"/>
  <c r="G4888" i="3"/>
  <c r="G4896" i="3"/>
  <c r="G4904" i="3"/>
  <c r="G4912" i="3"/>
  <c r="G4920" i="3"/>
  <c r="G4928" i="3"/>
  <c r="G4936" i="3"/>
  <c r="G4944" i="3"/>
  <c r="G4952" i="3"/>
  <c r="G4960" i="3"/>
  <c r="G4968" i="3"/>
  <c r="G4976" i="3"/>
  <c r="G2131" i="3"/>
  <c r="G2883" i="3"/>
  <c r="G3395" i="3"/>
  <c r="G3640" i="3"/>
  <c r="G3768" i="3"/>
  <c r="G3887" i="3"/>
  <c r="G3950" i="3"/>
  <c r="G4000" i="3"/>
  <c r="G4053" i="3"/>
  <c r="G4092" i="3"/>
  <c r="G4128" i="3"/>
  <c r="G4165" i="3"/>
  <c r="G4198" i="3"/>
  <c r="G4230" i="3"/>
  <c r="G4262" i="3"/>
  <c r="G4294" i="3"/>
  <c r="G4326" i="3"/>
  <c r="G4358" i="3"/>
  <c r="G4390" i="3"/>
  <c r="G4422" i="3"/>
  <c r="G4454" i="3"/>
  <c r="G4486" i="3"/>
  <c r="G4518" i="3"/>
  <c r="G4550" i="3"/>
  <c r="G4582" i="3"/>
  <c r="G4614" i="3"/>
  <c r="G4646" i="3"/>
  <c r="G4678" i="3"/>
  <c r="G4710" i="3"/>
  <c r="G4742" i="3"/>
  <c r="G4774" i="3"/>
  <c r="G4806" i="3"/>
  <c r="G4838" i="3"/>
  <c r="G4870" i="3"/>
  <c r="G4902" i="3"/>
  <c r="G4934" i="3"/>
  <c r="G4966" i="3"/>
  <c r="G4991" i="3"/>
  <c r="G5007" i="3"/>
  <c r="G5023" i="3"/>
  <c r="G5039" i="3"/>
  <c r="G5053" i="3"/>
  <c r="G5063" i="3"/>
  <c r="G5073" i="3"/>
  <c r="G5082" i="3"/>
  <c r="G5091" i="3"/>
  <c r="G5101" i="3"/>
  <c r="G5110" i="3"/>
  <c r="G5119" i="3"/>
  <c r="G5128" i="3"/>
  <c r="G5137" i="3"/>
  <c r="G5146" i="3"/>
  <c r="G5155" i="3"/>
  <c r="G5165" i="3"/>
  <c r="G5173" i="3"/>
  <c r="G5181" i="3"/>
  <c r="G5189" i="3"/>
  <c r="G5197" i="3"/>
  <c r="G5205" i="3"/>
  <c r="G5213" i="3"/>
  <c r="G5221" i="3"/>
  <c r="G5229" i="3"/>
  <c r="G5237" i="3"/>
  <c r="G5245" i="3"/>
  <c r="G5253" i="3"/>
  <c r="G5261" i="3"/>
  <c r="G5269" i="3"/>
  <c r="G5277" i="3"/>
  <c r="G5285" i="3"/>
  <c r="G5293" i="3"/>
  <c r="G5301" i="3"/>
  <c r="G5309" i="3"/>
  <c r="G5317" i="3"/>
  <c r="G5325" i="3"/>
  <c r="G5333" i="3"/>
  <c r="G5341" i="3"/>
  <c r="G5349" i="3"/>
  <c r="G5357" i="3"/>
  <c r="G5365" i="3"/>
  <c r="G5373" i="3"/>
  <c r="G5381" i="3"/>
  <c r="G5389" i="3"/>
  <c r="G5397" i="3"/>
  <c r="G5405" i="3"/>
  <c r="G5413" i="3"/>
  <c r="G5421" i="3"/>
  <c r="G5429" i="3"/>
  <c r="G5437" i="3"/>
  <c r="G5445" i="3"/>
  <c r="G5453" i="3"/>
  <c r="G5461" i="3"/>
  <c r="G5469" i="3"/>
  <c r="G5477" i="3"/>
  <c r="G5485" i="3"/>
  <c r="G5493" i="3"/>
  <c r="G5501" i="3"/>
  <c r="G5509" i="3"/>
  <c r="G5517" i="3"/>
  <c r="G5525" i="3"/>
  <c r="G5533" i="3"/>
  <c r="G5541" i="3"/>
  <c r="G5549" i="3"/>
  <c r="G5557" i="3"/>
  <c r="G5565" i="3"/>
  <c r="G5573" i="3"/>
  <c r="G5581" i="3"/>
  <c r="G5589" i="3"/>
  <c r="G5597" i="3"/>
  <c r="G5605" i="3"/>
  <c r="G5613" i="3"/>
  <c r="G5621" i="3"/>
  <c r="G5629" i="3"/>
  <c r="G5637" i="3"/>
  <c r="G5645" i="3"/>
  <c r="G5653" i="3"/>
  <c r="G5661" i="3"/>
  <c r="G5669" i="3"/>
  <c r="G5677" i="3"/>
  <c r="G5685" i="3"/>
  <c r="G5693" i="3"/>
  <c r="G5701" i="3"/>
  <c r="G5709" i="3"/>
  <c r="G5717" i="3"/>
  <c r="G5725" i="3"/>
  <c r="G5733" i="3"/>
  <c r="G5741" i="3"/>
  <c r="G5749" i="3"/>
  <c r="G5757" i="3"/>
  <c r="G5765" i="3"/>
  <c r="G5773" i="3"/>
  <c r="G5781" i="3"/>
  <c r="G5789" i="3"/>
  <c r="G5797" i="3"/>
  <c r="G5805" i="3"/>
  <c r="G5813" i="3"/>
  <c r="G5821" i="3"/>
  <c r="G5829" i="3"/>
  <c r="G5837" i="3"/>
  <c r="G5845" i="3"/>
  <c r="G5853" i="3"/>
  <c r="G5861" i="3"/>
  <c r="G5869" i="3"/>
  <c r="G5877" i="3"/>
  <c r="G5885" i="3"/>
  <c r="G5893" i="3"/>
  <c r="G5901" i="3"/>
  <c r="G5909" i="3"/>
  <c r="G5917" i="3"/>
  <c r="G5925" i="3"/>
  <c r="G5933" i="3"/>
  <c r="G5941" i="3"/>
  <c r="G5949" i="3"/>
  <c r="G5957" i="3"/>
  <c r="G5965" i="3"/>
  <c r="G5973" i="3"/>
  <c r="G5981" i="3"/>
  <c r="G5989" i="3"/>
  <c r="G5997" i="3"/>
  <c r="G6005" i="3"/>
  <c r="G6013" i="3"/>
  <c r="G6021" i="3"/>
  <c r="G6029" i="3"/>
  <c r="G6037" i="3"/>
  <c r="G6045" i="3"/>
  <c r="G6053" i="3"/>
  <c r="G6061" i="3"/>
  <c r="G6069" i="3"/>
  <c r="G6077" i="3"/>
  <c r="G6085" i="3"/>
  <c r="G6093" i="3"/>
  <c r="G2212" i="3"/>
  <c r="G2914" i="3"/>
  <c r="G3426" i="3"/>
  <c r="G3647" i="3"/>
  <c r="G3775" i="3"/>
  <c r="G3888" i="3"/>
  <c r="G3951" i="3"/>
  <c r="G4003" i="3"/>
  <c r="G4054" i="3"/>
  <c r="G4093" i="3"/>
  <c r="G4130" i="3"/>
  <c r="G4166" i="3"/>
  <c r="G4199" i="3"/>
  <c r="G4231" i="3"/>
  <c r="G4263" i="3"/>
  <c r="G4295" i="3"/>
  <c r="G4327" i="3"/>
  <c r="G4359" i="3"/>
  <c r="G4391" i="3"/>
  <c r="G4423" i="3"/>
  <c r="G4455" i="3"/>
  <c r="G4487" i="3"/>
  <c r="G4519" i="3"/>
  <c r="G4551" i="3"/>
  <c r="G4583" i="3"/>
  <c r="G4615" i="3"/>
  <c r="G4647" i="3"/>
  <c r="G4679" i="3"/>
  <c r="G4711" i="3"/>
  <c r="G4743" i="3"/>
  <c r="G4775" i="3"/>
  <c r="G4807" i="3"/>
  <c r="G4839" i="3"/>
  <c r="G4871" i="3"/>
  <c r="G4903" i="3"/>
  <c r="G4935" i="3"/>
  <c r="G4967" i="3"/>
  <c r="G4992" i="3"/>
  <c r="G5008" i="3"/>
  <c r="G5024" i="3"/>
  <c r="G5040" i="3"/>
  <c r="G5054" i="3"/>
  <c r="G5064" i="3"/>
  <c r="G5074" i="3"/>
  <c r="G5083" i="3"/>
  <c r="G5093" i="3"/>
  <c r="G5102" i="3"/>
  <c r="G5111" i="3"/>
  <c r="G5120" i="3"/>
  <c r="G5129" i="3"/>
  <c r="G5138" i="3"/>
  <c r="G5147" i="3"/>
  <c r="G5157" i="3"/>
  <c r="G5166" i="3"/>
  <c r="G5174" i="3"/>
  <c r="G5182" i="3"/>
  <c r="G5190" i="3"/>
  <c r="G5198" i="3"/>
  <c r="G5206" i="3"/>
  <c r="G5214" i="3"/>
  <c r="G5222" i="3"/>
  <c r="G5230" i="3"/>
  <c r="G5238" i="3"/>
  <c r="G5246" i="3"/>
  <c r="G5254" i="3"/>
  <c r="G5262" i="3"/>
  <c r="G5270" i="3"/>
  <c r="G5278" i="3"/>
  <c r="G5286" i="3"/>
  <c r="G5294" i="3"/>
  <c r="G5302" i="3"/>
  <c r="G5310" i="3"/>
  <c r="G5318" i="3"/>
  <c r="G5326" i="3"/>
  <c r="G5334" i="3"/>
  <c r="G5342" i="3"/>
  <c r="G5350" i="3"/>
  <c r="G5358" i="3"/>
  <c r="G5366" i="3"/>
  <c r="G5374" i="3"/>
  <c r="G5382" i="3"/>
  <c r="G5390" i="3"/>
  <c r="G5398" i="3"/>
  <c r="G5406" i="3"/>
  <c r="G5414" i="3"/>
  <c r="G5422" i="3"/>
  <c r="G5430" i="3"/>
  <c r="G5438" i="3"/>
  <c r="G5446" i="3"/>
  <c r="G5454" i="3"/>
  <c r="G5462" i="3"/>
  <c r="G5470" i="3"/>
  <c r="G5478" i="3"/>
  <c r="G5486" i="3"/>
  <c r="G5494" i="3"/>
  <c r="G5502" i="3"/>
  <c r="G5510" i="3"/>
  <c r="G5518" i="3"/>
  <c r="G5526" i="3"/>
  <c r="G5534" i="3"/>
  <c r="G5542" i="3"/>
  <c r="G5550" i="3"/>
  <c r="G5558" i="3"/>
  <c r="G5566" i="3"/>
  <c r="G5574" i="3"/>
  <c r="G5582" i="3"/>
  <c r="G5590" i="3"/>
  <c r="G5598" i="3"/>
  <c r="G5606" i="3"/>
  <c r="G5614" i="3"/>
  <c r="G5622" i="3"/>
  <c r="G5630" i="3"/>
  <c r="G5638" i="3"/>
  <c r="G5646" i="3"/>
  <c r="G5654" i="3"/>
  <c r="G5662" i="3"/>
  <c r="G5670" i="3"/>
  <c r="G5678" i="3"/>
  <c r="G5686" i="3"/>
  <c r="G5694" i="3"/>
  <c r="G5702" i="3"/>
  <c r="G5710" i="3"/>
  <c r="G5718" i="3"/>
  <c r="G5726" i="3"/>
  <c r="G5734" i="3"/>
  <c r="G5742" i="3"/>
  <c r="G5750" i="3"/>
  <c r="G5758" i="3"/>
  <c r="G5766" i="3"/>
  <c r="G5774" i="3"/>
  <c r="G5782" i="3"/>
  <c r="G5790" i="3"/>
  <c r="G5798" i="3"/>
  <c r="G5806" i="3"/>
  <c r="G5814" i="3"/>
  <c r="G5822" i="3"/>
  <c r="G5830" i="3"/>
  <c r="G5838" i="3"/>
  <c r="G5846" i="3"/>
  <c r="G5854" i="3"/>
  <c r="G5862" i="3"/>
  <c r="G5870" i="3"/>
  <c r="G5878" i="3"/>
  <c r="G5886" i="3"/>
  <c r="G5894" i="3"/>
  <c r="G5902" i="3"/>
  <c r="G5910" i="3"/>
  <c r="G5918" i="3"/>
  <c r="G5926" i="3"/>
  <c r="G5934" i="3"/>
  <c r="G5942" i="3"/>
  <c r="G5950" i="3"/>
  <c r="G5958" i="3"/>
  <c r="G5966" i="3"/>
  <c r="G5974" i="3"/>
  <c r="G5982" i="3"/>
  <c r="G5990" i="3"/>
  <c r="G5998" i="3"/>
  <c r="G6006" i="3"/>
  <c r="G6014" i="3"/>
  <c r="G6022" i="3"/>
  <c r="G6030" i="3"/>
  <c r="G6038" i="3"/>
  <c r="G6046" i="3"/>
  <c r="G6054" i="3"/>
  <c r="G6062" i="3"/>
  <c r="G6070" i="3"/>
  <c r="G6078" i="3"/>
  <c r="G6086" i="3"/>
  <c r="G6094" i="3"/>
  <c r="G2464" i="3"/>
  <c r="G3011" i="3"/>
  <c r="G3501" i="3"/>
  <c r="G3672" i="3"/>
  <c r="G3800" i="3"/>
  <c r="G3909" i="3"/>
  <c r="G3963" i="3"/>
  <c r="G4014" i="3"/>
  <c r="G4064" i="3"/>
  <c r="G4101" i="3"/>
  <c r="G4138" i="3"/>
  <c r="G4174" i="3"/>
  <c r="G4206" i="3"/>
  <c r="G4238" i="3"/>
  <c r="G4270" i="3"/>
  <c r="G4302" i="3"/>
  <c r="G4334" i="3"/>
  <c r="G4366" i="3"/>
  <c r="G4398" i="3"/>
  <c r="G4430" i="3"/>
  <c r="G4462" i="3"/>
  <c r="G4494" i="3"/>
  <c r="G4526" i="3"/>
  <c r="G4558" i="3"/>
  <c r="G4590" i="3"/>
  <c r="G4622" i="3"/>
  <c r="G4654" i="3"/>
  <c r="G4686" i="3"/>
  <c r="G4718" i="3"/>
  <c r="G4750" i="3"/>
  <c r="G4782" i="3"/>
  <c r="G4814" i="3"/>
  <c r="G4846" i="3"/>
  <c r="G4878" i="3"/>
  <c r="G4910" i="3"/>
  <c r="G4942" i="3"/>
  <c r="G4974" i="3"/>
  <c r="G4997" i="3"/>
  <c r="G5013" i="3"/>
  <c r="G5029" i="3"/>
  <c r="G5045" i="3"/>
  <c r="G5055" i="3"/>
  <c r="G5065" i="3"/>
  <c r="G5075" i="3"/>
  <c r="G5085" i="3"/>
  <c r="G5094" i="3"/>
  <c r="G5103" i="3"/>
  <c r="G5112" i="3"/>
  <c r="G5121" i="3"/>
  <c r="G5130" i="3"/>
  <c r="G5139" i="3"/>
  <c r="G5149" i="3"/>
  <c r="G5158" i="3"/>
  <c r="G5167" i="3"/>
  <c r="G5175" i="3"/>
  <c r="G5183" i="3"/>
  <c r="G5191" i="3"/>
  <c r="G5199" i="3"/>
  <c r="G5207" i="3"/>
  <c r="G5215" i="3"/>
  <c r="G5223" i="3"/>
  <c r="G5231" i="3"/>
  <c r="G5239" i="3"/>
  <c r="G5247" i="3"/>
  <c r="G5255" i="3"/>
  <c r="G5263" i="3"/>
  <c r="G5271" i="3"/>
  <c r="G5279" i="3"/>
  <c r="G5287" i="3"/>
  <c r="G5295" i="3"/>
  <c r="G5303" i="3"/>
  <c r="G5311" i="3"/>
  <c r="G5319" i="3"/>
  <c r="G5327" i="3"/>
  <c r="G5335" i="3"/>
  <c r="G5343" i="3"/>
  <c r="G5351" i="3"/>
  <c r="G5359" i="3"/>
  <c r="G5367" i="3"/>
  <c r="G5375" i="3"/>
  <c r="G5383" i="3"/>
  <c r="G5391" i="3"/>
  <c r="G5399" i="3"/>
  <c r="G5407" i="3"/>
  <c r="G5415" i="3"/>
  <c r="G5423" i="3"/>
  <c r="G5431" i="3"/>
  <c r="G5439" i="3"/>
  <c r="G5447" i="3"/>
  <c r="G5455" i="3"/>
  <c r="G5463" i="3"/>
  <c r="G5471" i="3"/>
  <c r="G5479" i="3"/>
  <c r="G5487" i="3"/>
  <c r="G5495" i="3"/>
  <c r="G5503" i="3"/>
  <c r="G5511" i="3"/>
  <c r="G5519" i="3"/>
  <c r="G5527" i="3"/>
  <c r="G5535" i="3"/>
  <c r="G5543" i="3"/>
  <c r="G5551" i="3"/>
  <c r="G5559" i="3"/>
  <c r="G5567" i="3"/>
  <c r="G5575" i="3"/>
  <c r="G5583" i="3"/>
  <c r="G5591" i="3"/>
  <c r="G5599" i="3"/>
  <c r="G5607" i="3"/>
  <c r="G5615" i="3"/>
  <c r="G5623" i="3"/>
  <c r="G5631" i="3"/>
  <c r="G5639" i="3"/>
  <c r="G5647" i="3"/>
  <c r="G5655" i="3"/>
  <c r="G5663" i="3"/>
  <c r="G5671" i="3"/>
  <c r="G5679" i="3"/>
  <c r="G5687" i="3"/>
  <c r="G5695" i="3"/>
  <c r="G5703" i="3"/>
  <c r="G5711" i="3"/>
  <c r="G5719" i="3"/>
  <c r="G5727" i="3"/>
  <c r="G5735" i="3"/>
  <c r="G5743" i="3"/>
  <c r="G5751" i="3"/>
  <c r="G5759" i="3"/>
  <c r="G5767" i="3"/>
  <c r="G5775" i="3"/>
  <c r="G5783" i="3"/>
  <c r="G5791" i="3"/>
  <c r="G5799" i="3"/>
  <c r="G5807" i="3"/>
  <c r="G5815" i="3"/>
  <c r="G5823" i="3"/>
  <c r="G5831" i="3"/>
  <c r="G5839" i="3"/>
  <c r="G5847" i="3"/>
  <c r="G5855" i="3"/>
  <c r="G5863" i="3"/>
  <c r="G5871" i="3"/>
  <c r="G5879" i="3"/>
  <c r="G5887" i="3"/>
  <c r="G5895" i="3"/>
  <c r="G5903" i="3"/>
  <c r="G5911" i="3"/>
  <c r="G5919" i="3"/>
  <c r="G5927" i="3"/>
  <c r="G5935" i="3"/>
  <c r="G5943" i="3"/>
  <c r="G5951" i="3"/>
  <c r="G5959" i="3"/>
  <c r="G5967" i="3"/>
  <c r="G5975" i="3"/>
  <c r="G5983" i="3"/>
  <c r="G5991" i="3"/>
  <c r="G5999" i="3"/>
  <c r="G6007" i="3"/>
  <c r="G6015" i="3"/>
  <c r="G6023" i="3"/>
  <c r="G6031" i="3"/>
  <c r="G6039" i="3"/>
  <c r="G6047" i="3"/>
  <c r="G6055" i="3"/>
  <c r="G6063" i="3"/>
  <c r="G6071" i="3"/>
  <c r="G6079" i="3"/>
  <c r="G6087" i="3"/>
  <c r="G6095" i="3"/>
  <c r="G2511" i="3"/>
  <c r="G3042" i="3"/>
  <c r="G3522" i="3"/>
  <c r="G3679" i="3"/>
  <c r="G3807" i="3"/>
  <c r="G3911" i="3"/>
  <c r="G3965" i="3"/>
  <c r="G4015" i="3"/>
  <c r="G4066" i="3"/>
  <c r="G4102" i="3"/>
  <c r="G4139" i="3"/>
  <c r="G4175" i="3"/>
  <c r="G4207" i="3"/>
  <c r="G4239" i="3"/>
  <c r="G4271" i="3"/>
  <c r="G4303" i="3"/>
  <c r="G4335" i="3"/>
  <c r="G4367" i="3"/>
  <c r="G4399" i="3"/>
  <c r="G4431" i="3"/>
  <c r="G4463" i="3"/>
  <c r="G4495" i="3"/>
  <c r="G4527" i="3"/>
  <c r="G4559" i="3"/>
  <c r="G4591" i="3"/>
  <c r="G4623" i="3"/>
  <c r="G4655" i="3"/>
  <c r="G4687" i="3"/>
  <c r="G4719" i="3"/>
  <c r="G4751" i="3"/>
  <c r="G4783" i="3"/>
  <c r="G4815" i="3"/>
  <c r="G4847" i="3"/>
  <c r="G4879" i="3"/>
  <c r="G4911" i="3"/>
  <c r="G4943" i="3"/>
  <c r="G4975" i="3"/>
  <c r="G4998" i="3"/>
  <c r="G5014" i="3"/>
  <c r="G5030" i="3"/>
  <c r="G5046" i="3"/>
  <c r="G5056" i="3"/>
  <c r="G5067" i="3"/>
  <c r="G5077" i="3"/>
  <c r="G5086" i="3"/>
  <c r="G5095" i="3"/>
  <c r="G5104" i="3"/>
  <c r="G5113" i="3"/>
  <c r="G5122" i="3"/>
  <c r="G5131" i="3"/>
  <c r="G5141" i="3"/>
  <c r="G5150" i="3"/>
  <c r="G5159" i="3"/>
  <c r="G5168" i="3"/>
  <c r="G5176" i="3"/>
  <c r="G5184" i="3"/>
  <c r="G5192" i="3"/>
  <c r="G5200" i="3"/>
  <c r="G5208" i="3"/>
  <c r="G5216" i="3"/>
  <c r="G5224" i="3"/>
  <c r="G5232" i="3"/>
  <c r="G5240" i="3"/>
  <c r="G5248" i="3"/>
  <c r="G5256" i="3"/>
  <c r="G5264" i="3"/>
  <c r="G5272" i="3"/>
  <c r="G5280" i="3"/>
  <c r="G5288" i="3"/>
  <c r="G5296" i="3"/>
  <c r="G5304" i="3"/>
  <c r="G5312" i="3"/>
  <c r="G5320" i="3"/>
  <c r="G5328" i="3"/>
  <c r="G5336" i="3"/>
  <c r="G5344" i="3"/>
  <c r="G5352" i="3"/>
  <c r="G5360" i="3"/>
  <c r="G5368" i="3"/>
  <c r="G5376" i="3"/>
  <c r="G5384" i="3"/>
  <c r="G5392" i="3"/>
  <c r="G5400" i="3"/>
  <c r="G5408" i="3"/>
  <c r="G5416" i="3"/>
  <c r="G5424" i="3"/>
  <c r="G5432" i="3"/>
  <c r="G5440" i="3"/>
  <c r="G5448" i="3"/>
  <c r="G5456" i="3"/>
  <c r="G5464" i="3"/>
  <c r="G5472" i="3"/>
  <c r="G5480" i="3"/>
  <c r="G5488" i="3"/>
  <c r="G5496" i="3"/>
  <c r="G5504" i="3"/>
  <c r="G5512" i="3"/>
  <c r="G5520" i="3"/>
  <c r="G5528" i="3"/>
  <c r="G5536" i="3"/>
  <c r="G5544" i="3"/>
  <c r="G5552" i="3"/>
  <c r="G5560" i="3"/>
  <c r="G5568" i="3"/>
  <c r="G5576" i="3"/>
  <c r="G5584" i="3"/>
  <c r="G5592" i="3"/>
  <c r="G5600" i="3"/>
  <c r="G5608" i="3"/>
  <c r="G5616" i="3"/>
  <c r="G5624" i="3"/>
  <c r="G5632" i="3"/>
  <c r="G5640" i="3"/>
  <c r="G5648" i="3"/>
  <c r="G5656" i="3"/>
  <c r="G5664" i="3"/>
  <c r="G5672" i="3"/>
  <c r="G5680" i="3"/>
  <c r="G5688" i="3"/>
  <c r="G5696" i="3"/>
  <c r="G5704" i="3"/>
  <c r="G5712" i="3"/>
  <c r="G5720" i="3"/>
  <c r="G5728" i="3"/>
  <c r="G5736" i="3"/>
  <c r="G5744" i="3"/>
  <c r="G5752" i="3"/>
  <c r="G5760" i="3"/>
  <c r="G5768" i="3"/>
  <c r="G5776" i="3"/>
  <c r="G5784" i="3"/>
  <c r="G5792" i="3"/>
  <c r="G5800" i="3"/>
  <c r="G5808" i="3"/>
  <c r="G5816" i="3"/>
  <c r="G5824" i="3"/>
  <c r="G5832" i="3"/>
  <c r="G5840" i="3"/>
  <c r="G5848" i="3"/>
  <c r="G5856" i="3"/>
  <c r="G5864" i="3"/>
  <c r="G5872" i="3"/>
  <c r="G5880" i="3"/>
  <c r="G5888" i="3"/>
  <c r="G5896" i="3"/>
  <c r="G5904" i="3"/>
  <c r="G5912" i="3"/>
  <c r="G5920" i="3"/>
  <c r="G5928" i="3"/>
  <c r="G5936" i="3"/>
  <c r="G5944" i="3"/>
  <c r="G5952" i="3"/>
  <c r="G5960" i="3"/>
  <c r="G5968" i="3"/>
  <c r="G5976" i="3"/>
  <c r="G5984" i="3"/>
  <c r="G5992" i="3"/>
  <c r="G6000" i="3"/>
  <c r="G6008" i="3"/>
  <c r="G6016" i="3"/>
  <c r="G6024" i="3"/>
  <c r="G6032" i="3"/>
  <c r="G6040" i="3"/>
  <c r="G6048" i="3"/>
  <c r="G6056" i="3"/>
  <c r="G6064" i="3"/>
  <c r="G6072" i="3"/>
  <c r="G6080" i="3"/>
  <c r="G6088" i="3"/>
  <c r="G6096" i="3"/>
  <c r="G2626" i="3"/>
  <c r="G3139" i="3"/>
  <c r="G3561" i="3"/>
  <c r="G3704" i="3"/>
  <c r="G3832" i="3"/>
  <c r="G3925" i="3"/>
  <c r="G3975" i="3"/>
  <c r="G4027" i="3"/>
  <c r="G4074" i="3"/>
  <c r="G4110" i="3"/>
  <c r="G4147" i="3"/>
  <c r="G4182" i="3"/>
  <c r="G4214" i="3"/>
  <c r="G4246" i="3"/>
  <c r="G4278" i="3"/>
  <c r="G4310" i="3"/>
  <c r="G4342" i="3"/>
  <c r="G4374" i="3"/>
  <c r="G4406" i="3"/>
  <c r="G4438" i="3"/>
  <c r="G4470" i="3"/>
  <c r="G4502" i="3"/>
  <c r="G4534" i="3"/>
  <c r="G4566" i="3"/>
  <c r="G4598" i="3"/>
  <c r="G4630" i="3"/>
  <c r="G4662" i="3"/>
  <c r="G4694" i="3"/>
  <c r="G4726" i="3"/>
  <c r="G4758" i="3"/>
  <c r="G4790" i="3"/>
  <c r="G4822" i="3"/>
  <c r="G4854" i="3"/>
  <c r="G4886" i="3"/>
  <c r="G4918" i="3"/>
  <c r="G4950" i="3"/>
  <c r="G4982" i="3"/>
  <c r="G4999" i="3"/>
  <c r="G5015" i="3"/>
  <c r="G5031" i="3"/>
  <c r="G5047" i="3"/>
  <c r="G5057" i="3"/>
  <c r="G5069" i="3"/>
  <c r="G5078" i="3"/>
  <c r="G5087" i="3"/>
  <c r="G5096" i="3"/>
  <c r="G5105" i="3"/>
  <c r="G5114" i="3"/>
  <c r="G5123" i="3"/>
  <c r="G5133" i="3"/>
  <c r="G5142" i="3"/>
  <c r="G5151" i="3"/>
  <c r="G5160" i="3"/>
  <c r="G5169" i="3"/>
  <c r="G5177" i="3"/>
  <c r="G5185" i="3"/>
  <c r="G5193" i="3"/>
  <c r="G5201" i="3"/>
  <c r="G5209" i="3"/>
  <c r="G5217" i="3"/>
  <c r="G5225" i="3"/>
  <c r="G5233" i="3"/>
  <c r="G5241" i="3"/>
  <c r="G5249" i="3"/>
  <c r="G5257" i="3"/>
  <c r="G5265" i="3"/>
  <c r="G5273" i="3"/>
  <c r="G5281" i="3"/>
  <c r="G5289" i="3"/>
  <c r="G5297" i="3"/>
  <c r="G5305" i="3"/>
  <c r="G5313" i="3"/>
  <c r="G5321" i="3"/>
  <c r="G5329" i="3"/>
  <c r="G5337" i="3"/>
  <c r="G5345" i="3"/>
  <c r="G5353" i="3"/>
  <c r="G5361" i="3"/>
  <c r="G5369" i="3"/>
  <c r="G5377" i="3"/>
  <c r="G5385" i="3"/>
  <c r="G5393" i="3"/>
  <c r="G5401" i="3"/>
  <c r="G5409" i="3"/>
  <c r="G5417" i="3"/>
  <c r="G5425" i="3"/>
  <c r="G5433" i="3"/>
  <c r="G5441" i="3"/>
  <c r="G5449" i="3"/>
  <c r="G5457" i="3"/>
  <c r="G5465" i="3"/>
  <c r="G5473" i="3"/>
  <c r="G5481" i="3"/>
  <c r="G5489" i="3"/>
  <c r="G5497" i="3"/>
  <c r="G5505" i="3"/>
  <c r="G5513" i="3"/>
  <c r="G5521" i="3"/>
  <c r="G5529" i="3"/>
  <c r="G5537" i="3"/>
  <c r="G5545" i="3"/>
  <c r="G5553" i="3"/>
  <c r="G5561" i="3"/>
  <c r="G5569" i="3"/>
  <c r="G5577" i="3"/>
  <c r="G5585" i="3"/>
  <c r="G5593" i="3"/>
  <c r="G5601" i="3"/>
  <c r="G5609" i="3"/>
  <c r="G5617" i="3"/>
  <c r="G5625" i="3"/>
  <c r="G5633" i="3"/>
  <c r="G5641" i="3"/>
  <c r="G5649" i="3"/>
  <c r="G5657" i="3"/>
  <c r="G5665" i="3"/>
  <c r="G5673" i="3"/>
  <c r="G5681" i="3"/>
  <c r="G5689" i="3"/>
  <c r="G5697" i="3"/>
  <c r="G5705" i="3"/>
  <c r="G5713" i="3"/>
  <c r="G5721" i="3"/>
  <c r="G5729" i="3"/>
  <c r="G5737" i="3"/>
  <c r="G5745" i="3"/>
  <c r="G5753" i="3"/>
  <c r="G5761" i="3"/>
  <c r="G5769" i="3"/>
  <c r="G5777" i="3"/>
  <c r="G5785" i="3"/>
  <c r="G5793" i="3"/>
  <c r="G5801" i="3"/>
  <c r="G5809" i="3"/>
  <c r="G5817" i="3"/>
  <c r="G5825" i="3"/>
  <c r="G5833" i="3"/>
  <c r="G5841" i="3"/>
  <c r="G5849" i="3"/>
  <c r="G5857" i="3"/>
  <c r="G5865" i="3"/>
  <c r="G5873" i="3"/>
  <c r="G5881" i="3"/>
  <c r="G5889" i="3"/>
  <c r="G5897" i="3"/>
  <c r="G5905" i="3"/>
  <c r="G5913" i="3"/>
  <c r="G5921" i="3"/>
  <c r="G5929" i="3"/>
  <c r="G5937" i="3"/>
  <c r="G5945" i="3"/>
  <c r="G5953" i="3"/>
  <c r="G5961" i="3"/>
  <c r="G5969" i="3"/>
  <c r="G5977" i="3"/>
  <c r="G5985" i="3"/>
  <c r="G5993" i="3"/>
  <c r="G6001" i="3"/>
  <c r="G6009" i="3"/>
  <c r="G6017" i="3"/>
  <c r="G6025" i="3"/>
  <c r="G6033" i="3"/>
  <c r="G6041" i="3"/>
  <c r="G2786" i="3"/>
  <c r="G3298" i="3"/>
  <c r="G3612" i="3"/>
  <c r="G3743" i="3"/>
  <c r="G3869" i="3"/>
  <c r="G3939" i="3"/>
  <c r="G3990" i="3"/>
  <c r="G4040" i="3"/>
  <c r="G4084" i="3"/>
  <c r="G4120" i="3"/>
  <c r="G4157" i="3"/>
  <c r="G4191" i="3"/>
  <c r="G4223" i="3"/>
  <c r="G4255" i="3"/>
  <c r="G4287" i="3"/>
  <c r="G4319" i="3"/>
  <c r="G4351" i="3"/>
  <c r="G4383" i="3"/>
  <c r="G4415" i="3"/>
  <c r="G4447" i="3"/>
  <c r="G4479" i="3"/>
  <c r="G4511" i="3"/>
  <c r="G4543" i="3"/>
  <c r="G4575" i="3"/>
  <c r="G4607" i="3"/>
  <c r="G4639" i="3"/>
  <c r="G4671" i="3"/>
  <c r="G4703" i="3"/>
  <c r="G4735" i="3"/>
  <c r="G4767" i="3"/>
  <c r="G4799" i="3"/>
  <c r="G4831" i="3"/>
  <c r="G4863" i="3"/>
  <c r="G4895" i="3"/>
  <c r="G4927" i="3"/>
  <c r="G4959" i="3"/>
  <c r="G4990" i="3"/>
  <c r="G5006" i="3"/>
  <c r="G5022" i="3"/>
  <c r="G5038" i="3"/>
  <c r="G5051" i="3"/>
  <c r="G5062" i="3"/>
  <c r="G5072" i="3"/>
  <c r="G5081" i="3"/>
  <c r="G5090" i="3"/>
  <c r="G5099" i="3"/>
  <c r="G5109" i="3"/>
  <c r="G5118" i="3"/>
  <c r="G5127" i="3"/>
  <c r="G5136" i="3"/>
  <c r="G5145" i="3"/>
  <c r="G5154" i="3"/>
  <c r="G5163" i="3"/>
  <c r="G5172" i="3"/>
  <c r="G5180" i="3"/>
  <c r="G5188" i="3"/>
  <c r="G5196" i="3"/>
  <c r="G5204" i="3"/>
  <c r="G5212" i="3"/>
  <c r="G5220" i="3"/>
  <c r="G5228" i="3"/>
  <c r="G5236" i="3"/>
  <c r="G5244" i="3"/>
  <c r="G5252" i="3"/>
  <c r="G5260" i="3"/>
  <c r="G5268" i="3"/>
  <c r="G5276" i="3"/>
  <c r="G5284" i="3"/>
  <c r="G5292" i="3"/>
  <c r="G5300" i="3"/>
  <c r="G5308" i="3"/>
  <c r="G5316" i="3"/>
  <c r="G5324" i="3"/>
  <c r="G5332" i="3"/>
  <c r="G5340" i="3"/>
  <c r="G5348" i="3"/>
  <c r="G5356" i="3"/>
  <c r="G5364" i="3"/>
  <c r="G5372" i="3"/>
  <c r="G5380" i="3"/>
  <c r="G5388" i="3"/>
  <c r="G5396" i="3"/>
  <c r="G5404" i="3"/>
  <c r="G5412" i="3"/>
  <c r="G5420" i="3"/>
  <c r="G5428" i="3"/>
  <c r="G5436" i="3"/>
  <c r="G5444" i="3"/>
  <c r="G5452" i="3"/>
  <c r="G5460" i="3"/>
  <c r="G5468" i="3"/>
  <c r="G5476" i="3"/>
  <c r="G5484" i="3"/>
  <c r="G5492" i="3"/>
  <c r="G5500" i="3"/>
  <c r="G5508" i="3"/>
  <c r="G5516" i="3"/>
  <c r="G5524" i="3"/>
  <c r="G5532" i="3"/>
  <c r="G5540" i="3"/>
  <c r="G5548" i="3"/>
  <c r="G5556" i="3"/>
  <c r="G5564" i="3"/>
  <c r="G5572" i="3"/>
  <c r="G5580" i="3"/>
  <c r="G5588" i="3"/>
  <c r="G5596" i="3"/>
  <c r="G5604" i="3"/>
  <c r="G5612" i="3"/>
  <c r="G5620" i="3"/>
  <c r="G5628" i="3"/>
  <c r="G5636" i="3"/>
  <c r="G5644" i="3"/>
  <c r="G5652" i="3"/>
  <c r="G5660" i="3"/>
  <c r="G5668" i="3"/>
  <c r="G5676" i="3"/>
  <c r="G5684" i="3"/>
  <c r="G5692" i="3"/>
  <c r="G5700" i="3"/>
  <c r="G5708" i="3"/>
  <c r="G5716" i="3"/>
  <c r="G5724" i="3"/>
  <c r="G5732" i="3"/>
  <c r="G5740" i="3"/>
  <c r="G5748" i="3"/>
  <c r="G5756" i="3"/>
  <c r="G5764" i="3"/>
  <c r="G5772" i="3"/>
  <c r="G5780" i="3"/>
  <c r="G5788" i="3"/>
  <c r="G5796" i="3"/>
  <c r="G5804" i="3"/>
  <c r="G5812" i="3"/>
  <c r="G5820" i="3"/>
  <c r="G5828" i="3"/>
  <c r="G5836" i="3"/>
  <c r="G5844" i="3"/>
  <c r="G5852" i="3"/>
  <c r="G5860" i="3"/>
  <c r="G5868" i="3"/>
  <c r="G5876" i="3"/>
  <c r="G5884" i="3"/>
  <c r="G5892" i="3"/>
  <c r="G5900" i="3"/>
  <c r="G5908" i="3"/>
  <c r="G5916" i="3"/>
  <c r="G5924" i="3"/>
  <c r="G5932" i="3"/>
  <c r="G5940" i="3"/>
  <c r="G5948" i="3"/>
  <c r="G5956" i="3"/>
  <c r="G5964" i="3"/>
  <c r="G5972" i="3"/>
  <c r="G5980" i="3"/>
  <c r="G5988" i="3"/>
  <c r="G5996" i="3"/>
  <c r="G6004" i="3"/>
  <c r="G6012" i="3"/>
  <c r="G6020" i="3"/>
  <c r="G6028" i="3"/>
  <c r="G6036" i="3"/>
  <c r="G2658" i="3"/>
  <c r="G3839" i="3"/>
  <c r="G4075" i="3"/>
  <c r="G4215" i="3"/>
  <c r="G4343" i="3"/>
  <c r="G4471" i="3"/>
  <c r="G4599" i="3"/>
  <c r="G4727" i="3"/>
  <c r="G4855" i="3"/>
  <c r="G4983" i="3"/>
  <c r="G5048" i="3"/>
  <c r="G5088" i="3"/>
  <c r="G5125" i="3"/>
  <c r="G5161" i="3"/>
  <c r="G5194" i="3"/>
  <c r="G5226" i="3"/>
  <c r="G5258" i="3"/>
  <c r="G5290" i="3"/>
  <c r="G5322" i="3"/>
  <c r="G5354" i="3"/>
  <c r="G5386" i="3"/>
  <c r="G5418" i="3"/>
  <c r="G5450" i="3"/>
  <c r="G5482" i="3"/>
  <c r="G5514" i="3"/>
  <c r="G5546" i="3"/>
  <c r="G5578" i="3"/>
  <c r="G5610" i="3"/>
  <c r="G5642" i="3"/>
  <c r="G5674" i="3"/>
  <c r="G5706" i="3"/>
  <c r="G5738" i="3"/>
  <c r="G5770" i="3"/>
  <c r="G5802" i="3"/>
  <c r="G5834" i="3"/>
  <c r="G5866" i="3"/>
  <c r="G5898" i="3"/>
  <c r="G5930" i="3"/>
  <c r="G5962" i="3"/>
  <c r="G5994" i="3"/>
  <c r="G6026" i="3"/>
  <c r="G6050" i="3"/>
  <c r="G6066" i="3"/>
  <c r="G6082" i="3"/>
  <c r="G6098" i="3"/>
  <c r="G6106" i="3"/>
  <c r="G6114" i="3"/>
  <c r="G6122" i="3"/>
  <c r="G6130" i="3"/>
  <c r="G6138" i="3"/>
  <c r="G6146" i="3"/>
  <c r="G6154" i="3"/>
  <c r="G6162" i="3"/>
  <c r="G6170" i="3"/>
  <c r="G6178" i="3"/>
  <c r="G6186" i="3"/>
  <c r="G6194" i="3"/>
  <c r="G6202" i="3"/>
  <c r="G6210" i="3"/>
  <c r="G6218" i="3"/>
  <c r="G6226" i="3"/>
  <c r="G6234" i="3"/>
  <c r="G6242" i="3"/>
  <c r="G6250" i="3"/>
  <c r="G6258" i="3"/>
  <c r="G6266" i="3"/>
  <c r="G6274" i="3"/>
  <c r="G6282" i="3"/>
  <c r="G6290" i="3"/>
  <c r="G6298" i="3"/>
  <c r="G6306" i="3"/>
  <c r="G6314" i="3"/>
  <c r="G6322" i="3"/>
  <c r="G6330" i="3"/>
  <c r="G6338" i="3"/>
  <c r="G6346" i="3"/>
  <c r="G6354" i="3"/>
  <c r="G6362" i="3"/>
  <c r="G6370" i="3"/>
  <c r="G6378" i="3"/>
  <c r="G6386" i="3"/>
  <c r="G6394" i="3"/>
  <c r="G6402" i="3"/>
  <c r="G6410" i="3"/>
  <c r="G6418" i="3"/>
  <c r="G6426" i="3"/>
  <c r="G6434" i="3"/>
  <c r="G6442" i="3"/>
  <c r="G6450" i="3"/>
  <c r="G6458" i="3"/>
  <c r="G6466" i="3"/>
  <c r="G6474" i="3"/>
  <c r="G6482" i="3"/>
  <c r="G6490" i="3"/>
  <c r="G6498" i="3"/>
  <c r="G6506" i="3"/>
  <c r="G6514" i="3"/>
  <c r="G6522" i="3"/>
  <c r="G6530" i="3"/>
  <c r="G6538" i="3"/>
  <c r="G6546" i="3"/>
  <c r="G6554" i="3"/>
  <c r="G6562" i="3"/>
  <c r="G6570" i="3"/>
  <c r="G6578" i="3"/>
  <c r="G6586" i="3"/>
  <c r="G6594" i="3"/>
  <c r="G6602" i="3"/>
  <c r="G6610" i="3"/>
  <c r="G6618" i="3"/>
  <c r="G6626" i="3"/>
  <c r="G6634" i="3"/>
  <c r="G6642" i="3"/>
  <c r="G6650" i="3"/>
  <c r="G6658" i="3"/>
  <c r="G6666" i="3"/>
  <c r="G6674" i="3"/>
  <c r="G6682" i="3"/>
  <c r="G6690" i="3"/>
  <c r="G6698" i="3"/>
  <c r="G6706" i="3"/>
  <c r="G6714" i="3"/>
  <c r="G6722" i="3"/>
  <c r="G6730" i="3"/>
  <c r="G6738" i="3"/>
  <c r="G6746" i="3"/>
  <c r="G6754" i="3"/>
  <c r="G6762" i="3"/>
  <c r="G6770" i="3"/>
  <c r="G6778" i="3"/>
  <c r="G6786" i="3"/>
  <c r="G6794" i="3"/>
  <c r="G6802" i="3"/>
  <c r="G6810" i="3"/>
  <c r="G6818" i="3"/>
  <c r="G6826" i="3"/>
  <c r="G6834" i="3"/>
  <c r="G6842" i="3"/>
  <c r="G6850" i="3"/>
  <c r="G6858" i="3"/>
  <c r="G6866" i="3"/>
  <c r="G6874" i="3"/>
  <c r="G6882" i="3"/>
  <c r="G6890" i="3"/>
  <c r="G6898" i="3"/>
  <c r="G6906" i="3"/>
  <c r="G6914" i="3"/>
  <c r="G6922" i="3"/>
  <c r="G6930" i="3"/>
  <c r="G6938" i="3"/>
  <c r="G6946" i="3"/>
  <c r="G6954" i="3"/>
  <c r="G6962" i="3"/>
  <c r="G6970" i="3"/>
  <c r="G6978" i="3"/>
  <c r="G6986" i="3"/>
  <c r="G6994" i="3"/>
  <c r="G7002" i="3"/>
  <c r="G7010" i="3"/>
  <c r="G7018" i="3"/>
  <c r="G7026" i="3"/>
  <c r="G7034" i="3"/>
  <c r="G7042" i="3"/>
  <c r="G7050" i="3"/>
  <c r="G7058" i="3"/>
  <c r="G7066" i="3"/>
  <c r="G7074" i="3"/>
  <c r="G7082" i="3"/>
  <c r="G7090" i="3"/>
  <c r="G7098" i="3"/>
  <c r="G7106" i="3"/>
  <c r="G7114" i="3"/>
  <c r="G7122" i="3"/>
  <c r="G7130" i="3"/>
  <c r="G7138" i="3"/>
  <c r="G7146" i="3"/>
  <c r="G7154" i="3"/>
  <c r="G7162" i="3"/>
  <c r="G7170" i="3"/>
  <c r="G7178" i="3"/>
  <c r="G7186" i="3"/>
  <c r="G7194" i="3"/>
  <c r="G7202" i="3"/>
  <c r="G7210" i="3"/>
  <c r="G7218" i="3"/>
  <c r="G2755" i="3"/>
  <c r="G3864" i="3"/>
  <c r="G4083" i="3"/>
  <c r="G4222" i="3"/>
  <c r="G4350" i="3"/>
  <c r="G4478" i="3"/>
  <c r="G4606" i="3"/>
  <c r="G4734" i="3"/>
  <c r="G4862" i="3"/>
  <c r="G4984" i="3"/>
  <c r="G5049" i="3"/>
  <c r="G5089" i="3"/>
  <c r="G5126" i="3"/>
  <c r="G5162" i="3"/>
  <c r="G5195" i="3"/>
  <c r="G5227" i="3"/>
  <c r="G5259" i="3"/>
  <c r="G5291" i="3"/>
  <c r="G5323" i="3"/>
  <c r="G5355" i="3"/>
  <c r="G5387" i="3"/>
  <c r="G5419" i="3"/>
  <c r="G5451" i="3"/>
  <c r="G5483" i="3"/>
  <c r="G5515" i="3"/>
  <c r="G5547" i="3"/>
  <c r="G5579" i="3"/>
  <c r="G5611" i="3"/>
  <c r="G5643" i="3"/>
  <c r="G5675" i="3"/>
  <c r="G5707" i="3"/>
  <c r="G5739" i="3"/>
  <c r="G5771" i="3"/>
  <c r="G5803" i="3"/>
  <c r="G5835" i="3"/>
  <c r="G5867" i="3"/>
  <c r="G5899" i="3"/>
  <c r="G5931" i="3"/>
  <c r="G5963" i="3"/>
  <c r="G5995" i="3"/>
  <c r="G6027" i="3"/>
  <c r="G6051" i="3"/>
  <c r="G6067" i="3"/>
  <c r="G6083" i="3"/>
  <c r="G6099" i="3"/>
  <c r="G6107" i="3"/>
  <c r="G6115" i="3"/>
  <c r="G6123" i="3"/>
  <c r="G6131" i="3"/>
  <c r="G6139" i="3"/>
  <c r="G6147" i="3"/>
  <c r="G6155" i="3"/>
  <c r="G6163" i="3"/>
  <c r="G6171" i="3"/>
  <c r="G6179" i="3"/>
  <c r="G6187" i="3"/>
  <c r="G6195" i="3"/>
  <c r="G6203" i="3"/>
  <c r="G6211" i="3"/>
  <c r="G6219" i="3"/>
  <c r="G6227" i="3"/>
  <c r="G6235" i="3"/>
  <c r="G6243" i="3"/>
  <c r="G6251" i="3"/>
  <c r="G6259" i="3"/>
  <c r="G6267" i="3"/>
  <c r="G6275" i="3"/>
  <c r="G6283" i="3"/>
  <c r="G6291" i="3"/>
  <c r="G6299" i="3"/>
  <c r="G6307" i="3"/>
  <c r="G6315" i="3"/>
  <c r="G6323" i="3"/>
  <c r="G6331" i="3"/>
  <c r="G6339" i="3"/>
  <c r="G6347" i="3"/>
  <c r="G6355" i="3"/>
  <c r="G6363" i="3"/>
  <c r="G6371" i="3"/>
  <c r="G6379" i="3"/>
  <c r="G6387" i="3"/>
  <c r="G6395" i="3"/>
  <c r="G6403" i="3"/>
  <c r="G6411" i="3"/>
  <c r="G6419" i="3"/>
  <c r="G6427" i="3"/>
  <c r="G6435" i="3"/>
  <c r="G6443" i="3"/>
  <c r="G6451" i="3"/>
  <c r="G6459" i="3"/>
  <c r="G6467" i="3"/>
  <c r="G6475" i="3"/>
  <c r="G6483" i="3"/>
  <c r="G6491" i="3"/>
  <c r="G6499" i="3"/>
  <c r="G6507" i="3"/>
  <c r="G6515" i="3"/>
  <c r="G6523" i="3"/>
  <c r="G6531" i="3"/>
  <c r="G6539" i="3"/>
  <c r="G6547" i="3"/>
  <c r="G6555" i="3"/>
  <c r="G6563" i="3"/>
  <c r="G6571" i="3"/>
  <c r="G6579" i="3"/>
  <c r="G6587" i="3"/>
  <c r="G6595" i="3"/>
  <c r="G6603" i="3"/>
  <c r="G6611" i="3"/>
  <c r="G6619" i="3"/>
  <c r="G6627" i="3"/>
  <c r="G6635" i="3"/>
  <c r="G6643" i="3"/>
  <c r="G6651" i="3"/>
  <c r="G6659" i="3"/>
  <c r="G6667" i="3"/>
  <c r="G6675" i="3"/>
  <c r="G6683" i="3"/>
  <c r="G6691" i="3"/>
  <c r="G6699" i="3"/>
  <c r="G6707" i="3"/>
  <c r="G6715" i="3"/>
  <c r="G6723" i="3"/>
  <c r="G6731" i="3"/>
  <c r="G6739" i="3"/>
  <c r="G6747" i="3"/>
  <c r="G6755" i="3"/>
  <c r="G6763" i="3"/>
  <c r="G6771" i="3"/>
  <c r="G6779" i="3"/>
  <c r="G6787" i="3"/>
  <c r="G6795" i="3"/>
  <c r="G6803" i="3"/>
  <c r="G6811" i="3"/>
  <c r="G6819" i="3"/>
  <c r="G6827" i="3"/>
  <c r="G6835" i="3"/>
  <c r="G6843" i="3"/>
  <c r="G6851" i="3"/>
  <c r="G6859" i="3"/>
  <c r="G6867" i="3"/>
  <c r="G6875" i="3"/>
  <c r="G6883" i="3"/>
  <c r="G6891" i="3"/>
  <c r="G6899" i="3"/>
  <c r="G6907" i="3"/>
  <c r="G6915" i="3"/>
  <c r="G6923" i="3"/>
  <c r="G6931" i="3"/>
  <c r="G6939" i="3"/>
  <c r="G6947" i="3"/>
  <c r="G6955" i="3"/>
  <c r="G6963" i="3"/>
  <c r="G6971" i="3"/>
  <c r="G6979" i="3"/>
  <c r="G6987" i="3"/>
  <c r="G6995" i="3"/>
  <c r="G7003" i="3"/>
  <c r="G7011" i="3"/>
  <c r="G7019" i="3"/>
  <c r="G7027" i="3"/>
  <c r="G7035" i="3"/>
  <c r="G7043" i="3"/>
  <c r="G7051" i="3"/>
  <c r="G7059" i="3"/>
  <c r="G7067" i="3"/>
  <c r="G7075" i="3"/>
  <c r="G7083" i="3"/>
  <c r="G7091" i="3"/>
  <c r="G7099" i="3"/>
  <c r="G7107" i="3"/>
  <c r="G7115" i="3"/>
  <c r="G7123" i="3"/>
  <c r="G3170" i="3"/>
  <c r="G3926" i="3"/>
  <c r="G4111" i="3"/>
  <c r="G4247" i="3"/>
  <c r="G4375" i="3"/>
  <c r="G4503" i="3"/>
  <c r="G4631" i="3"/>
  <c r="G4759" i="3"/>
  <c r="G4887" i="3"/>
  <c r="G5000" i="3"/>
  <c r="G5059" i="3"/>
  <c r="G5097" i="3"/>
  <c r="G5134" i="3"/>
  <c r="G5170" i="3"/>
  <c r="G5202" i="3"/>
  <c r="G5234" i="3"/>
  <c r="G5266" i="3"/>
  <c r="G5298" i="3"/>
  <c r="G5330" i="3"/>
  <c r="G5362" i="3"/>
  <c r="G5394" i="3"/>
  <c r="G5426" i="3"/>
  <c r="G5458" i="3"/>
  <c r="G5490" i="3"/>
  <c r="G5522" i="3"/>
  <c r="G5554" i="3"/>
  <c r="G5586" i="3"/>
  <c r="G5618" i="3"/>
  <c r="G5650" i="3"/>
  <c r="G5682" i="3"/>
  <c r="G5714" i="3"/>
  <c r="G5746" i="3"/>
  <c r="G5778" i="3"/>
  <c r="G5810" i="3"/>
  <c r="G5842" i="3"/>
  <c r="G5874" i="3"/>
  <c r="G5906" i="3"/>
  <c r="G5938" i="3"/>
  <c r="G5970" i="3"/>
  <c r="G6002" i="3"/>
  <c r="G6034" i="3"/>
  <c r="G6052" i="3"/>
  <c r="G6068" i="3"/>
  <c r="G6084" i="3"/>
  <c r="G6100" i="3"/>
  <c r="G6108" i="3"/>
  <c r="G6116" i="3"/>
  <c r="G6124" i="3"/>
  <c r="G6132" i="3"/>
  <c r="G6140" i="3"/>
  <c r="G6148" i="3"/>
  <c r="G6156" i="3"/>
  <c r="G6164" i="3"/>
  <c r="G6172" i="3"/>
  <c r="G6180" i="3"/>
  <c r="G6188" i="3"/>
  <c r="G6196" i="3"/>
  <c r="G6204" i="3"/>
  <c r="G6212" i="3"/>
  <c r="G6220" i="3"/>
  <c r="G6228" i="3"/>
  <c r="G6236" i="3"/>
  <c r="G6244" i="3"/>
  <c r="G6252" i="3"/>
  <c r="G6260" i="3"/>
  <c r="G6268" i="3"/>
  <c r="G6276" i="3"/>
  <c r="G6284" i="3"/>
  <c r="G6292" i="3"/>
  <c r="G6300" i="3"/>
  <c r="G6308" i="3"/>
  <c r="G6316" i="3"/>
  <c r="G6324" i="3"/>
  <c r="G6332" i="3"/>
  <c r="G6340" i="3"/>
  <c r="G6348" i="3"/>
  <c r="G6356" i="3"/>
  <c r="G6364" i="3"/>
  <c r="G6372" i="3"/>
  <c r="G6380" i="3"/>
  <c r="G6388" i="3"/>
  <c r="G6396" i="3"/>
  <c r="G6404" i="3"/>
  <c r="G6412" i="3"/>
  <c r="G6420" i="3"/>
  <c r="G6428" i="3"/>
  <c r="G6436" i="3"/>
  <c r="G6444" i="3"/>
  <c r="G6452" i="3"/>
  <c r="G6460" i="3"/>
  <c r="G6468" i="3"/>
  <c r="G6476" i="3"/>
  <c r="G6484" i="3"/>
  <c r="G6492" i="3"/>
  <c r="G6500" i="3"/>
  <c r="G6508" i="3"/>
  <c r="G6516" i="3"/>
  <c r="G6524" i="3"/>
  <c r="G6532" i="3"/>
  <c r="G6540" i="3"/>
  <c r="G6548" i="3"/>
  <c r="G6556" i="3"/>
  <c r="G6564" i="3"/>
  <c r="G6572" i="3"/>
  <c r="G6580" i="3"/>
  <c r="G6588" i="3"/>
  <c r="G6596" i="3"/>
  <c r="G6604" i="3"/>
  <c r="G6612" i="3"/>
  <c r="G6620" i="3"/>
  <c r="G6628" i="3"/>
  <c r="G6636" i="3"/>
  <c r="G6644" i="3"/>
  <c r="G6652" i="3"/>
  <c r="G6660" i="3"/>
  <c r="G6668" i="3"/>
  <c r="G6676" i="3"/>
  <c r="G6684" i="3"/>
  <c r="G6692" i="3"/>
  <c r="G6700" i="3"/>
  <c r="G6708" i="3"/>
  <c r="G6716" i="3"/>
  <c r="G6724" i="3"/>
  <c r="G6732" i="3"/>
  <c r="G6740" i="3"/>
  <c r="G6748" i="3"/>
  <c r="G6756" i="3"/>
  <c r="G6764" i="3"/>
  <c r="G6772" i="3"/>
  <c r="G6780" i="3"/>
  <c r="G6788" i="3"/>
  <c r="G6796" i="3"/>
  <c r="G6804" i="3"/>
  <c r="G6812" i="3"/>
  <c r="G6820" i="3"/>
  <c r="G6828" i="3"/>
  <c r="G6836" i="3"/>
  <c r="G6844" i="3"/>
  <c r="G6852" i="3"/>
  <c r="G6860" i="3"/>
  <c r="G6868" i="3"/>
  <c r="G6876" i="3"/>
  <c r="G6884" i="3"/>
  <c r="G6892" i="3"/>
  <c r="G6900" i="3"/>
  <c r="G6908" i="3"/>
  <c r="G6916" i="3"/>
  <c r="G6924" i="3"/>
  <c r="G6932" i="3"/>
  <c r="G6940" i="3"/>
  <c r="G6948" i="3"/>
  <c r="G6956" i="3"/>
  <c r="G6964" i="3"/>
  <c r="G6972" i="3"/>
  <c r="G6980" i="3"/>
  <c r="G6988" i="3"/>
  <c r="G6996" i="3"/>
  <c r="G7004" i="3"/>
  <c r="G7012" i="3"/>
  <c r="G7020" i="3"/>
  <c r="G7028" i="3"/>
  <c r="G7036" i="3"/>
  <c r="G7044" i="3"/>
  <c r="G7052" i="3"/>
  <c r="G7060" i="3"/>
  <c r="G7068" i="3"/>
  <c r="G7076" i="3"/>
  <c r="G7084" i="3"/>
  <c r="G7092" i="3"/>
  <c r="G7100" i="3"/>
  <c r="G7108" i="3"/>
  <c r="G7116" i="3"/>
  <c r="G7124" i="3"/>
  <c r="G7132" i="3"/>
  <c r="G7140" i="3"/>
  <c r="G7148" i="3"/>
  <c r="G7156" i="3"/>
  <c r="G7164" i="3"/>
  <c r="G7172" i="3"/>
  <c r="G7180" i="3"/>
  <c r="G7188" i="3"/>
  <c r="G7196" i="3"/>
  <c r="G7204" i="3"/>
  <c r="G7212" i="3"/>
  <c r="G7220" i="3"/>
  <c r="G7228" i="3"/>
  <c r="G3267" i="3"/>
  <c r="G3936" i="3"/>
  <c r="G4119" i="3"/>
  <c r="G4254" i="3"/>
  <c r="G4382" i="3"/>
  <c r="G4510" i="3"/>
  <c r="G4638" i="3"/>
  <c r="G4766" i="3"/>
  <c r="G4894" i="3"/>
  <c r="G5005" i="3"/>
  <c r="G5061" i="3"/>
  <c r="G5098" i="3"/>
  <c r="G5135" i="3"/>
  <c r="G5171" i="3"/>
  <c r="G5203" i="3"/>
  <c r="G5235" i="3"/>
  <c r="G5267" i="3"/>
  <c r="G5299" i="3"/>
  <c r="G5331" i="3"/>
  <c r="G5363" i="3"/>
  <c r="G5395" i="3"/>
  <c r="G5427" i="3"/>
  <c r="G5459" i="3"/>
  <c r="G5491" i="3"/>
  <c r="G5523" i="3"/>
  <c r="G5555" i="3"/>
  <c r="G5587" i="3"/>
  <c r="G5619" i="3"/>
  <c r="G5651" i="3"/>
  <c r="G5683" i="3"/>
  <c r="G5715" i="3"/>
  <c r="G5747" i="3"/>
  <c r="G5779" i="3"/>
  <c r="G5811" i="3"/>
  <c r="G5843" i="3"/>
  <c r="G5875" i="3"/>
  <c r="G5907" i="3"/>
  <c r="G5939" i="3"/>
  <c r="G5971" i="3"/>
  <c r="G6003" i="3"/>
  <c r="G6035" i="3"/>
  <c r="G6057" i="3"/>
  <c r="G6073" i="3"/>
  <c r="G6089" i="3"/>
  <c r="G6101" i="3"/>
  <c r="G6109" i="3"/>
  <c r="G6117" i="3"/>
  <c r="G6125" i="3"/>
  <c r="G6133" i="3"/>
  <c r="G6141" i="3"/>
  <c r="G6149" i="3"/>
  <c r="G6157" i="3"/>
  <c r="G6165" i="3"/>
  <c r="G6173" i="3"/>
  <c r="G6181" i="3"/>
  <c r="G6189" i="3"/>
  <c r="G6197" i="3"/>
  <c r="G6205" i="3"/>
  <c r="G6213" i="3"/>
  <c r="G6221" i="3"/>
  <c r="G6229" i="3"/>
  <c r="G6237" i="3"/>
  <c r="G6245" i="3"/>
  <c r="G6253" i="3"/>
  <c r="G6261" i="3"/>
  <c r="G6269" i="3"/>
  <c r="G6277" i="3"/>
  <c r="G6285" i="3"/>
  <c r="G6293" i="3"/>
  <c r="G6301" i="3"/>
  <c r="G6309" i="3"/>
  <c r="G6317" i="3"/>
  <c r="G6325" i="3"/>
  <c r="G6333" i="3"/>
  <c r="G6341" i="3"/>
  <c r="G6349" i="3"/>
  <c r="G6357" i="3"/>
  <c r="G6365" i="3"/>
  <c r="G6373" i="3"/>
  <c r="G6381" i="3"/>
  <c r="G6389" i="3"/>
  <c r="G6397" i="3"/>
  <c r="G6405" i="3"/>
  <c r="G6413" i="3"/>
  <c r="G6421" i="3"/>
  <c r="G6429" i="3"/>
  <c r="G6437" i="3"/>
  <c r="G6445" i="3"/>
  <c r="G6453" i="3"/>
  <c r="G6461" i="3"/>
  <c r="G6469" i="3"/>
  <c r="G6477" i="3"/>
  <c r="G6485" i="3"/>
  <c r="G6493" i="3"/>
  <c r="G6501" i="3"/>
  <c r="G6509" i="3"/>
  <c r="G6517" i="3"/>
  <c r="G6525" i="3"/>
  <c r="G6533" i="3"/>
  <c r="G6541" i="3"/>
  <c r="G6549" i="3"/>
  <c r="G6557" i="3"/>
  <c r="G6565" i="3"/>
  <c r="G6573" i="3"/>
  <c r="G6581" i="3"/>
  <c r="G6589" i="3"/>
  <c r="G6597" i="3"/>
  <c r="G6605" i="3"/>
  <c r="G6613" i="3"/>
  <c r="G6621" i="3"/>
  <c r="G6629" i="3"/>
  <c r="G6637" i="3"/>
  <c r="G6645" i="3"/>
  <c r="G6653" i="3"/>
  <c r="G6661" i="3"/>
  <c r="G6669" i="3"/>
  <c r="G6677" i="3"/>
  <c r="G6685" i="3"/>
  <c r="G6693" i="3"/>
  <c r="G6701" i="3"/>
  <c r="G6709" i="3"/>
  <c r="G6717" i="3"/>
  <c r="G6725" i="3"/>
  <c r="G6733" i="3"/>
  <c r="G6741" i="3"/>
  <c r="G6749" i="3"/>
  <c r="G6757" i="3"/>
  <c r="G6765" i="3"/>
  <c r="G6773" i="3"/>
  <c r="G6781" i="3"/>
  <c r="G6789" i="3"/>
  <c r="G6797" i="3"/>
  <c r="G6805" i="3"/>
  <c r="G6813" i="3"/>
  <c r="G6821" i="3"/>
  <c r="G6829" i="3"/>
  <c r="G6837" i="3"/>
  <c r="G6845" i="3"/>
  <c r="G6853" i="3"/>
  <c r="G6861" i="3"/>
  <c r="G6869" i="3"/>
  <c r="G6877" i="3"/>
  <c r="G6885" i="3"/>
  <c r="G6893" i="3"/>
  <c r="G6901" i="3"/>
  <c r="G6909" i="3"/>
  <c r="G6917" i="3"/>
  <c r="G6925" i="3"/>
  <c r="G6933" i="3"/>
  <c r="G6941" i="3"/>
  <c r="G6949" i="3"/>
  <c r="G6957" i="3"/>
  <c r="G6965" i="3"/>
  <c r="G6973" i="3"/>
  <c r="G6981" i="3"/>
  <c r="G6989" i="3"/>
  <c r="G6997" i="3"/>
  <c r="G7005" i="3"/>
  <c r="G7013" i="3"/>
  <c r="G7021" i="3"/>
  <c r="G7029" i="3"/>
  <c r="G7037" i="3"/>
  <c r="G7045" i="3"/>
  <c r="G7053" i="3"/>
  <c r="G7061" i="3"/>
  <c r="G7069" i="3"/>
  <c r="G7077" i="3"/>
  <c r="G7085" i="3"/>
  <c r="G7093" i="3"/>
  <c r="G7101" i="3"/>
  <c r="G7109" i="3"/>
  <c r="G7117" i="3"/>
  <c r="G7125" i="3"/>
  <c r="G7133" i="3"/>
  <c r="G3570" i="3"/>
  <c r="G3976" i="3"/>
  <c r="G4148" i="3"/>
  <c r="G4279" i="3"/>
  <c r="G4407" i="3"/>
  <c r="G4535" i="3"/>
  <c r="G4663" i="3"/>
  <c r="G4791" i="3"/>
  <c r="G4919" i="3"/>
  <c r="G5016" i="3"/>
  <c r="G5070" i="3"/>
  <c r="G5106" i="3"/>
  <c r="G5143" i="3"/>
  <c r="G5178" i="3"/>
  <c r="G5210" i="3"/>
  <c r="G5242" i="3"/>
  <c r="G5274" i="3"/>
  <c r="G5306" i="3"/>
  <c r="G5338" i="3"/>
  <c r="G5370" i="3"/>
  <c r="G5402" i="3"/>
  <c r="G5434" i="3"/>
  <c r="G5466" i="3"/>
  <c r="G5498" i="3"/>
  <c r="G5530" i="3"/>
  <c r="G5562" i="3"/>
  <c r="G5594" i="3"/>
  <c r="G5626" i="3"/>
  <c r="G5658" i="3"/>
  <c r="G5690" i="3"/>
  <c r="G5722" i="3"/>
  <c r="G5754" i="3"/>
  <c r="G5786" i="3"/>
  <c r="G5818" i="3"/>
  <c r="G5850" i="3"/>
  <c r="G5882" i="3"/>
  <c r="G5914" i="3"/>
  <c r="G5946" i="3"/>
  <c r="G5978" i="3"/>
  <c r="G6010" i="3"/>
  <c r="G6042" i="3"/>
  <c r="G6058" i="3"/>
  <c r="G6074" i="3"/>
  <c r="G6090" i="3"/>
  <c r="G6102" i="3"/>
  <c r="G6110" i="3"/>
  <c r="G6118" i="3"/>
  <c r="G6126" i="3"/>
  <c r="G6134" i="3"/>
  <c r="G6142" i="3"/>
  <c r="G6150" i="3"/>
  <c r="G6158" i="3"/>
  <c r="G6166" i="3"/>
  <c r="G6174" i="3"/>
  <c r="G6182" i="3"/>
  <c r="G6190" i="3"/>
  <c r="G6198" i="3"/>
  <c r="G6206" i="3"/>
  <c r="G6214" i="3"/>
  <c r="G6222" i="3"/>
  <c r="G6230" i="3"/>
  <c r="G6238" i="3"/>
  <c r="G6246" i="3"/>
  <c r="G6254" i="3"/>
  <c r="G6262" i="3"/>
  <c r="G6270" i="3"/>
  <c r="G6278" i="3"/>
  <c r="G6286" i="3"/>
  <c r="G6294" i="3"/>
  <c r="G6302" i="3"/>
  <c r="G6310" i="3"/>
  <c r="G6318" i="3"/>
  <c r="G6326" i="3"/>
  <c r="G6334" i="3"/>
  <c r="G6342" i="3"/>
  <c r="G6350" i="3"/>
  <c r="G6358" i="3"/>
  <c r="G6366" i="3"/>
  <c r="G6374" i="3"/>
  <c r="G6382" i="3"/>
  <c r="G6390" i="3"/>
  <c r="G6398" i="3"/>
  <c r="G6406" i="3"/>
  <c r="G6414" i="3"/>
  <c r="G6422" i="3"/>
  <c r="G6430" i="3"/>
  <c r="G6438" i="3"/>
  <c r="G6446" i="3"/>
  <c r="G6454" i="3"/>
  <c r="G6462" i="3"/>
  <c r="G6470" i="3"/>
  <c r="G6478" i="3"/>
  <c r="G6486" i="3"/>
  <c r="G6494" i="3"/>
  <c r="G6502" i="3"/>
  <c r="G6510" i="3"/>
  <c r="G6518" i="3"/>
  <c r="G6526" i="3"/>
  <c r="G6534" i="3"/>
  <c r="G6542" i="3"/>
  <c r="G6550" i="3"/>
  <c r="G6558" i="3"/>
  <c r="G6566" i="3"/>
  <c r="G6574" i="3"/>
  <c r="G6582" i="3"/>
  <c r="G6590" i="3"/>
  <c r="G6598" i="3"/>
  <c r="G6606" i="3"/>
  <c r="G6614" i="3"/>
  <c r="G6622" i="3"/>
  <c r="G6630" i="3"/>
  <c r="G6638" i="3"/>
  <c r="G6646" i="3"/>
  <c r="G6654" i="3"/>
  <c r="G6662" i="3"/>
  <c r="G6670" i="3"/>
  <c r="G6678" i="3"/>
  <c r="G6686" i="3"/>
  <c r="G6694" i="3"/>
  <c r="G6702" i="3"/>
  <c r="G6710" i="3"/>
  <c r="G6718" i="3"/>
  <c r="G6726" i="3"/>
  <c r="G6734" i="3"/>
  <c r="G6742" i="3"/>
  <c r="G6750" i="3"/>
  <c r="G6758" i="3"/>
  <c r="G6766" i="3"/>
  <c r="G6774" i="3"/>
  <c r="G6782" i="3"/>
  <c r="G6790" i="3"/>
  <c r="G6798" i="3"/>
  <c r="G6806" i="3"/>
  <c r="G6814" i="3"/>
  <c r="G6822" i="3"/>
  <c r="G6830" i="3"/>
  <c r="G6838" i="3"/>
  <c r="G6846" i="3"/>
  <c r="G6854" i="3"/>
  <c r="G6862" i="3"/>
  <c r="G6870" i="3"/>
  <c r="G6878" i="3"/>
  <c r="G6886" i="3"/>
  <c r="G6894" i="3"/>
  <c r="G6902" i="3"/>
  <c r="G6910" i="3"/>
  <c r="G6918" i="3"/>
  <c r="G6926" i="3"/>
  <c r="G6934" i="3"/>
  <c r="G6942" i="3"/>
  <c r="G6950" i="3"/>
  <c r="G6958" i="3"/>
  <c r="G6966" i="3"/>
  <c r="G6974" i="3"/>
  <c r="G6982" i="3"/>
  <c r="G6990" i="3"/>
  <c r="G6998" i="3"/>
  <c r="G7006" i="3"/>
  <c r="G7014" i="3"/>
  <c r="G7022" i="3"/>
  <c r="G7030" i="3"/>
  <c r="G7038" i="3"/>
  <c r="G7046" i="3"/>
  <c r="G7054" i="3"/>
  <c r="G7062" i="3"/>
  <c r="G7070" i="3"/>
  <c r="G7078" i="3"/>
  <c r="G7086" i="3"/>
  <c r="G7094" i="3"/>
  <c r="G7102" i="3"/>
  <c r="G3736" i="3"/>
  <c r="G4039" i="3"/>
  <c r="G4190" i="3"/>
  <c r="G4318" i="3"/>
  <c r="G4446" i="3"/>
  <c r="G4574" i="3"/>
  <c r="G4702" i="3"/>
  <c r="G4830" i="3"/>
  <c r="G4958" i="3"/>
  <c r="G5037" i="3"/>
  <c r="G5080" i="3"/>
  <c r="G5117" i="3"/>
  <c r="G5153" i="3"/>
  <c r="G5187" i="3"/>
  <c r="G5219" i="3"/>
  <c r="G5251" i="3"/>
  <c r="G5283" i="3"/>
  <c r="G5315" i="3"/>
  <c r="G5347" i="3"/>
  <c r="G5379" i="3"/>
  <c r="G5411" i="3"/>
  <c r="G5443" i="3"/>
  <c r="G5475" i="3"/>
  <c r="G5507" i="3"/>
  <c r="G5539" i="3"/>
  <c r="G5571" i="3"/>
  <c r="G5603" i="3"/>
  <c r="G5635" i="3"/>
  <c r="G5667" i="3"/>
  <c r="G5699" i="3"/>
  <c r="G5731" i="3"/>
  <c r="G5763" i="3"/>
  <c r="G5795" i="3"/>
  <c r="G5827" i="3"/>
  <c r="G5859" i="3"/>
  <c r="G5891" i="3"/>
  <c r="G5923" i="3"/>
  <c r="G5955" i="3"/>
  <c r="G5987" i="3"/>
  <c r="G6019" i="3"/>
  <c r="G6049" i="3"/>
  <c r="G6065" i="3"/>
  <c r="G6081" i="3"/>
  <c r="G6097" i="3"/>
  <c r="G6105" i="3"/>
  <c r="G6113" i="3"/>
  <c r="G6121" i="3"/>
  <c r="G6129" i="3"/>
  <c r="G6137" i="3"/>
  <c r="G6145" i="3"/>
  <c r="G6153" i="3"/>
  <c r="G6161" i="3"/>
  <c r="G6169" i="3"/>
  <c r="G6177" i="3"/>
  <c r="G6185" i="3"/>
  <c r="G6193" i="3"/>
  <c r="G6201" i="3"/>
  <c r="G6209" i="3"/>
  <c r="G6217" i="3"/>
  <c r="G6225" i="3"/>
  <c r="G6233" i="3"/>
  <c r="G6241" i="3"/>
  <c r="G6249" i="3"/>
  <c r="G6257" i="3"/>
  <c r="G6265" i="3"/>
  <c r="G6273" i="3"/>
  <c r="G6281" i="3"/>
  <c r="G6289" i="3"/>
  <c r="G6297" i="3"/>
  <c r="G6305" i="3"/>
  <c r="G6313" i="3"/>
  <c r="G6321" i="3"/>
  <c r="G6329" i="3"/>
  <c r="G6337" i="3"/>
  <c r="G6345" i="3"/>
  <c r="G6353" i="3"/>
  <c r="G6361" i="3"/>
  <c r="G6369" i="3"/>
  <c r="G6377" i="3"/>
  <c r="G6385" i="3"/>
  <c r="G6393" i="3"/>
  <c r="G6401" i="3"/>
  <c r="G6409" i="3"/>
  <c r="G6417" i="3"/>
  <c r="G6425" i="3"/>
  <c r="G6433" i="3"/>
  <c r="G6441" i="3"/>
  <c r="G6449" i="3"/>
  <c r="G6457" i="3"/>
  <c r="G6465" i="3"/>
  <c r="G6473" i="3"/>
  <c r="G6481" i="3"/>
  <c r="G6489" i="3"/>
  <c r="G6497" i="3"/>
  <c r="G6505" i="3"/>
  <c r="G6513" i="3"/>
  <c r="G6521" i="3"/>
  <c r="G6529" i="3"/>
  <c r="G6537" i="3"/>
  <c r="G6545" i="3"/>
  <c r="G6553" i="3"/>
  <c r="G6561" i="3"/>
  <c r="G6569" i="3"/>
  <c r="G6577" i="3"/>
  <c r="G6585" i="3"/>
  <c r="G6593" i="3"/>
  <c r="G6601" i="3"/>
  <c r="G6609" i="3"/>
  <c r="G6617" i="3"/>
  <c r="G6625" i="3"/>
  <c r="G6633" i="3"/>
  <c r="G6641" i="3"/>
  <c r="G6649" i="3"/>
  <c r="G6657" i="3"/>
  <c r="G6665" i="3"/>
  <c r="G6673" i="3"/>
  <c r="G6681" i="3"/>
  <c r="G6689" i="3"/>
  <c r="G6697" i="3"/>
  <c r="G6705" i="3"/>
  <c r="G6713" i="3"/>
  <c r="G6721" i="3"/>
  <c r="G6729" i="3"/>
  <c r="G6737" i="3"/>
  <c r="G6745" i="3"/>
  <c r="G6753" i="3"/>
  <c r="G6761" i="3"/>
  <c r="G6769" i="3"/>
  <c r="G6777" i="3"/>
  <c r="G6785" i="3"/>
  <c r="G6793" i="3"/>
  <c r="G6801" i="3"/>
  <c r="G6809" i="3"/>
  <c r="G6817" i="3"/>
  <c r="G6825" i="3"/>
  <c r="G6833" i="3"/>
  <c r="G6841" i="3"/>
  <c r="G6849" i="3"/>
  <c r="G6857" i="3"/>
  <c r="G6865" i="3"/>
  <c r="G6873" i="3"/>
  <c r="G6881" i="3"/>
  <c r="G6889" i="3"/>
  <c r="G6897" i="3"/>
  <c r="G6905" i="3"/>
  <c r="G6913" i="3"/>
  <c r="G6921" i="3"/>
  <c r="G6929" i="3"/>
  <c r="G6937" i="3"/>
  <c r="G6945" i="3"/>
  <c r="G6953" i="3"/>
  <c r="G6961" i="3"/>
  <c r="G6969" i="3"/>
  <c r="G6977" i="3"/>
  <c r="G6985" i="3"/>
  <c r="G6993" i="3"/>
  <c r="G7001" i="3"/>
  <c r="G7009" i="3"/>
  <c r="G7017" i="3"/>
  <c r="G7025" i="3"/>
  <c r="G7033" i="3"/>
  <c r="G7041" i="3"/>
  <c r="G7049" i="3"/>
  <c r="G7057" i="3"/>
  <c r="G7065" i="3"/>
  <c r="G3603" i="3"/>
  <c r="G4414" i="3"/>
  <c r="G4926" i="3"/>
  <c r="G5144" i="3"/>
  <c r="G5275" i="3"/>
  <c r="G5403" i="3"/>
  <c r="G5531" i="3"/>
  <c r="G5659" i="3"/>
  <c r="G5787" i="3"/>
  <c r="G5915" i="3"/>
  <c r="G6043" i="3"/>
  <c r="G6103" i="3"/>
  <c r="G6135" i="3"/>
  <c r="G6167" i="3"/>
  <c r="G6199" i="3"/>
  <c r="G6231" i="3"/>
  <c r="G6263" i="3"/>
  <c r="G6295" i="3"/>
  <c r="G6327" i="3"/>
  <c r="G6359" i="3"/>
  <c r="G6391" i="3"/>
  <c r="G6423" i="3"/>
  <c r="G6455" i="3"/>
  <c r="G6487" i="3"/>
  <c r="G6519" i="3"/>
  <c r="G6551" i="3"/>
  <c r="G6583" i="3"/>
  <c r="G6615" i="3"/>
  <c r="G6647" i="3"/>
  <c r="G6679" i="3"/>
  <c r="G6711" i="3"/>
  <c r="G6743" i="3"/>
  <c r="G6775" i="3"/>
  <c r="G6807" i="3"/>
  <c r="G6839" i="3"/>
  <c r="G6871" i="3"/>
  <c r="G6903" i="3"/>
  <c r="G6935" i="3"/>
  <c r="G6967" i="3"/>
  <c r="G6999" i="3"/>
  <c r="G7031" i="3"/>
  <c r="G7063" i="3"/>
  <c r="G7087" i="3"/>
  <c r="G7105" i="3"/>
  <c r="G7121" i="3"/>
  <c r="G7136" i="3"/>
  <c r="G7147" i="3"/>
  <c r="G7158" i="3"/>
  <c r="G7168" i="3"/>
  <c r="G7179" i="3"/>
  <c r="G7190" i="3"/>
  <c r="G7200" i="3"/>
  <c r="G7211" i="3"/>
  <c r="G7222" i="3"/>
  <c r="G7231" i="3"/>
  <c r="G7239" i="3"/>
  <c r="G7247" i="3"/>
  <c r="G7255" i="3"/>
  <c r="G7263" i="3"/>
  <c r="G7271" i="3"/>
  <c r="G7279" i="3"/>
  <c r="G7287" i="3"/>
  <c r="G7295" i="3"/>
  <c r="G7303" i="3"/>
  <c r="G7311" i="3"/>
  <c r="G7319" i="3"/>
  <c r="G7327" i="3"/>
  <c r="G7335" i="3"/>
  <c r="G7343" i="3"/>
  <c r="G7351" i="3"/>
  <c r="G7359" i="3"/>
  <c r="G7367" i="3"/>
  <c r="G7375" i="3"/>
  <c r="G7383" i="3"/>
  <c r="G7391" i="3"/>
  <c r="G7399" i="3"/>
  <c r="G7407" i="3"/>
  <c r="G7415" i="3"/>
  <c r="G7423" i="3"/>
  <c r="G7431" i="3"/>
  <c r="G7439" i="3"/>
  <c r="G7447" i="3"/>
  <c r="G7455" i="3"/>
  <c r="G7463" i="3"/>
  <c r="G7471" i="3"/>
  <c r="G7479" i="3"/>
  <c r="G7487" i="3"/>
  <c r="G7495" i="3"/>
  <c r="G7503" i="3"/>
  <c r="G7511" i="3"/>
  <c r="G7519" i="3"/>
  <c r="G7527" i="3"/>
  <c r="G7535" i="3"/>
  <c r="G7543" i="3"/>
  <c r="G7551" i="3"/>
  <c r="G7559" i="3"/>
  <c r="G7567" i="3"/>
  <c r="G7575" i="3"/>
  <c r="G7583" i="3"/>
  <c r="G7591" i="3"/>
  <c r="G7599" i="3"/>
  <c r="G7607" i="3"/>
  <c r="G7615" i="3"/>
  <c r="G7623" i="3"/>
  <c r="G7631" i="3"/>
  <c r="G7639" i="3"/>
  <c r="G7647" i="3"/>
  <c r="G7655" i="3"/>
  <c r="G7663" i="3"/>
  <c r="G7671" i="3"/>
  <c r="G7679" i="3"/>
  <c r="G7687" i="3"/>
  <c r="G7695" i="3"/>
  <c r="G7703" i="3"/>
  <c r="G7711" i="3"/>
  <c r="G7719" i="3"/>
  <c r="G7727" i="3"/>
  <c r="G7735" i="3"/>
  <c r="G7743" i="3"/>
  <c r="G7751" i="3"/>
  <c r="G7759" i="3"/>
  <c r="G7767" i="3"/>
  <c r="G7775" i="3"/>
  <c r="G7783" i="3"/>
  <c r="G7791" i="3"/>
  <c r="G7799" i="3"/>
  <c r="G7807" i="3"/>
  <c r="G7815" i="3"/>
  <c r="G7823" i="3"/>
  <c r="G7831" i="3"/>
  <c r="G7839" i="3"/>
  <c r="G7847" i="3"/>
  <c r="G7855" i="3"/>
  <c r="G7863" i="3"/>
  <c r="G7871" i="3"/>
  <c r="G7879" i="3"/>
  <c r="G7887" i="3"/>
  <c r="G7895" i="3"/>
  <c r="G7903" i="3"/>
  <c r="G7911" i="3"/>
  <c r="G7919" i="3"/>
  <c r="G7927" i="3"/>
  <c r="G7935" i="3"/>
  <c r="G7943" i="3"/>
  <c r="G7951" i="3"/>
  <c r="G7959" i="3"/>
  <c r="G7967" i="3"/>
  <c r="G7975" i="3"/>
  <c r="G7983" i="3"/>
  <c r="G7991" i="3"/>
  <c r="G7999" i="3"/>
  <c r="G8007" i="3"/>
  <c r="G8015" i="3"/>
  <c r="G8023" i="3"/>
  <c r="G8031" i="3"/>
  <c r="G8039" i="3"/>
  <c r="G8047" i="3"/>
  <c r="G8055" i="3"/>
  <c r="G8063" i="3"/>
  <c r="G8071" i="3"/>
  <c r="G8079" i="3"/>
  <c r="G8087" i="3"/>
  <c r="G8095" i="3"/>
  <c r="G8103" i="3"/>
  <c r="G8111" i="3"/>
  <c r="G8119" i="3"/>
  <c r="G8127" i="3"/>
  <c r="G8135" i="3"/>
  <c r="G8143" i="3"/>
  <c r="G8151" i="3"/>
  <c r="G8159" i="3"/>
  <c r="G8167" i="3"/>
  <c r="G8175" i="3"/>
  <c r="G8183" i="3"/>
  <c r="G8191" i="3"/>
  <c r="G8199" i="3"/>
  <c r="G8207" i="3"/>
  <c r="G8215" i="3"/>
  <c r="G8223" i="3"/>
  <c r="G8231" i="3"/>
  <c r="G8239" i="3"/>
  <c r="G8247" i="3"/>
  <c r="G8255" i="3"/>
  <c r="G8263" i="3"/>
  <c r="G8271" i="3"/>
  <c r="G8279" i="3"/>
  <c r="G8287" i="3"/>
  <c r="G8295" i="3"/>
  <c r="G8303" i="3"/>
  <c r="G8311" i="3"/>
  <c r="G8319" i="3"/>
  <c r="G8327" i="3"/>
  <c r="G8335" i="3"/>
  <c r="G8343" i="3"/>
  <c r="G8351" i="3"/>
  <c r="G8359" i="3"/>
  <c r="G8367" i="3"/>
  <c r="G8375" i="3"/>
  <c r="G8383" i="3"/>
  <c r="G8391" i="3"/>
  <c r="G8399" i="3"/>
  <c r="G8407" i="3"/>
  <c r="G8415" i="3"/>
  <c r="G8423" i="3"/>
  <c r="G8431" i="3"/>
  <c r="G8439" i="3"/>
  <c r="G8447" i="3"/>
  <c r="G8455" i="3"/>
  <c r="G8463" i="3"/>
  <c r="G8471" i="3"/>
  <c r="G8479" i="3"/>
  <c r="G8487" i="3"/>
  <c r="G8495" i="3"/>
  <c r="G8503" i="3"/>
  <c r="G8511" i="3"/>
  <c r="G8519" i="3"/>
  <c r="G8527" i="3"/>
  <c r="G8535" i="3"/>
  <c r="G8543" i="3"/>
  <c r="G8551" i="3"/>
  <c r="G8559" i="3"/>
  <c r="G8567" i="3"/>
  <c r="G8575" i="3"/>
  <c r="G8583" i="3"/>
  <c r="G8591" i="3"/>
  <c r="G8599" i="3"/>
  <c r="G8607" i="3"/>
  <c r="G8615" i="3"/>
  <c r="G8623" i="3"/>
  <c r="G8631" i="3"/>
  <c r="G8639" i="3"/>
  <c r="G8647" i="3"/>
  <c r="G8655" i="3"/>
  <c r="G8663" i="3"/>
  <c r="G8671" i="3"/>
  <c r="G8679" i="3"/>
  <c r="G8687" i="3"/>
  <c r="G8695" i="3"/>
  <c r="G8703" i="3"/>
  <c r="G8711" i="3"/>
  <c r="G8719" i="3"/>
  <c r="G8727" i="3"/>
  <c r="G8735" i="3"/>
  <c r="G8743" i="3"/>
  <c r="G8751" i="3"/>
  <c r="G8759" i="3"/>
  <c r="G8767" i="3"/>
  <c r="G8775" i="3"/>
  <c r="G8783" i="3"/>
  <c r="G8791" i="3"/>
  <c r="G8799" i="3"/>
  <c r="G8807" i="3"/>
  <c r="G8815" i="3"/>
  <c r="G3989" i="3"/>
  <c r="G4542" i="3"/>
  <c r="G5021" i="3"/>
  <c r="G5179" i="3"/>
  <c r="G5307" i="3"/>
  <c r="G5435" i="3"/>
  <c r="G5563" i="3"/>
  <c r="G5691" i="3"/>
  <c r="G5819" i="3"/>
  <c r="G5947" i="3"/>
  <c r="G6059" i="3"/>
  <c r="G6111" i="3"/>
  <c r="G6143" i="3"/>
  <c r="G6175" i="3"/>
  <c r="G6207" i="3"/>
  <c r="G6239" i="3"/>
  <c r="G6271" i="3"/>
  <c r="G6303" i="3"/>
  <c r="G6335" i="3"/>
  <c r="G6367" i="3"/>
  <c r="G6399" i="3"/>
  <c r="G6431" i="3"/>
  <c r="G6463" i="3"/>
  <c r="G6495" i="3"/>
  <c r="G6527" i="3"/>
  <c r="G6559" i="3"/>
  <c r="G6591" i="3"/>
  <c r="G6623" i="3"/>
  <c r="G6655" i="3"/>
  <c r="G6687" i="3"/>
  <c r="G6719" i="3"/>
  <c r="G6751" i="3"/>
  <c r="G6783" i="3"/>
  <c r="G6815" i="3"/>
  <c r="G6847" i="3"/>
  <c r="G6879" i="3"/>
  <c r="G6911" i="3"/>
  <c r="G6943" i="3"/>
  <c r="G6975" i="3"/>
  <c r="G7007" i="3"/>
  <c r="G7039" i="3"/>
  <c r="G7071" i="3"/>
  <c r="G7089" i="3"/>
  <c r="G7111" i="3"/>
  <c r="G7127" i="3"/>
  <c r="G7139" i="3"/>
  <c r="G7150" i="3"/>
  <c r="G7160" i="3"/>
  <c r="G7171" i="3"/>
  <c r="G7182" i="3"/>
  <c r="G7192" i="3"/>
  <c r="G7203" i="3"/>
  <c r="G7214" i="3"/>
  <c r="G7224" i="3"/>
  <c r="G7233" i="3"/>
  <c r="G7241" i="3"/>
  <c r="G7249" i="3"/>
  <c r="G7257" i="3"/>
  <c r="G7265" i="3"/>
  <c r="G7273" i="3"/>
  <c r="G7281" i="3"/>
  <c r="G7289" i="3"/>
  <c r="G7297" i="3"/>
  <c r="G7305" i="3"/>
  <c r="G7313" i="3"/>
  <c r="G7321" i="3"/>
  <c r="G7329" i="3"/>
  <c r="G7337" i="3"/>
  <c r="G7345" i="3"/>
  <c r="G7353" i="3"/>
  <c r="G7361" i="3"/>
  <c r="G7369" i="3"/>
  <c r="G7377" i="3"/>
  <c r="G7385" i="3"/>
  <c r="G7393" i="3"/>
  <c r="G7401" i="3"/>
  <c r="G7409" i="3"/>
  <c r="G7417" i="3"/>
  <c r="G7425" i="3"/>
  <c r="G7433" i="3"/>
  <c r="G7441" i="3"/>
  <c r="G7449" i="3"/>
  <c r="G7457" i="3"/>
  <c r="G7465" i="3"/>
  <c r="G7473" i="3"/>
  <c r="G7481" i="3"/>
  <c r="G7489" i="3"/>
  <c r="G7497" i="3"/>
  <c r="G7505" i="3"/>
  <c r="G7513" i="3"/>
  <c r="G7521" i="3"/>
  <c r="G7529" i="3"/>
  <c r="G7537" i="3"/>
  <c r="G7545" i="3"/>
  <c r="G7553" i="3"/>
  <c r="G7561" i="3"/>
  <c r="G7569" i="3"/>
  <c r="G7577" i="3"/>
  <c r="G7585" i="3"/>
  <c r="G7593" i="3"/>
  <c r="G7601" i="3"/>
  <c r="G7609" i="3"/>
  <c r="G7617" i="3"/>
  <c r="G7625" i="3"/>
  <c r="G7633" i="3"/>
  <c r="G7641" i="3"/>
  <c r="G7649" i="3"/>
  <c r="G7657" i="3"/>
  <c r="G7665" i="3"/>
  <c r="G7673" i="3"/>
  <c r="G7681" i="3"/>
  <c r="G7689" i="3"/>
  <c r="G7697" i="3"/>
  <c r="G7705" i="3"/>
  <c r="G7713" i="3"/>
  <c r="G7721" i="3"/>
  <c r="G7729" i="3"/>
  <c r="G7737" i="3"/>
  <c r="G7745" i="3"/>
  <c r="G7753" i="3"/>
  <c r="G7761" i="3"/>
  <c r="G7769" i="3"/>
  <c r="G7777" i="3"/>
  <c r="G7785" i="3"/>
  <c r="G7793" i="3"/>
  <c r="G7801" i="3"/>
  <c r="G7809" i="3"/>
  <c r="G7817" i="3"/>
  <c r="G7825" i="3"/>
  <c r="G7833" i="3"/>
  <c r="G7841" i="3"/>
  <c r="G7849" i="3"/>
  <c r="G7857" i="3"/>
  <c r="G7865" i="3"/>
  <c r="G7873" i="3"/>
  <c r="G7881" i="3"/>
  <c r="G7889" i="3"/>
  <c r="G7897" i="3"/>
  <c r="G7905" i="3"/>
  <c r="G7913" i="3"/>
  <c r="G7921" i="3"/>
  <c r="G7929" i="3"/>
  <c r="G7937" i="3"/>
  <c r="G7945" i="3"/>
  <c r="G7953" i="3"/>
  <c r="G7961" i="3"/>
  <c r="G7969" i="3"/>
  <c r="G7977" i="3"/>
  <c r="G7985" i="3"/>
  <c r="G7993" i="3"/>
  <c r="G8001" i="3"/>
  <c r="G8009" i="3"/>
  <c r="G8017" i="3"/>
  <c r="G8025" i="3"/>
  <c r="G8033" i="3"/>
  <c r="G8041" i="3"/>
  <c r="G8049" i="3"/>
  <c r="G8057" i="3"/>
  <c r="G8065" i="3"/>
  <c r="G8073" i="3"/>
  <c r="G8081" i="3"/>
  <c r="G8089" i="3"/>
  <c r="G8097" i="3"/>
  <c r="G8105" i="3"/>
  <c r="G8113" i="3"/>
  <c r="G8121" i="3"/>
  <c r="G8129" i="3"/>
  <c r="G8137" i="3"/>
  <c r="G8145" i="3"/>
  <c r="G8153" i="3"/>
  <c r="G8161" i="3"/>
  <c r="G8169" i="3"/>
  <c r="G8177" i="3"/>
  <c r="G8185" i="3"/>
  <c r="G8193" i="3"/>
  <c r="G8201" i="3"/>
  <c r="G8209" i="3"/>
  <c r="G8217" i="3"/>
  <c r="G8225" i="3"/>
  <c r="G8233" i="3"/>
  <c r="G8241" i="3"/>
  <c r="G8249" i="3"/>
  <c r="G8257" i="3"/>
  <c r="G8265" i="3"/>
  <c r="G8273" i="3"/>
  <c r="G8281" i="3"/>
  <c r="G8289" i="3"/>
  <c r="G8297" i="3"/>
  <c r="G8305" i="3"/>
  <c r="G8313" i="3"/>
  <c r="G8321" i="3"/>
  <c r="G8329" i="3"/>
  <c r="G8337" i="3"/>
  <c r="G8345" i="3"/>
  <c r="G8353" i="3"/>
  <c r="G8361" i="3"/>
  <c r="G8369" i="3"/>
  <c r="G8377" i="3"/>
  <c r="G8385" i="3"/>
  <c r="G8393" i="3"/>
  <c r="G8401" i="3"/>
  <c r="G8409" i="3"/>
  <c r="G8417" i="3"/>
  <c r="G8425" i="3"/>
  <c r="G8433" i="3"/>
  <c r="G8441" i="3"/>
  <c r="G8449" i="3"/>
  <c r="G8457" i="3"/>
  <c r="G8465" i="3"/>
  <c r="G8473" i="3"/>
  <c r="G8481" i="3"/>
  <c r="G8489" i="3"/>
  <c r="G8497" i="3"/>
  <c r="G8505" i="3"/>
  <c r="G8513" i="3"/>
  <c r="G8521" i="3"/>
  <c r="G8529" i="3"/>
  <c r="G8537" i="3"/>
  <c r="G8545" i="3"/>
  <c r="G8553" i="3"/>
  <c r="G8561" i="3"/>
  <c r="G8569" i="3"/>
  <c r="G8577" i="3"/>
  <c r="G8585" i="3"/>
  <c r="G8593" i="3"/>
  <c r="G8601" i="3"/>
  <c r="G8609" i="3"/>
  <c r="G8617" i="3"/>
  <c r="G8625" i="3"/>
  <c r="G8633" i="3"/>
  <c r="G8641" i="3"/>
  <c r="G8649" i="3"/>
  <c r="G8657" i="3"/>
  <c r="G8665" i="3"/>
  <c r="G8673" i="3"/>
  <c r="G8681" i="3"/>
  <c r="G8689" i="3"/>
  <c r="G8697" i="3"/>
  <c r="G8705" i="3"/>
  <c r="G8713" i="3"/>
  <c r="G8721" i="3"/>
  <c r="G8729" i="3"/>
  <c r="G4029" i="3"/>
  <c r="G4567" i="3"/>
  <c r="G5032" i="3"/>
  <c r="G5186" i="3"/>
  <c r="G5314" i="3"/>
  <c r="G5442" i="3"/>
  <c r="G5570" i="3"/>
  <c r="G5698" i="3"/>
  <c r="G5826" i="3"/>
  <c r="G5954" i="3"/>
  <c r="G6060" i="3"/>
  <c r="G6112" i="3"/>
  <c r="G6144" i="3"/>
  <c r="G6176" i="3"/>
  <c r="G6208" i="3"/>
  <c r="G6240" i="3"/>
  <c r="G6272" i="3"/>
  <c r="G6304" i="3"/>
  <c r="G6336" i="3"/>
  <c r="G6368" i="3"/>
  <c r="G6400" i="3"/>
  <c r="G6432" i="3"/>
  <c r="G6464" i="3"/>
  <c r="G6496" i="3"/>
  <c r="G6528" i="3"/>
  <c r="G6560" i="3"/>
  <c r="G6592" i="3"/>
  <c r="G6624" i="3"/>
  <c r="G6656" i="3"/>
  <c r="G6688" i="3"/>
  <c r="G6720" i="3"/>
  <c r="G6752" i="3"/>
  <c r="G6784" i="3"/>
  <c r="G6816" i="3"/>
  <c r="G6848" i="3"/>
  <c r="G6880" i="3"/>
  <c r="G6912" i="3"/>
  <c r="G6944" i="3"/>
  <c r="G6976" i="3"/>
  <c r="G7008" i="3"/>
  <c r="G7040" i="3"/>
  <c r="G7072" i="3"/>
  <c r="G7095" i="3"/>
  <c r="G7112" i="3"/>
  <c r="G7128" i="3"/>
  <c r="G7141" i="3"/>
  <c r="G7151" i="3"/>
  <c r="G7161" i="3"/>
  <c r="G7173" i="3"/>
  <c r="G7183" i="3"/>
  <c r="G7193" i="3"/>
  <c r="G7205" i="3"/>
  <c r="G7215" i="3"/>
  <c r="G7225" i="3"/>
  <c r="G7234" i="3"/>
  <c r="G7242" i="3"/>
  <c r="G7250" i="3"/>
  <c r="G7258" i="3"/>
  <c r="G7266" i="3"/>
  <c r="G7274" i="3"/>
  <c r="G7282" i="3"/>
  <c r="G7290" i="3"/>
  <c r="G7298" i="3"/>
  <c r="G7306" i="3"/>
  <c r="G7314" i="3"/>
  <c r="G7322" i="3"/>
  <c r="G7330" i="3"/>
  <c r="G7338" i="3"/>
  <c r="G7346" i="3"/>
  <c r="G7354" i="3"/>
  <c r="G7362" i="3"/>
  <c r="G7370" i="3"/>
  <c r="G7378" i="3"/>
  <c r="G7386" i="3"/>
  <c r="G7394" i="3"/>
  <c r="G7402" i="3"/>
  <c r="G7410" i="3"/>
  <c r="G7418" i="3"/>
  <c r="G7426" i="3"/>
  <c r="G7434" i="3"/>
  <c r="G7442" i="3"/>
  <c r="G7450" i="3"/>
  <c r="G7458" i="3"/>
  <c r="G7466" i="3"/>
  <c r="G7474" i="3"/>
  <c r="G7482" i="3"/>
  <c r="G7490" i="3"/>
  <c r="G7498" i="3"/>
  <c r="G7506" i="3"/>
  <c r="G7514" i="3"/>
  <c r="G7522" i="3"/>
  <c r="G7530" i="3"/>
  <c r="G7538" i="3"/>
  <c r="G7546" i="3"/>
  <c r="G7554" i="3"/>
  <c r="G7562" i="3"/>
  <c r="G7570" i="3"/>
  <c r="G7578" i="3"/>
  <c r="G7586" i="3"/>
  <c r="G7594" i="3"/>
  <c r="G7602" i="3"/>
  <c r="G7610" i="3"/>
  <c r="G7618" i="3"/>
  <c r="G7626" i="3"/>
  <c r="G7634" i="3"/>
  <c r="G7642" i="3"/>
  <c r="G7650" i="3"/>
  <c r="G7658" i="3"/>
  <c r="G7666" i="3"/>
  <c r="G7674" i="3"/>
  <c r="G7682" i="3"/>
  <c r="G7690" i="3"/>
  <c r="G7698" i="3"/>
  <c r="G7706" i="3"/>
  <c r="G7714" i="3"/>
  <c r="G7722" i="3"/>
  <c r="G7730" i="3"/>
  <c r="G7738" i="3"/>
  <c r="G7746" i="3"/>
  <c r="G7754" i="3"/>
  <c r="G7762" i="3"/>
  <c r="G7770" i="3"/>
  <c r="G7778" i="3"/>
  <c r="G7786" i="3"/>
  <c r="G7794" i="3"/>
  <c r="G7802" i="3"/>
  <c r="G7810" i="3"/>
  <c r="G7818" i="3"/>
  <c r="G7826" i="3"/>
  <c r="G7834" i="3"/>
  <c r="G7842" i="3"/>
  <c r="G7850" i="3"/>
  <c r="G7858" i="3"/>
  <c r="G7866" i="3"/>
  <c r="G7874" i="3"/>
  <c r="G7882" i="3"/>
  <c r="G7890" i="3"/>
  <c r="G7898" i="3"/>
  <c r="G7906" i="3"/>
  <c r="G7914" i="3"/>
  <c r="G7922" i="3"/>
  <c r="G7930" i="3"/>
  <c r="G7938" i="3"/>
  <c r="G7946" i="3"/>
  <c r="G7954" i="3"/>
  <c r="G7962" i="3"/>
  <c r="G7970" i="3"/>
  <c r="G7978" i="3"/>
  <c r="G7986" i="3"/>
  <c r="G7994" i="3"/>
  <c r="G8002" i="3"/>
  <c r="G8010" i="3"/>
  <c r="G8018" i="3"/>
  <c r="G8026" i="3"/>
  <c r="G8034" i="3"/>
  <c r="G8042" i="3"/>
  <c r="G8050" i="3"/>
  <c r="G8058" i="3"/>
  <c r="G8066" i="3"/>
  <c r="G8074" i="3"/>
  <c r="G8082" i="3"/>
  <c r="G8090" i="3"/>
  <c r="G8098" i="3"/>
  <c r="G8106" i="3"/>
  <c r="G8114" i="3"/>
  <c r="G8122" i="3"/>
  <c r="G8130" i="3"/>
  <c r="G8138" i="3"/>
  <c r="G8146" i="3"/>
  <c r="G8154" i="3"/>
  <c r="G8162" i="3"/>
  <c r="G8170" i="3"/>
  <c r="G8178" i="3"/>
  <c r="G8186" i="3"/>
  <c r="G8194" i="3"/>
  <c r="G8202" i="3"/>
  <c r="G8210" i="3"/>
  <c r="G8218" i="3"/>
  <c r="G8226" i="3"/>
  <c r="G8234" i="3"/>
  <c r="G8242" i="3"/>
  <c r="G8250" i="3"/>
  <c r="G8258" i="3"/>
  <c r="G8266" i="3"/>
  <c r="G8274" i="3"/>
  <c r="G8282" i="3"/>
  <c r="G8290" i="3"/>
  <c r="G8298" i="3"/>
  <c r="G8306" i="3"/>
  <c r="G8314" i="3"/>
  <c r="G8322" i="3"/>
  <c r="G8330" i="3"/>
  <c r="G8338" i="3"/>
  <c r="G8346" i="3"/>
  <c r="G8354" i="3"/>
  <c r="G8362" i="3"/>
  <c r="G8370" i="3"/>
  <c r="G8378" i="3"/>
  <c r="G8386" i="3"/>
  <c r="G8394" i="3"/>
  <c r="G8402" i="3"/>
  <c r="G8410" i="3"/>
  <c r="G8418" i="3"/>
  <c r="G8426" i="3"/>
  <c r="G8434" i="3"/>
  <c r="G8442" i="3"/>
  <c r="G8450" i="3"/>
  <c r="G8458" i="3"/>
  <c r="G8466" i="3"/>
  <c r="G8474" i="3"/>
  <c r="G8482" i="3"/>
  <c r="G8490" i="3"/>
  <c r="G8498" i="3"/>
  <c r="G8506" i="3"/>
  <c r="G8514" i="3"/>
  <c r="G8522" i="3"/>
  <c r="G8530" i="3"/>
  <c r="G8538" i="3"/>
  <c r="G8546" i="3"/>
  <c r="G8554" i="3"/>
  <c r="G8562" i="3"/>
  <c r="G8570" i="3"/>
  <c r="G8578" i="3"/>
  <c r="G8586" i="3"/>
  <c r="G8594" i="3"/>
  <c r="G8602" i="3"/>
  <c r="G8610" i="3"/>
  <c r="G8618" i="3"/>
  <c r="G8626" i="3"/>
  <c r="G8634" i="3"/>
  <c r="G8642" i="3"/>
  <c r="G8650" i="3"/>
  <c r="G8658" i="3"/>
  <c r="G8666" i="3"/>
  <c r="G8674" i="3"/>
  <c r="G8682" i="3"/>
  <c r="G8690" i="3"/>
  <c r="G8698" i="3"/>
  <c r="G8706" i="3"/>
  <c r="G8714" i="3"/>
  <c r="G8722" i="3"/>
  <c r="G8730" i="3"/>
  <c r="G8738" i="3"/>
  <c r="G8746" i="3"/>
  <c r="G8754" i="3"/>
  <c r="G8762" i="3"/>
  <c r="G8770" i="3"/>
  <c r="G8778" i="3"/>
  <c r="G8786" i="3"/>
  <c r="G8794" i="3"/>
  <c r="G8802" i="3"/>
  <c r="G8810" i="3"/>
  <c r="G8818" i="3"/>
  <c r="G8826" i="3"/>
  <c r="G8834" i="3"/>
  <c r="G8842" i="3"/>
  <c r="G8850" i="3"/>
  <c r="G8858" i="3"/>
  <c r="G8866" i="3"/>
  <c r="G8874" i="3"/>
  <c r="G8882" i="3"/>
  <c r="G8890" i="3"/>
  <c r="G8898" i="3"/>
  <c r="G8906" i="3"/>
  <c r="G8914" i="3"/>
  <c r="G8922" i="3"/>
  <c r="G8930" i="3"/>
  <c r="G4156" i="3"/>
  <c r="G4670" i="3"/>
  <c r="G5071" i="3"/>
  <c r="G5211" i="3"/>
  <c r="G5339" i="3"/>
  <c r="G5467" i="3"/>
  <c r="G5595" i="3"/>
  <c r="G5723" i="3"/>
  <c r="G5851" i="3"/>
  <c r="G5979" i="3"/>
  <c r="G6075" i="3"/>
  <c r="G6119" i="3"/>
  <c r="G6151" i="3"/>
  <c r="G6183" i="3"/>
  <c r="G6215" i="3"/>
  <c r="G6247" i="3"/>
  <c r="G6279" i="3"/>
  <c r="G6311" i="3"/>
  <c r="G6343" i="3"/>
  <c r="G6375" i="3"/>
  <c r="G6407" i="3"/>
  <c r="G6439" i="3"/>
  <c r="G6471" i="3"/>
  <c r="G6503" i="3"/>
  <c r="G6535" i="3"/>
  <c r="G6567" i="3"/>
  <c r="G6599" i="3"/>
  <c r="G6631" i="3"/>
  <c r="G6663" i="3"/>
  <c r="G6695" i="3"/>
  <c r="G6727" i="3"/>
  <c r="G6759" i="3"/>
  <c r="G6791" i="3"/>
  <c r="G6823" i="3"/>
  <c r="G6855" i="3"/>
  <c r="G6887" i="3"/>
  <c r="G6919" i="3"/>
  <c r="G6951" i="3"/>
  <c r="G6983" i="3"/>
  <c r="G7015" i="3"/>
  <c r="G7047" i="3"/>
  <c r="G7073" i="3"/>
  <c r="G7096" i="3"/>
  <c r="G7113" i="3"/>
  <c r="G7129" i="3"/>
  <c r="G7142" i="3"/>
  <c r="G7152" i="3"/>
  <c r="G7163" i="3"/>
  <c r="G7174" i="3"/>
  <c r="G7184" i="3"/>
  <c r="G7195" i="3"/>
  <c r="G7206" i="3"/>
  <c r="G7216" i="3"/>
  <c r="G7226" i="3"/>
  <c r="G7235" i="3"/>
  <c r="G7243" i="3"/>
  <c r="G7251" i="3"/>
  <c r="G7259" i="3"/>
  <c r="G7267" i="3"/>
  <c r="G7275" i="3"/>
  <c r="G7283" i="3"/>
  <c r="G7291" i="3"/>
  <c r="G7299" i="3"/>
  <c r="G7307" i="3"/>
  <c r="G7315" i="3"/>
  <c r="G7323" i="3"/>
  <c r="G7331" i="3"/>
  <c r="G7339" i="3"/>
  <c r="G7347" i="3"/>
  <c r="G7355" i="3"/>
  <c r="G7363" i="3"/>
  <c r="G7371" i="3"/>
  <c r="G7379" i="3"/>
  <c r="G7387" i="3"/>
  <c r="G7395" i="3"/>
  <c r="G7403" i="3"/>
  <c r="G7411" i="3"/>
  <c r="G7419" i="3"/>
  <c r="G7427" i="3"/>
  <c r="G7435" i="3"/>
  <c r="G7443" i="3"/>
  <c r="G7451" i="3"/>
  <c r="G7459" i="3"/>
  <c r="G7467" i="3"/>
  <c r="G7475" i="3"/>
  <c r="G7483" i="3"/>
  <c r="G7491" i="3"/>
  <c r="G7499" i="3"/>
  <c r="G7507" i="3"/>
  <c r="G7515" i="3"/>
  <c r="G7523" i="3"/>
  <c r="G7531" i="3"/>
  <c r="G7539" i="3"/>
  <c r="G7547" i="3"/>
  <c r="G7555" i="3"/>
  <c r="G7563" i="3"/>
  <c r="G7571" i="3"/>
  <c r="G7579" i="3"/>
  <c r="G7587" i="3"/>
  <c r="G7595" i="3"/>
  <c r="G7603" i="3"/>
  <c r="G7611" i="3"/>
  <c r="G7619" i="3"/>
  <c r="G7627" i="3"/>
  <c r="G7635" i="3"/>
  <c r="G7643" i="3"/>
  <c r="G7651" i="3"/>
  <c r="G7659" i="3"/>
  <c r="G7667" i="3"/>
  <c r="G7675" i="3"/>
  <c r="G7683" i="3"/>
  <c r="G7691" i="3"/>
  <c r="G7699" i="3"/>
  <c r="G7707" i="3"/>
  <c r="G7715" i="3"/>
  <c r="G7723" i="3"/>
  <c r="G7731" i="3"/>
  <c r="G7739" i="3"/>
  <c r="G7747" i="3"/>
  <c r="G7755" i="3"/>
  <c r="G7763" i="3"/>
  <c r="G7771" i="3"/>
  <c r="G7779" i="3"/>
  <c r="G7787" i="3"/>
  <c r="G7795" i="3"/>
  <c r="G7803" i="3"/>
  <c r="G7811" i="3"/>
  <c r="G7819" i="3"/>
  <c r="G7827" i="3"/>
  <c r="G7835" i="3"/>
  <c r="G7843" i="3"/>
  <c r="G7851" i="3"/>
  <c r="G7859" i="3"/>
  <c r="G7867" i="3"/>
  <c r="G7875" i="3"/>
  <c r="G7883" i="3"/>
  <c r="G7891" i="3"/>
  <c r="G7899" i="3"/>
  <c r="G7907" i="3"/>
  <c r="G7915" i="3"/>
  <c r="G7923" i="3"/>
  <c r="G7931" i="3"/>
  <c r="G7939" i="3"/>
  <c r="G7947" i="3"/>
  <c r="G7955" i="3"/>
  <c r="G7963" i="3"/>
  <c r="G7971" i="3"/>
  <c r="G7979" i="3"/>
  <c r="G7987" i="3"/>
  <c r="G7995" i="3"/>
  <c r="G8003" i="3"/>
  <c r="G8011" i="3"/>
  <c r="G8019" i="3"/>
  <c r="G8027" i="3"/>
  <c r="G8035" i="3"/>
  <c r="G8043" i="3"/>
  <c r="G8051" i="3"/>
  <c r="G8059" i="3"/>
  <c r="G8067" i="3"/>
  <c r="G8075" i="3"/>
  <c r="G8083" i="3"/>
  <c r="G8091" i="3"/>
  <c r="G8099" i="3"/>
  <c r="G8107" i="3"/>
  <c r="G8115" i="3"/>
  <c r="G8123" i="3"/>
  <c r="G8131" i="3"/>
  <c r="G8139" i="3"/>
  <c r="G8147" i="3"/>
  <c r="G8155" i="3"/>
  <c r="G8163" i="3"/>
  <c r="G8171" i="3"/>
  <c r="G8179" i="3"/>
  <c r="G8187" i="3"/>
  <c r="G8195" i="3"/>
  <c r="G8203" i="3"/>
  <c r="G8211" i="3"/>
  <c r="G8219" i="3"/>
  <c r="G8227" i="3"/>
  <c r="G8235" i="3"/>
  <c r="G8243" i="3"/>
  <c r="G8251" i="3"/>
  <c r="G8259" i="3"/>
  <c r="G8267" i="3"/>
  <c r="G8275" i="3"/>
  <c r="G8283" i="3"/>
  <c r="G8291" i="3"/>
  <c r="G8299" i="3"/>
  <c r="G8307" i="3"/>
  <c r="G8315" i="3"/>
  <c r="G8323" i="3"/>
  <c r="G8331" i="3"/>
  <c r="G8339" i="3"/>
  <c r="G8347" i="3"/>
  <c r="G8355" i="3"/>
  <c r="G8363" i="3"/>
  <c r="G8371" i="3"/>
  <c r="G8379" i="3"/>
  <c r="G8387" i="3"/>
  <c r="G8395" i="3"/>
  <c r="G8403" i="3"/>
  <c r="G8411" i="3"/>
  <c r="G8419" i="3"/>
  <c r="G8427" i="3"/>
  <c r="G8435" i="3"/>
  <c r="G8443" i="3"/>
  <c r="G8451" i="3"/>
  <c r="G8459" i="3"/>
  <c r="G8467" i="3"/>
  <c r="G8475" i="3"/>
  <c r="G8483" i="3"/>
  <c r="G8491" i="3"/>
  <c r="G8499" i="3"/>
  <c r="G8507" i="3"/>
  <c r="G8515" i="3"/>
  <c r="G8523" i="3"/>
  <c r="G8531" i="3"/>
  <c r="G8539" i="3"/>
  <c r="G8547" i="3"/>
  <c r="G8555" i="3"/>
  <c r="G8563" i="3"/>
  <c r="G8571" i="3"/>
  <c r="G8579" i="3"/>
  <c r="G8587" i="3"/>
  <c r="G8595" i="3"/>
  <c r="G4183" i="3"/>
  <c r="G4695" i="3"/>
  <c r="G5079" i="3"/>
  <c r="G5218" i="3"/>
  <c r="G5346" i="3"/>
  <c r="G5474" i="3"/>
  <c r="G5602" i="3"/>
  <c r="G5730" i="3"/>
  <c r="G5858" i="3"/>
  <c r="G5986" i="3"/>
  <c r="G6076" i="3"/>
  <c r="G6120" i="3"/>
  <c r="G6152" i="3"/>
  <c r="G6184" i="3"/>
  <c r="G6216" i="3"/>
  <c r="G6248" i="3"/>
  <c r="G6280" i="3"/>
  <c r="G6312" i="3"/>
  <c r="G6344" i="3"/>
  <c r="G6376" i="3"/>
  <c r="G6408" i="3"/>
  <c r="G6440" i="3"/>
  <c r="G6472" i="3"/>
  <c r="G6504" i="3"/>
  <c r="G6536" i="3"/>
  <c r="G6568" i="3"/>
  <c r="G6600" i="3"/>
  <c r="G6632" i="3"/>
  <c r="G6664" i="3"/>
  <c r="G6696" i="3"/>
  <c r="G6728" i="3"/>
  <c r="G6760" i="3"/>
  <c r="G6792" i="3"/>
  <c r="G6824" i="3"/>
  <c r="G6856" i="3"/>
  <c r="G6888" i="3"/>
  <c r="G6920" i="3"/>
  <c r="G6952" i="3"/>
  <c r="G6984" i="3"/>
  <c r="G7016" i="3"/>
  <c r="G7048" i="3"/>
  <c r="G7079" i="3"/>
  <c r="G7097" i="3"/>
  <c r="G7118" i="3"/>
  <c r="G7131" i="3"/>
  <c r="G7143" i="3"/>
  <c r="G7153" i="3"/>
  <c r="G7165" i="3"/>
  <c r="G7175" i="3"/>
  <c r="G7185" i="3"/>
  <c r="G7197" i="3"/>
  <c r="G7207" i="3"/>
  <c r="G7217" i="3"/>
  <c r="G7227" i="3"/>
  <c r="G7236" i="3"/>
  <c r="G7244" i="3"/>
  <c r="G7252" i="3"/>
  <c r="G7260" i="3"/>
  <c r="G7268" i="3"/>
  <c r="G7276" i="3"/>
  <c r="G7284" i="3"/>
  <c r="G7292" i="3"/>
  <c r="G7300" i="3"/>
  <c r="G7308" i="3"/>
  <c r="G7316" i="3"/>
  <c r="G7324" i="3"/>
  <c r="G7332" i="3"/>
  <c r="G7340" i="3"/>
  <c r="G7348" i="3"/>
  <c r="G7356" i="3"/>
  <c r="G7364" i="3"/>
  <c r="G7372" i="3"/>
  <c r="G7380" i="3"/>
  <c r="G7388" i="3"/>
  <c r="G7396" i="3"/>
  <c r="G7404" i="3"/>
  <c r="G7412" i="3"/>
  <c r="G7420" i="3"/>
  <c r="G7428" i="3"/>
  <c r="G7436" i="3"/>
  <c r="G7444" i="3"/>
  <c r="G7452" i="3"/>
  <c r="G7460" i="3"/>
  <c r="G7468" i="3"/>
  <c r="G7476" i="3"/>
  <c r="G7484" i="3"/>
  <c r="G7492" i="3"/>
  <c r="G7500" i="3"/>
  <c r="G7508" i="3"/>
  <c r="G7516" i="3"/>
  <c r="G7524" i="3"/>
  <c r="G7532" i="3"/>
  <c r="G7540" i="3"/>
  <c r="G7548" i="3"/>
  <c r="G7556" i="3"/>
  <c r="G7564" i="3"/>
  <c r="G7572" i="3"/>
  <c r="G7580" i="3"/>
  <c r="G7588" i="3"/>
  <c r="G7596" i="3"/>
  <c r="G7604" i="3"/>
  <c r="G7612" i="3"/>
  <c r="G7620" i="3"/>
  <c r="G7628" i="3"/>
  <c r="G7636" i="3"/>
  <c r="G7644" i="3"/>
  <c r="G7652" i="3"/>
  <c r="G7660" i="3"/>
  <c r="G7668" i="3"/>
  <c r="G7676" i="3"/>
  <c r="G7684" i="3"/>
  <c r="G7692" i="3"/>
  <c r="G7700" i="3"/>
  <c r="G7708" i="3"/>
  <c r="G7716" i="3"/>
  <c r="G7724" i="3"/>
  <c r="G7732" i="3"/>
  <c r="G7740" i="3"/>
  <c r="G7748" i="3"/>
  <c r="G7756" i="3"/>
  <c r="G7764" i="3"/>
  <c r="G7772" i="3"/>
  <c r="G7780" i="3"/>
  <c r="G7788" i="3"/>
  <c r="G7796" i="3"/>
  <c r="G7804" i="3"/>
  <c r="G7812" i="3"/>
  <c r="G7820" i="3"/>
  <c r="G7828" i="3"/>
  <c r="G7836" i="3"/>
  <c r="G7844" i="3"/>
  <c r="G7852" i="3"/>
  <c r="G7860" i="3"/>
  <c r="G7868" i="3"/>
  <c r="G7876" i="3"/>
  <c r="G7884" i="3"/>
  <c r="G7892" i="3"/>
  <c r="G7900" i="3"/>
  <c r="G7908" i="3"/>
  <c r="G7916" i="3"/>
  <c r="G7924" i="3"/>
  <c r="G7932" i="3"/>
  <c r="G7940" i="3"/>
  <c r="G7948" i="3"/>
  <c r="G7956" i="3"/>
  <c r="G7964" i="3"/>
  <c r="G7972" i="3"/>
  <c r="G7980" i="3"/>
  <c r="G7988" i="3"/>
  <c r="G7996" i="3"/>
  <c r="G8004" i="3"/>
  <c r="G8012" i="3"/>
  <c r="G8020" i="3"/>
  <c r="G8028" i="3"/>
  <c r="G8036" i="3"/>
  <c r="G8044" i="3"/>
  <c r="G8052" i="3"/>
  <c r="G8060" i="3"/>
  <c r="G8068" i="3"/>
  <c r="G8076" i="3"/>
  <c r="G8084" i="3"/>
  <c r="G8092" i="3"/>
  <c r="G8100" i="3"/>
  <c r="G8108" i="3"/>
  <c r="G8116" i="3"/>
  <c r="G8124" i="3"/>
  <c r="G8132" i="3"/>
  <c r="G8140" i="3"/>
  <c r="G8148" i="3"/>
  <c r="G8156" i="3"/>
  <c r="G3711" i="3"/>
  <c r="G5115" i="3"/>
  <c r="G5499" i="3"/>
  <c r="G5794" i="3"/>
  <c r="G6092" i="3"/>
  <c r="G6191" i="3"/>
  <c r="G6264" i="3"/>
  <c r="G6352" i="3"/>
  <c r="G6447" i="3"/>
  <c r="G6520" i="3"/>
  <c r="G6608" i="3"/>
  <c r="G6703" i="3"/>
  <c r="G6776" i="3"/>
  <c r="G6864" i="3"/>
  <c r="G6959" i="3"/>
  <c r="G7032" i="3"/>
  <c r="G7104" i="3"/>
  <c r="G7144" i="3"/>
  <c r="G7169" i="3"/>
  <c r="G7199" i="3"/>
  <c r="G7229" i="3"/>
  <c r="G7248" i="3"/>
  <c r="G7270" i="3"/>
  <c r="G7293" i="3"/>
  <c r="G7312" i="3"/>
  <c r="G7334" i="3"/>
  <c r="G7357" i="3"/>
  <c r="G7376" i="3"/>
  <c r="G7398" i="3"/>
  <c r="G7421" i="3"/>
  <c r="G7440" i="3"/>
  <c r="G7462" i="3"/>
  <c r="G7485" i="3"/>
  <c r="G7504" i="3"/>
  <c r="G7526" i="3"/>
  <c r="G7549" i="3"/>
  <c r="G7568" i="3"/>
  <c r="G7590" i="3"/>
  <c r="G7613" i="3"/>
  <c r="G7632" i="3"/>
  <c r="G7654" i="3"/>
  <c r="G7677" i="3"/>
  <c r="G7696" i="3"/>
  <c r="G7718" i="3"/>
  <c r="G7741" i="3"/>
  <c r="G7760" i="3"/>
  <c r="G7782" i="3"/>
  <c r="G7805" i="3"/>
  <c r="G7824" i="3"/>
  <c r="G7846" i="3"/>
  <c r="G7869" i="3"/>
  <c r="G7888" i="3"/>
  <c r="G7910" i="3"/>
  <c r="G7933" i="3"/>
  <c r="G7952" i="3"/>
  <c r="G7974" i="3"/>
  <c r="G7997" i="3"/>
  <c r="G8016" i="3"/>
  <c r="G8038" i="3"/>
  <c r="G8061" i="3"/>
  <c r="G8080" i="3"/>
  <c r="G8102" i="3"/>
  <c r="G8125" i="3"/>
  <c r="G8144" i="3"/>
  <c r="G8165" i="3"/>
  <c r="G8181" i="3"/>
  <c r="G8197" i="3"/>
  <c r="G8213" i="3"/>
  <c r="G8229" i="3"/>
  <c r="G8245" i="3"/>
  <c r="G8261" i="3"/>
  <c r="G8277" i="3"/>
  <c r="G8293" i="3"/>
  <c r="G8309" i="3"/>
  <c r="G8325" i="3"/>
  <c r="G8341" i="3"/>
  <c r="G8357" i="3"/>
  <c r="G8373" i="3"/>
  <c r="G8389" i="3"/>
  <c r="G8405" i="3"/>
  <c r="G8421" i="3"/>
  <c r="G8437" i="3"/>
  <c r="G8453" i="3"/>
  <c r="G8469" i="3"/>
  <c r="G8485" i="3"/>
  <c r="G8501" i="3"/>
  <c r="G8517" i="3"/>
  <c r="G8533" i="3"/>
  <c r="G8549" i="3"/>
  <c r="G8565" i="3"/>
  <c r="G8581" i="3"/>
  <c r="G8597" i="3"/>
  <c r="G8611" i="3"/>
  <c r="G8622" i="3"/>
  <c r="G8636" i="3"/>
  <c r="G8648" i="3"/>
  <c r="G8661" i="3"/>
  <c r="G8675" i="3"/>
  <c r="G8686" i="3"/>
  <c r="G8700" i="3"/>
  <c r="G8712" i="3"/>
  <c r="G8725" i="3"/>
  <c r="G8737" i="3"/>
  <c r="G8748" i="3"/>
  <c r="G8758" i="3"/>
  <c r="G8769" i="3"/>
  <c r="G8780" i="3"/>
  <c r="G8790" i="3"/>
  <c r="G8801" i="3"/>
  <c r="G8812" i="3"/>
  <c r="G8822" i="3"/>
  <c r="G8831" i="3"/>
  <c r="G8840" i="3"/>
  <c r="G8849" i="3"/>
  <c r="G8859" i="3"/>
  <c r="G8868" i="3"/>
  <c r="G8877" i="3"/>
  <c r="G8886" i="3"/>
  <c r="G8895" i="3"/>
  <c r="G8904" i="3"/>
  <c r="G8913" i="3"/>
  <c r="G8923" i="3"/>
  <c r="G8932" i="3"/>
  <c r="G8940" i="3"/>
  <c r="G8948" i="3"/>
  <c r="G8956" i="3"/>
  <c r="G8964" i="3"/>
  <c r="G8972" i="3"/>
  <c r="G8980" i="3"/>
  <c r="G8988" i="3"/>
  <c r="G8996" i="3"/>
  <c r="G9004" i="3"/>
  <c r="G9012" i="3"/>
  <c r="G9020" i="3"/>
  <c r="G9028" i="3"/>
  <c r="G9036" i="3"/>
  <c r="G9044" i="3"/>
  <c r="G9052" i="3"/>
  <c r="G9060" i="3"/>
  <c r="G9068" i="3"/>
  <c r="G9076" i="3"/>
  <c r="G9084" i="3"/>
  <c r="G9092" i="3"/>
  <c r="G9100" i="3"/>
  <c r="G9108" i="3"/>
  <c r="G9116" i="3"/>
  <c r="G9124" i="3"/>
  <c r="G9132" i="3"/>
  <c r="G9140" i="3"/>
  <c r="G9148" i="3"/>
  <c r="G9156" i="3"/>
  <c r="G9164" i="3"/>
  <c r="G9172" i="3"/>
  <c r="G9180" i="3"/>
  <c r="G9188" i="3"/>
  <c r="G9196" i="3"/>
  <c r="G9204" i="3"/>
  <c r="G9212" i="3"/>
  <c r="G9220" i="3"/>
  <c r="G9228" i="3"/>
  <c r="G9236" i="3"/>
  <c r="G9244" i="3"/>
  <c r="G9252" i="3"/>
  <c r="G9260" i="3"/>
  <c r="G9268" i="3"/>
  <c r="G9276" i="3"/>
  <c r="G9284" i="3"/>
  <c r="G9292" i="3"/>
  <c r="G9300" i="3"/>
  <c r="G9308" i="3"/>
  <c r="G9316" i="3"/>
  <c r="G9324" i="3"/>
  <c r="G9332" i="3"/>
  <c r="G9340" i="3"/>
  <c r="G9348" i="3"/>
  <c r="G9356" i="3"/>
  <c r="G9364" i="3"/>
  <c r="G9372" i="3"/>
  <c r="G9380" i="3"/>
  <c r="G9388" i="3"/>
  <c r="G9396" i="3"/>
  <c r="G9404" i="3"/>
  <c r="G9412" i="3"/>
  <c r="G9420" i="3"/>
  <c r="G9428" i="3"/>
  <c r="G9436" i="3"/>
  <c r="G9444" i="3"/>
  <c r="G9452" i="3"/>
  <c r="G9460" i="3"/>
  <c r="G9468" i="3"/>
  <c r="G9476" i="3"/>
  <c r="G9484" i="3"/>
  <c r="G9492" i="3"/>
  <c r="G9500" i="3"/>
  <c r="G9508" i="3"/>
  <c r="G9516" i="3"/>
  <c r="G9524" i="3"/>
  <c r="G9532" i="3"/>
  <c r="G9540" i="3"/>
  <c r="G9548" i="3"/>
  <c r="G9556" i="3"/>
  <c r="G9564" i="3"/>
  <c r="G9572" i="3"/>
  <c r="G9580" i="3"/>
  <c r="G9588" i="3"/>
  <c r="G9596" i="3"/>
  <c r="G9604" i="3"/>
  <c r="G9612" i="3"/>
  <c r="G9620" i="3"/>
  <c r="G9628" i="3"/>
  <c r="G9636" i="3"/>
  <c r="G9644" i="3"/>
  <c r="G9652" i="3"/>
  <c r="G9660" i="3"/>
  <c r="G9668" i="3"/>
  <c r="G9676" i="3"/>
  <c r="G9684" i="3"/>
  <c r="G9692" i="3"/>
  <c r="G9700" i="3"/>
  <c r="G9708" i="3"/>
  <c r="G9716" i="3"/>
  <c r="G9724" i="3"/>
  <c r="G9732" i="3"/>
  <c r="G9740" i="3"/>
  <c r="G9748" i="3"/>
  <c r="G9756" i="3"/>
  <c r="G9764" i="3"/>
  <c r="G9772" i="3"/>
  <c r="G9780" i="3"/>
  <c r="G9788" i="3"/>
  <c r="G9796" i="3"/>
  <c r="G9804" i="3"/>
  <c r="G9812" i="3"/>
  <c r="G9820" i="3"/>
  <c r="G9828" i="3"/>
  <c r="G9836" i="3"/>
  <c r="G9844" i="3"/>
  <c r="G9852" i="3"/>
  <c r="G9860" i="3"/>
  <c r="G9868" i="3"/>
  <c r="G9876" i="3"/>
  <c r="G9884" i="3"/>
  <c r="G9892" i="3"/>
  <c r="G9900" i="3"/>
  <c r="G9908" i="3"/>
  <c r="G9916" i="3"/>
  <c r="G9924" i="3"/>
  <c r="G9932" i="3"/>
  <c r="G9940" i="3"/>
  <c r="G9948" i="3"/>
  <c r="G9956" i="3"/>
  <c r="G9964" i="3"/>
  <c r="G9972" i="3"/>
  <c r="G9980" i="3"/>
  <c r="G9988" i="3"/>
  <c r="G9996" i="3"/>
  <c r="G4" i="3"/>
  <c r="G4286" i="3"/>
  <c r="G5152" i="3"/>
  <c r="G5506" i="3"/>
  <c r="G5883" i="3"/>
  <c r="G6104" i="3"/>
  <c r="G6192" i="3"/>
  <c r="G6287" i="3"/>
  <c r="G6360" i="3"/>
  <c r="G6448" i="3"/>
  <c r="G6543" i="3"/>
  <c r="G6616" i="3"/>
  <c r="G6704" i="3"/>
  <c r="G6799" i="3"/>
  <c r="G6872" i="3"/>
  <c r="G6960" i="3"/>
  <c r="G7055" i="3"/>
  <c r="G7110" i="3"/>
  <c r="G7145" i="3"/>
  <c r="G7176" i="3"/>
  <c r="G7201" i="3"/>
  <c r="G7230" i="3"/>
  <c r="G7253" i="3"/>
  <c r="G7272" i="3"/>
  <c r="G7294" i="3"/>
  <c r="G7317" i="3"/>
  <c r="G7336" i="3"/>
  <c r="G7358" i="3"/>
  <c r="G7381" i="3"/>
  <c r="G7400" i="3"/>
  <c r="G7422" i="3"/>
  <c r="G7445" i="3"/>
  <c r="G7464" i="3"/>
  <c r="G7486" i="3"/>
  <c r="G7509" i="3"/>
  <c r="G7528" i="3"/>
  <c r="G7550" i="3"/>
  <c r="G7573" i="3"/>
  <c r="G7592" i="3"/>
  <c r="G7614" i="3"/>
  <c r="G7637" i="3"/>
  <c r="G7656" i="3"/>
  <c r="G7678" i="3"/>
  <c r="G7701" i="3"/>
  <c r="G7720" i="3"/>
  <c r="G7742" i="3"/>
  <c r="G7765" i="3"/>
  <c r="G7784" i="3"/>
  <c r="G7806" i="3"/>
  <c r="G7829" i="3"/>
  <c r="G7848" i="3"/>
  <c r="G7870" i="3"/>
  <c r="G7893" i="3"/>
  <c r="G7912" i="3"/>
  <c r="G7934" i="3"/>
  <c r="G7957" i="3"/>
  <c r="G7976" i="3"/>
  <c r="G7998" i="3"/>
  <c r="G8021" i="3"/>
  <c r="G8040" i="3"/>
  <c r="G8062" i="3"/>
  <c r="G8085" i="3"/>
  <c r="G8104" i="3"/>
  <c r="G8126" i="3"/>
  <c r="G8149" i="3"/>
  <c r="G8166" i="3"/>
  <c r="G8182" i="3"/>
  <c r="G8198" i="3"/>
  <c r="G8214" i="3"/>
  <c r="G8230" i="3"/>
  <c r="G8246" i="3"/>
  <c r="G8262" i="3"/>
  <c r="G8278" i="3"/>
  <c r="G8294" i="3"/>
  <c r="G8310" i="3"/>
  <c r="G8326" i="3"/>
  <c r="G8342" i="3"/>
  <c r="G8358" i="3"/>
  <c r="G8374" i="3"/>
  <c r="G8390" i="3"/>
  <c r="G8406" i="3"/>
  <c r="G8422" i="3"/>
  <c r="G8438" i="3"/>
  <c r="G8454" i="3"/>
  <c r="G8470" i="3"/>
  <c r="G8486" i="3"/>
  <c r="G8502" i="3"/>
  <c r="G8518" i="3"/>
  <c r="G8534" i="3"/>
  <c r="G8550" i="3"/>
  <c r="G8566" i="3"/>
  <c r="G8582" i="3"/>
  <c r="G8598" i="3"/>
  <c r="G8612" i="3"/>
  <c r="G8624" i="3"/>
  <c r="G8637" i="3"/>
  <c r="G8651" i="3"/>
  <c r="G8662" i="3"/>
  <c r="G8676" i="3"/>
  <c r="G8688" i="3"/>
  <c r="G8701" i="3"/>
  <c r="G8715" i="3"/>
  <c r="G8726" i="3"/>
  <c r="G8739" i="3"/>
  <c r="G8749" i="3"/>
  <c r="G8760" i="3"/>
  <c r="G8771" i="3"/>
  <c r="G8781" i="3"/>
  <c r="G8792" i="3"/>
  <c r="G8803" i="3"/>
  <c r="G8813" i="3"/>
  <c r="G8823" i="3"/>
  <c r="G8832" i="3"/>
  <c r="G8841" i="3"/>
  <c r="G8851" i="3"/>
  <c r="G8860" i="3"/>
  <c r="G8869" i="3"/>
  <c r="G8878" i="3"/>
  <c r="G8887" i="3"/>
  <c r="G8896" i="3"/>
  <c r="G8905" i="3"/>
  <c r="G8915" i="3"/>
  <c r="G8924" i="3"/>
  <c r="G8933" i="3"/>
  <c r="G8941" i="3"/>
  <c r="G8949" i="3"/>
  <c r="G8957" i="3"/>
  <c r="G8965" i="3"/>
  <c r="G8973" i="3"/>
  <c r="G8981" i="3"/>
  <c r="G8989" i="3"/>
  <c r="G8997" i="3"/>
  <c r="G9005" i="3"/>
  <c r="G9013" i="3"/>
  <c r="G9021" i="3"/>
  <c r="G9029" i="3"/>
  <c r="G9037" i="3"/>
  <c r="G9045" i="3"/>
  <c r="G9053" i="3"/>
  <c r="G9061" i="3"/>
  <c r="G9069" i="3"/>
  <c r="G9077" i="3"/>
  <c r="G9085" i="3"/>
  <c r="G9093" i="3"/>
  <c r="G9101" i="3"/>
  <c r="G9109" i="3"/>
  <c r="G9117" i="3"/>
  <c r="G9125" i="3"/>
  <c r="G9133" i="3"/>
  <c r="G9141" i="3"/>
  <c r="G9149" i="3"/>
  <c r="G9157" i="3"/>
  <c r="G9165" i="3"/>
  <c r="G9173" i="3"/>
  <c r="G9181" i="3"/>
  <c r="G9189" i="3"/>
  <c r="G9197" i="3"/>
  <c r="G9205" i="3"/>
  <c r="G9213" i="3"/>
  <c r="G9221" i="3"/>
  <c r="G9229" i="3"/>
  <c r="G9237" i="3"/>
  <c r="G9245" i="3"/>
  <c r="G9253" i="3"/>
  <c r="G9261" i="3"/>
  <c r="G9269" i="3"/>
  <c r="G9277" i="3"/>
  <c r="G9285" i="3"/>
  <c r="G9293" i="3"/>
  <c r="G9301" i="3"/>
  <c r="G9309" i="3"/>
  <c r="G9317" i="3"/>
  <c r="G9325" i="3"/>
  <c r="G9333" i="3"/>
  <c r="G9341" i="3"/>
  <c r="G9349" i="3"/>
  <c r="G9357" i="3"/>
  <c r="G9365" i="3"/>
  <c r="G9373" i="3"/>
  <c r="G9381" i="3"/>
  <c r="G9389" i="3"/>
  <c r="G9397" i="3"/>
  <c r="G9405" i="3"/>
  <c r="G9413" i="3"/>
  <c r="G9421" i="3"/>
  <c r="G9429" i="3"/>
  <c r="G9437" i="3"/>
  <c r="G9445" i="3"/>
  <c r="G9453" i="3"/>
  <c r="G9461" i="3"/>
  <c r="G9469" i="3"/>
  <c r="G9477" i="3"/>
  <c r="G9485" i="3"/>
  <c r="G9493" i="3"/>
  <c r="G9501" i="3"/>
  <c r="G9509" i="3"/>
  <c r="G9517" i="3"/>
  <c r="G9525" i="3"/>
  <c r="G9533" i="3"/>
  <c r="G9541" i="3"/>
  <c r="G9549" i="3"/>
  <c r="G9557" i="3"/>
  <c r="G9565" i="3"/>
  <c r="G9573" i="3"/>
  <c r="G9581" i="3"/>
  <c r="G9589" i="3"/>
  <c r="G9597" i="3"/>
  <c r="G9605" i="3"/>
  <c r="G9613" i="3"/>
  <c r="G9621" i="3"/>
  <c r="G9629" i="3"/>
  <c r="G9637" i="3"/>
  <c r="G9645" i="3"/>
  <c r="G9653" i="3"/>
  <c r="G9661" i="3"/>
  <c r="G9669" i="3"/>
  <c r="G9677" i="3"/>
  <c r="G9685" i="3"/>
  <c r="G9693" i="3"/>
  <c r="G9701" i="3"/>
  <c r="G9709" i="3"/>
  <c r="G9717" i="3"/>
  <c r="G9725" i="3"/>
  <c r="G9733" i="3"/>
  <c r="G9741" i="3"/>
  <c r="G9749" i="3"/>
  <c r="G9757" i="3"/>
  <c r="G9765" i="3"/>
  <c r="G9773" i="3"/>
  <c r="G9781" i="3"/>
  <c r="G9789" i="3"/>
  <c r="G9797" i="3"/>
  <c r="G9805" i="3"/>
  <c r="G9813" i="3"/>
  <c r="G9821" i="3"/>
  <c r="G9829" i="3"/>
  <c r="G9837" i="3"/>
  <c r="G9845" i="3"/>
  <c r="G9853" i="3"/>
  <c r="G9861" i="3"/>
  <c r="G9869" i="3"/>
  <c r="G9877" i="3"/>
  <c r="G9885" i="3"/>
  <c r="G9893" i="3"/>
  <c r="G9901" i="3"/>
  <c r="G9909" i="3"/>
  <c r="G9917" i="3"/>
  <c r="G9925" i="3"/>
  <c r="G9933" i="3"/>
  <c r="G9941" i="3"/>
  <c r="G9949" i="3"/>
  <c r="G9957" i="3"/>
  <c r="G9965" i="3"/>
  <c r="G9973" i="3"/>
  <c r="G9981" i="3"/>
  <c r="G9989" i="3"/>
  <c r="G9997" i="3"/>
  <c r="G4439" i="3"/>
  <c r="G5250" i="3"/>
  <c r="G5627" i="3"/>
  <c r="G5922" i="3"/>
  <c r="G6128" i="3"/>
  <c r="G6223" i="3"/>
  <c r="G6296" i="3"/>
  <c r="G6384" i="3"/>
  <c r="G6479" i="3"/>
  <c r="G6552" i="3"/>
  <c r="G6640" i="3"/>
  <c r="G6735" i="3"/>
  <c r="G6808" i="3"/>
  <c r="G6896" i="3"/>
  <c r="G6991" i="3"/>
  <c r="G7064" i="3"/>
  <c r="G7120" i="3"/>
  <c r="G7155" i="3"/>
  <c r="G7181" i="3"/>
  <c r="G7209" i="3"/>
  <c r="G7237" i="3"/>
  <c r="G7256" i="3"/>
  <c r="G7278" i="3"/>
  <c r="G7301" i="3"/>
  <c r="G7320" i="3"/>
  <c r="G7342" i="3"/>
  <c r="G7365" i="3"/>
  <c r="G7384" i="3"/>
  <c r="G7406" i="3"/>
  <c r="G7429" i="3"/>
  <c r="G7448" i="3"/>
  <c r="G7470" i="3"/>
  <c r="G7493" i="3"/>
  <c r="G7512" i="3"/>
  <c r="G7534" i="3"/>
  <c r="G7557" i="3"/>
  <c r="G7576" i="3"/>
  <c r="G7598" i="3"/>
  <c r="G7621" i="3"/>
  <c r="G7640" i="3"/>
  <c r="G7662" i="3"/>
  <c r="G7685" i="3"/>
  <c r="G7704" i="3"/>
  <c r="G7726" i="3"/>
  <c r="G7749" i="3"/>
  <c r="G7768" i="3"/>
  <c r="G7790" i="3"/>
  <c r="G7813" i="3"/>
  <c r="G7832" i="3"/>
  <c r="G7854" i="3"/>
  <c r="G7877" i="3"/>
  <c r="G7896" i="3"/>
  <c r="G7918" i="3"/>
  <c r="G7941" i="3"/>
  <c r="G7960" i="3"/>
  <c r="G7982" i="3"/>
  <c r="G8005" i="3"/>
  <c r="G8024" i="3"/>
  <c r="G8046" i="3"/>
  <c r="G8069" i="3"/>
  <c r="G8088" i="3"/>
  <c r="G8110" i="3"/>
  <c r="G8133" i="3"/>
  <c r="G8152" i="3"/>
  <c r="G8172" i="3"/>
  <c r="G8188" i="3"/>
  <c r="G8204" i="3"/>
  <c r="G8220" i="3"/>
  <c r="G8236" i="3"/>
  <c r="G8252" i="3"/>
  <c r="G8268" i="3"/>
  <c r="G8284" i="3"/>
  <c r="G8300" i="3"/>
  <c r="G8316" i="3"/>
  <c r="G8332" i="3"/>
  <c r="G8348" i="3"/>
  <c r="G8364" i="3"/>
  <c r="G8380" i="3"/>
  <c r="G8396" i="3"/>
  <c r="G8412" i="3"/>
  <c r="G8428" i="3"/>
  <c r="G8444" i="3"/>
  <c r="G8460" i="3"/>
  <c r="G8476" i="3"/>
  <c r="G8492" i="3"/>
  <c r="G8508" i="3"/>
  <c r="G8524" i="3"/>
  <c r="G8540" i="3"/>
  <c r="G8556" i="3"/>
  <c r="G8572" i="3"/>
  <c r="G8588" i="3"/>
  <c r="G8603" i="3"/>
  <c r="G8614" i="3"/>
  <c r="G8628" i="3"/>
  <c r="G8640" i="3"/>
  <c r="G8653" i="3"/>
  <c r="G8667" i="3"/>
  <c r="G8678" i="3"/>
  <c r="G8692" i="3"/>
  <c r="G8704" i="3"/>
  <c r="G8717" i="3"/>
  <c r="G8731" i="3"/>
  <c r="G8741" i="3"/>
  <c r="G8752" i="3"/>
  <c r="G8763" i="3"/>
  <c r="G8773" i="3"/>
  <c r="G8784" i="3"/>
  <c r="G8795" i="3"/>
  <c r="G8805" i="3"/>
  <c r="G8816" i="3"/>
  <c r="G8825" i="3"/>
  <c r="G8835" i="3"/>
  <c r="G8844" i="3"/>
  <c r="G8853" i="3"/>
  <c r="G8862" i="3"/>
  <c r="G8871" i="3"/>
  <c r="G8880" i="3"/>
  <c r="G8889" i="3"/>
  <c r="G8899" i="3"/>
  <c r="G8908" i="3"/>
  <c r="G8917" i="3"/>
  <c r="G8926" i="3"/>
  <c r="G8935" i="3"/>
  <c r="G8943" i="3"/>
  <c r="G8951" i="3"/>
  <c r="G8959" i="3"/>
  <c r="G8967" i="3"/>
  <c r="G8975" i="3"/>
  <c r="G8983" i="3"/>
  <c r="G8991" i="3"/>
  <c r="G8999" i="3"/>
  <c r="G9007" i="3"/>
  <c r="G9015" i="3"/>
  <c r="G9023" i="3"/>
  <c r="G9031" i="3"/>
  <c r="G9039" i="3"/>
  <c r="G9047" i="3"/>
  <c r="G9055" i="3"/>
  <c r="G9063" i="3"/>
  <c r="G9071" i="3"/>
  <c r="G9079" i="3"/>
  <c r="G9087" i="3"/>
  <c r="G9095" i="3"/>
  <c r="G9103" i="3"/>
  <c r="G9111" i="3"/>
  <c r="G9119" i="3"/>
  <c r="G9127" i="3"/>
  <c r="G9135" i="3"/>
  <c r="G9143" i="3"/>
  <c r="G9151" i="3"/>
  <c r="G9159" i="3"/>
  <c r="G9167" i="3"/>
  <c r="G9175" i="3"/>
  <c r="G9183" i="3"/>
  <c r="G9191" i="3"/>
  <c r="G9199" i="3"/>
  <c r="G9207" i="3"/>
  <c r="G9215" i="3"/>
  <c r="G9223" i="3"/>
  <c r="G9231" i="3"/>
  <c r="G9239" i="3"/>
  <c r="G9247" i="3"/>
  <c r="G9255" i="3"/>
  <c r="G9263" i="3"/>
  <c r="G9271" i="3"/>
  <c r="G9279" i="3"/>
  <c r="G9287" i="3"/>
  <c r="G9295" i="3"/>
  <c r="G9303" i="3"/>
  <c r="G9311" i="3"/>
  <c r="G9319" i="3"/>
  <c r="G9327" i="3"/>
  <c r="G9335" i="3"/>
  <c r="G9343" i="3"/>
  <c r="G9351" i="3"/>
  <c r="G9359" i="3"/>
  <c r="G9367" i="3"/>
  <c r="G9375" i="3"/>
  <c r="G9383" i="3"/>
  <c r="G9391" i="3"/>
  <c r="G9399" i="3"/>
  <c r="G9407" i="3"/>
  <c r="G9415" i="3"/>
  <c r="G9423" i="3"/>
  <c r="G9431" i="3"/>
  <c r="G9439" i="3"/>
  <c r="G9447" i="3"/>
  <c r="G9455" i="3"/>
  <c r="G9463" i="3"/>
  <c r="G9471" i="3"/>
  <c r="G9479" i="3"/>
  <c r="G9487" i="3"/>
  <c r="G9495" i="3"/>
  <c r="G9503" i="3"/>
  <c r="G9511" i="3"/>
  <c r="G9519" i="3"/>
  <c r="G9527" i="3"/>
  <c r="G9535" i="3"/>
  <c r="G9543" i="3"/>
  <c r="G9551" i="3"/>
  <c r="G9559" i="3"/>
  <c r="G9567" i="3"/>
  <c r="G9575" i="3"/>
  <c r="G9583" i="3"/>
  <c r="G9591" i="3"/>
  <c r="G9599" i="3"/>
  <c r="G9607" i="3"/>
  <c r="G9615" i="3"/>
  <c r="G9623" i="3"/>
  <c r="G9631" i="3"/>
  <c r="G9639" i="3"/>
  <c r="G9647" i="3"/>
  <c r="G9655" i="3"/>
  <c r="G9663" i="3"/>
  <c r="G9671" i="3"/>
  <c r="G9679" i="3"/>
  <c r="G9687" i="3"/>
  <c r="G9695" i="3"/>
  <c r="G9703" i="3"/>
  <c r="G9711" i="3"/>
  <c r="G9719" i="3"/>
  <c r="G9727" i="3"/>
  <c r="G9735" i="3"/>
  <c r="G9743" i="3"/>
  <c r="G9751" i="3"/>
  <c r="G9759" i="3"/>
  <c r="G9767" i="3"/>
  <c r="G9775" i="3"/>
  <c r="G9783" i="3"/>
  <c r="G9791" i="3"/>
  <c r="G9799" i="3"/>
  <c r="G9807" i="3"/>
  <c r="G9815" i="3"/>
  <c r="G9823" i="3"/>
  <c r="G9831" i="3"/>
  <c r="G9839" i="3"/>
  <c r="G9847" i="3"/>
  <c r="G9855" i="3"/>
  <c r="G9863" i="3"/>
  <c r="G9871" i="3"/>
  <c r="G9879" i="3"/>
  <c r="G9887" i="3"/>
  <c r="G9895" i="3"/>
  <c r="G9903" i="3"/>
  <c r="G9911" i="3"/>
  <c r="G9919" i="3"/>
  <c r="G9927" i="3"/>
  <c r="G9935" i="3"/>
  <c r="G9943" i="3"/>
  <c r="G9951" i="3"/>
  <c r="G9959" i="3"/>
  <c r="G9967" i="3"/>
  <c r="G9975" i="3"/>
  <c r="G9983" i="3"/>
  <c r="G9991" i="3"/>
  <c r="G9999" i="3"/>
  <c r="G4798" i="3"/>
  <c r="G5282" i="3"/>
  <c r="G5634" i="3"/>
  <c r="G6011" i="3"/>
  <c r="G6136" i="3"/>
  <c r="G6224" i="3"/>
  <c r="G6319" i="3"/>
  <c r="G6392" i="3"/>
  <c r="G6480" i="3"/>
  <c r="G6575" i="3"/>
  <c r="G6648" i="3"/>
  <c r="G6736" i="3"/>
  <c r="G6831" i="3"/>
  <c r="G6904" i="3"/>
  <c r="G6992" i="3"/>
  <c r="G7080" i="3"/>
  <c r="G7126" i="3"/>
  <c r="G7157" i="3"/>
  <c r="G7187" i="3"/>
  <c r="G7213" i="3"/>
  <c r="G7238" i="3"/>
  <c r="G7261" i="3"/>
  <c r="G7280" i="3"/>
  <c r="G7302" i="3"/>
  <c r="G7325" i="3"/>
  <c r="G7344" i="3"/>
  <c r="G7366" i="3"/>
  <c r="G7389" i="3"/>
  <c r="G7408" i="3"/>
  <c r="G7430" i="3"/>
  <c r="G7453" i="3"/>
  <c r="G7472" i="3"/>
  <c r="G7494" i="3"/>
  <c r="G7517" i="3"/>
  <c r="G7536" i="3"/>
  <c r="G7558" i="3"/>
  <c r="G7581" i="3"/>
  <c r="G7600" i="3"/>
  <c r="G7622" i="3"/>
  <c r="G7645" i="3"/>
  <c r="G7664" i="3"/>
  <c r="G7686" i="3"/>
  <c r="G7709" i="3"/>
  <c r="G7728" i="3"/>
  <c r="G7750" i="3"/>
  <c r="G7773" i="3"/>
  <c r="G7792" i="3"/>
  <c r="G7814" i="3"/>
  <c r="G7837" i="3"/>
  <c r="G7856" i="3"/>
  <c r="G7878" i="3"/>
  <c r="G7901" i="3"/>
  <c r="G7920" i="3"/>
  <c r="G7942" i="3"/>
  <c r="G7965" i="3"/>
  <c r="G7984" i="3"/>
  <c r="G8006" i="3"/>
  <c r="G8029" i="3"/>
  <c r="G8048" i="3"/>
  <c r="G8070" i="3"/>
  <c r="G8093" i="3"/>
  <c r="G8112" i="3"/>
  <c r="G8134" i="3"/>
  <c r="G8157" i="3"/>
  <c r="G8173" i="3"/>
  <c r="G8189" i="3"/>
  <c r="G8205" i="3"/>
  <c r="G8221" i="3"/>
  <c r="G8237" i="3"/>
  <c r="G8253" i="3"/>
  <c r="G8269" i="3"/>
  <c r="G8285" i="3"/>
  <c r="G8301" i="3"/>
  <c r="G8317" i="3"/>
  <c r="G8333" i="3"/>
  <c r="G8349" i="3"/>
  <c r="G8365" i="3"/>
  <c r="G8381" i="3"/>
  <c r="G8397" i="3"/>
  <c r="G8413" i="3"/>
  <c r="G8429" i="3"/>
  <c r="G8445" i="3"/>
  <c r="G8461" i="3"/>
  <c r="G8477" i="3"/>
  <c r="G8493" i="3"/>
  <c r="G8509" i="3"/>
  <c r="G8525" i="3"/>
  <c r="G8541" i="3"/>
  <c r="G8557" i="3"/>
  <c r="G8573" i="3"/>
  <c r="G8589" i="3"/>
  <c r="G8604" i="3"/>
  <c r="G8616" i="3"/>
  <c r="G8629" i="3"/>
  <c r="G8643" i="3"/>
  <c r="G8654" i="3"/>
  <c r="G8668" i="3"/>
  <c r="G8680" i="3"/>
  <c r="G8693" i="3"/>
  <c r="G8707" i="3"/>
  <c r="G8718" i="3"/>
  <c r="G8732" i="3"/>
  <c r="G8742" i="3"/>
  <c r="G8753" i="3"/>
  <c r="G8764" i="3"/>
  <c r="G8774" i="3"/>
  <c r="G8785" i="3"/>
  <c r="G8796" i="3"/>
  <c r="G8806" i="3"/>
  <c r="G8817" i="3"/>
  <c r="G8827" i="3"/>
  <c r="G8836" i="3"/>
  <c r="G8845" i="3"/>
  <c r="G8854" i="3"/>
  <c r="G8863" i="3"/>
  <c r="G8872" i="3"/>
  <c r="G8881" i="3"/>
  <c r="G8891" i="3"/>
  <c r="G8900" i="3"/>
  <c r="G8909" i="3"/>
  <c r="G8918" i="3"/>
  <c r="G8927" i="3"/>
  <c r="G8936" i="3"/>
  <c r="G8944" i="3"/>
  <c r="G8952" i="3"/>
  <c r="G8960" i="3"/>
  <c r="G8968" i="3"/>
  <c r="G8976" i="3"/>
  <c r="G8984" i="3"/>
  <c r="G8992" i="3"/>
  <c r="G9000" i="3"/>
  <c r="G9008" i="3"/>
  <c r="G9016" i="3"/>
  <c r="G9024" i="3"/>
  <c r="G9032" i="3"/>
  <c r="G9040" i="3"/>
  <c r="G9048" i="3"/>
  <c r="G9056" i="3"/>
  <c r="G9064" i="3"/>
  <c r="G9072" i="3"/>
  <c r="G9080" i="3"/>
  <c r="G9088" i="3"/>
  <c r="G9096" i="3"/>
  <c r="G9104" i="3"/>
  <c r="G9112" i="3"/>
  <c r="G9120" i="3"/>
  <c r="G9128" i="3"/>
  <c r="G9136" i="3"/>
  <c r="G9144" i="3"/>
  <c r="G9152" i="3"/>
  <c r="G9160" i="3"/>
  <c r="G9168" i="3"/>
  <c r="G9176" i="3"/>
  <c r="G9184" i="3"/>
  <c r="G9192" i="3"/>
  <c r="G9200" i="3"/>
  <c r="G9208" i="3"/>
  <c r="G9216" i="3"/>
  <c r="G9224" i="3"/>
  <c r="G9232" i="3"/>
  <c r="G9240" i="3"/>
  <c r="G9248" i="3"/>
  <c r="G9256" i="3"/>
  <c r="G9264" i="3"/>
  <c r="G9272" i="3"/>
  <c r="G9280" i="3"/>
  <c r="G9288" i="3"/>
  <c r="G9296" i="3"/>
  <c r="G9304" i="3"/>
  <c r="G9312" i="3"/>
  <c r="G9320" i="3"/>
  <c r="G9328" i="3"/>
  <c r="G9336" i="3"/>
  <c r="G9344" i="3"/>
  <c r="G9352" i="3"/>
  <c r="G9360" i="3"/>
  <c r="G9368" i="3"/>
  <c r="G9376" i="3"/>
  <c r="G9384" i="3"/>
  <c r="G9392" i="3"/>
  <c r="G9400" i="3"/>
  <c r="G9408" i="3"/>
  <c r="G9416" i="3"/>
  <c r="G9424" i="3"/>
  <c r="G9432" i="3"/>
  <c r="G9440" i="3"/>
  <c r="G9448" i="3"/>
  <c r="G9456" i="3"/>
  <c r="G9464" i="3"/>
  <c r="G9472" i="3"/>
  <c r="G9480" i="3"/>
  <c r="G9488" i="3"/>
  <c r="G9496" i="3"/>
  <c r="G9504" i="3"/>
  <c r="G9512" i="3"/>
  <c r="G9520" i="3"/>
  <c r="G9528" i="3"/>
  <c r="G9536" i="3"/>
  <c r="G9544" i="3"/>
  <c r="G9552" i="3"/>
  <c r="G9560" i="3"/>
  <c r="G9568" i="3"/>
  <c r="G9576" i="3"/>
  <c r="G9584" i="3"/>
  <c r="G9592" i="3"/>
  <c r="G9600" i="3"/>
  <c r="G9608" i="3"/>
  <c r="G9616" i="3"/>
  <c r="G9624" i="3"/>
  <c r="G9632" i="3"/>
  <c r="G9640" i="3"/>
  <c r="G9648" i="3"/>
  <c r="G9656" i="3"/>
  <c r="G9664" i="3"/>
  <c r="G9672" i="3"/>
  <c r="G9680" i="3"/>
  <c r="G9688" i="3"/>
  <c r="G9696" i="3"/>
  <c r="G9704" i="3"/>
  <c r="G9712" i="3"/>
  <c r="G9720" i="3"/>
  <c r="G9728" i="3"/>
  <c r="G9736" i="3"/>
  <c r="G9744" i="3"/>
  <c r="G9752" i="3"/>
  <c r="G9760" i="3"/>
  <c r="G9768" i="3"/>
  <c r="G9776" i="3"/>
  <c r="G9784" i="3"/>
  <c r="G9792" i="3"/>
  <c r="G9800" i="3"/>
  <c r="G9808" i="3"/>
  <c r="G9816" i="3"/>
  <c r="G9824" i="3"/>
  <c r="G9832" i="3"/>
  <c r="G9840" i="3"/>
  <c r="G9848" i="3"/>
  <c r="G9856" i="3"/>
  <c r="G9864" i="3"/>
  <c r="G9872" i="3"/>
  <c r="G9880" i="3"/>
  <c r="G9888" i="3"/>
  <c r="G9896" i="3"/>
  <c r="G9904" i="3"/>
  <c r="G9912" i="3"/>
  <c r="G9920" i="3"/>
  <c r="G9928" i="3"/>
  <c r="G9936" i="3"/>
  <c r="G9944" i="3"/>
  <c r="G9952" i="3"/>
  <c r="G9960" i="3"/>
  <c r="G9968" i="3"/>
  <c r="G9976" i="3"/>
  <c r="G9984" i="3"/>
  <c r="G9992" i="3"/>
  <c r="G10000" i="3"/>
  <c r="G5107" i="3"/>
  <c r="G5410" i="3"/>
  <c r="G5762" i="3"/>
  <c r="G6091" i="3"/>
  <c r="G6168" i="3"/>
  <c r="G6256" i="3"/>
  <c r="G6351" i="3"/>
  <c r="G6424" i="3"/>
  <c r="G6512" i="3"/>
  <c r="G6607" i="3"/>
  <c r="G6680" i="3"/>
  <c r="G6768" i="3"/>
  <c r="G6863" i="3"/>
  <c r="G6936" i="3"/>
  <c r="G7024" i="3"/>
  <c r="G7103" i="3"/>
  <c r="G7137" i="3"/>
  <c r="G7167" i="3"/>
  <c r="G7198" i="3"/>
  <c r="G7223" i="3"/>
  <c r="G7246" i="3"/>
  <c r="G7269" i="3"/>
  <c r="G7288" i="3"/>
  <c r="G7310" i="3"/>
  <c r="G7333" i="3"/>
  <c r="G7352" i="3"/>
  <c r="G7374" i="3"/>
  <c r="G7397" i="3"/>
  <c r="G7416" i="3"/>
  <c r="G7438" i="3"/>
  <c r="G7461" i="3"/>
  <c r="G7480" i="3"/>
  <c r="G7502" i="3"/>
  <c r="G7525" i="3"/>
  <c r="G7544" i="3"/>
  <c r="G7566" i="3"/>
  <c r="G7589" i="3"/>
  <c r="G7608" i="3"/>
  <c r="G7630" i="3"/>
  <c r="G7653" i="3"/>
  <c r="G7672" i="3"/>
  <c r="G7694" i="3"/>
  <c r="G7717" i="3"/>
  <c r="G7736" i="3"/>
  <c r="G7758" i="3"/>
  <c r="G7781" i="3"/>
  <c r="G7800" i="3"/>
  <c r="G7822" i="3"/>
  <c r="G7845" i="3"/>
  <c r="G7864" i="3"/>
  <c r="G7886" i="3"/>
  <c r="G7909" i="3"/>
  <c r="G7928" i="3"/>
  <c r="G7950" i="3"/>
  <c r="G7973" i="3"/>
  <c r="G7992" i="3"/>
  <c r="G8014" i="3"/>
  <c r="G8037" i="3"/>
  <c r="G8056" i="3"/>
  <c r="G8078" i="3"/>
  <c r="G8101" i="3"/>
  <c r="G8120" i="3"/>
  <c r="G8142" i="3"/>
  <c r="G8164" i="3"/>
  <c r="G8180" i="3"/>
  <c r="G8196" i="3"/>
  <c r="G8212" i="3"/>
  <c r="G8228" i="3"/>
  <c r="G8244" i="3"/>
  <c r="G8260" i="3"/>
  <c r="G8276" i="3"/>
  <c r="G8292" i="3"/>
  <c r="G8308" i="3"/>
  <c r="G8324" i="3"/>
  <c r="G8340" i="3"/>
  <c r="G8356" i="3"/>
  <c r="G8372" i="3"/>
  <c r="G8388" i="3"/>
  <c r="G8404" i="3"/>
  <c r="G8420" i="3"/>
  <c r="G8436" i="3"/>
  <c r="G8452" i="3"/>
  <c r="G8468" i="3"/>
  <c r="G8484" i="3"/>
  <c r="G8500" i="3"/>
  <c r="G8516" i="3"/>
  <c r="G8532" i="3"/>
  <c r="G8548" i="3"/>
  <c r="G8564" i="3"/>
  <c r="G8580" i="3"/>
  <c r="G8596" i="3"/>
  <c r="G8608" i="3"/>
  <c r="G8621" i="3"/>
  <c r="G8635" i="3"/>
  <c r="G8646" i="3"/>
  <c r="G8660" i="3"/>
  <c r="G8672" i="3"/>
  <c r="G8685" i="3"/>
  <c r="G8699" i="3"/>
  <c r="G8710" i="3"/>
  <c r="G8724" i="3"/>
  <c r="G8736" i="3"/>
  <c r="G8747" i="3"/>
  <c r="G8757" i="3"/>
  <c r="G8768" i="3"/>
  <c r="G8779" i="3"/>
  <c r="G8789" i="3"/>
  <c r="G8800" i="3"/>
  <c r="G8811" i="3"/>
  <c r="G8821" i="3"/>
  <c r="G8830" i="3"/>
  <c r="G8839" i="3"/>
  <c r="G8848" i="3"/>
  <c r="G8857" i="3"/>
  <c r="G8867" i="3"/>
  <c r="G8876" i="3"/>
  <c r="G8885" i="3"/>
  <c r="G8894" i="3"/>
  <c r="G8903" i="3"/>
  <c r="G8912" i="3"/>
  <c r="G8921" i="3"/>
  <c r="G8931" i="3"/>
  <c r="G8939" i="3"/>
  <c r="G8947" i="3"/>
  <c r="G8955" i="3"/>
  <c r="G8963" i="3"/>
  <c r="G8971" i="3"/>
  <c r="G8979" i="3"/>
  <c r="G8987" i="3"/>
  <c r="G8995" i="3"/>
  <c r="G9003" i="3"/>
  <c r="G9011" i="3"/>
  <c r="G9019" i="3"/>
  <c r="G9027" i="3"/>
  <c r="G9035" i="3"/>
  <c r="G9043" i="3"/>
  <c r="G9051" i="3"/>
  <c r="G9059" i="3"/>
  <c r="G9067" i="3"/>
  <c r="G9075" i="3"/>
  <c r="G9083" i="3"/>
  <c r="G9091" i="3"/>
  <c r="G9099" i="3"/>
  <c r="G9107" i="3"/>
  <c r="G9115" i="3"/>
  <c r="G9123" i="3"/>
  <c r="G9131" i="3"/>
  <c r="G9139" i="3"/>
  <c r="G9147" i="3"/>
  <c r="G9155" i="3"/>
  <c r="G9163" i="3"/>
  <c r="G9171" i="3"/>
  <c r="G9179" i="3"/>
  <c r="G9187" i="3"/>
  <c r="G9195" i="3"/>
  <c r="G9203" i="3"/>
  <c r="G9211" i="3"/>
  <c r="G9219" i="3"/>
  <c r="G9227" i="3"/>
  <c r="G9235" i="3"/>
  <c r="G9243" i="3"/>
  <c r="G9251" i="3"/>
  <c r="G9259" i="3"/>
  <c r="G9267" i="3"/>
  <c r="G9275" i="3"/>
  <c r="G9283" i="3"/>
  <c r="G9291" i="3"/>
  <c r="G9299" i="3"/>
  <c r="G9307" i="3"/>
  <c r="G9315" i="3"/>
  <c r="G10001" i="3"/>
  <c r="G9985" i="3"/>
  <c r="G9969" i="3"/>
  <c r="G9953" i="3"/>
  <c r="G9937" i="3"/>
  <c r="G9921" i="3"/>
  <c r="G9905" i="3"/>
  <c r="G9889" i="3"/>
  <c r="G9873" i="3"/>
  <c r="G9857" i="3"/>
  <c r="G9841" i="3"/>
  <c r="G9825" i="3"/>
  <c r="G9809" i="3"/>
  <c r="G9793" i="3"/>
  <c r="G9777" i="3"/>
  <c r="G9761" i="3"/>
  <c r="G9745" i="3"/>
  <c r="G9729" i="3"/>
  <c r="G9713" i="3"/>
  <c r="G9697" i="3"/>
  <c r="G9681" i="3"/>
  <c r="G9665" i="3"/>
  <c r="G9649" i="3"/>
  <c r="G9633" i="3"/>
  <c r="G9617" i="3"/>
  <c r="G9601" i="3"/>
  <c r="G9585" i="3"/>
  <c r="G9569" i="3"/>
  <c r="G9553" i="3"/>
  <c r="G9537" i="3"/>
  <c r="G9521" i="3"/>
  <c r="G9505" i="3"/>
  <c r="G9489" i="3"/>
  <c r="G9473" i="3"/>
  <c r="G9457" i="3"/>
  <c r="G9441" i="3"/>
  <c r="G9425" i="3"/>
  <c r="G9409" i="3"/>
  <c r="G9393" i="3"/>
  <c r="G9377" i="3"/>
  <c r="G9361" i="3"/>
  <c r="G9345" i="3"/>
  <c r="G9329" i="3"/>
  <c r="G9310" i="3"/>
  <c r="G9289" i="3"/>
  <c r="G9266" i="3"/>
  <c r="G9246" i="3"/>
  <c r="G9225" i="3"/>
  <c r="G9202" i="3"/>
  <c r="G9182" i="3"/>
  <c r="G9161" i="3"/>
  <c r="G9138" i="3"/>
  <c r="G9118" i="3"/>
  <c r="G9097" i="3"/>
  <c r="G9074" i="3"/>
  <c r="G9054" i="3"/>
  <c r="G9033" i="3"/>
  <c r="G9010" i="3"/>
  <c r="G8990" i="3"/>
  <c r="G8969" i="3"/>
  <c r="G8946" i="3"/>
  <c r="G8925" i="3"/>
  <c r="G8901" i="3"/>
  <c r="G8875" i="3"/>
  <c r="G8852" i="3"/>
  <c r="G8828" i="3"/>
  <c r="G8798" i="3"/>
  <c r="G8772" i="3"/>
  <c r="G8744" i="3"/>
  <c r="G8709" i="3"/>
  <c r="G8677" i="3"/>
  <c r="G8644" i="3"/>
  <c r="G8606" i="3"/>
  <c r="G8568" i="3"/>
  <c r="G8526" i="3"/>
  <c r="G8480" i="3"/>
  <c r="G8440" i="3"/>
  <c r="G8398" i="3"/>
  <c r="G8352" i="3"/>
  <c r="G8312" i="3"/>
  <c r="G8270" i="3"/>
  <c r="G8224" i="3"/>
  <c r="G8184" i="3"/>
  <c r="G8136" i="3"/>
  <c r="G8077" i="3"/>
  <c r="G8022" i="3"/>
  <c r="G7966" i="3"/>
  <c r="G7904" i="3"/>
  <c r="G7853" i="3"/>
  <c r="G7797" i="3"/>
  <c r="G7734" i="3"/>
  <c r="G7680" i="3"/>
  <c r="G7624" i="3"/>
  <c r="G7565" i="3"/>
  <c r="G7510" i="3"/>
  <c r="G7454" i="3"/>
  <c r="G7392" i="3"/>
  <c r="G7341" i="3"/>
  <c r="G7285" i="3"/>
  <c r="G7221" i="3"/>
  <c r="G7149" i="3"/>
  <c r="G7000" i="3"/>
  <c r="G6767" i="3"/>
  <c r="G6544" i="3"/>
  <c r="G6320" i="3"/>
  <c r="G6044" i="3"/>
  <c r="G5243" i="3"/>
  <c r="G9990" i="3"/>
  <c r="G9926" i="3"/>
  <c r="G9878" i="3"/>
  <c r="G9830" i="3"/>
  <c r="G9766" i="3"/>
  <c r="G9702" i="3"/>
  <c r="G9654" i="3"/>
  <c r="G9590" i="3"/>
  <c r="G9526" i="3"/>
  <c r="G9478" i="3"/>
  <c r="G9398" i="3"/>
  <c r="G9334" i="3"/>
  <c r="G9210" i="3"/>
  <c r="G8998" i="3"/>
  <c r="G8456" i="3"/>
  <c r="G9998" i="3"/>
  <c r="G9982" i="3"/>
  <c r="G9966" i="3"/>
  <c r="G9950" i="3"/>
  <c r="G9934" i="3"/>
  <c r="G9918" i="3"/>
  <c r="G9902" i="3"/>
  <c r="G9886" i="3"/>
  <c r="G9870" i="3"/>
  <c r="G9854" i="3"/>
  <c r="G9838" i="3"/>
  <c r="G9822" i="3"/>
  <c r="G9806" i="3"/>
  <c r="G9790" i="3"/>
  <c r="G9774" i="3"/>
  <c r="G9758" i="3"/>
  <c r="G9742" i="3"/>
  <c r="G9726" i="3"/>
  <c r="G9710" i="3"/>
  <c r="G9694" i="3"/>
  <c r="G9678" i="3"/>
  <c r="G9662" i="3"/>
  <c r="G9646" i="3"/>
  <c r="G9630" i="3"/>
  <c r="G9614" i="3"/>
  <c r="G9598" i="3"/>
  <c r="G9582" i="3"/>
  <c r="G9566" i="3"/>
  <c r="G9550" i="3"/>
  <c r="G9534" i="3"/>
  <c r="G9518" i="3"/>
  <c r="G9502" i="3"/>
  <c r="G9486" i="3"/>
  <c r="G9470" i="3"/>
  <c r="G9454" i="3"/>
  <c r="G9438" i="3"/>
  <c r="G9422" i="3"/>
  <c r="G9406" i="3"/>
  <c r="G9390" i="3"/>
  <c r="G9374" i="3"/>
  <c r="G9358" i="3"/>
  <c r="G9342" i="3"/>
  <c r="G9326" i="3"/>
  <c r="G9306" i="3"/>
  <c r="G9286" i="3"/>
  <c r="G9265" i="3"/>
  <c r="G9242" i="3"/>
  <c r="G9222" i="3"/>
  <c r="G9201" i="3"/>
  <c r="G9178" i="3"/>
  <c r="G9158" i="3"/>
  <c r="G9137" i="3"/>
  <c r="G9114" i="3"/>
  <c r="G9094" i="3"/>
  <c r="G9073" i="3"/>
  <c r="G9050" i="3"/>
  <c r="G9030" i="3"/>
  <c r="G9009" i="3"/>
  <c r="G8986" i="3"/>
  <c r="G8966" i="3"/>
  <c r="G8945" i="3"/>
  <c r="G8920" i="3"/>
  <c r="G8897" i="3"/>
  <c r="G8873" i="3"/>
  <c r="G8847" i="3"/>
  <c r="G8824" i="3"/>
  <c r="G8797" i="3"/>
  <c r="G8766" i="3"/>
  <c r="G8740" i="3"/>
  <c r="G8708" i="3"/>
  <c r="G8670" i="3"/>
  <c r="G8638" i="3"/>
  <c r="G8605" i="3"/>
  <c r="G8560" i="3"/>
  <c r="G8520" i="3"/>
  <c r="G8478" i="3"/>
  <c r="G8432" i="3"/>
  <c r="G8392" i="3"/>
  <c r="G8350" i="3"/>
  <c r="G8304" i="3"/>
  <c r="G8264" i="3"/>
  <c r="G8222" i="3"/>
  <c r="G8176" i="3"/>
  <c r="G8128" i="3"/>
  <c r="G8072" i="3"/>
  <c r="G8013" i="3"/>
  <c r="G7958" i="3"/>
  <c r="G7902" i="3"/>
  <c r="G7840" i="3"/>
  <c r="G7789" i="3"/>
  <c r="G7733" i="3"/>
  <c r="G7670" i="3"/>
  <c r="G7616" i="3"/>
  <c r="G7560" i="3"/>
  <c r="G7501" i="3"/>
  <c r="G7446" i="3"/>
  <c r="G7390" i="3"/>
  <c r="G7328" i="3"/>
  <c r="G7277" i="3"/>
  <c r="G7219" i="3"/>
  <c r="G7135" i="3"/>
  <c r="G6968" i="3"/>
  <c r="G6744" i="3"/>
  <c r="G6511" i="3"/>
  <c r="G6288" i="3"/>
  <c r="G6018" i="3"/>
  <c r="G4951" i="3"/>
  <c r="G9995" i="3"/>
  <c r="G9979" i="3"/>
  <c r="G9963" i="3"/>
  <c r="G9947" i="3"/>
  <c r="G9931" i="3"/>
  <c r="G9915" i="3"/>
  <c r="G9899" i="3"/>
  <c r="G9883" i="3"/>
  <c r="G9867" i="3"/>
  <c r="G9851" i="3"/>
  <c r="G9835" i="3"/>
  <c r="G9819" i="3"/>
  <c r="G9803" i="3"/>
  <c r="G9787" i="3"/>
  <c r="G9771" i="3"/>
  <c r="G9755" i="3"/>
  <c r="G9739" i="3"/>
  <c r="G9723" i="3"/>
  <c r="G9707" i="3"/>
  <c r="G9691" i="3"/>
  <c r="G9675" i="3"/>
  <c r="G9659" i="3"/>
  <c r="G9643" i="3"/>
  <c r="G9627" i="3"/>
  <c r="G9611" i="3"/>
  <c r="G9595" i="3"/>
  <c r="G9579" i="3"/>
  <c r="G9563" i="3"/>
  <c r="G9547" i="3"/>
  <c r="G9531" i="3"/>
  <c r="G9515" i="3"/>
  <c r="G9499" i="3"/>
  <c r="G9483" i="3"/>
  <c r="G9467" i="3"/>
  <c r="G9451" i="3"/>
  <c r="G9435" i="3"/>
  <c r="G9419" i="3"/>
  <c r="G9403" i="3"/>
  <c r="G9387" i="3"/>
  <c r="G9371" i="3"/>
  <c r="G9355" i="3"/>
  <c r="G9339" i="3"/>
  <c r="G9323" i="3"/>
  <c r="G9305" i="3"/>
  <c r="G9282" i="3"/>
  <c r="G9262" i="3"/>
  <c r="G9241" i="3"/>
  <c r="G9218" i="3"/>
  <c r="G9198" i="3"/>
  <c r="G9177" i="3"/>
  <c r="G9154" i="3"/>
  <c r="G9134" i="3"/>
  <c r="G9113" i="3"/>
  <c r="G9090" i="3"/>
  <c r="G9070" i="3"/>
  <c r="G9049" i="3"/>
  <c r="G9026" i="3"/>
  <c r="G9006" i="3"/>
  <c r="G8985" i="3"/>
  <c r="G8962" i="3"/>
  <c r="G8942" i="3"/>
  <c r="G8919" i="3"/>
  <c r="G8893" i="3"/>
  <c r="G8870" i="3"/>
  <c r="G8846" i="3"/>
  <c r="G8820" i="3"/>
  <c r="G8793" i="3"/>
  <c r="G8765" i="3"/>
  <c r="G8734" i="3"/>
  <c r="G8702" i="3"/>
  <c r="G8669" i="3"/>
  <c r="G8632" i="3"/>
  <c r="G8600" i="3"/>
  <c r="G8558" i="3"/>
  <c r="G8512" i="3"/>
  <c r="G8472" i="3"/>
  <c r="G8430" i="3"/>
  <c r="G8384" i="3"/>
  <c r="G8344" i="3"/>
  <c r="G8302" i="3"/>
  <c r="G8256" i="3"/>
  <c r="G8216" i="3"/>
  <c r="G8174" i="3"/>
  <c r="G8118" i="3"/>
  <c r="G8064" i="3"/>
  <c r="G8008" i="3"/>
  <c r="G7949" i="3"/>
  <c r="G7894" i="3"/>
  <c r="G7838" i="3"/>
  <c r="G7776" i="3"/>
  <c r="G7725" i="3"/>
  <c r="G7669" i="3"/>
  <c r="G7606" i="3"/>
  <c r="G7552" i="3"/>
  <c r="G7496" i="3"/>
  <c r="G7437" i="3"/>
  <c r="G7382" i="3"/>
  <c r="G7326" i="3"/>
  <c r="G7264" i="3"/>
  <c r="G7208" i="3"/>
  <c r="G7134" i="3"/>
  <c r="G6928" i="3"/>
  <c r="G6712" i="3"/>
  <c r="G6488" i="3"/>
  <c r="G6255" i="3"/>
  <c r="G5890" i="3"/>
  <c r="G4823" i="3"/>
  <c r="G9994" i="3"/>
  <c r="G9978" i="3"/>
  <c r="G9962" i="3"/>
  <c r="G9946" i="3"/>
  <c r="G9930" i="3"/>
  <c r="G9914" i="3"/>
  <c r="G9898" i="3"/>
  <c r="G9882" i="3"/>
  <c r="G9866" i="3"/>
  <c r="G9850" i="3"/>
  <c r="G9834" i="3"/>
  <c r="G9818" i="3"/>
  <c r="G9802" i="3"/>
  <c r="G9786" i="3"/>
  <c r="G9770" i="3"/>
  <c r="G9754" i="3"/>
  <c r="G9738" i="3"/>
  <c r="G9722" i="3"/>
  <c r="G9706" i="3"/>
  <c r="G9690" i="3"/>
  <c r="G9674" i="3"/>
  <c r="G9658" i="3"/>
  <c r="G9642" i="3"/>
  <c r="G9626" i="3"/>
  <c r="G9610" i="3"/>
  <c r="G9594" i="3"/>
  <c r="G9578" i="3"/>
  <c r="G9562" i="3"/>
  <c r="G9546" i="3"/>
  <c r="G9530" i="3"/>
  <c r="G9514" i="3"/>
  <c r="G9498" i="3"/>
  <c r="G9482" i="3"/>
  <c r="G9466" i="3"/>
  <c r="G9450" i="3"/>
  <c r="G9434" i="3"/>
  <c r="G9418" i="3"/>
  <c r="G9402" i="3"/>
  <c r="G9386" i="3"/>
  <c r="G9370" i="3"/>
  <c r="G9354" i="3"/>
  <c r="G9338" i="3"/>
  <c r="G9322" i="3"/>
  <c r="G9302" i="3"/>
  <c r="G9281" i="3"/>
  <c r="G9258" i="3"/>
  <c r="G9238" i="3"/>
  <c r="G9217" i="3"/>
  <c r="G9194" i="3"/>
  <c r="G9174" i="3"/>
  <c r="G9153" i="3"/>
  <c r="G9130" i="3"/>
  <c r="G9110" i="3"/>
  <c r="G9089" i="3"/>
  <c r="G9066" i="3"/>
  <c r="G9046" i="3"/>
  <c r="G9025" i="3"/>
  <c r="G9002" i="3"/>
  <c r="G8982" i="3"/>
  <c r="G8961" i="3"/>
  <c r="G8938" i="3"/>
  <c r="G8916" i="3"/>
  <c r="G8892" i="3"/>
  <c r="G8865" i="3"/>
  <c r="G8843" i="3"/>
  <c r="G8819" i="3"/>
  <c r="G8788" i="3"/>
  <c r="G8761" i="3"/>
  <c r="G8733" i="3"/>
  <c r="G8696" i="3"/>
  <c r="G8664" i="3"/>
  <c r="G8630" i="3"/>
  <c r="G8592" i="3"/>
  <c r="G8552" i="3"/>
  <c r="G8510" i="3"/>
  <c r="G8464" i="3"/>
  <c r="G8424" i="3"/>
  <c r="G8382" i="3"/>
  <c r="G8336" i="3"/>
  <c r="G8296" i="3"/>
  <c r="G8254" i="3"/>
  <c r="G8208" i="3"/>
  <c r="G8168" i="3"/>
  <c r="G8117" i="3"/>
  <c r="G8054" i="3"/>
  <c r="G8000" i="3"/>
  <c r="G7944" i="3"/>
  <c r="G7885" i="3"/>
  <c r="G7830" i="3"/>
  <c r="G7774" i="3"/>
  <c r="G7712" i="3"/>
  <c r="G7661" i="3"/>
  <c r="G7605" i="3"/>
  <c r="G7542" i="3"/>
  <c r="G7488" i="3"/>
  <c r="G7432" i="3"/>
  <c r="G7373" i="3"/>
  <c r="G7318" i="3"/>
  <c r="G7262" i="3"/>
  <c r="G7191" i="3"/>
  <c r="G7119" i="3"/>
  <c r="G6927" i="3"/>
  <c r="G6672" i="3"/>
  <c r="G6456" i="3"/>
  <c r="G6232" i="3"/>
  <c r="G5755" i="3"/>
  <c r="G4311" i="3"/>
  <c r="K23" i="3" l="1"/>
  <c r="L23" i="3" s="1"/>
  <c r="M23" i="3" s="1"/>
  <c r="K22" i="3"/>
  <c r="L22" i="3" s="1"/>
  <c r="M22" i="3" s="1"/>
  <c r="K21" i="3"/>
  <c r="L21" i="3" s="1"/>
  <c r="M21" i="3" s="1"/>
  <c r="K20" i="3"/>
  <c r="L20" i="3" s="1"/>
  <c r="M20" i="3" s="1"/>
  <c r="K16" i="3"/>
  <c r="K15" i="3"/>
  <c r="K14" i="3"/>
  <c r="K13" i="3"/>
</calcChain>
</file>

<file path=xl/sharedStrings.xml><?xml version="1.0" encoding="utf-8"?>
<sst xmlns="http://schemas.openxmlformats.org/spreadsheetml/2006/main" count="39" uniqueCount="20">
  <si>
    <t>Date</t>
  </si>
  <si>
    <t>Adj Close</t>
  </si>
  <si>
    <t>Return</t>
  </si>
  <si>
    <t>Sorted Return</t>
  </si>
  <si>
    <t>Calulation of Value at Risk - Tata Elxsi(Historical)</t>
  </si>
  <si>
    <t xml:space="preserve">Mean </t>
  </si>
  <si>
    <t>Std Deviation</t>
  </si>
  <si>
    <t>Max</t>
  </si>
  <si>
    <t>Min</t>
  </si>
  <si>
    <t>Percentile</t>
  </si>
  <si>
    <t>CMP</t>
  </si>
  <si>
    <t>VAR%</t>
  </si>
  <si>
    <t>Stock Price</t>
  </si>
  <si>
    <t>VAR(INR)</t>
  </si>
  <si>
    <t>Confidence</t>
  </si>
  <si>
    <t>Replication</t>
  </si>
  <si>
    <t>Simulated Returns</t>
  </si>
  <si>
    <t>Historical Approach</t>
  </si>
  <si>
    <t>Calulation of Value at Risk - Tata Elxsi(Simulation)</t>
  </si>
  <si>
    <t>Monte Carlo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</si>
</sst>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\-m\-yy;@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5" fillId="2" borderId="0" xfId="0" applyFont="1" applyFill="1" applyAlignment="1">
      <alignment wrapText="1"/>
    </xf>
    <xf numFmtId="164" fontId="0" fillId="0" borderId="0" xfId="0" applyNumberFormat="1" applyAlignment="1">
      <alignment horizontal="right" wrapText="1"/>
    </xf>
    <xf numFmtId="0" fontId="5" fillId="2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right" wrapText="1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1" xfId="0" applyBorder="1"/>
    <xf numFmtId="10" fontId="0" fillId="0" borderId="1" xfId="1" applyNumberFormat="1" applyFont="1" applyBorder="1"/>
    <xf numFmtId="10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right"/>
    </xf>
    <xf numFmtId="2" fontId="0" fillId="0" borderId="1" xfId="0" applyNumberFormat="1" applyBorder="1"/>
    <xf numFmtId="9" fontId="0" fillId="0" borderId="1" xfId="0" applyNumberForma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4" fillId="0" borderId="0" xfId="0" applyFont="1"/>
    <xf numFmtId="0" fontId="0" fillId="0" borderId="3" xfId="0" applyBorder="1"/>
    <xf numFmtId="10" fontId="0" fillId="0" borderId="3" xfId="1" applyNumberFormat="1" applyFont="1" applyBorder="1"/>
    <xf numFmtId="0" fontId="0" fillId="0" borderId="2" xfId="0" applyBorder="1"/>
    <xf numFmtId="0" fontId="0" fillId="0" borderId="0" xfId="0" applyBorder="1"/>
    <xf numFmtId="0" fontId="3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Daily Return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5F0ABEF-7F4C-4871-BC1D-DCA37AEE784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24</xdr:row>
      <xdr:rowOff>25400</xdr:rowOff>
    </xdr:from>
    <xdr:to>
      <xdr:col>13</xdr:col>
      <xdr:colOff>12700</xdr:colOff>
      <xdr:row>39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0C166E-DE4D-BB9E-A7C8-3F7FDFFED8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4483100"/>
              <a:ext cx="4076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ED94-F632-4312-93F5-736E147B1414}">
  <dimension ref="B3:K5183"/>
  <sheetViews>
    <sheetView showGridLines="0" workbookViewId="0">
      <selection activeCell="M7" sqref="M7"/>
    </sheetView>
  </sheetViews>
  <sheetFormatPr defaultRowHeight="14.5" x14ac:dyDescent="0.35"/>
  <cols>
    <col min="1" max="1" width="1.81640625" customWidth="1"/>
    <col min="2" max="2" width="12.36328125" customWidth="1"/>
    <col min="3" max="3" width="12.81640625" customWidth="1"/>
    <col min="4" max="4" width="10.90625" customWidth="1"/>
    <col min="5" max="5" width="13.1796875" customWidth="1"/>
    <col min="7" max="8" width="12" customWidth="1"/>
    <col min="9" max="9" width="11" customWidth="1"/>
    <col min="10" max="10" width="12.6328125" customWidth="1"/>
    <col min="11" max="11" width="10.90625" customWidth="1"/>
  </cols>
  <sheetData>
    <row r="3" spans="2:11" x14ac:dyDescent="0.35">
      <c r="B3" s="1" t="s">
        <v>0</v>
      </c>
      <c r="C3" s="3" t="s">
        <v>1</v>
      </c>
      <c r="D3" s="6" t="s">
        <v>2</v>
      </c>
      <c r="E3" s="6" t="s">
        <v>3</v>
      </c>
      <c r="F3" s="5"/>
      <c r="G3" s="5" t="s">
        <v>4</v>
      </c>
      <c r="H3" s="5"/>
      <c r="I3" s="5"/>
      <c r="J3" s="5"/>
      <c r="K3" s="5"/>
    </row>
    <row r="4" spans="2:11" x14ac:dyDescent="0.35">
      <c r="B4" s="2">
        <v>40149</v>
      </c>
      <c r="C4" s="4">
        <v>79.180000000000007</v>
      </c>
      <c r="D4">
        <f t="shared" ref="D4:D67" si="0">C4/C5-1</f>
        <v>-0.8736879047953291</v>
      </c>
      <c r="E4">
        <v>0.20006062443164607</v>
      </c>
    </row>
    <row r="5" spans="2:11" x14ac:dyDescent="0.35">
      <c r="B5" s="2">
        <v>42066</v>
      </c>
      <c r="C5" s="4">
        <v>626.86</v>
      </c>
      <c r="D5">
        <f t="shared" si="0"/>
        <v>-0.35994853939697158</v>
      </c>
      <c r="E5">
        <v>0.19996171516079642</v>
      </c>
      <c r="G5" s="7" t="s">
        <v>5</v>
      </c>
      <c r="H5" s="7"/>
      <c r="I5" s="8">
        <f>AVERAGE(E4:E5183)</f>
        <v>1.4241178234824898E-3</v>
      </c>
      <c r="J5" s="7"/>
      <c r="K5" s="7"/>
    </row>
    <row r="6" spans="2:11" x14ac:dyDescent="0.35">
      <c r="B6" s="2">
        <v>42234</v>
      </c>
      <c r="C6" s="4">
        <v>979.39</v>
      </c>
      <c r="D6">
        <f t="shared" si="0"/>
        <v>23.218348170128586</v>
      </c>
      <c r="E6">
        <v>0.19652303519724379</v>
      </c>
      <c r="G6" s="7" t="s">
        <v>6</v>
      </c>
      <c r="H6" s="7"/>
      <c r="I6" s="8">
        <f>_xlfn.STDEV.S(E4:E5183)</f>
        <v>2.7276089363325089E-2</v>
      </c>
      <c r="J6" s="7"/>
      <c r="K6" s="7"/>
    </row>
    <row r="7" spans="2:11" x14ac:dyDescent="0.35">
      <c r="B7" s="2">
        <v>39925</v>
      </c>
      <c r="C7" s="4">
        <v>40.44</v>
      </c>
      <c r="D7">
        <f t="shared" si="0"/>
        <v>-0.91136049799443264</v>
      </c>
      <c r="E7">
        <v>0.17387518142235114</v>
      </c>
      <c r="G7" s="7" t="s">
        <v>8</v>
      </c>
      <c r="H7" s="7"/>
      <c r="I7" s="8">
        <f>MIN(E4:E5183)</f>
        <v>-0.15977961432506893</v>
      </c>
      <c r="J7" s="7"/>
      <c r="K7" s="7"/>
    </row>
    <row r="8" spans="2:11" x14ac:dyDescent="0.35">
      <c r="B8" s="2">
        <v>42051</v>
      </c>
      <c r="C8" s="4">
        <v>456.23</v>
      </c>
      <c r="D8">
        <f t="shared" si="0"/>
        <v>6.678054527095254</v>
      </c>
      <c r="E8">
        <v>0.16379266363961031</v>
      </c>
      <c r="G8" s="7" t="s">
        <v>7</v>
      </c>
      <c r="H8" s="7"/>
      <c r="I8" s="8">
        <f>MAX(E4:E5183)</f>
        <v>0.20006062443164607</v>
      </c>
      <c r="J8" s="7"/>
      <c r="K8" s="7"/>
    </row>
    <row r="9" spans="2:11" x14ac:dyDescent="0.35">
      <c r="B9" s="2">
        <v>39955</v>
      </c>
      <c r="C9" s="4">
        <v>59.42</v>
      </c>
      <c r="D9">
        <f t="shared" si="0"/>
        <v>-0.40621564904566798</v>
      </c>
      <c r="E9">
        <v>0.15738215816127776</v>
      </c>
      <c r="G9" s="7" t="s">
        <v>10</v>
      </c>
      <c r="H9" s="7"/>
      <c r="I9" s="7">
        <v>7115.7</v>
      </c>
      <c r="J9" s="7"/>
      <c r="K9" s="7"/>
    </row>
    <row r="10" spans="2:11" ht="15" thickBot="1" x14ac:dyDescent="0.4">
      <c r="B10" s="2">
        <v>41575</v>
      </c>
      <c r="C10" s="4">
        <v>100.07</v>
      </c>
      <c r="D10">
        <f t="shared" si="0"/>
        <v>-0.98724683560435755</v>
      </c>
      <c r="E10">
        <v>0.14825014343086607</v>
      </c>
    </row>
    <row r="11" spans="2:11" ht="15" thickBot="1" x14ac:dyDescent="0.4">
      <c r="B11" s="2">
        <v>44694</v>
      </c>
      <c r="C11" s="4">
        <v>7846.68</v>
      </c>
      <c r="D11">
        <f t="shared" si="0"/>
        <v>2.3463747904965393</v>
      </c>
      <c r="E11">
        <v>0.14556595193011002</v>
      </c>
      <c r="G11" s="13" t="s">
        <v>9</v>
      </c>
      <c r="H11" s="13" t="s">
        <v>14</v>
      </c>
      <c r="I11" s="14" t="s">
        <v>11</v>
      </c>
      <c r="J11" s="14" t="s">
        <v>12</v>
      </c>
      <c r="K11" s="14" t="s">
        <v>13</v>
      </c>
    </row>
    <row r="12" spans="2:11" x14ac:dyDescent="0.35">
      <c r="B12" s="2">
        <v>44209</v>
      </c>
      <c r="C12" s="4">
        <v>2344.83</v>
      </c>
      <c r="D12">
        <f t="shared" si="0"/>
        <v>70.445155393053014</v>
      </c>
      <c r="E12">
        <v>0.1361601302439166</v>
      </c>
    </row>
    <row r="13" spans="2:11" x14ac:dyDescent="0.35">
      <c r="B13" s="2">
        <v>38131</v>
      </c>
      <c r="C13" s="4">
        <v>32.82</v>
      </c>
      <c r="D13">
        <f t="shared" si="0"/>
        <v>-0.61456253669994132</v>
      </c>
      <c r="E13">
        <v>0.13524731926668965</v>
      </c>
      <c r="G13" s="9">
        <v>0.05</v>
      </c>
      <c r="H13" s="10">
        <f>100%-G13</f>
        <v>0.95</v>
      </c>
      <c r="I13" s="8">
        <f>_xlfn.PERCENTILE.INC(E4:E5183,G13)</f>
        <v>-3.6760089886410455E-2</v>
      </c>
      <c r="J13" s="11">
        <f>$I$9*(1-I13)</f>
        <v>7377.2737716047304</v>
      </c>
      <c r="K13" s="11">
        <f>$I$9-J13</f>
        <v>-261.57377160473061</v>
      </c>
    </row>
    <row r="14" spans="2:11" x14ac:dyDescent="0.35">
      <c r="B14" s="2">
        <v>41543</v>
      </c>
      <c r="C14" s="4">
        <v>85.15</v>
      </c>
      <c r="D14">
        <f t="shared" si="0"/>
        <v>-0.67281460134486071</v>
      </c>
      <c r="E14">
        <v>0.13156146179401995</v>
      </c>
      <c r="G14" s="9">
        <v>0.01</v>
      </c>
      <c r="H14" s="10">
        <f t="shared" ref="H14:H16" si="1">100%-G14</f>
        <v>0.99</v>
      </c>
      <c r="I14" s="8">
        <f>_xlfn.PERCENTILE.INC(E5:E5184,G14)</f>
        <v>-6.7832062228831369E-2</v>
      </c>
      <c r="J14" s="11">
        <f t="shared" ref="J14:J16" si="2">$I$9*(1-I14)</f>
        <v>7598.3726052016946</v>
      </c>
      <c r="K14" s="11">
        <f t="shared" ref="K14:K16" si="3">$I$9-J14</f>
        <v>-482.67260520169475</v>
      </c>
    </row>
    <row r="15" spans="2:11" x14ac:dyDescent="0.35">
      <c r="B15" s="2">
        <v>41698</v>
      </c>
      <c r="C15" s="4">
        <v>260.25</v>
      </c>
      <c r="D15">
        <f t="shared" si="0"/>
        <v>1.4778634675806912</v>
      </c>
      <c r="E15">
        <v>0.13068601468479835</v>
      </c>
      <c r="G15" s="9">
        <v>5.0000000000000001E-3</v>
      </c>
      <c r="H15" s="10">
        <f t="shared" si="1"/>
        <v>0.995</v>
      </c>
      <c r="I15" s="8">
        <f>_xlfn.PERCENTILE.INC(E6:E5185,G15)</f>
        <v>-8.0725493932065309E-2</v>
      </c>
      <c r="J15" s="11">
        <f t="shared" si="2"/>
        <v>7690.1183971723976</v>
      </c>
      <c r="K15" s="11">
        <f t="shared" si="3"/>
        <v>-574.41839717239782</v>
      </c>
    </row>
    <row r="16" spans="2:11" x14ac:dyDescent="0.35">
      <c r="B16" s="2">
        <v>41243</v>
      </c>
      <c r="C16" s="4">
        <v>105.03</v>
      </c>
      <c r="D16">
        <f t="shared" si="0"/>
        <v>-0.28105962078170987</v>
      </c>
      <c r="E16">
        <v>0.12705225882605431</v>
      </c>
      <c r="G16" s="12">
        <v>0.1</v>
      </c>
      <c r="H16" s="10">
        <f t="shared" si="1"/>
        <v>0.9</v>
      </c>
      <c r="I16" s="8">
        <f>_xlfn.PERCENTILE.INC(E7:E5186,G16)</f>
        <v>-2.6525187720203579E-2</v>
      </c>
      <c r="J16" s="11">
        <f t="shared" si="2"/>
        <v>7304.4452782606522</v>
      </c>
      <c r="K16" s="11">
        <f t="shared" si="3"/>
        <v>-188.74527826065241</v>
      </c>
    </row>
    <row r="17" spans="2:5" x14ac:dyDescent="0.35">
      <c r="B17" s="2">
        <v>41612</v>
      </c>
      <c r="C17" s="4">
        <v>146.09</v>
      </c>
      <c r="D17">
        <f t="shared" si="0"/>
        <v>-0.79992330553158852</v>
      </c>
      <c r="E17">
        <v>0.12558748747977511</v>
      </c>
    </row>
    <row r="18" spans="2:5" x14ac:dyDescent="0.35">
      <c r="B18" s="2">
        <v>42209</v>
      </c>
      <c r="C18" s="4">
        <v>730.17</v>
      </c>
      <c r="D18">
        <f t="shared" si="0"/>
        <v>25.765762463343105</v>
      </c>
      <c r="E18">
        <v>0.124445607983245</v>
      </c>
    </row>
    <row r="19" spans="2:5" x14ac:dyDescent="0.35">
      <c r="B19" s="2">
        <v>38125</v>
      </c>
      <c r="C19" s="4">
        <v>27.28</v>
      </c>
      <c r="D19">
        <f t="shared" si="0"/>
        <v>-0.30585241730279888</v>
      </c>
      <c r="E19">
        <v>0.11803278688524599</v>
      </c>
    </row>
    <row r="20" spans="2:5" x14ac:dyDescent="0.35">
      <c r="B20" s="2">
        <v>39818</v>
      </c>
      <c r="C20" s="4">
        <v>39.299999999999997</v>
      </c>
      <c r="D20">
        <f t="shared" si="0"/>
        <v>-0.55492638731596833</v>
      </c>
      <c r="E20">
        <v>0.11647727272727249</v>
      </c>
    </row>
    <row r="21" spans="2:5" x14ac:dyDescent="0.35">
      <c r="B21" s="2">
        <v>40150</v>
      </c>
      <c r="C21" s="4">
        <v>88.3</v>
      </c>
      <c r="D21">
        <f t="shared" si="0"/>
        <v>-0.98948238567603364</v>
      </c>
      <c r="E21">
        <v>0.11518060116190942</v>
      </c>
    </row>
    <row r="22" spans="2:5" x14ac:dyDescent="0.35">
      <c r="B22" s="2">
        <v>44645</v>
      </c>
      <c r="C22" s="4">
        <v>8395.44</v>
      </c>
      <c r="D22">
        <f t="shared" si="0"/>
        <v>203.02041312272178</v>
      </c>
      <c r="E22">
        <v>0.10928273665990607</v>
      </c>
    </row>
    <row r="23" spans="2:5" x14ac:dyDescent="0.35">
      <c r="B23" s="2">
        <v>39762</v>
      </c>
      <c r="C23" s="4">
        <v>41.15</v>
      </c>
      <c r="D23">
        <f t="shared" si="0"/>
        <v>-0.41498436167187946</v>
      </c>
      <c r="E23">
        <v>0.10796984383414099</v>
      </c>
    </row>
    <row r="24" spans="2:5" x14ac:dyDescent="0.35">
      <c r="B24" s="2">
        <v>40063</v>
      </c>
      <c r="C24" s="4">
        <v>70.34</v>
      </c>
      <c r="D24">
        <f t="shared" si="0"/>
        <v>1.1649647634114801E-2</v>
      </c>
      <c r="E24">
        <v>0.10754211935128333</v>
      </c>
    </row>
    <row r="25" spans="2:5" x14ac:dyDescent="0.35">
      <c r="B25" s="2">
        <v>38658</v>
      </c>
      <c r="C25" s="4">
        <v>69.53</v>
      </c>
      <c r="D25">
        <f t="shared" si="0"/>
        <v>0.46842661034846889</v>
      </c>
      <c r="E25">
        <v>0.10575699745547062</v>
      </c>
    </row>
    <row r="26" spans="2:5" x14ac:dyDescent="0.35">
      <c r="B26" s="2">
        <v>38226</v>
      </c>
      <c r="C26" s="4">
        <v>47.35</v>
      </c>
      <c r="D26">
        <f t="shared" si="0"/>
        <v>-0.94119035198847401</v>
      </c>
      <c r="E26">
        <v>0.10372960372960383</v>
      </c>
    </row>
    <row r="27" spans="2:5" x14ac:dyDescent="0.35">
      <c r="B27" s="2">
        <v>43948</v>
      </c>
      <c r="C27" s="4">
        <v>805.14</v>
      </c>
      <c r="D27">
        <f t="shared" si="0"/>
        <v>-0.20108355907480724</v>
      </c>
      <c r="E27">
        <v>0.10370258673868049</v>
      </c>
    </row>
    <row r="28" spans="2:5" x14ac:dyDescent="0.35">
      <c r="B28" s="2">
        <v>43893</v>
      </c>
      <c r="C28" s="4">
        <v>1007.79</v>
      </c>
      <c r="D28">
        <f t="shared" si="0"/>
        <v>5.538147138964578</v>
      </c>
      <c r="E28">
        <v>0.10262694340200662</v>
      </c>
    </row>
    <row r="29" spans="2:5" x14ac:dyDescent="0.35">
      <c r="B29" s="2">
        <v>41624</v>
      </c>
      <c r="C29" s="4">
        <v>154.13999999999999</v>
      </c>
      <c r="D29">
        <f t="shared" si="0"/>
        <v>2.0035074045206542</v>
      </c>
      <c r="E29">
        <v>0.10186575166202028</v>
      </c>
    </row>
    <row r="30" spans="2:5" x14ac:dyDescent="0.35">
      <c r="B30" s="2">
        <v>39951</v>
      </c>
      <c r="C30" s="4">
        <v>51.32</v>
      </c>
      <c r="D30">
        <f t="shared" si="0"/>
        <v>-0.2910623014228485</v>
      </c>
      <c r="E30">
        <v>0.10176041219407472</v>
      </c>
    </row>
    <row r="31" spans="2:5" x14ac:dyDescent="0.35">
      <c r="B31" s="2">
        <v>38825</v>
      </c>
      <c r="C31" s="4">
        <v>72.39</v>
      </c>
      <c r="D31">
        <f t="shared" si="0"/>
        <v>-0.89513558929192261</v>
      </c>
      <c r="E31">
        <v>0.10149117468046254</v>
      </c>
    </row>
    <row r="32" spans="2:5" x14ac:dyDescent="0.35">
      <c r="B32" s="2">
        <v>42891</v>
      </c>
      <c r="C32" s="4">
        <v>690.32</v>
      </c>
      <c r="D32">
        <f t="shared" si="0"/>
        <v>8.7779036827195487</v>
      </c>
      <c r="E32">
        <v>0.10026936134266284</v>
      </c>
    </row>
    <row r="33" spans="2:5" x14ac:dyDescent="0.35">
      <c r="B33" s="2">
        <v>38860</v>
      </c>
      <c r="C33" s="4">
        <v>70.599999999999994</v>
      </c>
      <c r="D33">
        <f t="shared" si="0"/>
        <v>0.2306083318807739</v>
      </c>
      <c r="E33">
        <v>0.10020258687860362</v>
      </c>
    </row>
    <row r="34" spans="2:5" x14ac:dyDescent="0.35">
      <c r="B34" s="2">
        <v>38356</v>
      </c>
      <c r="C34" s="4">
        <v>57.37</v>
      </c>
      <c r="D34">
        <f t="shared" si="0"/>
        <v>-0.90001394262609358</v>
      </c>
      <c r="E34">
        <v>0.10009587727708524</v>
      </c>
    </row>
    <row r="35" spans="2:5" x14ac:dyDescent="0.35">
      <c r="B35" s="2">
        <v>42095</v>
      </c>
      <c r="C35" s="4">
        <v>573.78</v>
      </c>
      <c r="D35">
        <f t="shared" si="0"/>
        <v>0.90037425893418987</v>
      </c>
      <c r="E35">
        <v>9.9975078120506877E-2</v>
      </c>
    </row>
    <row r="36" spans="2:5" x14ac:dyDescent="0.35">
      <c r="B36" s="2">
        <v>41901</v>
      </c>
      <c r="C36" s="4">
        <v>301.93</v>
      </c>
      <c r="D36">
        <f t="shared" si="0"/>
        <v>0.10000728650539203</v>
      </c>
      <c r="E36">
        <v>9.9887071509234593E-2</v>
      </c>
    </row>
    <row r="37" spans="2:5" x14ac:dyDescent="0.35">
      <c r="B37" s="2">
        <v>41708</v>
      </c>
      <c r="C37" s="4">
        <v>274.48</v>
      </c>
      <c r="D37">
        <f t="shared" si="0"/>
        <v>-0.5959607854682486</v>
      </c>
      <c r="E37">
        <v>9.871107197181983E-2</v>
      </c>
    </row>
    <row r="38" spans="2:5" x14ac:dyDescent="0.35">
      <c r="B38" s="2">
        <v>43930</v>
      </c>
      <c r="C38" s="4">
        <v>679.34</v>
      </c>
      <c r="D38">
        <f t="shared" si="0"/>
        <v>0.36944382849194679</v>
      </c>
      <c r="E38">
        <v>9.7320260382173895E-2</v>
      </c>
    </row>
    <row r="39" spans="2:5" x14ac:dyDescent="0.35">
      <c r="B39" s="2">
        <v>42122</v>
      </c>
      <c r="C39" s="4">
        <v>496.07</v>
      </c>
      <c r="D39">
        <f t="shared" si="0"/>
        <v>-0.82989163980522596</v>
      </c>
      <c r="E39">
        <v>9.6432676155954411E-2</v>
      </c>
    </row>
    <row r="40" spans="2:5" x14ac:dyDescent="0.35">
      <c r="B40" s="2">
        <v>44228</v>
      </c>
      <c r="C40" s="4">
        <v>2916.2</v>
      </c>
      <c r="D40">
        <f t="shared" si="0"/>
        <v>21.877539813289399</v>
      </c>
      <c r="E40">
        <v>9.6336397300701204E-2</v>
      </c>
    </row>
    <row r="41" spans="2:5" x14ac:dyDescent="0.35">
      <c r="B41" s="2">
        <v>39231</v>
      </c>
      <c r="C41" s="4">
        <v>127.47</v>
      </c>
      <c r="D41">
        <f t="shared" si="0"/>
        <v>0.24555403556771549</v>
      </c>
      <c r="E41">
        <v>9.632751354605662E-2</v>
      </c>
    </row>
    <row r="42" spans="2:5" x14ac:dyDescent="0.35">
      <c r="B42" s="2">
        <v>39421</v>
      </c>
      <c r="C42" s="4">
        <v>102.34</v>
      </c>
      <c r="D42">
        <f t="shared" si="0"/>
        <v>0.39522835719154759</v>
      </c>
      <c r="E42">
        <v>9.5952023988006063E-2</v>
      </c>
    </row>
    <row r="43" spans="2:5" x14ac:dyDescent="0.35">
      <c r="B43" s="2">
        <v>39591</v>
      </c>
      <c r="C43" s="4">
        <v>73.349999999999994</v>
      </c>
      <c r="D43">
        <f t="shared" si="0"/>
        <v>0.22209263578807059</v>
      </c>
      <c r="E43">
        <v>9.5921111609143628E-2</v>
      </c>
    </row>
    <row r="44" spans="2:5" x14ac:dyDescent="0.35">
      <c r="B44" s="2">
        <v>38924</v>
      </c>
      <c r="C44" s="4">
        <v>60.02</v>
      </c>
      <c r="D44">
        <f t="shared" si="0"/>
        <v>0.3928985843583197</v>
      </c>
      <c r="E44">
        <v>9.545537506844326E-2</v>
      </c>
    </row>
    <row r="45" spans="2:5" x14ac:dyDescent="0.35">
      <c r="B45" s="2">
        <v>39742</v>
      </c>
      <c r="C45" s="4">
        <v>43.09</v>
      </c>
      <c r="D45">
        <f t="shared" si="0"/>
        <v>-0.63780785071866852</v>
      </c>
      <c r="E45">
        <v>9.4766260162601812E-2</v>
      </c>
    </row>
    <row r="46" spans="2:5" x14ac:dyDescent="0.35">
      <c r="B46" s="2">
        <v>40477</v>
      </c>
      <c r="C46" s="4">
        <v>118.97</v>
      </c>
      <c r="D46">
        <f t="shared" si="0"/>
        <v>-0.98286201596395217</v>
      </c>
      <c r="E46">
        <v>9.4278881530537095E-2</v>
      </c>
    </row>
    <row r="47" spans="2:5" x14ac:dyDescent="0.35">
      <c r="B47" s="2">
        <v>44580</v>
      </c>
      <c r="C47" s="4">
        <v>6941.89</v>
      </c>
      <c r="D47">
        <f t="shared" si="0"/>
        <v>174.96679340937897</v>
      </c>
      <c r="E47">
        <v>9.4246680716709941E-2</v>
      </c>
    </row>
    <row r="48" spans="2:5" x14ac:dyDescent="0.35">
      <c r="B48" s="2">
        <v>37440</v>
      </c>
      <c r="C48" s="4">
        <v>39.450000000000003</v>
      </c>
      <c r="D48">
        <f t="shared" si="0"/>
        <v>-0.92448315467075037</v>
      </c>
      <c r="E48">
        <v>9.2797783933518119E-2</v>
      </c>
    </row>
    <row r="49" spans="2:5" x14ac:dyDescent="0.35">
      <c r="B49" s="2">
        <v>42065</v>
      </c>
      <c r="C49" s="4">
        <v>522.4</v>
      </c>
      <c r="D49">
        <f t="shared" si="0"/>
        <v>19.829346092503989</v>
      </c>
      <c r="E49">
        <v>9.2429945629443733E-2</v>
      </c>
    </row>
    <row r="50" spans="2:5" x14ac:dyDescent="0.35">
      <c r="B50" s="2">
        <v>37781</v>
      </c>
      <c r="C50" s="4">
        <v>25.08</v>
      </c>
      <c r="D50">
        <f t="shared" si="0"/>
        <v>-0.7297122534755901</v>
      </c>
      <c r="E50">
        <v>9.1858946451893742E-2</v>
      </c>
    </row>
    <row r="51" spans="2:5" x14ac:dyDescent="0.35">
      <c r="B51" s="2">
        <v>40844</v>
      </c>
      <c r="C51" s="4">
        <v>92.79</v>
      </c>
      <c r="D51">
        <f t="shared" si="0"/>
        <v>1.6079258010118047</v>
      </c>
      <c r="E51">
        <v>9.1647058823529415E-2</v>
      </c>
    </row>
    <row r="52" spans="2:5" x14ac:dyDescent="0.35">
      <c r="B52" s="2">
        <v>38166</v>
      </c>
      <c r="C52" s="4">
        <v>35.58</v>
      </c>
      <c r="D52">
        <f t="shared" si="0"/>
        <v>-0.95876312556500776</v>
      </c>
      <c r="E52">
        <v>9.1076356945722248E-2</v>
      </c>
    </row>
    <row r="53" spans="2:5" x14ac:dyDescent="0.35">
      <c r="B53" s="2">
        <v>42255</v>
      </c>
      <c r="C53" s="4">
        <v>862.82</v>
      </c>
      <c r="D53">
        <f t="shared" si="0"/>
        <v>7.5716272600834493</v>
      </c>
      <c r="E53">
        <v>9.0989555673570699E-2</v>
      </c>
    </row>
    <row r="54" spans="2:5" x14ac:dyDescent="0.35">
      <c r="B54" s="2">
        <v>40155</v>
      </c>
      <c r="C54" s="4">
        <v>100.66</v>
      </c>
      <c r="D54">
        <f t="shared" si="0"/>
        <v>-0.85877037910037324</v>
      </c>
      <c r="E54">
        <v>8.9865742745777411E-2</v>
      </c>
    </row>
    <row r="55" spans="2:5" x14ac:dyDescent="0.35">
      <c r="B55" s="2">
        <v>43936</v>
      </c>
      <c r="C55" s="4">
        <v>712.74</v>
      </c>
      <c r="D55">
        <f t="shared" si="0"/>
        <v>1.5141627570637413</v>
      </c>
      <c r="E55">
        <v>8.9499992356960378E-2</v>
      </c>
    </row>
    <row r="56" spans="2:5" x14ac:dyDescent="0.35">
      <c r="B56" s="2">
        <v>41701</v>
      </c>
      <c r="C56" s="4">
        <v>283.49</v>
      </c>
      <c r="D56">
        <f t="shared" si="0"/>
        <v>1.5769475502227071</v>
      </c>
      <c r="E56">
        <v>8.9298751200768578E-2</v>
      </c>
    </row>
    <row r="57" spans="2:5" x14ac:dyDescent="0.35">
      <c r="B57" s="2">
        <v>40191</v>
      </c>
      <c r="C57" s="4">
        <v>110.01</v>
      </c>
      <c r="D57">
        <f t="shared" si="0"/>
        <v>-0.97107382603276771</v>
      </c>
      <c r="E57">
        <v>8.8884489755518103E-2</v>
      </c>
    </row>
    <row r="58" spans="2:5" x14ac:dyDescent="0.35">
      <c r="B58" s="2">
        <v>44320</v>
      </c>
      <c r="C58" s="4">
        <v>3803.13</v>
      </c>
      <c r="D58">
        <f t="shared" si="0"/>
        <v>101.26216724926056</v>
      </c>
      <c r="E58">
        <v>8.8110163454138135E-2</v>
      </c>
    </row>
    <row r="59" spans="2:5" x14ac:dyDescent="0.35">
      <c r="B59" s="2">
        <v>39750</v>
      </c>
      <c r="C59" s="4">
        <v>37.19</v>
      </c>
      <c r="D59">
        <f t="shared" si="0"/>
        <v>0.11883273164861596</v>
      </c>
      <c r="E59">
        <v>8.7744954665106789E-2</v>
      </c>
    </row>
    <row r="60" spans="2:5" x14ac:dyDescent="0.35">
      <c r="B60" s="2">
        <v>38033</v>
      </c>
      <c r="C60" s="4">
        <v>33.24</v>
      </c>
      <c r="D60">
        <f t="shared" si="0"/>
        <v>-0.55791993616172353</v>
      </c>
      <c r="E60">
        <v>8.7340529931305255E-2</v>
      </c>
    </row>
    <row r="61" spans="2:5" x14ac:dyDescent="0.35">
      <c r="B61" s="2">
        <v>38833</v>
      </c>
      <c r="C61" s="4">
        <v>75.19</v>
      </c>
      <c r="D61">
        <f t="shared" si="0"/>
        <v>-0.40729938514898312</v>
      </c>
      <c r="E61">
        <v>8.6246749494365726E-2</v>
      </c>
    </row>
    <row r="62" spans="2:5" x14ac:dyDescent="0.35">
      <c r="B62" s="2">
        <v>40484</v>
      </c>
      <c r="C62" s="4">
        <v>126.86</v>
      </c>
      <c r="D62">
        <f t="shared" si="0"/>
        <v>3.4779385810095311</v>
      </c>
      <c r="E62">
        <v>8.5572479890467124E-2</v>
      </c>
    </row>
    <row r="63" spans="2:5" x14ac:dyDescent="0.35">
      <c r="B63" s="2">
        <v>37861</v>
      </c>
      <c r="C63" s="4">
        <v>28.33</v>
      </c>
      <c r="D63">
        <f t="shared" si="0"/>
        <v>-0.91383819951338197</v>
      </c>
      <c r="E63">
        <v>8.5440613026819712E-2</v>
      </c>
    </row>
    <row r="64" spans="2:5" x14ac:dyDescent="0.35">
      <c r="B64" s="2">
        <v>42016</v>
      </c>
      <c r="C64" s="4">
        <v>328.8</v>
      </c>
      <c r="D64">
        <f t="shared" si="0"/>
        <v>2.5320657428295199</v>
      </c>
      <c r="E64">
        <v>8.5327611817131555E-2</v>
      </c>
    </row>
    <row r="65" spans="2:5" x14ac:dyDescent="0.35">
      <c r="B65" s="2">
        <v>40941</v>
      </c>
      <c r="C65" s="4">
        <v>93.09</v>
      </c>
      <c r="D65">
        <f t="shared" si="0"/>
        <v>-0.13218980143562964</v>
      </c>
      <c r="E65">
        <v>8.5091502506119632E-2</v>
      </c>
    </row>
    <row r="66" spans="2:5" x14ac:dyDescent="0.35">
      <c r="B66" s="2">
        <v>40429</v>
      </c>
      <c r="C66" s="4">
        <v>107.27</v>
      </c>
      <c r="D66">
        <f t="shared" si="0"/>
        <v>4.5888743210338312E-3</v>
      </c>
      <c r="E66">
        <v>8.4630940343781491E-2</v>
      </c>
    </row>
    <row r="67" spans="2:5" x14ac:dyDescent="0.35">
      <c r="B67" s="2">
        <v>40452</v>
      </c>
      <c r="C67" s="4">
        <v>106.78</v>
      </c>
      <c r="D67">
        <f t="shared" si="0"/>
        <v>-0.70432519244614278</v>
      </c>
      <c r="E67">
        <v>8.4170981825566038E-2</v>
      </c>
    </row>
    <row r="68" spans="2:5" x14ac:dyDescent="0.35">
      <c r="B68" s="2">
        <v>42025</v>
      </c>
      <c r="C68" s="4">
        <v>361.14</v>
      </c>
      <c r="D68">
        <f t="shared" ref="D68:D131" si="4">C68/C69-1</f>
        <v>2.9896155545735748</v>
      </c>
      <c r="E68">
        <v>8.3365831708414495E-2</v>
      </c>
    </row>
    <row r="69" spans="2:5" x14ac:dyDescent="0.35">
      <c r="B69" s="2">
        <v>40793</v>
      </c>
      <c r="C69" s="4">
        <v>90.52</v>
      </c>
      <c r="D69">
        <f t="shared" si="4"/>
        <v>-0.94873566473170046</v>
      </c>
      <c r="E69">
        <v>8.2127913927076968E-2</v>
      </c>
    </row>
    <row r="70" spans="2:5" x14ac:dyDescent="0.35">
      <c r="B70" s="2">
        <v>44188</v>
      </c>
      <c r="C70" s="4">
        <v>1765.75</v>
      </c>
      <c r="D70">
        <f t="shared" si="4"/>
        <v>19.366205305651672</v>
      </c>
      <c r="E70">
        <v>8.1663032025679261E-2</v>
      </c>
    </row>
    <row r="71" spans="2:5" x14ac:dyDescent="0.35">
      <c r="B71" s="2">
        <v>38839</v>
      </c>
      <c r="C71" s="4">
        <v>86.7</v>
      </c>
      <c r="D71">
        <f t="shared" si="4"/>
        <v>-0.91601929522075209</v>
      </c>
      <c r="E71">
        <v>8.1586826347305408E-2</v>
      </c>
    </row>
    <row r="72" spans="2:5" x14ac:dyDescent="0.35">
      <c r="B72" s="2">
        <v>42401</v>
      </c>
      <c r="C72" s="4">
        <v>1032.3800000000001</v>
      </c>
      <c r="D72">
        <f t="shared" si="4"/>
        <v>13.518070594853047</v>
      </c>
      <c r="E72">
        <v>8.0550961880639038E-2</v>
      </c>
    </row>
    <row r="73" spans="2:5" x14ac:dyDescent="0.35">
      <c r="B73" s="2">
        <v>39559</v>
      </c>
      <c r="C73" s="4">
        <v>71.11</v>
      </c>
      <c r="D73">
        <f t="shared" si="4"/>
        <v>-0.45663635668984492</v>
      </c>
      <c r="E73">
        <v>7.9059180576631194E-2</v>
      </c>
    </row>
    <row r="74" spans="2:5" x14ac:dyDescent="0.35">
      <c r="B74" s="2">
        <v>40260</v>
      </c>
      <c r="C74" s="4">
        <v>130.87</v>
      </c>
      <c r="D74">
        <f t="shared" si="4"/>
        <v>1.4298180467879691</v>
      </c>
      <c r="E74">
        <v>7.8806363861182005E-2</v>
      </c>
    </row>
    <row r="75" spans="2:5" x14ac:dyDescent="0.35">
      <c r="B75" s="2">
        <v>39986</v>
      </c>
      <c r="C75" s="4">
        <v>53.86</v>
      </c>
      <c r="D75">
        <f t="shared" si="4"/>
        <v>-0.994739232568702</v>
      </c>
      <c r="E75">
        <v>7.8494193031638071E-2</v>
      </c>
    </row>
    <row r="76" spans="2:5" x14ac:dyDescent="0.35">
      <c r="B76" s="2">
        <v>44785</v>
      </c>
      <c r="C76" s="4">
        <v>10238.049999999999</v>
      </c>
      <c r="D76">
        <f t="shared" si="4"/>
        <v>109.84939367691641</v>
      </c>
      <c r="E76">
        <v>7.7842640796323748E-2</v>
      </c>
    </row>
    <row r="77" spans="2:5" x14ac:dyDescent="0.35">
      <c r="B77" s="2">
        <v>40154</v>
      </c>
      <c r="C77" s="4">
        <v>92.36</v>
      </c>
      <c r="D77">
        <f t="shared" si="4"/>
        <v>1.5727019498607242</v>
      </c>
      <c r="E77">
        <v>7.7587212693968066E-2</v>
      </c>
    </row>
    <row r="78" spans="2:5" x14ac:dyDescent="0.35">
      <c r="B78" s="2">
        <v>37964</v>
      </c>
      <c r="C78" s="4">
        <v>35.9</v>
      </c>
      <c r="D78">
        <f t="shared" si="4"/>
        <v>-0.50625773621235037</v>
      </c>
      <c r="E78">
        <v>7.7430972388955466E-2</v>
      </c>
    </row>
    <row r="79" spans="2:5" x14ac:dyDescent="0.35">
      <c r="B79" s="2">
        <v>38546</v>
      </c>
      <c r="C79" s="4">
        <v>72.709999999999994</v>
      </c>
      <c r="D79">
        <f t="shared" si="4"/>
        <v>0.85721583652618127</v>
      </c>
      <c r="E79">
        <v>7.7344791821010617E-2</v>
      </c>
    </row>
    <row r="80" spans="2:5" x14ac:dyDescent="0.35">
      <c r="B80" s="2">
        <v>37978</v>
      </c>
      <c r="C80" s="4">
        <v>39.15</v>
      </c>
      <c r="D80">
        <f t="shared" si="4"/>
        <v>-0.96086995632227568</v>
      </c>
      <c r="E80">
        <v>7.7028885832187033E-2</v>
      </c>
    </row>
    <row r="81" spans="2:5" x14ac:dyDescent="0.35">
      <c r="B81" s="2">
        <v>43865</v>
      </c>
      <c r="C81" s="4">
        <v>1000.51</v>
      </c>
      <c r="D81">
        <f t="shared" si="4"/>
        <v>8.2280944475189077</v>
      </c>
      <c r="E81">
        <v>7.6534894230562367E-2</v>
      </c>
    </row>
    <row r="82" spans="2:5" x14ac:dyDescent="0.35">
      <c r="B82" s="2">
        <v>41600</v>
      </c>
      <c r="C82" s="4">
        <v>108.42</v>
      </c>
      <c r="D82">
        <f t="shared" si="4"/>
        <v>-0.82519951632406285</v>
      </c>
      <c r="E82">
        <v>7.6235854675402059E-2</v>
      </c>
    </row>
    <row r="83" spans="2:5" x14ac:dyDescent="0.35">
      <c r="B83" s="2">
        <v>43928</v>
      </c>
      <c r="C83" s="4">
        <v>620.25</v>
      </c>
      <c r="D83">
        <f t="shared" si="4"/>
        <v>21.562750090942163</v>
      </c>
      <c r="E83">
        <v>7.6056973334952538E-2</v>
      </c>
    </row>
    <row r="84" spans="2:5" x14ac:dyDescent="0.35">
      <c r="B84" s="2">
        <v>37802</v>
      </c>
      <c r="C84" s="4">
        <v>27.49</v>
      </c>
      <c r="D84">
        <f t="shared" si="4"/>
        <v>-0.61808835787718808</v>
      </c>
      <c r="E84">
        <v>7.5929549902152615E-2</v>
      </c>
    </row>
    <row r="85" spans="2:5" x14ac:dyDescent="0.35">
      <c r="B85" s="2">
        <v>38811</v>
      </c>
      <c r="C85" s="4">
        <v>71.98</v>
      </c>
      <c r="D85">
        <f t="shared" si="4"/>
        <v>-0.98319202146414819</v>
      </c>
      <c r="E85">
        <v>7.529130564684805E-2</v>
      </c>
    </row>
    <row r="86" spans="2:5" x14ac:dyDescent="0.35">
      <c r="B86" s="2">
        <v>44377</v>
      </c>
      <c r="C86" s="4">
        <v>4282.49</v>
      </c>
      <c r="D86">
        <f t="shared" si="4"/>
        <v>20.683493670886076</v>
      </c>
      <c r="E86">
        <v>7.5283855513651687E-2</v>
      </c>
    </row>
    <row r="87" spans="2:5" x14ac:dyDescent="0.35">
      <c r="B87" s="2">
        <v>41684</v>
      </c>
      <c r="C87" s="4">
        <v>197.5</v>
      </c>
      <c r="D87">
        <f t="shared" si="4"/>
        <v>0.65189026430244223</v>
      </c>
      <c r="E87">
        <v>7.4654478180433026E-2</v>
      </c>
    </row>
    <row r="88" spans="2:5" x14ac:dyDescent="0.35">
      <c r="B88" s="2">
        <v>39188</v>
      </c>
      <c r="C88" s="4">
        <v>119.56</v>
      </c>
      <c r="D88">
        <f t="shared" si="4"/>
        <v>-7.9316186662559796E-2</v>
      </c>
      <c r="E88">
        <v>7.4600035951824628E-2</v>
      </c>
    </row>
    <row r="89" spans="2:5" x14ac:dyDescent="0.35">
      <c r="B89" s="2">
        <v>41606</v>
      </c>
      <c r="C89" s="4">
        <v>129.86000000000001</v>
      </c>
      <c r="D89">
        <f t="shared" si="4"/>
        <v>1.8328970331588135</v>
      </c>
      <c r="E89">
        <v>7.4555233760860817E-2</v>
      </c>
    </row>
    <row r="90" spans="2:5" x14ac:dyDescent="0.35">
      <c r="B90" s="2">
        <v>38223</v>
      </c>
      <c r="C90" s="4">
        <v>45.84</v>
      </c>
      <c r="D90">
        <f t="shared" si="4"/>
        <v>0.43294779618630841</v>
      </c>
      <c r="E90">
        <v>7.4291071010077481E-2</v>
      </c>
    </row>
    <row r="91" spans="2:5" x14ac:dyDescent="0.35">
      <c r="B91" s="2">
        <v>38009</v>
      </c>
      <c r="C91" s="4">
        <v>31.99</v>
      </c>
      <c r="D91">
        <f t="shared" si="4"/>
        <v>-0.9878971999742735</v>
      </c>
      <c r="E91">
        <v>7.3850285330647747E-2</v>
      </c>
    </row>
    <row r="92" spans="2:5" x14ac:dyDescent="0.35">
      <c r="B92" s="2">
        <v>44215</v>
      </c>
      <c r="C92" s="4">
        <v>2643.19</v>
      </c>
      <c r="D92">
        <f t="shared" si="4"/>
        <v>3.5955734056610336</v>
      </c>
      <c r="E92">
        <v>7.3838891055642231E-2</v>
      </c>
    </row>
    <row r="93" spans="2:5" x14ac:dyDescent="0.35">
      <c r="B93" s="2">
        <v>42699</v>
      </c>
      <c r="C93" s="4">
        <v>575.16</v>
      </c>
      <c r="D93">
        <f t="shared" si="4"/>
        <v>0.13363292336802268</v>
      </c>
      <c r="E93">
        <v>7.3620548047487411E-2</v>
      </c>
    </row>
    <row r="94" spans="2:5" x14ac:dyDescent="0.35">
      <c r="B94" s="2">
        <v>42090</v>
      </c>
      <c r="C94" s="4">
        <v>507.36</v>
      </c>
      <c r="D94">
        <f t="shared" si="4"/>
        <v>1.1076769690927217</v>
      </c>
      <c r="E94">
        <v>7.348242811501593E-2</v>
      </c>
    </row>
    <row r="95" spans="2:5" x14ac:dyDescent="0.35">
      <c r="B95" s="2">
        <v>41781</v>
      </c>
      <c r="C95" s="4">
        <v>240.72</v>
      </c>
      <c r="D95">
        <f t="shared" si="4"/>
        <v>-0.90841088781170809</v>
      </c>
      <c r="E95">
        <v>7.3253377324000279E-2</v>
      </c>
    </row>
    <row r="96" spans="2:5" x14ac:dyDescent="0.35">
      <c r="B96" s="2">
        <v>44223</v>
      </c>
      <c r="C96" s="4">
        <v>2628.26</v>
      </c>
      <c r="D96">
        <f t="shared" si="4"/>
        <v>43.896822685343359</v>
      </c>
      <c r="E96">
        <v>7.2535921093976441E-2</v>
      </c>
    </row>
    <row r="97" spans="2:5" x14ac:dyDescent="0.35">
      <c r="B97" s="2">
        <v>39535</v>
      </c>
      <c r="C97" s="4">
        <v>58.54</v>
      </c>
      <c r="D97">
        <f t="shared" si="4"/>
        <v>-1.8114726601811459E-2</v>
      </c>
      <c r="E97">
        <v>7.1964841604101881E-2</v>
      </c>
    </row>
    <row r="98" spans="2:5" x14ac:dyDescent="0.35">
      <c r="B98" s="2">
        <v>38397</v>
      </c>
      <c r="C98" s="4">
        <v>59.62</v>
      </c>
      <c r="D98">
        <f t="shared" si="4"/>
        <v>-0.26720747295968539</v>
      </c>
      <c r="E98">
        <v>7.1916576770945762E-2</v>
      </c>
    </row>
    <row r="99" spans="2:5" x14ac:dyDescent="0.35">
      <c r="B99" s="2">
        <v>41519</v>
      </c>
      <c r="C99" s="4">
        <v>81.36</v>
      </c>
      <c r="D99">
        <f t="shared" si="4"/>
        <v>-0.90726937017027964</v>
      </c>
      <c r="E99">
        <v>7.1654373024236051E-2</v>
      </c>
    </row>
    <row r="100" spans="2:5" x14ac:dyDescent="0.35">
      <c r="B100" s="2">
        <v>42415</v>
      </c>
      <c r="C100" s="4">
        <v>877.38</v>
      </c>
      <c r="D100">
        <f t="shared" si="4"/>
        <v>6.6433487237564242</v>
      </c>
      <c r="E100">
        <v>7.163533765710306E-2</v>
      </c>
    </row>
    <row r="101" spans="2:5" x14ac:dyDescent="0.35">
      <c r="B101" s="2">
        <v>40525</v>
      </c>
      <c r="C101" s="4">
        <v>114.79</v>
      </c>
      <c r="D101">
        <f t="shared" si="4"/>
        <v>-0.98164138405316148</v>
      </c>
      <c r="E101">
        <v>7.1201941022769777E-2</v>
      </c>
    </row>
    <row r="102" spans="2:5" x14ac:dyDescent="0.35">
      <c r="B102" s="2">
        <v>44921</v>
      </c>
      <c r="C102" s="4">
        <v>6252.65</v>
      </c>
      <c r="D102">
        <f t="shared" si="4"/>
        <v>51.441918980122445</v>
      </c>
      <c r="E102">
        <v>7.1099424420994817E-2</v>
      </c>
    </row>
    <row r="103" spans="2:5" x14ac:dyDescent="0.35">
      <c r="B103" s="2">
        <v>40254</v>
      </c>
      <c r="C103" s="4">
        <v>119.23</v>
      </c>
      <c r="D103">
        <f t="shared" si="4"/>
        <v>1.0556896551724138</v>
      </c>
      <c r="E103">
        <v>7.105641394178952E-2</v>
      </c>
    </row>
    <row r="104" spans="2:5" x14ac:dyDescent="0.35">
      <c r="B104" s="2">
        <v>38884</v>
      </c>
      <c r="C104" s="4">
        <v>58</v>
      </c>
      <c r="D104">
        <f t="shared" si="4"/>
        <v>-0.99354817897351533</v>
      </c>
      <c r="E104">
        <v>7.0901033973412186E-2</v>
      </c>
    </row>
    <row r="105" spans="2:5" x14ac:dyDescent="0.35">
      <c r="B105" s="2">
        <v>44648</v>
      </c>
      <c r="C105" s="4">
        <v>8989.7099999999991</v>
      </c>
      <c r="D105">
        <f t="shared" si="4"/>
        <v>22.367497595591484</v>
      </c>
      <c r="E105">
        <v>7.0784854635373318E-2</v>
      </c>
    </row>
    <row r="106" spans="2:5" x14ac:dyDescent="0.35">
      <c r="B106" s="2">
        <v>42047</v>
      </c>
      <c r="C106" s="4">
        <v>384.71</v>
      </c>
      <c r="D106">
        <f t="shared" si="4"/>
        <v>-0.91799606084376384</v>
      </c>
      <c r="E106">
        <v>7.0750647109577125E-2</v>
      </c>
    </row>
    <row r="107" spans="2:5" x14ac:dyDescent="0.35">
      <c r="B107" s="2">
        <v>44425</v>
      </c>
      <c r="C107" s="4">
        <v>4691.3599999999997</v>
      </c>
      <c r="D107">
        <f t="shared" si="4"/>
        <v>185.16507936507935</v>
      </c>
      <c r="E107">
        <v>7.0712741896095554E-2</v>
      </c>
    </row>
    <row r="108" spans="2:5" x14ac:dyDescent="0.35">
      <c r="B108" s="2">
        <v>37798</v>
      </c>
      <c r="C108" s="4">
        <v>25.2</v>
      </c>
      <c r="D108">
        <f t="shared" si="4"/>
        <v>-0.17512274959083474</v>
      </c>
      <c r="E108">
        <v>7.0518266779949101E-2</v>
      </c>
    </row>
    <row r="109" spans="2:5" x14ac:dyDescent="0.35">
      <c r="B109" s="2">
        <v>37904</v>
      </c>
      <c r="C109" s="4">
        <v>30.55</v>
      </c>
      <c r="D109">
        <f t="shared" si="4"/>
        <v>-0.82559799052349148</v>
      </c>
      <c r="E109">
        <v>7.0427470217238941E-2</v>
      </c>
    </row>
    <row r="110" spans="2:5" x14ac:dyDescent="0.35">
      <c r="B110" s="2">
        <v>41635</v>
      </c>
      <c r="C110" s="4">
        <v>175.17</v>
      </c>
      <c r="D110">
        <f t="shared" si="4"/>
        <v>-0.97291245606411814</v>
      </c>
      <c r="E110">
        <v>7.0394133822181404E-2</v>
      </c>
    </row>
    <row r="111" spans="2:5" x14ac:dyDescent="0.35">
      <c r="B111" s="2">
        <v>44617</v>
      </c>
      <c r="C111" s="4">
        <v>6466.81</v>
      </c>
      <c r="D111">
        <f t="shared" si="4"/>
        <v>9.2574510270441746</v>
      </c>
      <c r="E111">
        <v>7.0075719968494266E-2</v>
      </c>
    </row>
    <row r="112" spans="2:5" x14ac:dyDescent="0.35">
      <c r="B112" s="2">
        <v>43700</v>
      </c>
      <c r="C112" s="4">
        <v>630.45000000000005</v>
      </c>
      <c r="D112">
        <f t="shared" si="4"/>
        <v>13.377423033067275</v>
      </c>
      <c r="E112">
        <v>7.0046505312468366E-2</v>
      </c>
    </row>
    <row r="113" spans="2:5" x14ac:dyDescent="0.35">
      <c r="B113" s="2">
        <v>39937</v>
      </c>
      <c r="C113" s="4">
        <v>43.85</v>
      </c>
      <c r="D113">
        <f t="shared" si="4"/>
        <v>-0.92536678353814206</v>
      </c>
      <c r="E113">
        <v>7.0034163006344574E-2</v>
      </c>
    </row>
    <row r="114" spans="2:5" x14ac:dyDescent="0.35">
      <c r="B114" s="2">
        <v>42199</v>
      </c>
      <c r="C114" s="4">
        <v>587.54</v>
      </c>
      <c r="D114">
        <f t="shared" si="4"/>
        <v>8.309776580573601</v>
      </c>
      <c r="E114">
        <v>6.9869075149771476E-2</v>
      </c>
    </row>
    <row r="115" spans="2:5" x14ac:dyDescent="0.35">
      <c r="B115" s="2">
        <v>40030</v>
      </c>
      <c r="C115" s="4">
        <v>63.11</v>
      </c>
      <c r="D115">
        <f t="shared" si="4"/>
        <v>-0.92960558604381383</v>
      </c>
      <c r="E115">
        <v>6.9842346160366109E-2</v>
      </c>
    </row>
    <row r="116" spans="2:5" x14ac:dyDescent="0.35">
      <c r="B116" s="2">
        <v>42396</v>
      </c>
      <c r="C116" s="4">
        <v>896.52</v>
      </c>
      <c r="D116">
        <f t="shared" si="4"/>
        <v>7.0139447573075895</v>
      </c>
      <c r="E116">
        <v>6.9769106855199547E-2</v>
      </c>
    </row>
    <row r="117" spans="2:5" x14ac:dyDescent="0.35">
      <c r="B117" s="2">
        <v>40456</v>
      </c>
      <c r="C117" s="4">
        <v>111.87</v>
      </c>
      <c r="D117">
        <f t="shared" si="4"/>
        <v>2.2864277320799062</v>
      </c>
      <c r="E117">
        <v>6.96051247729228E-2</v>
      </c>
    </row>
    <row r="118" spans="2:5" x14ac:dyDescent="0.35">
      <c r="B118" s="2">
        <v>37958</v>
      </c>
      <c r="C118" s="4">
        <v>34.04</v>
      </c>
      <c r="D118">
        <f t="shared" si="4"/>
        <v>-0.95935134102362019</v>
      </c>
      <c r="E118">
        <v>6.9431354068488771E-2</v>
      </c>
    </row>
    <row r="119" spans="2:5" x14ac:dyDescent="0.35">
      <c r="B119" s="2">
        <v>43804</v>
      </c>
      <c r="C119" s="4">
        <v>837.42</v>
      </c>
      <c r="D119">
        <f t="shared" si="4"/>
        <v>0.76954610768320508</v>
      </c>
      <c r="E119">
        <v>6.8969478803661E-2</v>
      </c>
    </row>
    <row r="120" spans="2:5" x14ac:dyDescent="0.35">
      <c r="B120" s="2">
        <v>42058</v>
      </c>
      <c r="C120" s="4">
        <v>473.24</v>
      </c>
      <c r="D120">
        <f t="shared" si="4"/>
        <v>16.797668296352011</v>
      </c>
      <c r="E120">
        <v>6.8768490706655472E-2</v>
      </c>
    </row>
    <row r="121" spans="2:5" x14ac:dyDescent="0.35">
      <c r="B121" s="2">
        <v>37834</v>
      </c>
      <c r="C121" s="4">
        <v>26.59</v>
      </c>
      <c r="D121">
        <f t="shared" si="4"/>
        <v>-0.74491557943207987</v>
      </c>
      <c r="E121">
        <v>6.8729903536977499E-2</v>
      </c>
    </row>
    <row r="122" spans="2:5" x14ac:dyDescent="0.35">
      <c r="B122" s="2">
        <v>41583</v>
      </c>
      <c r="C122" s="4">
        <v>104.24</v>
      </c>
      <c r="D122">
        <f t="shared" si="4"/>
        <v>-0.89308279314023142</v>
      </c>
      <c r="E122">
        <v>6.8689768300184362E-2</v>
      </c>
    </row>
    <row r="123" spans="2:5" x14ac:dyDescent="0.35">
      <c r="B123" s="2">
        <v>42352</v>
      </c>
      <c r="C123" s="4">
        <v>974.96</v>
      </c>
      <c r="D123">
        <f t="shared" si="4"/>
        <v>7.1867495171718865</v>
      </c>
      <c r="E123">
        <v>6.8203481938403199E-2</v>
      </c>
    </row>
    <row r="124" spans="2:5" x14ac:dyDescent="0.35">
      <c r="B124" s="2">
        <v>40193</v>
      </c>
      <c r="C124" s="4">
        <v>119.09</v>
      </c>
      <c r="D124">
        <f t="shared" si="4"/>
        <v>-0.86970316961892358</v>
      </c>
      <c r="E124">
        <v>6.7401631262884454E-2</v>
      </c>
    </row>
    <row r="125" spans="2:5" x14ac:dyDescent="0.35">
      <c r="B125" s="2">
        <v>43892</v>
      </c>
      <c r="C125" s="4">
        <v>913.99</v>
      </c>
      <c r="D125">
        <f t="shared" si="4"/>
        <v>15.84153307536392</v>
      </c>
      <c r="E125">
        <v>6.6263022200445665E-2</v>
      </c>
    </row>
    <row r="126" spans="2:5" x14ac:dyDescent="0.35">
      <c r="B126" s="2">
        <v>39532</v>
      </c>
      <c r="C126" s="4">
        <v>54.27</v>
      </c>
      <c r="D126">
        <f t="shared" si="4"/>
        <v>1.2603082049146188</v>
      </c>
      <c r="E126">
        <v>6.620825147347742E-2</v>
      </c>
    </row>
    <row r="127" spans="2:5" x14ac:dyDescent="0.35">
      <c r="B127" s="2">
        <v>37669</v>
      </c>
      <c r="C127" s="4">
        <v>24.01</v>
      </c>
      <c r="D127">
        <f t="shared" si="4"/>
        <v>-2.7541514783313015E-2</v>
      </c>
      <c r="E127">
        <v>6.616341030195394E-2</v>
      </c>
    </row>
    <row r="128" spans="2:5" x14ac:dyDescent="0.35">
      <c r="B128" s="2">
        <v>37649</v>
      </c>
      <c r="C128" s="4">
        <v>24.69</v>
      </c>
      <c r="D128">
        <f t="shared" si="4"/>
        <v>-0.98027986773374232</v>
      </c>
      <c r="E128">
        <v>6.6062176165803121E-2</v>
      </c>
    </row>
    <row r="129" spans="2:5" x14ac:dyDescent="0.35">
      <c r="B129" s="2">
        <v>44099</v>
      </c>
      <c r="C129" s="4">
        <v>1252.02</v>
      </c>
      <c r="D129">
        <f t="shared" si="4"/>
        <v>13.469201433029006</v>
      </c>
      <c r="E129">
        <v>6.6029783647091778E-2</v>
      </c>
    </row>
    <row r="130" spans="2:5" x14ac:dyDescent="0.35">
      <c r="B130" s="2">
        <v>39030</v>
      </c>
      <c r="C130" s="4">
        <v>86.53</v>
      </c>
      <c r="D130">
        <f t="shared" si="4"/>
        <v>6.6296980899568592E-2</v>
      </c>
      <c r="E130">
        <v>6.5902931756590233E-2</v>
      </c>
    </row>
    <row r="131" spans="2:5" x14ac:dyDescent="0.35">
      <c r="B131" s="2">
        <v>40778</v>
      </c>
      <c r="C131" s="4">
        <v>81.150000000000006</v>
      </c>
      <c r="D131">
        <f t="shared" si="4"/>
        <v>-0.98514506217473363</v>
      </c>
      <c r="E131">
        <v>6.5659881812212717E-2</v>
      </c>
    </row>
    <row r="132" spans="2:5" x14ac:dyDescent="0.35">
      <c r="B132" s="2">
        <v>44456</v>
      </c>
      <c r="C132" s="4">
        <v>5462.83</v>
      </c>
      <c r="D132">
        <f t="shared" ref="D132:D195" si="5">C132/C133-1</f>
        <v>8.6002495474755296</v>
      </c>
      <c r="E132">
        <v>6.5402497913205071E-2</v>
      </c>
    </row>
    <row r="133" spans="2:5" x14ac:dyDescent="0.35">
      <c r="B133" s="2">
        <v>43915</v>
      </c>
      <c r="C133" s="4">
        <v>569.03</v>
      </c>
      <c r="D133">
        <f t="shared" si="5"/>
        <v>-0.92302916351044262</v>
      </c>
      <c r="E133">
        <v>6.5060737080502307E-2</v>
      </c>
    </row>
    <row r="134" spans="2:5" x14ac:dyDescent="0.35">
      <c r="B134" s="2">
        <v>44581</v>
      </c>
      <c r="C134" s="4">
        <v>7392.8</v>
      </c>
      <c r="D134">
        <f t="shared" si="5"/>
        <v>171.12572759022117</v>
      </c>
      <c r="E134">
        <v>6.4954933022562944E-2</v>
      </c>
    </row>
    <row r="135" spans="2:5" x14ac:dyDescent="0.35">
      <c r="B135" s="2">
        <v>37442</v>
      </c>
      <c r="C135" s="4">
        <v>42.95</v>
      </c>
      <c r="D135">
        <f t="shared" si="5"/>
        <v>-0.57310406520226609</v>
      </c>
      <c r="E135">
        <v>6.4700049578582108E-2</v>
      </c>
    </row>
    <row r="136" spans="2:5" x14ac:dyDescent="0.35">
      <c r="B136" s="2">
        <v>40170</v>
      </c>
      <c r="C136" s="4">
        <v>100.61</v>
      </c>
      <c r="D136">
        <f t="shared" si="5"/>
        <v>-0.85644574445316402</v>
      </c>
      <c r="E136">
        <v>6.4656084656084634E-2</v>
      </c>
    </row>
    <row r="137" spans="2:5" x14ac:dyDescent="0.35">
      <c r="B137" s="2">
        <v>42753</v>
      </c>
      <c r="C137" s="4">
        <v>700.85</v>
      </c>
      <c r="D137">
        <f t="shared" si="5"/>
        <v>5.2016635695956106</v>
      </c>
      <c r="E137">
        <v>6.4539157907527844E-2</v>
      </c>
    </row>
    <row r="138" spans="2:5" x14ac:dyDescent="0.35">
      <c r="B138" s="2">
        <v>39325</v>
      </c>
      <c r="C138" s="4">
        <v>113.01</v>
      </c>
      <c r="D138">
        <f t="shared" si="5"/>
        <v>-0.93077234079047311</v>
      </c>
      <c r="E138">
        <v>6.4324731587869666E-2</v>
      </c>
    </row>
    <row r="139" spans="2:5" x14ac:dyDescent="0.35">
      <c r="B139" s="2">
        <v>44187</v>
      </c>
      <c r="C139" s="4">
        <v>1632.44</v>
      </c>
      <c r="D139">
        <f t="shared" si="5"/>
        <v>2.0471888299858136</v>
      </c>
      <c r="E139">
        <v>6.4262290806913258E-2</v>
      </c>
    </row>
    <row r="140" spans="2:5" x14ac:dyDescent="0.35">
      <c r="B140" s="2">
        <v>42698</v>
      </c>
      <c r="C140" s="4">
        <v>535.72</v>
      </c>
      <c r="D140">
        <f t="shared" si="5"/>
        <v>15.28823350562481</v>
      </c>
      <c r="E140">
        <v>6.4097725692720209E-2</v>
      </c>
    </row>
    <row r="141" spans="2:5" x14ac:dyDescent="0.35">
      <c r="B141" s="2">
        <v>37488</v>
      </c>
      <c r="C141" s="4">
        <v>32.89</v>
      </c>
      <c r="D141">
        <f t="shared" si="5"/>
        <v>-0.99527276803937015</v>
      </c>
      <c r="E141">
        <v>6.4056939501779375E-2</v>
      </c>
    </row>
    <row r="142" spans="2:5" x14ac:dyDescent="0.35">
      <c r="B142" s="2">
        <v>44629</v>
      </c>
      <c r="C142" s="4">
        <v>6957.56</v>
      </c>
      <c r="D142">
        <f t="shared" si="5"/>
        <v>246.07244318181819</v>
      </c>
      <c r="E142">
        <v>6.3946331385649202E-2</v>
      </c>
    </row>
    <row r="143" spans="2:5" x14ac:dyDescent="0.35">
      <c r="B143" s="2">
        <v>37812</v>
      </c>
      <c r="C143" s="4">
        <v>28.16</v>
      </c>
      <c r="D143">
        <f t="shared" si="5"/>
        <v>-0.75154402682195165</v>
      </c>
      <c r="E143">
        <v>6.3444108761329332E-2</v>
      </c>
    </row>
    <row r="144" spans="2:5" x14ac:dyDescent="0.35">
      <c r="B144" s="2">
        <v>40639</v>
      </c>
      <c r="C144" s="4">
        <v>113.34</v>
      </c>
      <c r="D144">
        <f t="shared" si="5"/>
        <v>0.15264924234719834</v>
      </c>
      <c r="E144">
        <v>6.3127286370884494E-2</v>
      </c>
    </row>
    <row r="145" spans="2:5" x14ac:dyDescent="0.35">
      <c r="B145" s="2">
        <v>40585</v>
      </c>
      <c r="C145" s="4">
        <v>98.33</v>
      </c>
      <c r="D145">
        <f t="shared" si="5"/>
        <v>-0.92871228268592221</v>
      </c>
      <c r="E145">
        <v>6.3027027027027005E-2</v>
      </c>
    </row>
    <row r="146" spans="2:5" x14ac:dyDescent="0.35">
      <c r="B146" s="2">
        <v>43306</v>
      </c>
      <c r="C146" s="4">
        <v>1379.34</v>
      </c>
      <c r="D146">
        <f t="shared" si="5"/>
        <v>-0.76227088234533746</v>
      </c>
      <c r="E146">
        <v>6.2993218249075333E-2</v>
      </c>
    </row>
    <row r="147" spans="2:5" x14ac:dyDescent="0.35">
      <c r="B147" s="2">
        <v>44459</v>
      </c>
      <c r="C147" s="4">
        <v>5802.15</v>
      </c>
      <c r="D147">
        <f t="shared" si="5"/>
        <v>202.0854042702135</v>
      </c>
      <c r="E147">
        <v>6.2114325358834099E-2</v>
      </c>
    </row>
    <row r="148" spans="2:5" x14ac:dyDescent="0.35">
      <c r="B148" s="2">
        <v>38090</v>
      </c>
      <c r="C148" s="4">
        <v>28.57</v>
      </c>
      <c r="D148">
        <f t="shared" si="5"/>
        <v>-0.69622541201488564</v>
      </c>
      <c r="E148">
        <v>6.2081784386617267E-2</v>
      </c>
    </row>
    <row r="149" spans="2:5" x14ac:dyDescent="0.35">
      <c r="B149" s="2">
        <v>41351</v>
      </c>
      <c r="C149" s="4">
        <v>94.05</v>
      </c>
      <c r="D149">
        <f t="shared" si="5"/>
        <v>1.3998468997193161</v>
      </c>
      <c r="E149">
        <v>6.1991869918699205E-2</v>
      </c>
    </row>
    <row r="150" spans="2:5" x14ac:dyDescent="0.35">
      <c r="B150" s="2">
        <v>39734</v>
      </c>
      <c r="C150" s="4">
        <v>39.19</v>
      </c>
      <c r="D150">
        <f t="shared" si="5"/>
        <v>0.35324585635359096</v>
      </c>
      <c r="E150">
        <v>6.177187753996205E-2</v>
      </c>
    </row>
    <row r="151" spans="2:5" x14ac:dyDescent="0.35">
      <c r="B151" s="2">
        <v>38126</v>
      </c>
      <c r="C151" s="4">
        <v>28.96</v>
      </c>
      <c r="D151">
        <f t="shared" si="5"/>
        <v>-0.7397087902211037</v>
      </c>
      <c r="E151">
        <v>6.1583577712609916E-2</v>
      </c>
    </row>
    <row r="152" spans="2:5" x14ac:dyDescent="0.35">
      <c r="B152" s="2">
        <v>39185</v>
      </c>
      <c r="C152" s="4">
        <v>111.26</v>
      </c>
      <c r="D152">
        <f t="shared" si="5"/>
        <v>-0.57632991889113128</v>
      </c>
      <c r="E152">
        <v>6.1337403415053116E-2</v>
      </c>
    </row>
    <row r="153" spans="2:5" x14ac:dyDescent="0.35">
      <c r="B153" s="2">
        <v>41816</v>
      </c>
      <c r="C153" s="4">
        <v>262.61</v>
      </c>
      <c r="D153">
        <f t="shared" si="5"/>
        <v>6.1575361133823936</v>
      </c>
      <c r="E153">
        <v>6.0921908455540796E-2</v>
      </c>
    </row>
    <row r="154" spans="2:5" x14ac:dyDescent="0.35">
      <c r="B154" s="2">
        <v>37460</v>
      </c>
      <c r="C154" s="4">
        <v>36.69</v>
      </c>
      <c r="D154">
        <f t="shared" si="5"/>
        <v>-0.35050451407328742</v>
      </c>
      <c r="E154">
        <v>6.0711188204683353E-2</v>
      </c>
    </row>
    <row r="155" spans="2:5" x14ac:dyDescent="0.35">
      <c r="B155" s="2">
        <v>38877</v>
      </c>
      <c r="C155" s="4">
        <v>56.49</v>
      </c>
      <c r="D155">
        <f t="shared" si="5"/>
        <v>0.43521341463414642</v>
      </c>
      <c r="E155">
        <v>6.064588809613225E-2</v>
      </c>
    </row>
    <row r="156" spans="2:5" x14ac:dyDescent="0.35">
      <c r="B156" s="2">
        <v>39741</v>
      </c>
      <c r="C156" s="4">
        <v>39.36</v>
      </c>
      <c r="D156">
        <f t="shared" si="5"/>
        <v>-0.99479970404819784</v>
      </c>
      <c r="E156">
        <v>5.9773828756058078E-2</v>
      </c>
    </row>
    <row r="157" spans="2:5" x14ac:dyDescent="0.35">
      <c r="B157" s="2">
        <v>44592</v>
      </c>
      <c r="C157" s="4">
        <v>7568.8</v>
      </c>
      <c r="D157">
        <f t="shared" si="5"/>
        <v>11.560655846526602</v>
      </c>
      <c r="E157">
        <v>5.9054815125756388E-2</v>
      </c>
    </row>
    <row r="158" spans="2:5" x14ac:dyDescent="0.35">
      <c r="B158" s="2">
        <v>43916</v>
      </c>
      <c r="C158" s="4">
        <v>602.58000000000004</v>
      </c>
      <c r="D158">
        <f t="shared" si="5"/>
        <v>4.8759629449049253</v>
      </c>
      <c r="E158">
        <v>5.8959984535086107E-2</v>
      </c>
    </row>
    <row r="159" spans="2:5" x14ac:dyDescent="0.35">
      <c r="B159" s="2">
        <v>39142</v>
      </c>
      <c r="C159" s="4">
        <v>102.55</v>
      </c>
      <c r="D159">
        <f t="shared" si="5"/>
        <v>-0.8724819696592887</v>
      </c>
      <c r="E159">
        <v>5.8744579805905417E-2</v>
      </c>
    </row>
    <row r="160" spans="2:5" x14ac:dyDescent="0.35">
      <c r="B160" s="2">
        <v>42590</v>
      </c>
      <c r="C160" s="4">
        <v>804.2</v>
      </c>
      <c r="D160">
        <f t="shared" si="5"/>
        <v>-0.44870230472873851</v>
      </c>
      <c r="E160">
        <v>5.8520020006844531E-2</v>
      </c>
    </row>
    <row r="161" spans="2:5" x14ac:dyDescent="0.35">
      <c r="B161" s="2">
        <v>44116</v>
      </c>
      <c r="C161" s="4">
        <v>1458.74</v>
      </c>
      <c r="D161">
        <f t="shared" si="5"/>
        <v>0.77365189373214172</v>
      </c>
      <c r="E161">
        <v>5.846158311383931E-2</v>
      </c>
    </row>
    <row r="162" spans="2:5" x14ac:dyDescent="0.35">
      <c r="B162" s="2">
        <v>42430</v>
      </c>
      <c r="C162" s="4">
        <v>822.45</v>
      </c>
      <c r="D162">
        <f t="shared" si="5"/>
        <v>3.4515289115860215E-2</v>
      </c>
      <c r="E162">
        <v>5.8140133288732354E-2</v>
      </c>
    </row>
    <row r="163" spans="2:5" x14ac:dyDescent="0.35">
      <c r="B163" s="2">
        <v>42215</v>
      </c>
      <c r="C163" s="4">
        <v>795.01</v>
      </c>
      <c r="D163">
        <f t="shared" si="5"/>
        <v>12.123308022449654</v>
      </c>
      <c r="E163">
        <v>5.7799007411152514E-2</v>
      </c>
    </row>
    <row r="164" spans="2:5" x14ac:dyDescent="0.35">
      <c r="B164" s="2">
        <v>38415</v>
      </c>
      <c r="C164" s="4">
        <v>60.58</v>
      </c>
      <c r="D164">
        <f t="shared" si="5"/>
        <v>-0.66852702998467928</v>
      </c>
      <c r="E164">
        <v>5.7796403003317565E-2</v>
      </c>
    </row>
    <row r="165" spans="2:5" x14ac:dyDescent="0.35">
      <c r="B165" s="2">
        <v>41642</v>
      </c>
      <c r="C165" s="4">
        <v>182.76</v>
      </c>
      <c r="D165">
        <f t="shared" si="5"/>
        <v>-0.9780221630299496</v>
      </c>
      <c r="E165">
        <v>5.7700098385323306E-2</v>
      </c>
    </row>
    <row r="166" spans="2:5" x14ac:dyDescent="0.35">
      <c r="B166" s="2">
        <v>44673</v>
      </c>
      <c r="C166" s="4">
        <v>8315.65</v>
      </c>
      <c r="D166">
        <f t="shared" si="5"/>
        <v>38.029616070590443</v>
      </c>
      <c r="E166">
        <v>5.7459497952643712E-2</v>
      </c>
    </row>
    <row r="167" spans="2:5" x14ac:dyDescent="0.35">
      <c r="B167" s="2">
        <v>41688</v>
      </c>
      <c r="C167" s="4">
        <v>213.06</v>
      </c>
      <c r="D167">
        <f t="shared" si="5"/>
        <v>2.5587105395022549</v>
      </c>
      <c r="E167">
        <v>5.7422204575909408E-2</v>
      </c>
    </row>
    <row r="168" spans="2:5" x14ac:dyDescent="0.35">
      <c r="B168" s="2">
        <v>40021</v>
      </c>
      <c r="C168" s="4">
        <v>59.87</v>
      </c>
      <c r="D168">
        <f t="shared" si="5"/>
        <v>8.5916442048517006E-3</v>
      </c>
      <c r="E168">
        <v>5.740021193924405E-2</v>
      </c>
    </row>
    <row r="169" spans="2:5" x14ac:dyDescent="0.35">
      <c r="B169" s="2">
        <v>38428</v>
      </c>
      <c r="C169" s="4">
        <v>59.36</v>
      </c>
      <c r="D169">
        <f t="shared" si="5"/>
        <v>-0.39876430669502683</v>
      </c>
      <c r="E169">
        <v>5.7168299198575356E-2</v>
      </c>
    </row>
    <row r="170" spans="2:5" x14ac:dyDescent="0.35">
      <c r="B170" s="2">
        <v>39128</v>
      </c>
      <c r="C170" s="4">
        <v>98.73</v>
      </c>
      <c r="D170">
        <f t="shared" si="5"/>
        <v>-0.21543229497774952</v>
      </c>
      <c r="E170">
        <v>5.6726961361446948E-2</v>
      </c>
    </row>
    <row r="171" spans="2:5" x14ac:dyDescent="0.35">
      <c r="B171" s="2">
        <v>40196</v>
      </c>
      <c r="C171" s="4">
        <v>125.84</v>
      </c>
      <c r="D171">
        <f t="shared" si="5"/>
        <v>2.7230769230769236</v>
      </c>
      <c r="E171">
        <v>5.6679821983373957E-2</v>
      </c>
    </row>
    <row r="172" spans="2:5" x14ac:dyDescent="0.35">
      <c r="B172" s="2">
        <v>38013</v>
      </c>
      <c r="C172" s="4">
        <v>33.799999999999997</v>
      </c>
      <c r="D172">
        <f t="shared" si="5"/>
        <v>-0.86698150334513968</v>
      </c>
      <c r="E172">
        <v>5.6580181306658206E-2</v>
      </c>
    </row>
    <row r="173" spans="2:5" x14ac:dyDescent="0.35">
      <c r="B173" s="2">
        <v>41810</v>
      </c>
      <c r="C173" s="4">
        <v>254.1</v>
      </c>
      <c r="D173">
        <f t="shared" si="5"/>
        <v>-0.69255526382654353</v>
      </c>
      <c r="E173">
        <v>5.6548856548856552E-2</v>
      </c>
    </row>
    <row r="174" spans="2:5" x14ac:dyDescent="0.35">
      <c r="B174" s="2">
        <v>42219</v>
      </c>
      <c r="C174" s="4">
        <v>826.49</v>
      </c>
      <c r="D174">
        <f t="shared" si="5"/>
        <v>7.3089373680506693</v>
      </c>
      <c r="E174">
        <v>5.651429155800991E-2</v>
      </c>
    </row>
    <row r="175" spans="2:5" x14ac:dyDescent="0.35">
      <c r="B175" s="2">
        <v>39443</v>
      </c>
      <c r="C175" s="4">
        <v>99.47</v>
      </c>
      <c r="D175">
        <f t="shared" si="5"/>
        <v>5.2815410668924478E-2</v>
      </c>
      <c r="E175">
        <v>5.650557620817831E-2</v>
      </c>
    </row>
    <row r="176" spans="2:5" x14ac:dyDescent="0.35">
      <c r="B176" s="2">
        <v>39416</v>
      </c>
      <c r="C176" s="4">
        <v>94.48</v>
      </c>
      <c r="D176">
        <f t="shared" si="5"/>
        <v>-0.87138403735417036</v>
      </c>
      <c r="E176">
        <v>5.6468746505646816E-2</v>
      </c>
    </row>
    <row r="177" spans="2:5" x14ac:dyDescent="0.35">
      <c r="B177" s="2">
        <v>43762</v>
      </c>
      <c r="C177" s="4">
        <v>734.59</v>
      </c>
      <c r="D177">
        <f t="shared" si="5"/>
        <v>6.0722056416674688</v>
      </c>
      <c r="E177">
        <v>5.6416820064427053E-2</v>
      </c>
    </row>
    <row r="178" spans="2:5" x14ac:dyDescent="0.35">
      <c r="B178" s="2">
        <v>40588</v>
      </c>
      <c r="C178" s="4">
        <v>103.87</v>
      </c>
      <c r="D178">
        <f t="shared" si="5"/>
        <v>0.2938465371200798</v>
      </c>
      <c r="E178">
        <v>5.6340892911624252E-2</v>
      </c>
    </row>
    <row r="179" spans="2:5" x14ac:dyDescent="0.35">
      <c r="B179" s="2">
        <v>38854</v>
      </c>
      <c r="C179" s="4">
        <v>80.28</v>
      </c>
      <c r="D179">
        <f t="shared" si="5"/>
        <v>1.5103189493433398</v>
      </c>
      <c r="E179">
        <v>5.617681883962633E-2</v>
      </c>
    </row>
    <row r="180" spans="2:5" x14ac:dyDescent="0.35">
      <c r="B180" s="2">
        <v>37592</v>
      </c>
      <c r="C180" s="4">
        <v>31.98</v>
      </c>
      <c r="D180">
        <f t="shared" si="5"/>
        <v>-0.98700760530421217</v>
      </c>
      <c r="E180">
        <v>5.6142668428005305E-2</v>
      </c>
    </row>
    <row r="181" spans="2:5" x14ac:dyDescent="0.35">
      <c r="B181" s="2">
        <v>44214</v>
      </c>
      <c r="C181" s="4">
        <v>2461.44</v>
      </c>
      <c r="D181">
        <f t="shared" si="5"/>
        <v>2.6977991436941338</v>
      </c>
      <c r="E181">
        <v>5.5985997065561621E-2</v>
      </c>
    </row>
    <row r="182" spans="2:5" x14ac:dyDescent="0.35">
      <c r="B182" s="2">
        <v>43732</v>
      </c>
      <c r="C182" s="4">
        <v>665.65</v>
      </c>
      <c r="D182">
        <f t="shared" si="5"/>
        <v>5.2117394550205303</v>
      </c>
      <c r="E182">
        <v>5.5916878172588724E-2</v>
      </c>
    </row>
    <row r="183" spans="2:5" x14ac:dyDescent="0.35">
      <c r="B183" s="2">
        <v>40522</v>
      </c>
      <c r="C183" s="4">
        <v>107.16</v>
      </c>
      <c r="D183">
        <f t="shared" si="5"/>
        <v>-0.98252648502864148</v>
      </c>
      <c r="E183">
        <v>5.5763546798029529E-2</v>
      </c>
    </row>
    <row r="184" spans="2:5" x14ac:dyDescent="0.35">
      <c r="B184" s="2">
        <v>44475</v>
      </c>
      <c r="C184" s="4">
        <v>6132.71</v>
      </c>
      <c r="D184">
        <f t="shared" si="5"/>
        <v>3.6061769101929535</v>
      </c>
      <c r="E184">
        <v>5.5443976904079539E-2</v>
      </c>
    </row>
    <row r="185" spans="2:5" x14ac:dyDescent="0.35">
      <c r="B185" s="2">
        <v>44109</v>
      </c>
      <c r="C185" s="4">
        <v>1331.41</v>
      </c>
      <c r="D185">
        <f t="shared" si="5"/>
        <v>43.919365721997302</v>
      </c>
      <c r="E185">
        <v>5.5200672077098778E-2</v>
      </c>
    </row>
    <row r="186" spans="2:5" x14ac:dyDescent="0.35">
      <c r="B186" s="2">
        <v>38021</v>
      </c>
      <c r="C186" s="4">
        <v>29.64</v>
      </c>
      <c r="D186">
        <f t="shared" si="5"/>
        <v>-0.44660194174757284</v>
      </c>
      <c r="E186">
        <v>5.5179779280882801E-2</v>
      </c>
    </row>
    <row r="187" spans="2:5" x14ac:dyDescent="0.35">
      <c r="B187" s="2">
        <v>39953</v>
      </c>
      <c r="C187" s="4">
        <v>53.56</v>
      </c>
      <c r="D187">
        <f t="shared" si="5"/>
        <v>-0.9010585040548279</v>
      </c>
      <c r="E187">
        <v>5.5161544523246731E-2</v>
      </c>
    </row>
    <row r="188" spans="2:5" x14ac:dyDescent="0.35">
      <c r="B188" s="2">
        <v>42174</v>
      </c>
      <c r="C188" s="4">
        <v>541.33000000000004</v>
      </c>
      <c r="D188">
        <f t="shared" si="5"/>
        <v>-0.36937325256290765</v>
      </c>
      <c r="E188">
        <v>5.5080203481006507E-2</v>
      </c>
    </row>
    <row r="189" spans="2:5" x14ac:dyDescent="0.35">
      <c r="B189" s="2">
        <v>43992</v>
      </c>
      <c r="C189" s="4">
        <v>858.4</v>
      </c>
      <c r="D189">
        <f t="shared" si="5"/>
        <v>19.117178345441761</v>
      </c>
      <c r="E189">
        <v>5.5076881475927708E-2</v>
      </c>
    </row>
    <row r="190" spans="2:5" x14ac:dyDescent="0.35">
      <c r="B190" s="2">
        <v>38222</v>
      </c>
      <c r="C190" s="4">
        <v>42.67</v>
      </c>
      <c r="D190">
        <f t="shared" si="5"/>
        <v>-0.49616247490848975</v>
      </c>
      <c r="E190">
        <v>5.4882571075401732E-2</v>
      </c>
    </row>
    <row r="191" spans="2:5" x14ac:dyDescent="0.35">
      <c r="B191" s="2">
        <v>39023</v>
      </c>
      <c r="C191" s="4">
        <v>84.69</v>
      </c>
      <c r="D191">
        <f t="shared" si="5"/>
        <v>1.8766983695652173</v>
      </c>
      <c r="E191">
        <v>5.453866268210672E-2</v>
      </c>
    </row>
    <row r="192" spans="2:5" x14ac:dyDescent="0.35">
      <c r="B192" s="2">
        <v>37868</v>
      </c>
      <c r="C192" s="4">
        <v>29.44</v>
      </c>
      <c r="D192">
        <f t="shared" si="5"/>
        <v>-0.72137043346583374</v>
      </c>
      <c r="E192">
        <v>5.4441260744985565E-2</v>
      </c>
    </row>
    <row r="193" spans="2:5" x14ac:dyDescent="0.35">
      <c r="B193" s="2">
        <v>40233</v>
      </c>
      <c r="C193" s="4">
        <v>105.66</v>
      </c>
      <c r="D193">
        <f t="shared" si="5"/>
        <v>0.61782269177767568</v>
      </c>
      <c r="E193">
        <v>5.4280582718020387E-2</v>
      </c>
    </row>
    <row r="194" spans="2:5" x14ac:dyDescent="0.35">
      <c r="B194" s="2">
        <v>38889</v>
      </c>
      <c r="C194" s="4">
        <v>65.31</v>
      </c>
      <c r="D194">
        <f t="shared" si="5"/>
        <v>-0.37232099951946174</v>
      </c>
      <c r="E194">
        <v>5.4237288135593253E-2</v>
      </c>
    </row>
    <row r="195" spans="2:5" x14ac:dyDescent="0.35">
      <c r="B195" s="2">
        <v>39132</v>
      </c>
      <c r="C195" s="4">
        <v>104.05</v>
      </c>
      <c r="D195">
        <f t="shared" si="5"/>
        <v>-0.84867435535711688</v>
      </c>
      <c r="E195">
        <v>5.3884331003747565E-2</v>
      </c>
    </row>
    <row r="196" spans="2:5" x14ac:dyDescent="0.35">
      <c r="B196" s="2">
        <v>43755</v>
      </c>
      <c r="C196" s="4">
        <v>687.59</v>
      </c>
      <c r="D196">
        <f t="shared" ref="D196:D259" si="6">C196/C197-1</f>
        <v>0.23631688722669741</v>
      </c>
      <c r="E196">
        <v>5.3874685794862431E-2</v>
      </c>
    </row>
    <row r="197" spans="2:5" x14ac:dyDescent="0.35">
      <c r="B197" s="2">
        <v>42146</v>
      </c>
      <c r="C197" s="4">
        <v>556.16</v>
      </c>
      <c r="D197">
        <f t="shared" si="6"/>
        <v>-0.64579405920415756</v>
      </c>
      <c r="E197">
        <v>5.3812338941943372E-2</v>
      </c>
    </row>
    <row r="198" spans="2:5" x14ac:dyDescent="0.35">
      <c r="B198" s="2">
        <v>44162</v>
      </c>
      <c r="C198" s="4">
        <v>1570.16</v>
      </c>
      <c r="D198">
        <f t="shared" si="6"/>
        <v>14.207360774818403</v>
      </c>
      <c r="E198">
        <v>5.3636015917006175E-2</v>
      </c>
    </row>
    <row r="199" spans="2:5" x14ac:dyDescent="0.35">
      <c r="B199" s="2">
        <v>40329</v>
      </c>
      <c r="C199" s="4">
        <v>103.25</v>
      </c>
      <c r="D199">
        <f t="shared" si="6"/>
        <v>-0.43818696267276092</v>
      </c>
      <c r="E199">
        <v>5.3571428571428603E-2</v>
      </c>
    </row>
    <row r="200" spans="2:5" x14ac:dyDescent="0.35">
      <c r="B200" s="2">
        <v>41683</v>
      </c>
      <c r="C200" s="4">
        <v>183.78</v>
      </c>
      <c r="D200">
        <f t="shared" si="6"/>
        <v>-0.81238323720075545</v>
      </c>
      <c r="E200">
        <v>5.3301237964236581E-2</v>
      </c>
    </row>
    <row r="201" spans="2:5" x14ac:dyDescent="0.35">
      <c r="B201" s="2">
        <v>43389</v>
      </c>
      <c r="C201" s="4">
        <v>979.55</v>
      </c>
      <c r="D201">
        <f t="shared" si="6"/>
        <v>10.750839731285987</v>
      </c>
      <c r="E201">
        <v>5.3177649474781985E-2</v>
      </c>
    </row>
    <row r="202" spans="2:5" x14ac:dyDescent="0.35">
      <c r="B202" s="2">
        <v>41464</v>
      </c>
      <c r="C202" s="4">
        <v>83.36</v>
      </c>
      <c r="D202">
        <f t="shared" si="6"/>
        <v>-0.92582838025411962</v>
      </c>
      <c r="E202">
        <v>5.3057099545224862E-2</v>
      </c>
    </row>
    <row r="203" spans="2:5" x14ac:dyDescent="0.35">
      <c r="B203" s="2">
        <v>43213</v>
      </c>
      <c r="C203" s="4">
        <v>1123.8800000000001</v>
      </c>
      <c r="D203">
        <f t="shared" si="6"/>
        <v>9.6287119349347474</v>
      </c>
      <c r="E203">
        <v>5.2982676398115158E-2</v>
      </c>
    </row>
    <row r="204" spans="2:5" x14ac:dyDescent="0.35">
      <c r="B204" s="2">
        <v>40339</v>
      </c>
      <c r="C204" s="4">
        <v>105.74</v>
      </c>
      <c r="D204">
        <f t="shared" si="6"/>
        <v>-0.55934322387064517</v>
      </c>
      <c r="E204">
        <v>5.2663016426082621E-2</v>
      </c>
    </row>
    <row r="205" spans="2:5" x14ac:dyDescent="0.35">
      <c r="B205" s="2">
        <v>41793</v>
      </c>
      <c r="C205" s="4">
        <v>239.96</v>
      </c>
      <c r="D205">
        <f t="shared" si="6"/>
        <v>1.666518502055784</v>
      </c>
      <c r="E205">
        <v>5.2548469163961942E-2</v>
      </c>
    </row>
    <row r="206" spans="2:5" x14ac:dyDescent="0.35">
      <c r="B206" s="2">
        <v>39036</v>
      </c>
      <c r="C206" s="4">
        <v>89.99</v>
      </c>
      <c r="D206">
        <f t="shared" si="6"/>
        <v>7.8758091584751666E-2</v>
      </c>
      <c r="E206">
        <v>5.2514619883040847E-2</v>
      </c>
    </row>
    <row r="207" spans="2:5" x14ac:dyDescent="0.35">
      <c r="B207" s="2">
        <v>39064</v>
      </c>
      <c r="C207" s="4">
        <v>83.42</v>
      </c>
      <c r="D207">
        <f t="shared" si="6"/>
        <v>-0.89518256979870836</v>
      </c>
      <c r="E207">
        <v>5.2352718556831102E-2</v>
      </c>
    </row>
    <row r="208" spans="2:5" x14ac:dyDescent="0.35">
      <c r="B208" s="2">
        <v>43984</v>
      </c>
      <c r="C208" s="4">
        <v>795.86</v>
      </c>
      <c r="D208">
        <f t="shared" si="6"/>
        <v>11.517458320226487</v>
      </c>
      <c r="E208">
        <v>5.2251632863526964E-2</v>
      </c>
    </row>
    <row r="209" spans="2:5" x14ac:dyDescent="0.35">
      <c r="B209" s="2">
        <v>40038</v>
      </c>
      <c r="C209" s="4">
        <v>63.58</v>
      </c>
      <c r="D209">
        <f t="shared" si="6"/>
        <v>-0.99289704967261405</v>
      </c>
      <c r="E209">
        <v>5.1952349437458745E-2</v>
      </c>
    </row>
    <row r="210" spans="2:5" x14ac:dyDescent="0.35">
      <c r="B210" s="2">
        <v>44650</v>
      </c>
      <c r="C210" s="4">
        <v>8951.2099999999991</v>
      </c>
      <c r="D210">
        <f t="shared" si="6"/>
        <v>107.59165352420233</v>
      </c>
      <c r="E210">
        <v>5.1906631521673852E-2</v>
      </c>
    </row>
    <row r="211" spans="2:5" x14ac:dyDescent="0.35">
      <c r="B211" s="2">
        <v>38968</v>
      </c>
      <c r="C211" s="4">
        <v>82.43</v>
      </c>
      <c r="D211">
        <f t="shared" si="6"/>
        <v>0.11754338394793917</v>
      </c>
      <c r="E211">
        <v>5.180553783335462E-2</v>
      </c>
    </row>
    <row r="212" spans="2:5" x14ac:dyDescent="0.35">
      <c r="B212" s="2">
        <v>38721</v>
      </c>
      <c r="C212" s="4">
        <v>73.760000000000005</v>
      </c>
      <c r="D212">
        <f t="shared" si="6"/>
        <v>1.5156889495225103</v>
      </c>
      <c r="E212">
        <v>5.161106358711165E-2</v>
      </c>
    </row>
    <row r="213" spans="2:5" x14ac:dyDescent="0.35">
      <c r="B213" s="2">
        <v>38110</v>
      </c>
      <c r="C213" s="4">
        <v>29.32</v>
      </c>
      <c r="D213">
        <f t="shared" si="6"/>
        <v>-0.45864106351550959</v>
      </c>
      <c r="E213">
        <v>5.1272857655073389E-2</v>
      </c>
    </row>
    <row r="214" spans="2:5" x14ac:dyDescent="0.35">
      <c r="B214" s="2">
        <v>38883</v>
      </c>
      <c r="C214" s="4">
        <v>54.16</v>
      </c>
      <c r="D214">
        <f t="shared" si="6"/>
        <v>1.6135084427767454E-2</v>
      </c>
      <c r="E214">
        <v>5.1242236024844567E-2</v>
      </c>
    </row>
    <row r="215" spans="2:5" x14ac:dyDescent="0.35">
      <c r="B215" s="2">
        <v>38379</v>
      </c>
      <c r="C215" s="4">
        <v>53.3</v>
      </c>
      <c r="D215">
        <f t="shared" si="6"/>
        <v>-0.93053383380252319</v>
      </c>
      <c r="E215">
        <v>5.1074738710313428E-2</v>
      </c>
    </row>
    <row r="216" spans="2:5" x14ac:dyDescent="0.35">
      <c r="B216" s="2">
        <v>42212</v>
      </c>
      <c r="C216" s="4">
        <v>767.28</v>
      </c>
      <c r="D216">
        <f t="shared" si="6"/>
        <v>26.43224883804076</v>
      </c>
      <c r="E216">
        <v>5.0823780763383786E-2</v>
      </c>
    </row>
    <row r="217" spans="2:5" x14ac:dyDescent="0.35">
      <c r="B217" s="2">
        <v>37918</v>
      </c>
      <c r="C217" s="4">
        <v>27.97</v>
      </c>
      <c r="D217">
        <f t="shared" si="6"/>
        <v>-0.89538450029922201</v>
      </c>
      <c r="E217">
        <v>5.0713749060856461E-2</v>
      </c>
    </row>
    <row r="218" spans="2:5" x14ac:dyDescent="0.35">
      <c r="B218" s="2">
        <v>41991</v>
      </c>
      <c r="C218" s="4">
        <v>267.36</v>
      </c>
      <c r="D218">
        <f t="shared" si="6"/>
        <v>4.1130235226620773</v>
      </c>
      <c r="E218">
        <v>5.0654301096396459E-2</v>
      </c>
    </row>
    <row r="219" spans="2:5" x14ac:dyDescent="0.35">
      <c r="B219" s="2">
        <v>40009</v>
      </c>
      <c r="C219" s="4">
        <v>52.29</v>
      </c>
      <c r="D219">
        <f t="shared" si="6"/>
        <v>0.3111835506519558</v>
      </c>
      <c r="E219">
        <v>5.0632911392404889E-2</v>
      </c>
    </row>
    <row r="220" spans="2:5" x14ac:dyDescent="0.35">
      <c r="B220" s="2">
        <v>37994</v>
      </c>
      <c r="C220" s="4">
        <v>39.880000000000003</v>
      </c>
      <c r="D220">
        <f t="shared" si="6"/>
        <v>-0.4793053923488706</v>
      </c>
      <c r="E220">
        <v>5.0579557428872546E-2</v>
      </c>
    </row>
    <row r="221" spans="2:5" x14ac:dyDescent="0.35">
      <c r="B221" s="2">
        <v>39610</v>
      </c>
      <c r="C221" s="4">
        <v>76.59</v>
      </c>
      <c r="D221">
        <f t="shared" si="6"/>
        <v>1.3265492102065615</v>
      </c>
      <c r="E221">
        <v>5.0329127811300056E-2</v>
      </c>
    </row>
    <row r="222" spans="2:5" x14ac:dyDescent="0.35">
      <c r="B222" s="2">
        <v>39911</v>
      </c>
      <c r="C222" s="4">
        <v>32.92</v>
      </c>
      <c r="D222">
        <f t="shared" si="6"/>
        <v>-0.96195275299338912</v>
      </c>
      <c r="E222">
        <v>5.0079744816586835E-2</v>
      </c>
    </row>
    <row r="223" spans="2:5" x14ac:dyDescent="0.35">
      <c r="B223" s="2">
        <v>43843</v>
      </c>
      <c r="C223" s="4">
        <v>865.24</v>
      </c>
      <c r="D223">
        <f t="shared" si="6"/>
        <v>-9.5712882255805765E-2</v>
      </c>
      <c r="E223">
        <v>5.0074030923080715E-2</v>
      </c>
    </row>
    <row r="224" spans="2:5" x14ac:dyDescent="0.35">
      <c r="B224" s="2">
        <v>43383</v>
      </c>
      <c r="C224" s="4">
        <v>956.82</v>
      </c>
      <c r="D224">
        <f t="shared" si="6"/>
        <v>0.90052636806038344</v>
      </c>
      <c r="E224">
        <v>4.9939098660170655E-2</v>
      </c>
    </row>
    <row r="225" spans="2:5" x14ac:dyDescent="0.35">
      <c r="B225" s="2">
        <v>42697</v>
      </c>
      <c r="C225" s="4">
        <v>503.45</v>
      </c>
      <c r="D225">
        <f t="shared" si="6"/>
        <v>-0.79549350469985136</v>
      </c>
      <c r="E225">
        <v>4.9882176297624703E-2</v>
      </c>
    </row>
    <row r="226" spans="2:5" x14ac:dyDescent="0.35">
      <c r="B226" s="2">
        <v>44210</v>
      </c>
      <c r="C226" s="4">
        <v>2461.7800000000002</v>
      </c>
      <c r="D226">
        <f t="shared" si="6"/>
        <v>79.529277069021916</v>
      </c>
      <c r="E226">
        <v>4.9875683951501992E-2</v>
      </c>
    </row>
    <row r="227" spans="2:5" x14ac:dyDescent="0.35">
      <c r="B227" s="2">
        <v>38098</v>
      </c>
      <c r="C227" s="4">
        <v>30.57</v>
      </c>
      <c r="D227">
        <f t="shared" si="6"/>
        <v>-0.24087409982617336</v>
      </c>
      <c r="E227">
        <v>4.9793956043955978E-2</v>
      </c>
    </row>
    <row r="228" spans="2:5" x14ac:dyDescent="0.35">
      <c r="B228" s="2">
        <v>38184</v>
      </c>
      <c r="C228" s="4">
        <v>40.270000000000003</v>
      </c>
      <c r="D228">
        <f t="shared" si="6"/>
        <v>-0.18728557013118052</v>
      </c>
      <c r="E228">
        <v>4.9791449426485945E-2</v>
      </c>
    </row>
    <row r="229" spans="2:5" x14ac:dyDescent="0.35">
      <c r="B229" s="2">
        <v>38236</v>
      </c>
      <c r="C229" s="4">
        <v>49.55</v>
      </c>
      <c r="D229">
        <f t="shared" si="6"/>
        <v>-0.40193120096560042</v>
      </c>
      <c r="E229">
        <v>4.9788135593220151E-2</v>
      </c>
    </row>
    <row r="230" spans="2:5" x14ac:dyDescent="0.35">
      <c r="B230" s="2">
        <v>40917</v>
      </c>
      <c r="C230" s="4">
        <v>82.85</v>
      </c>
      <c r="D230">
        <f t="shared" si="6"/>
        <v>1.0863762276504656</v>
      </c>
      <c r="E230">
        <v>4.9531289587028127E-2</v>
      </c>
    </row>
    <row r="231" spans="2:5" x14ac:dyDescent="0.35">
      <c r="B231" s="2">
        <v>37449</v>
      </c>
      <c r="C231" s="4">
        <v>39.71</v>
      </c>
      <c r="D231">
        <f t="shared" si="6"/>
        <v>-0.95535894956944034</v>
      </c>
      <c r="E231">
        <v>4.9418604651162656E-2</v>
      </c>
    </row>
    <row r="232" spans="2:5" x14ac:dyDescent="0.35">
      <c r="B232" s="2">
        <v>42348</v>
      </c>
      <c r="C232" s="4">
        <v>889.54</v>
      </c>
      <c r="D232">
        <f t="shared" si="6"/>
        <v>10.525524747343869</v>
      </c>
      <c r="E232">
        <v>4.9245685842012721E-2</v>
      </c>
    </row>
    <row r="233" spans="2:5" x14ac:dyDescent="0.35">
      <c r="B233" s="2">
        <v>40903</v>
      </c>
      <c r="C233" s="4">
        <v>77.180000000000007</v>
      </c>
      <c r="D233">
        <f t="shared" si="6"/>
        <v>-0.88107308504245185</v>
      </c>
      <c r="E233">
        <v>4.9211528004350358E-2</v>
      </c>
    </row>
    <row r="234" spans="2:5" x14ac:dyDescent="0.35">
      <c r="B234" s="2">
        <v>42068</v>
      </c>
      <c r="C234" s="4">
        <v>648.97</v>
      </c>
      <c r="D234">
        <f t="shared" si="6"/>
        <v>9.4757062146892661</v>
      </c>
      <c r="E234">
        <v>4.9111689487382648E-2</v>
      </c>
    </row>
    <row r="235" spans="2:5" x14ac:dyDescent="0.35">
      <c r="B235" s="2">
        <v>38888</v>
      </c>
      <c r="C235" s="4">
        <v>61.95</v>
      </c>
      <c r="D235">
        <f t="shared" si="6"/>
        <v>-0.66287548976926425</v>
      </c>
      <c r="E235">
        <v>4.9110922946655533E-2</v>
      </c>
    </row>
    <row r="236" spans="2:5" x14ac:dyDescent="0.35">
      <c r="B236" s="2">
        <v>41638</v>
      </c>
      <c r="C236" s="4">
        <v>183.76</v>
      </c>
      <c r="D236">
        <f t="shared" si="6"/>
        <v>-0.73819259428115513</v>
      </c>
      <c r="E236">
        <v>4.9038077296340798E-2</v>
      </c>
    </row>
    <row r="237" spans="2:5" x14ac:dyDescent="0.35">
      <c r="B237" s="2">
        <v>42811</v>
      </c>
      <c r="C237" s="4">
        <v>701.89</v>
      </c>
      <c r="D237">
        <f t="shared" si="6"/>
        <v>-0.38463629110738984</v>
      </c>
      <c r="E237">
        <v>4.8880719686780871E-2</v>
      </c>
    </row>
    <row r="238" spans="2:5" x14ac:dyDescent="0.35">
      <c r="B238" s="2">
        <v>44070</v>
      </c>
      <c r="C238" s="4">
        <v>1140.6099999999999</v>
      </c>
      <c r="D238">
        <f t="shared" si="6"/>
        <v>0.34574135469636702</v>
      </c>
      <c r="E238">
        <v>4.8537888050302902E-2</v>
      </c>
    </row>
    <row r="239" spans="2:5" x14ac:dyDescent="0.35">
      <c r="B239" s="2">
        <v>42331</v>
      </c>
      <c r="C239" s="4">
        <v>847.57</v>
      </c>
      <c r="D239">
        <f t="shared" si="6"/>
        <v>12.239144017494535</v>
      </c>
      <c r="E239">
        <v>4.850561630956518E-2</v>
      </c>
    </row>
    <row r="240" spans="2:5" x14ac:dyDescent="0.35">
      <c r="B240" s="2">
        <v>38509</v>
      </c>
      <c r="C240" s="4">
        <v>64.02</v>
      </c>
      <c r="D240">
        <f t="shared" si="6"/>
        <v>-0.7767159598214286</v>
      </c>
      <c r="E240">
        <v>4.8476907959384086E-2</v>
      </c>
    </row>
    <row r="241" spans="2:5" x14ac:dyDescent="0.35">
      <c r="B241" s="2">
        <v>41837</v>
      </c>
      <c r="C241" s="4">
        <v>286.72000000000003</v>
      </c>
      <c r="D241">
        <f t="shared" si="6"/>
        <v>-2.2534346981215592E-2</v>
      </c>
      <c r="E241">
        <v>4.8451384064065461E-2</v>
      </c>
    </row>
    <row r="242" spans="2:5" x14ac:dyDescent="0.35">
      <c r="B242" s="2">
        <v>42011</v>
      </c>
      <c r="C242" s="4">
        <v>293.33</v>
      </c>
      <c r="D242">
        <f t="shared" si="6"/>
        <v>0.14318562687556025</v>
      </c>
      <c r="E242">
        <v>4.8355968548963402E-2</v>
      </c>
    </row>
    <row r="243" spans="2:5" x14ac:dyDescent="0.35">
      <c r="B243" s="2">
        <v>41750</v>
      </c>
      <c r="C243" s="4">
        <v>256.58999999999997</v>
      </c>
      <c r="D243">
        <f t="shared" si="6"/>
        <v>2.3112659698025553</v>
      </c>
      <c r="E243">
        <v>4.8333060957672869E-2</v>
      </c>
    </row>
    <row r="244" spans="2:5" x14ac:dyDescent="0.35">
      <c r="B244" s="2">
        <v>39482</v>
      </c>
      <c r="C244" s="4">
        <v>77.489999999999995</v>
      </c>
      <c r="D244">
        <f t="shared" si="6"/>
        <v>-0.34887824552558611</v>
      </c>
      <c r="E244">
        <v>4.8295454545454364E-2</v>
      </c>
    </row>
    <row r="245" spans="2:5" x14ac:dyDescent="0.35">
      <c r="B245" s="2">
        <v>40555</v>
      </c>
      <c r="C245" s="4">
        <v>119.01</v>
      </c>
      <c r="D245">
        <f t="shared" si="6"/>
        <v>4.9563453567333937E-2</v>
      </c>
      <c r="E245">
        <v>4.8269179952435515E-2</v>
      </c>
    </row>
    <row r="246" spans="2:5" x14ac:dyDescent="0.35">
      <c r="B246" s="2">
        <v>39358</v>
      </c>
      <c r="C246" s="4">
        <v>113.39</v>
      </c>
      <c r="D246">
        <f t="shared" si="6"/>
        <v>0.29204649042844122</v>
      </c>
      <c r="E246">
        <v>4.8160473285265182E-2</v>
      </c>
    </row>
    <row r="247" spans="2:5" x14ac:dyDescent="0.35">
      <c r="B247" s="2">
        <v>41394</v>
      </c>
      <c r="C247" s="4">
        <v>87.76</v>
      </c>
      <c r="D247">
        <f t="shared" si="6"/>
        <v>1.823680823680824</v>
      </c>
      <c r="E247">
        <v>4.8130896930610234E-2</v>
      </c>
    </row>
    <row r="248" spans="2:5" x14ac:dyDescent="0.35">
      <c r="B248" s="2">
        <v>38113</v>
      </c>
      <c r="C248" s="4">
        <v>31.08</v>
      </c>
      <c r="D248">
        <f t="shared" si="6"/>
        <v>-0.75183647396997766</v>
      </c>
      <c r="E248">
        <v>4.7875927174645838E-2</v>
      </c>
    </row>
    <row r="249" spans="2:5" x14ac:dyDescent="0.35">
      <c r="B249" s="2">
        <v>40540</v>
      </c>
      <c r="C249" s="4">
        <v>125.24</v>
      </c>
      <c r="D249">
        <f t="shared" si="6"/>
        <v>0.14249224594052179</v>
      </c>
      <c r="E249">
        <v>4.7507527601204247E-2</v>
      </c>
    </row>
    <row r="250" spans="2:5" x14ac:dyDescent="0.35">
      <c r="B250" s="2">
        <v>40512</v>
      </c>
      <c r="C250" s="4">
        <v>109.62</v>
      </c>
      <c r="D250">
        <f t="shared" si="6"/>
        <v>-0.98278934452868516</v>
      </c>
      <c r="E250">
        <v>4.7491638795986502E-2</v>
      </c>
    </row>
    <row r="251" spans="2:5" x14ac:dyDescent="0.35">
      <c r="B251" s="2">
        <v>44574</v>
      </c>
      <c r="C251" s="4">
        <v>6369.31</v>
      </c>
      <c r="D251">
        <f t="shared" si="6"/>
        <v>125.77766719745223</v>
      </c>
      <c r="E251">
        <v>4.704658135956552E-2</v>
      </c>
    </row>
    <row r="252" spans="2:5" x14ac:dyDescent="0.35">
      <c r="B252" s="2">
        <v>38365</v>
      </c>
      <c r="C252" s="4">
        <v>50.24</v>
      </c>
      <c r="D252">
        <f t="shared" si="6"/>
        <v>0.62958157638663659</v>
      </c>
      <c r="E252">
        <v>4.6884767659929105E-2</v>
      </c>
    </row>
    <row r="253" spans="2:5" x14ac:dyDescent="0.35">
      <c r="B253" s="2">
        <v>37537</v>
      </c>
      <c r="C253" s="4">
        <v>30.83</v>
      </c>
      <c r="D253">
        <f t="shared" si="6"/>
        <v>-0.54460856720827189</v>
      </c>
      <c r="E253">
        <v>4.6859083191850504E-2</v>
      </c>
    </row>
    <row r="254" spans="2:5" x14ac:dyDescent="0.35">
      <c r="B254" s="2">
        <v>38943</v>
      </c>
      <c r="C254" s="4">
        <v>67.7</v>
      </c>
      <c r="D254">
        <f t="shared" si="6"/>
        <v>-0.92914111071570615</v>
      </c>
      <c r="E254">
        <v>4.6367851622874712E-2</v>
      </c>
    </row>
    <row r="255" spans="2:5" x14ac:dyDescent="0.35">
      <c r="B255" s="2">
        <v>42398</v>
      </c>
      <c r="C255" s="4">
        <v>955.42</v>
      </c>
      <c r="D255">
        <f t="shared" si="6"/>
        <v>-0.76010505541522499</v>
      </c>
      <c r="E255">
        <v>4.6324688978447437E-2</v>
      </c>
    </row>
    <row r="256" spans="2:5" x14ac:dyDescent="0.35">
      <c r="B256" s="2">
        <v>44376</v>
      </c>
      <c r="C256" s="4">
        <v>3982.66</v>
      </c>
      <c r="D256">
        <f t="shared" si="6"/>
        <v>0.29886148317010575</v>
      </c>
      <c r="E256">
        <v>4.6193532117442038E-2</v>
      </c>
    </row>
    <row r="257" spans="2:5" x14ac:dyDescent="0.35">
      <c r="B257" s="2">
        <v>44295</v>
      </c>
      <c r="C257" s="4">
        <v>3066.27</v>
      </c>
      <c r="D257">
        <f t="shared" si="6"/>
        <v>3.098688695512692</v>
      </c>
      <c r="E257">
        <v>4.6090810154306938E-2</v>
      </c>
    </row>
    <row r="258" spans="2:5" x14ac:dyDescent="0.35">
      <c r="B258" s="2">
        <v>42905</v>
      </c>
      <c r="C258" s="4">
        <v>748.11</v>
      </c>
      <c r="D258">
        <f t="shared" si="6"/>
        <v>6.7564541213063762</v>
      </c>
      <c r="E258">
        <v>4.6000475384851969E-2</v>
      </c>
    </row>
    <row r="259" spans="2:5" x14ac:dyDescent="0.35">
      <c r="B259" s="2">
        <v>39093</v>
      </c>
      <c r="C259" s="4">
        <v>96.45</v>
      </c>
      <c r="D259">
        <f t="shared" si="6"/>
        <v>-0.89277614727854859</v>
      </c>
      <c r="E259">
        <v>4.5868575146389201E-2</v>
      </c>
    </row>
    <row r="260" spans="2:5" x14ac:dyDescent="0.35">
      <c r="B260" s="2">
        <v>42438</v>
      </c>
      <c r="C260" s="4">
        <v>899.52</v>
      </c>
      <c r="D260">
        <f t="shared" ref="D260:D323" si="7">C260/C261-1</f>
        <v>-0.86325742604359856</v>
      </c>
      <c r="E260">
        <v>4.5868359552129423E-2</v>
      </c>
    </row>
    <row r="261" spans="2:5" x14ac:dyDescent="0.35">
      <c r="B261" s="2">
        <v>45043</v>
      </c>
      <c r="C261" s="4">
        <v>6578.2</v>
      </c>
      <c r="D261">
        <f t="shared" si="7"/>
        <v>118.3649065505353</v>
      </c>
      <c r="E261">
        <v>4.5677452172599775E-2</v>
      </c>
    </row>
    <row r="262" spans="2:5" x14ac:dyDescent="0.35">
      <c r="B262" s="2">
        <v>38274</v>
      </c>
      <c r="C262" s="4">
        <v>55.11</v>
      </c>
      <c r="D262">
        <f t="shared" si="7"/>
        <v>-0.24059528730880519</v>
      </c>
      <c r="E262">
        <v>4.5532157085941938E-2</v>
      </c>
    </row>
    <row r="263" spans="2:5" x14ac:dyDescent="0.35">
      <c r="B263" s="2">
        <v>40106</v>
      </c>
      <c r="C263" s="4">
        <v>72.569999999999993</v>
      </c>
      <c r="D263">
        <f t="shared" si="7"/>
        <v>-0.38986043383218438</v>
      </c>
      <c r="E263">
        <v>4.5375972342264426E-2</v>
      </c>
    </row>
    <row r="264" spans="2:5" x14ac:dyDescent="0.35">
      <c r="B264" s="2">
        <v>40504</v>
      </c>
      <c r="C264" s="4">
        <v>118.94</v>
      </c>
      <c r="D264">
        <f t="shared" si="7"/>
        <v>0.84947908567874353</v>
      </c>
      <c r="E264">
        <v>4.5258810088759871E-2</v>
      </c>
    </row>
    <row r="265" spans="2:5" x14ac:dyDescent="0.35">
      <c r="B265" s="2">
        <v>40133</v>
      </c>
      <c r="C265" s="4">
        <v>64.31</v>
      </c>
      <c r="D265">
        <f t="shared" si="7"/>
        <v>-0.35837573580764237</v>
      </c>
      <c r="E265">
        <v>4.518121241670725E-2</v>
      </c>
    </row>
    <row r="266" spans="2:5" x14ac:dyDescent="0.35">
      <c r="B266" s="2">
        <v>41101</v>
      </c>
      <c r="C266" s="4">
        <v>100.23</v>
      </c>
      <c r="D266">
        <f t="shared" si="7"/>
        <v>-0.96817448624482438</v>
      </c>
      <c r="E266">
        <v>4.5151199165797795E-2</v>
      </c>
    </row>
    <row r="267" spans="2:5" x14ac:dyDescent="0.35">
      <c r="B267" s="2">
        <v>44309</v>
      </c>
      <c r="C267" s="4">
        <v>3149.36</v>
      </c>
      <c r="D267">
        <f t="shared" si="7"/>
        <v>4.2574328497738012</v>
      </c>
      <c r="E267">
        <v>4.5125407349886126E-2</v>
      </c>
    </row>
    <row r="268" spans="2:5" x14ac:dyDescent="0.35">
      <c r="B268" s="2">
        <v>42671</v>
      </c>
      <c r="C268" s="4">
        <v>599.03</v>
      </c>
      <c r="D268">
        <f t="shared" si="7"/>
        <v>0.12988286775939795</v>
      </c>
      <c r="E268">
        <v>4.5081037701285576E-2</v>
      </c>
    </row>
    <row r="269" spans="2:5" x14ac:dyDescent="0.35">
      <c r="B269" s="2">
        <v>42093</v>
      </c>
      <c r="C269" s="4">
        <v>530.16999999999996</v>
      </c>
      <c r="D269">
        <f t="shared" si="7"/>
        <v>12.922531512605042</v>
      </c>
      <c r="E269">
        <v>4.495821507410902E-2</v>
      </c>
    </row>
    <row r="270" spans="2:5" x14ac:dyDescent="0.35">
      <c r="B270" s="2">
        <v>37455</v>
      </c>
      <c r="C270" s="4">
        <v>38.08</v>
      </c>
      <c r="D270">
        <f t="shared" si="7"/>
        <v>-0.57400156617071263</v>
      </c>
      <c r="E270">
        <v>4.4718792866940804E-2</v>
      </c>
    </row>
    <row r="271" spans="2:5" x14ac:dyDescent="0.35">
      <c r="B271" s="2">
        <v>41561</v>
      </c>
      <c r="C271" s="4">
        <v>89.39</v>
      </c>
      <c r="D271">
        <f t="shared" si="7"/>
        <v>-5.0557620817843874E-2</v>
      </c>
      <c r="E271">
        <v>4.4641813719761725E-2</v>
      </c>
    </row>
    <row r="272" spans="2:5" x14ac:dyDescent="0.35">
      <c r="B272" s="2">
        <v>39442</v>
      </c>
      <c r="C272" s="4">
        <v>94.15</v>
      </c>
      <c r="D272">
        <f t="shared" si="7"/>
        <v>-5.6045718869059402E-2</v>
      </c>
      <c r="E272">
        <v>4.4602241207145399E-2</v>
      </c>
    </row>
    <row r="273" spans="2:5" x14ac:dyDescent="0.35">
      <c r="B273" s="2">
        <v>40610</v>
      </c>
      <c r="C273" s="4">
        <v>99.74</v>
      </c>
      <c r="D273">
        <f t="shared" si="7"/>
        <v>-0.9623117761529596</v>
      </c>
      <c r="E273">
        <v>4.4507278249031224E-2</v>
      </c>
    </row>
    <row r="274" spans="2:5" x14ac:dyDescent="0.35">
      <c r="B274" s="2">
        <v>44259</v>
      </c>
      <c r="C274" s="4">
        <v>2646.45</v>
      </c>
      <c r="D274">
        <f t="shared" si="7"/>
        <v>1.9416112753706956</v>
      </c>
      <c r="E274">
        <v>4.4500138137901102E-2</v>
      </c>
    </row>
    <row r="275" spans="2:5" x14ac:dyDescent="0.35">
      <c r="B275" s="2">
        <v>42335</v>
      </c>
      <c r="C275" s="4">
        <v>899.66</v>
      </c>
      <c r="D275">
        <f t="shared" si="7"/>
        <v>6.9572247188339542E-2</v>
      </c>
      <c r="E275">
        <v>4.445244204000609E-2</v>
      </c>
    </row>
    <row r="276" spans="2:5" x14ac:dyDescent="0.35">
      <c r="B276" s="2">
        <v>42317</v>
      </c>
      <c r="C276" s="4">
        <v>841.14</v>
      </c>
      <c r="D276">
        <f t="shared" si="7"/>
        <v>12.244213509683515</v>
      </c>
      <c r="E276">
        <v>4.440140058109221E-2</v>
      </c>
    </row>
    <row r="277" spans="2:5" x14ac:dyDescent="0.35">
      <c r="B277" s="2">
        <v>38443</v>
      </c>
      <c r="C277" s="4">
        <v>63.51</v>
      </c>
      <c r="D277">
        <f t="shared" si="7"/>
        <v>-0.96504312503784107</v>
      </c>
      <c r="E277">
        <v>4.4400592007893369E-2</v>
      </c>
    </row>
    <row r="278" spans="2:5" x14ac:dyDescent="0.35">
      <c r="B278" s="2">
        <v>44193</v>
      </c>
      <c r="C278" s="4">
        <v>1816.81</v>
      </c>
      <c r="D278">
        <f t="shared" si="7"/>
        <v>0.973527846272499</v>
      </c>
      <c r="E278">
        <v>4.4383766383076617E-2</v>
      </c>
    </row>
    <row r="279" spans="2:5" x14ac:dyDescent="0.35">
      <c r="B279" s="2">
        <v>43845</v>
      </c>
      <c r="C279" s="4">
        <v>920.59</v>
      </c>
      <c r="D279">
        <f t="shared" si="7"/>
        <v>7.356086048833621</v>
      </c>
      <c r="E279">
        <v>4.4214561994532664E-2</v>
      </c>
    </row>
    <row r="280" spans="2:5" x14ac:dyDescent="0.35">
      <c r="B280" s="2">
        <v>40646</v>
      </c>
      <c r="C280" s="4">
        <v>110.17</v>
      </c>
      <c r="D280">
        <f t="shared" si="7"/>
        <v>2.6492215965551504</v>
      </c>
      <c r="E280">
        <v>4.4166429722301226E-2</v>
      </c>
    </row>
    <row r="281" spans="2:5" x14ac:dyDescent="0.35">
      <c r="B281" s="2">
        <v>37468</v>
      </c>
      <c r="C281" s="4">
        <v>30.19</v>
      </c>
      <c r="D281">
        <f t="shared" si="7"/>
        <v>0.28140916808149408</v>
      </c>
      <c r="E281">
        <v>4.3914246196403939E-2</v>
      </c>
    </row>
    <row r="282" spans="2:5" x14ac:dyDescent="0.35">
      <c r="B282" s="2">
        <v>37715</v>
      </c>
      <c r="C282" s="4">
        <v>23.56</v>
      </c>
      <c r="D282">
        <f t="shared" si="7"/>
        <v>-0.99465408091488738</v>
      </c>
      <c r="E282">
        <v>4.3863535666814224E-2</v>
      </c>
    </row>
    <row r="283" spans="2:5" x14ac:dyDescent="0.35">
      <c r="B283" s="2">
        <v>44379</v>
      </c>
      <c r="C283" s="4">
        <v>4407.1000000000004</v>
      </c>
      <c r="D283">
        <f t="shared" si="7"/>
        <v>25.164212776062694</v>
      </c>
      <c r="E283">
        <v>4.3782447231801358E-2</v>
      </c>
    </row>
    <row r="284" spans="2:5" x14ac:dyDescent="0.35">
      <c r="B284" s="2">
        <v>41659</v>
      </c>
      <c r="C284" s="4">
        <v>168.44</v>
      </c>
      <c r="D284">
        <f t="shared" si="7"/>
        <v>3.1163245356793743</v>
      </c>
      <c r="E284">
        <v>4.3618339529120087E-2</v>
      </c>
    </row>
    <row r="285" spans="2:5" x14ac:dyDescent="0.35">
      <c r="B285" s="2">
        <v>37988</v>
      </c>
      <c r="C285" s="4">
        <v>40.92</v>
      </c>
      <c r="D285">
        <f t="shared" si="7"/>
        <v>0.44900849858356962</v>
      </c>
      <c r="E285">
        <v>4.361132364192799E-2</v>
      </c>
    </row>
    <row r="286" spans="2:5" x14ac:dyDescent="0.35">
      <c r="B286" s="2">
        <v>37889</v>
      </c>
      <c r="C286" s="4">
        <v>28.24</v>
      </c>
      <c r="D286">
        <f t="shared" si="7"/>
        <v>-0.9651336502253226</v>
      </c>
      <c r="E286">
        <v>4.3606799704360766E-2</v>
      </c>
    </row>
    <row r="287" spans="2:5" x14ac:dyDescent="0.35">
      <c r="B287" s="2">
        <v>42241</v>
      </c>
      <c r="C287" s="4">
        <v>809.95</v>
      </c>
      <c r="D287">
        <f t="shared" si="7"/>
        <v>-7.0348009733253725E-2</v>
      </c>
      <c r="E287">
        <v>4.3561728554126988E-2</v>
      </c>
    </row>
    <row r="288" spans="2:5" x14ac:dyDescent="0.35">
      <c r="B288" s="2">
        <v>43059</v>
      </c>
      <c r="C288" s="4">
        <v>871.24</v>
      </c>
      <c r="D288">
        <f t="shared" si="7"/>
        <v>-0.86909375023476998</v>
      </c>
      <c r="E288">
        <v>4.3526170798898089E-2</v>
      </c>
    </row>
    <row r="289" spans="2:5" x14ac:dyDescent="0.35">
      <c r="B289" s="2">
        <v>44949</v>
      </c>
      <c r="C289" s="4">
        <v>6655.45</v>
      </c>
      <c r="D289">
        <f t="shared" si="7"/>
        <v>77.613867233640448</v>
      </c>
      <c r="E289">
        <v>4.3452016995124021E-2</v>
      </c>
    </row>
    <row r="290" spans="2:5" x14ac:dyDescent="0.35">
      <c r="B290" s="2">
        <v>40779</v>
      </c>
      <c r="C290" s="4">
        <v>84.66</v>
      </c>
      <c r="D290">
        <f t="shared" si="7"/>
        <v>0.66949319660816387</v>
      </c>
      <c r="E290">
        <v>4.3253234750461944E-2</v>
      </c>
    </row>
    <row r="291" spans="2:5" x14ac:dyDescent="0.35">
      <c r="B291" s="2">
        <v>38377</v>
      </c>
      <c r="C291" s="4">
        <v>50.71</v>
      </c>
      <c r="D291">
        <f t="shared" si="7"/>
        <v>-0.54108597285067872</v>
      </c>
      <c r="E291">
        <v>4.320098745114187E-2</v>
      </c>
    </row>
    <row r="292" spans="2:5" x14ac:dyDescent="0.35">
      <c r="B292" s="2">
        <v>40210</v>
      </c>
      <c r="C292" s="4">
        <v>110.5</v>
      </c>
      <c r="D292">
        <f t="shared" si="7"/>
        <v>-0.88299201592579257</v>
      </c>
      <c r="E292">
        <v>4.3141697347304664E-2</v>
      </c>
    </row>
    <row r="293" spans="2:5" x14ac:dyDescent="0.35">
      <c r="B293" s="2">
        <v>43901</v>
      </c>
      <c r="C293" s="4">
        <v>944.38</v>
      </c>
      <c r="D293">
        <f t="shared" si="7"/>
        <v>0.54593373493975905</v>
      </c>
      <c r="E293">
        <v>4.3052794345040946E-2</v>
      </c>
    </row>
    <row r="294" spans="2:5" x14ac:dyDescent="0.35">
      <c r="B294" s="2">
        <v>43921</v>
      </c>
      <c r="C294" s="4">
        <v>610.88</v>
      </c>
      <c r="D294">
        <f t="shared" si="7"/>
        <v>-0.29133894805224936</v>
      </c>
      <c r="E294">
        <v>4.3026908892227933E-2</v>
      </c>
    </row>
    <row r="295" spans="2:5" x14ac:dyDescent="0.35">
      <c r="B295" s="2">
        <v>42220</v>
      </c>
      <c r="C295" s="4">
        <v>862.02</v>
      </c>
      <c r="D295">
        <f t="shared" si="7"/>
        <v>26.081998114985865</v>
      </c>
      <c r="E295">
        <v>4.2989025880530995E-2</v>
      </c>
    </row>
    <row r="296" spans="2:5" x14ac:dyDescent="0.35">
      <c r="B296" s="2">
        <v>37957</v>
      </c>
      <c r="C296" s="4">
        <v>31.83</v>
      </c>
      <c r="D296">
        <f t="shared" si="7"/>
        <v>0.1667888563049853</v>
      </c>
      <c r="E296">
        <v>4.2922673656618615E-2</v>
      </c>
    </row>
    <row r="297" spans="2:5" x14ac:dyDescent="0.35">
      <c r="B297" s="2">
        <v>37809</v>
      </c>
      <c r="C297" s="4">
        <v>27.28</v>
      </c>
      <c r="D297">
        <f t="shared" si="7"/>
        <v>-9.9075297225891701E-2</v>
      </c>
      <c r="E297">
        <v>4.2813455657492394E-2</v>
      </c>
    </row>
    <row r="298" spans="2:5" x14ac:dyDescent="0.35">
      <c r="B298" s="2">
        <v>37589</v>
      </c>
      <c r="C298" s="4">
        <v>30.28</v>
      </c>
      <c r="D298">
        <f t="shared" si="7"/>
        <v>-0.98901202580795</v>
      </c>
      <c r="E298">
        <v>4.2699724517906379E-2</v>
      </c>
    </row>
    <row r="299" spans="2:5" x14ac:dyDescent="0.35">
      <c r="B299" s="2">
        <v>44216</v>
      </c>
      <c r="C299" s="4">
        <v>2755.74</v>
      </c>
      <c r="D299">
        <f t="shared" si="7"/>
        <v>10.489430894308942</v>
      </c>
      <c r="E299">
        <v>4.2581123566599377E-2</v>
      </c>
    </row>
    <row r="300" spans="2:5" x14ac:dyDescent="0.35">
      <c r="B300" s="2">
        <v>41806</v>
      </c>
      <c r="C300" s="4">
        <v>239.85</v>
      </c>
      <c r="D300">
        <f t="shared" si="7"/>
        <v>-0.93316241936158062</v>
      </c>
      <c r="E300">
        <v>4.2554116317482293E-2</v>
      </c>
    </row>
    <row r="301" spans="2:5" x14ac:dyDescent="0.35">
      <c r="B301" s="2">
        <v>44333</v>
      </c>
      <c r="C301" s="4">
        <v>3588.55</v>
      </c>
      <c r="D301">
        <f t="shared" si="7"/>
        <v>103.5614801864802</v>
      </c>
      <c r="E301">
        <v>4.2537614790841838E-2</v>
      </c>
    </row>
    <row r="302" spans="2:5" x14ac:dyDescent="0.35">
      <c r="B302" s="2">
        <v>39912</v>
      </c>
      <c r="C302" s="4">
        <v>34.32</v>
      </c>
      <c r="D302">
        <f t="shared" si="7"/>
        <v>0.3844292053247278</v>
      </c>
      <c r="E302">
        <v>4.2527339003645137E-2</v>
      </c>
    </row>
    <row r="303" spans="2:5" x14ac:dyDescent="0.35">
      <c r="B303" s="2">
        <v>37825</v>
      </c>
      <c r="C303" s="4">
        <v>24.79</v>
      </c>
      <c r="D303">
        <f t="shared" si="7"/>
        <v>-0.18774574049803405</v>
      </c>
      <c r="E303">
        <v>4.2472666105971335E-2</v>
      </c>
    </row>
    <row r="304" spans="2:5" x14ac:dyDescent="0.35">
      <c r="B304" s="2">
        <v>37956</v>
      </c>
      <c r="C304" s="4">
        <v>30.52</v>
      </c>
      <c r="D304">
        <f t="shared" si="7"/>
        <v>-0.88833193077457828</v>
      </c>
      <c r="E304">
        <v>4.2349726775956276E-2</v>
      </c>
    </row>
    <row r="305" spans="2:5" x14ac:dyDescent="0.35">
      <c r="B305" s="2">
        <v>41855</v>
      </c>
      <c r="C305" s="4">
        <v>273.31</v>
      </c>
      <c r="D305">
        <f t="shared" si="7"/>
        <v>-0.77101276852441436</v>
      </c>
      <c r="E305">
        <v>4.2292731294332864E-2</v>
      </c>
    </row>
    <row r="306" spans="2:5" x14ac:dyDescent="0.35">
      <c r="B306" s="2">
        <v>43263</v>
      </c>
      <c r="C306" s="4">
        <v>1193.56</v>
      </c>
      <c r="D306">
        <f t="shared" si="7"/>
        <v>19.05646109897496</v>
      </c>
      <c r="E306">
        <v>4.2292141503584624E-2</v>
      </c>
    </row>
    <row r="307" spans="2:5" x14ac:dyDescent="0.35">
      <c r="B307" s="2">
        <v>40121</v>
      </c>
      <c r="C307" s="4">
        <v>59.51</v>
      </c>
      <c r="D307">
        <f t="shared" si="7"/>
        <v>-0.43916690227122801</v>
      </c>
      <c r="E307">
        <v>4.2206654991243431E-2</v>
      </c>
    </row>
    <row r="308" spans="2:5" x14ac:dyDescent="0.35">
      <c r="B308" s="2">
        <v>39450</v>
      </c>
      <c r="C308" s="4">
        <v>106.11</v>
      </c>
      <c r="D308">
        <f t="shared" si="7"/>
        <v>2.3504894221660875</v>
      </c>
      <c r="E308">
        <v>4.2133176193282385E-2</v>
      </c>
    </row>
    <row r="309" spans="2:5" x14ac:dyDescent="0.35">
      <c r="B309" s="2">
        <v>37474</v>
      </c>
      <c r="C309" s="4">
        <v>31.67</v>
      </c>
      <c r="D309">
        <f t="shared" si="7"/>
        <v>-0.63568388358449335</v>
      </c>
      <c r="E309">
        <v>4.2119118130964139E-2</v>
      </c>
    </row>
    <row r="310" spans="2:5" x14ac:dyDescent="0.35">
      <c r="B310" s="2">
        <v>39065</v>
      </c>
      <c r="C310" s="4">
        <v>86.93</v>
      </c>
      <c r="D310">
        <f t="shared" si="7"/>
        <v>-0.85841788954217491</v>
      </c>
      <c r="E310">
        <v>4.2076240709661983E-2</v>
      </c>
    </row>
    <row r="311" spans="2:5" x14ac:dyDescent="0.35">
      <c r="B311" s="2">
        <v>42102</v>
      </c>
      <c r="C311" s="4">
        <v>613.99</v>
      </c>
      <c r="D311">
        <f t="shared" si="7"/>
        <v>23.030919765166342</v>
      </c>
      <c r="E311">
        <v>4.2073998642226718E-2</v>
      </c>
    </row>
    <row r="312" spans="2:5" x14ac:dyDescent="0.35">
      <c r="B312" s="2">
        <v>37655</v>
      </c>
      <c r="C312" s="4">
        <v>25.55</v>
      </c>
      <c r="D312">
        <f t="shared" si="7"/>
        <v>-0.66886988076723686</v>
      </c>
      <c r="E312">
        <v>4.2006525285481322E-2</v>
      </c>
    </row>
    <row r="313" spans="2:5" x14ac:dyDescent="0.35">
      <c r="B313" s="2">
        <v>38595</v>
      </c>
      <c r="C313" s="4">
        <v>77.16</v>
      </c>
      <c r="D313">
        <f t="shared" si="7"/>
        <v>-0.78358669434004602</v>
      </c>
      <c r="E313">
        <v>4.1717294451194764E-2</v>
      </c>
    </row>
    <row r="314" spans="2:5" x14ac:dyDescent="0.35">
      <c r="B314" s="2">
        <v>42038</v>
      </c>
      <c r="C314" s="4">
        <v>356.54</v>
      </c>
      <c r="D314">
        <f t="shared" si="7"/>
        <v>4.2470934510669611</v>
      </c>
      <c r="E314">
        <v>4.1661797358887531E-2</v>
      </c>
    </row>
    <row r="315" spans="2:5" x14ac:dyDescent="0.35">
      <c r="B315" s="2">
        <v>38758</v>
      </c>
      <c r="C315" s="4">
        <v>67.95</v>
      </c>
      <c r="D315">
        <f t="shared" si="7"/>
        <v>-0.93436368027046601</v>
      </c>
      <c r="E315">
        <v>4.1538933169834591E-2</v>
      </c>
    </row>
    <row r="316" spans="2:5" x14ac:dyDescent="0.35">
      <c r="B316" s="2">
        <v>43209</v>
      </c>
      <c r="C316" s="4">
        <v>1035.25</v>
      </c>
      <c r="D316">
        <f t="shared" si="7"/>
        <v>45.738148984198645</v>
      </c>
      <c r="E316">
        <v>4.139422593300468E-2</v>
      </c>
    </row>
    <row r="317" spans="2:5" x14ac:dyDescent="0.35">
      <c r="B317" s="2">
        <v>37774</v>
      </c>
      <c r="C317" s="4">
        <v>22.15</v>
      </c>
      <c r="D317">
        <f t="shared" si="7"/>
        <v>-0.45710784313725494</v>
      </c>
      <c r="E317">
        <v>4.1372825575928474E-2</v>
      </c>
    </row>
    <row r="318" spans="2:5" x14ac:dyDescent="0.35">
      <c r="B318" s="2">
        <v>38204</v>
      </c>
      <c r="C318" s="4">
        <v>40.799999999999997</v>
      </c>
      <c r="D318">
        <f t="shared" si="7"/>
        <v>-0.25533856543164812</v>
      </c>
      <c r="E318">
        <v>4.1347626339969246E-2</v>
      </c>
    </row>
    <row r="319" spans="2:5" x14ac:dyDescent="0.35">
      <c r="B319" s="2">
        <v>38923</v>
      </c>
      <c r="C319" s="4">
        <v>54.79</v>
      </c>
      <c r="D319">
        <f t="shared" si="7"/>
        <v>-0.67437299417568042</v>
      </c>
      <c r="E319">
        <v>4.1239072595971038E-2</v>
      </c>
    </row>
    <row r="320" spans="2:5" x14ac:dyDescent="0.35">
      <c r="B320" s="2">
        <v>41666</v>
      </c>
      <c r="C320" s="4">
        <v>168.26</v>
      </c>
      <c r="D320">
        <f t="shared" si="7"/>
        <v>-0.97771862916468033</v>
      </c>
      <c r="E320">
        <v>4.1212871287128694E-2</v>
      </c>
    </row>
    <row r="321" spans="2:5" x14ac:dyDescent="0.35">
      <c r="B321" s="2">
        <v>44733</v>
      </c>
      <c r="C321" s="4">
        <v>7551.6</v>
      </c>
      <c r="D321">
        <f t="shared" si="7"/>
        <v>8.3573889122946152</v>
      </c>
      <c r="E321">
        <v>4.0903671337105596E-2</v>
      </c>
    </row>
    <row r="322" spans="2:5" x14ac:dyDescent="0.35">
      <c r="B322" s="2">
        <v>43017</v>
      </c>
      <c r="C322" s="4">
        <v>807.02</v>
      </c>
      <c r="D322">
        <f t="shared" si="7"/>
        <v>3.3795517447224181</v>
      </c>
      <c r="E322">
        <v>4.0899769124608243E-2</v>
      </c>
    </row>
    <row r="323" spans="2:5" x14ac:dyDescent="0.35">
      <c r="B323" s="2">
        <v>41670</v>
      </c>
      <c r="C323" s="4">
        <v>184.27</v>
      </c>
      <c r="D323">
        <f t="shared" si="7"/>
        <v>-0.90479954536061169</v>
      </c>
      <c r="E323">
        <v>4.0897023103428909E-2</v>
      </c>
    </row>
    <row r="324" spans="2:5" x14ac:dyDescent="0.35">
      <c r="B324" s="2">
        <v>44201</v>
      </c>
      <c r="C324" s="4">
        <v>1935.6</v>
      </c>
      <c r="D324">
        <f t="shared" ref="D324:D387" si="8">C324/C325-1</f>
        <v>6.0815497749972565</v>
      </c>
      <c r="E324">
        <v>4.0829824646308133E-2</v>
      </c>
    </row>
    <row r="325" spans="2:5" x14ac:dyDescent="0.35">
      <c r="B325" s="2">
        <v>41817</v>
      </c>
      <c r="C325" s="4">
        <v>273.33</v>
      </c>
      <c r="D325">
        <f t="shared" si="8"/>
        <v>1.6518870670418164</v>
      </c>
      <c r="E325">
        <v>4.0820989299721999E-2</v>
      </c>
    </row>
    <row r="326" spans="2:5" x14ac:dyDescent="0.35">
      <c r="B326" s="2">
        <v>40708</v>
      </c>
      <c r="C326" s="4">
        <v>103.07</v>
      </c>
      <c r="D326">
        <f t="shared" si="8"/>
        <v>-0.84981786390791203</v>
      </c>
      <c r="E326">
        <v>4.0795718469150755E-2</v>
      </c>
    </row>
    <row r="327" spans="2:5" x14ac:dyDescent="0.35">
      <c r="B327" s="2">
        <v>42716</v>
      </c>
      <c r="C327" s="4">
        <v>686.3</v>
      </c>
      <c r="D327">
        <f t="shared" si="8"/>
        <v>-0.14934493486533051</v>
      </c>
      <c r="E327">
        <v>4.0794661813770006E-2</v>
      </c>
    </row>
    <row r="328" spans="2:5" x14ac:dyDescent="0.35">
      <c r="B328" s="2">
        <v>42982</v>
      </c>
      <c r="C328" s="4">
        <v>806.79</v>
      </c>
      <c r="D328">
        <f t="shared" si="8"/>
        <v>27.398099260823653</v>
      </c>
      <c r="E328">
        <v>4.0750773993807998E-2</v>
      </c>
    </row>
    <row r="329" spans="2:5" x14ac:dyDescent="0.35">
      <c r="B329" s="2">
        <v>37925</v>
      </c>
      <c r="C329" s="4">
        <v>28.41</v>
      </c>
      <c r="D329">
        <f t="shared" si="8"/>
        <v>-0.68590381426202329</v>
      </c>
      <c r="E329">
        <v>4.0659340659340737E-2</v>
      </c>
    </row>
    <row r="330" spans="2:5" x14ac:dyDescent="0.35">
      <c r="B330" s="2">
        <v>39066</v>
      </c>
      <c r="C330" s="4">
        <v>90.45</v>
      </c>
      <c r="D330">
        <f t="shared" si="8"/>
        <v>0.47216796875</v>
      </c>
      <c r="E330">
        <v>4.0492350166800861E-2</v>
      </c>
    </row>
    <row r="331" spans="2:5" x14ac:dyDescent="0.35">
      <c r="B331" s="2">
        <v>38898</v>
      </c>
      <c r="C331" s="4">
        <v>61.44</v>
      </c>
      <c r="D331">
        <f t="shared" si="8"/>
        <v>-0.42353161944079565</v>
      </c>
      <c r="E331">
        <v>4.0474174428450471E-2</v>
      </c>
    </row>
    <row r="332" spans="2:5" x14ac:dyDescent="0.35">
      <c r="B332" s="2">
        <v>39100</v>
      </c>
      <c r="C332" s="4">
        <v>106.58</v>
      </c>
      <c r="D332">
        <f t="shared" si="8"/>
        <v>2.3717178108193608</v>
      </c>
      <c r="E332">
        <v>4.0210813976185866E-2</v>
      </c>
    </row>
    <row r="333" spans="2:5" x14ac:dyDescent="0.35">
      <c r="B333" s="2">
        <v>38120</v>
      </c>
      <c r="C333" s="4">
        <v>31.61</v>
      </c>
      <c r="D333">
        <f t="shared" si="8"/>
        <v>-0.43381694429518181</v>
      </c>
      <c r="E333">
        <v>4.0144784468575168E-2</v>
      </c>
    </row>
    <row r="334" spans="2:5" x14ac:dyDescent="0.35">
      <c r="B334" s="2">
        <v>38411</v>
      </c>
      <c r="C334" s="4">
        <v>55.83</v>
      </c>
      <c r="D334">
        <f t="shared" si="8"/>
        <v>-3.4250129735340029E-2</v>
      </c>
      <c r="E334">
        <v>4.0052160953800264E-2</v>
      </c>
    </row>
    <row r="335" spans="2:5" x14ac:dyDescent="0.35">
      <c r="B335" s="2">
        <v>40028</v>
      </c>
      <c r="C335" s="4">
        <v>57.81</v>
      </c>
      <c r="D335">
        <f t="shared" si="8"/>
        <v>-0.51570746418698166</v>
      </c>
      <c r="E335">
        <v>3.9935240151106388E-2</v>
      </c>
    </row>
    <row r="336" spans="2:5" x14ac:dyDescent="0.35">
      <c r="B336" s="2">
        <v>40526</v>
      </c>
      <c r="C336" s="4">
        <v>119.37</v>
      </c>
      <c r="D336">
        <f t="shared" si="8"/>
        <v>1.8980335032774946</v>
      </c>
      <c r="E336">
        <v>3.9898945901210903E-2</v>
      </c>
    </row>
    <row r="337" spans="2:5" x14ac:dyDescent="0.35">
      <c r="B337" s="2">
        <v>38198</v>
      </c>
      <c r="C337" s="4">
        <v>41.19</v>
      </c>
      <c r="D337">
        <f t="shared" si="8"/>
        <v>0.24893875075803518</v>
      </c>
      <c r="E337">
        <v>3.9888916940166608E-2</v>
      </c>
    </row>
    <row r="338" spans="2:5" x14ac:dyDescent="0.35">
      <c r="B338" s="2">
        <v>38149</v>
      </c>
      <c r="C338" s="4">
        <v>32.979999999999997</v>
      </c>
      <c r="D338">
        <f t="shared" si="8"/>
        <v>-0.9432611912053126</v>
      </c>
      <c r="E338">
        <v>3.9722572509457654E-2</v>
      </c>
    </row>
    <row r="339" spans="2:5" x14ac:dyDescent="0.35">
      <c r="B339" s="2">
        <v>43910</v>
      </c>
      <c r="C339" s="4">
        <v>581.26</v>
      </c>
      <c r="D339">
        <f t="shared" si="8"/>
        <v>-0.92536514275075277</v>
      </c>
      <c r="E339">
        <v>3.9504980596240857E-2</v>
      </c>
    </row>
    <row r="340" spans="2:5" x14ac:dyDescent="0.35">
      <c r="B340" s="2">
        <v>44735</v>
      </c>
      <c r="C340" s="4">
        <v>7788.05</v>
      </c>
      <c r="D340">
        <f t="shared" si="8"/>
        <v>214.19894998618406</v>
      </c>
      <c r="E340">
        <v>3.9473859829424862E-2</v>
      </c>
    </row>
    <row r="341" spans="2:5" x14ac:dyDescent="0.35">
      <c r="B341" s="2">
        <v>37967</v>
      </c>
      <c r="C341" s="4">
        <v>36.19</v>
      </c>
      <c r="D341">
        <f t="shared" si="8"/>
        <v>-0.96408118703786416</v>
      </c>
      <c r="E341">
        <v>3.9345203905801096E-2</v>
      </c>
    </row>
    <row r="342" spans="2:5" x14ac:dyDescent="0.35">
      <c r="B342" s="2">
        <v>43122</v>
      </c>
      <c r="C342" s="4">
        <v>1007.55</v>
      </c>
      <c r="D342">
        <f t="shared" si="8"/>
        <v>-0.89176138194787613</v>
      </c>
      <c r="E342">
        <v>3.9300634380318611E-2</v>
      </c>
    </row>
    <row r="343" spans="2:5" x14ac:dyDescent="0.35">
      <c r="B343" s="2">
        <v>44778</v>
      </c>
      <c r="C343" s="4">
        <v>9308.6</v>
      </c>
      <c r="D343">
        <f t="shared" si="8"/>
        <v>52.234587670136108</v>
      </c>
      <c r="E343">
        <v>3.9289023859233829E-2</v>
      </c>
    </row>
    <row r="344" spans="2:5" x14ac:dyDescent="0.35">
      <c r="B344" s="2">
        <v>41667</v>
      </c>
      <c r="C344" s="4">
        <v>174.86</v>
      </c>
      <c r="D344">
        <f t="shared" si="8"/>
        <v>3.8144273127753303</v>
      </c>
      <c r="E344">
        <v>3.9225008914774984E-2</v>
      </c>
    </row>
    <row r="345" spans="2:5" x14ac:dyDescent="0.35">
      <c r="B345" s="2">
        <v>37462</v>
      </c>
      <c r="C345" s="4">
        <v>36.32</v>
      </c>
      <c r="D345">
        <f t="shared" si="8"/>
        <v>-0.97709846650524612</v>
      </c>
      <c r="E345">
        <v>3.9198855507868391E-2</v>
      </c>
    </row>
    <row r="346" spans="2:5" x14ac:dyDescent="0.35">
      <c r="B346" s="2">
        <v>44126</v>
      </c>
      <c r="C346" s="4">
        <v>1585.92</v>
      </c>
      <c r="D346">
        <f t="shared" si="8"/>
        <v>12.123045097227969</v>
      </c>
      <c r="E346">
        <v>3.9157100172983128E-2</v>
      </c>
    </row>
    <row r="347" spans="2:5" x14ac:dyDescent="0.35">
      <c r="B347" s="2">
        <v>41605</v>
      </c>
      <c r="C347" s="4">
        <v>120.85</v>
      </c>
      <c r="D347">
        <f t="shared" si="8"/>
        <v>-0.85567219614727763</v>
      </c>
      <c r="E347">
        <v>3.9122957867583796E-2</v>
      </c>
    </row>
    <row r="348" spans="2:5" x14ac:dyDescent="0.35">
      <c r="B348" s="2">
        <v>43516</v>
      </c>
      <c r="C348" s="4">
        <v>837.33</v>
      </c>
      <c r="D348">
        <f t="shared" si="8"/>
        <v>-8.5913728297826175E-4</v>
      </c>
      <c r="E348">
        <v>3.9077236175915742E-2</v>
      </c>
    </row>
    <row r="349" spans="2:5" x14ac:dyDescent="0.35">
      <c r="B349" s="2">
        <v>42394</v>
      </c>
      <c r="C349" s="4">
        <v>838.05</v>
      </c>
      <c r="D349">
        <f t="shared" si="8"/>
        <v>32.375149342891277</v>
      </c>
      <c r="E349">
        <v>3.8939303778637191E-2</v>
      </c>
    </row>
    <row r="350" spans="2:5" x14ac:dyDescent="0.35">
      <c r="B350" s="2">
        <v>38072</v>
      </c>
      <c r="C350" s="4">
        <v>25.11</v>
      </c>
      <c r="D350">
        <f t="shared" si="8"/>
        <v>-0.25994694960212206</v>
      </c>
      <c r="E350">
        <v>3.8891187422424478E-2</v>
      </c>
    </row>
    <row r="351" spans="2:5" x14ac:dyDescent="0.35">
      <c r="B351" s="2">
        <v>39813</v>
      </c>
      <c r="C351" s="4">
        <v>33.93</v>
      </c>
      <c r="D351">
        <f t="shared" si="8"/>
        <v>-0.68035798398492697</v>
      </c>
      <c r="E351">
        <v>3.88854868340478E-2</v>
      </c>
    </row>
    <row r="352" spans="2:5" x14ac:dyDescent="0.35">
      <c r="B352" s="2">
        <v>40218</v>
      </c>
      <c r="C352" s="4">
        <v>106.15</v>
      </c>
      <c r="D352">
        <f t="shared" si="8"/>
        <v>-0.91484907067968324</v>
      </c>
      <c r="E352">
        <v>3.8853004501859356E-2</v>
      </c>
    </row>
    <row r="353" spans="2:5" x14ac:dyDescent="0.35">
      <c r="B353" s="2">
        <v>43280</v>
      </c>
      <c r="C353" s="4">
        <v>1246.6099999999999</v>
      </c>
      <c r="D353">
        <f t="shared" si="8"/>
        <v>20.118244960189731</v>
      </c>
      <c r="E353">
        <v>3.8755103741354935E-2</v>
      </c>
    </row>
    <row r="354" spans="2:5" x14ac:dyDescent="0.35">
      <c r="B354" s="2">
        <v>38467</v>
      </c>
      <c r="C354" s="4">
        <v>59.03</v>
      </c>
      <c r="D354">
        <f t="shared" si="8"/>
        <v>0.69140401146131825</v>
      </c>
      <c r="E354">
        <v>3.8711947914833678E-2</v>
      </c>
    </row>
    <row r="355" spans="2:5" x14ac:dyDescent="0.35">
      <c r="B355" s="2">
        <v>38177</v>
      </c>
      <c r="C355" s="4">
        <v>34.9</v>
      </c>
      <c r="D355">
        <f t="shared" si="8"/>
        <v>-0.56462075848303395</v>
      </c>
      <c r="E355">
        <v>3.8690476190476053E-2</v>
      </c>
    </row>
    <row r="356" spans="2:5" x14ac:dyDescent="0.35">
      <c r="B356" s="2">
        <v>38835</v>
      </c>
      <c r="C356" s="4">
        <v>80.16</v>
      </c>
      <c r="D356">
        <f t="shared" si="8"/>
        <v>-0.96986409518975925</v>
      </c>
      <c r="E356">
        <v>3.8611039129307967E-2</v>
      </c>
    </row>
    <row r="357" spans="2:5" x14ac:dyDescent="0.35">
      <c r="B357" s="2">
        <v>44225</v>
      </c>
      <c r="C357" s="4">
        <v>2659.95</v>
      </c>
      <c r="D357">
        <f t="shared" si="8"/>
        <v>1.6293184401719962</v>
      </c>
      <c r="E357">
        <v>3.8519652206505217E-2</v>
      </c>
    </row>
    <row r="358" spans="2:5" x14ac:dyDescent="0.35">
      <c r="B358" s="2">
        <v>43405</v>
      </c>
      <c r="C358" s="4">
        <v>1011.65</v>
      </c>
      <c r="D358">
        <f t="shared" si="8"/>
        <v>-4.3953655401829717E-2</v>
      </c>
      <c r="E358">
        <v>3.8505758925821754E-2</v>
      </c>
    </row>
    <row r="359" spans="2:5" x14ac:dyDescent="0.35">
      <c r="B359" s="2">
        <v>44061</v>
      </c>
      <c r="C359" s="4">
        <v>1058.1600000000001</v>
      </c>
      <c r="D359">
        <f t="shared" si="8"/>
        <v>0.33442627085513954</v>
      </c>
      <c r="E359">
        <v>3.8419642594282877E-2</v>
      </c>
    </row>
    <row r="360" spans="2:5" x14ac:dyDescent="0.35">
      <c r="B360" s="2">
        <v>42388</v>
      </c>
      <c r="C360" s="4">
        <v>792.97</v>
      </c>
      <c r="D360">
        <f t="shared" si="8"/>
        <v>-0.75667929854707805</v>
      </c>
      <c r="E360">
        <v>3.8353760737481757E-2</v>
      </c>
    </row>
    <row r="361" spans="2:5" x14ac:dyDescent="0.35">
      <c r="B361" s="2">
        <v>44314</v>
      </c>
      <c r="C361" s="4">
        <v>3258.95</v>
      </c>
      <c r="D361">
        <f t="shared" si="8"/>
        <v>53.424682698730791</v>
      </c>
      <c r="E361">
        <v>3.8269036551836111E-2</v>
      </c>
    </row>
    <row r="362" spans="2:5" x14ac:dyDescent="0.35">
      <c r="B362" s="2">
        <v>39968</v>
      </c>
      <c r="C362" s="4">
        <v>59.88</v>
      </c>
      <c r="D362">
        <f t="shared" si="8"/>
        <v>-0.21499737808075514</v>
      </c>
      <c r="E362">
        <v>3.8141470180305115E-2</v>
      </c>
    </row>
    <row r="363" spans="2:5" x14ac:dyDescent="0.35">
      <c r="B363" s="2">
        <v>38950</v>
      </c>
      <c r="C363" s="4">
        <v>76.28</v>
      </c>
      <c r="D363">
        <f t="shared" si="8"/>
        <v>5.3591160220994416E-2</v>
      </c>
      <c r="E363">
        <v>3.8105606967882455E-2</v>
      </c>
    </row>
    <row r="364" spans="2:5" x14ac:dyDescent="0.35">
      <c r="B364" s="2">
        <v>38691</v>
      </c>
      <c r="C364" s="4">
        <v>72.400000000000006</v>
      </c>
      <c r="D364">
        <f t="shared" si="8"/>
        <v>-0.33663184900128273</v>
      </c>
      <c r="E364">
        <v>3.7992831541218797E-2</v>
      </c>
    </row>
    <row r="365" spans="2:5" x14ac:dyDescent="0.35">
      <c r="B365" s="2">
        <v>39302</v>
      </c>
      <c r="C365" s="4">
        <v>109.14</v>
      </c>
      <c r="D365">
        <f t="shared" si="8"/>
        <v>3.324088748019018</v>
      </c>
      <c r="E365">
        <v>3.794579172610546E-2</v>
      </c>
    </row>
    <row r="366" spans="2:5" x14ac:dyDescent="0.35">
      <c r="B366" s="2">
        <v>37651</v>
      </c>
      <c r="C366" s="4">
        <v>25.24</v>
      </c>
      <c r="D366">
        <f t="shared" si="8"/>
        <v>-0.98129857812882049</v>
      </c>
      <c r="E366">
        <v>3.7828947368421018E-2</v>
      </c>
    </row>
    <row r="367" spans="2:5" x14ac:dyDescent="0.35">
      <c r="B367" s="2">
        <v>43292</v>
      </c>
      <c r="C367" s="4">
        <v>1349.63</v>
      </c>
      <c r="D367">
        <f t="shared" si="8"/>
        <v>12.291609218042151</v>
      </c>
      <c r="E367">
        <v>3.7737880127638457E-2</v>
      </c>
    </row>
    <row r="368" spans="2:5" x14ac:dyDescent="0.35">
      <c r="B368" s="2">
        <v>39139</v>
      </c>
      <c r="C368" s="4">
        <v>101.54</v>
      </c>
      <c r="D368">
        <f t="shared" si="8"/>
        <v>-0.98782293973950153</v>
      </c>
      <c r="E368">
        <v>3.7710781808891314E-2</v>
      </c>
    </row>
    <row r="369" spans="2:5" x14ac:dyDescent="0.35">
      <c r="B369" s="2">
        <v>44712</v>
      </c>
      <c r="C369" s="4">
        <v>8338.6299999999992</v>
      </c>
      <c r="D369">
        <f t="shared" si="8"/>
        <v>70.699312123817705</v>
      </c>
      <c r="E369">
        <v>3.7688983134161136E-2</v>
      </c>
    </row>
    <row r="370" spans="2:5" x14ac:dyDescent="0.35">
      <c r="B370" s="2">
        <v>41604</v>
      </c>
      <c r="C370" s="4">
        <v>116.3</v>
      </c>
      <c r="D370">
        <f t="shared" si="8"/>
        <v>0.66666666666666652</v>
      </c>
      <c r="E370">
        <v>3.7651677373304882E-2</v>
      </c>
    </row>
    <row r="371" spans="2:5" x14ac:dyDescent="0.35">
      <c r="B371" s="2">
        <v>38831</v>
      </c>
      <c r="C371" s="4">
        <v>69.78</v>
      </c>
      <c r="D371">
        <f t="shared" si="8"/>
        <v>0.95956192080876157</v>
      </c>
      <c r="E371">
        <v>3.7620817843866172E-2</v>
      </c>
    </row>
    <row r="372" spans="2:5" x14ac:dyDescent="0.35">
      <c r="B372" s="2">
        <v>39916</v>
      </c>
      <c r="C372" s="4">
        <v>35.61</v>
      </c>
      <c r="D372">
        <f t="shared" si="8"/>
        <v>-0.95118507450410561</v>
      </c>
      <c r="E372">
        <v>3.7587412587412494E-2</v>
      </c>
    </row>
    <row r="373" spans="2:5" x14ac:dyDescent="0.35">
      <c r="B373" s="2">
        <v>43945</v>
      </c>
      <c r="C373" s="4">
        <v>729.49</v>
      </c>
      <c r="D373">
        <f t="shared" si="8"/>
        <v>13.326197957580519</v>
      </c>
      <c r="E373">
        <v>3.7563292939637005E-2</v>
      </c>
    </row>
    <row r="374" spans="2:5" x14ac:dyDescent="0.35">
      <c r="B374" s="2">
        <v>38246</v>
      </c>
      <c r="C374" s="4">
        <v>50.92</v>
      </c>
      <c r="D374">
        <f t="shared" si="8"/>
        <v>0.44659090909090904</v>
      </c>
      <c r="E374">
        <v>3.7489812550937307E-2</v>
      </c>
    </row>
    <row r="375" spans="2:5" x14ac:dyDescent="0.35">
      <c r="B375" s="2">
        <v>39815</v>
      </c>
      <c r="C375" s="4">
        <v>35.200000000000003</v>
      </c>
      <c r="D375">
        <f t="shared" si="8"/>
        <v>-0.95976729034986452</v>
      </c>
      <c r="E375">
        <v>3.7430002947244523E-2</v>
      </c>
    </row>
    <row r="376" spans="2:5" x14ac:dyDescent="0.35">
      <c r="B376" s="2">
        <v>44008</v>
      </c>
      <c r="C376" s="4">
        <v>874.91</v>
      </c>
      <c r="D376">
        <f t="shared" si="8"/>
        <v>9.546166827386692</v>
      </c>
      <c r="E376">
        <v>3.724999703612375E-2</v>
      </c>
    </row>
    <row r="377" spans="2:5" x14ac:dyDescent="0.35">
      <c r="B377" s="2">
        <v>39017</v>
      </c>
      <c r="C377" s="4">
        <v>82.96</v>
      </c>
      <c r="D377">
        <f t="shared" si="8"/>
        <v>-0.18161191674065313</v>
      </c>
      <c r="E377">
        <v>3.7129641205150721E-2</v>
      </c>
    </row>
    <row r="378" spans="2:5" x14ac:dyDescent="0.35">
      <c r="B378" s="2">
        <v>41163</v>
      </c>
      <c r="C378" s="4">
        <v>101.37</v>
      </c>
      <c r="D378">
        <f t="shared" si="8"/>
        <v>-0.66539032843703572</v>
      </c>
      <c r="E378">
        <v>3.7033248081841386E-2</v>
      </c>
    </row>
    <row r="379" spans="2:5" x14ac:dyDescent="0.35">
      <c r="B379" s="2">
        <v>42013</v>
      </c>
      <c r="C379" s="4">
        <v>302.95</v>
      </c>
      <c r="D379">
        <f t="shared" si="8"/>
        <v>2.525954376163873</v>
      </c>
      <c r="E379">
        <v>3.6967311312681828E-2</v>
      </c>
    </row>
    <row r="380" spans="2:5" x14ac:dyDescent="0.35">
      <c r="B380" s="2">
        <v>41339</v>
      </c>
      <c r="C380" s="4">
        <v>85.92</v>
      </c>
      <c r="D380">
        <f t="shared" si="8"/>
        <v>-0.22258414766558088</v>
      </c>
      <c r="E380">
        <v>3.6929761042722609E-2</v>
      </c>
    </row>
    <row r="381" spans="2:5" x14ac:dyDescent="0.35">
      <c r="B381" s="2">
        <v>40659</v>
      </c>
      <c r="C381" s="4">
        <v>110.52</v>
      </c>
      <c r="D381">
        <f t="shared" si="8"/>
        <v>1.1585937499999996</v>
      </c>
      <c r="E381">
        <v>3.6870250492541334E-2</v>
      </c>
    </row>
    <row r="382" spans="2:5" x14ac:dyDescent="0.35">
      <c r="B382" s="2">
        <v>38251</v>
      </c>
      <c r="C382" s="4">
        <v>51.2</v>
      </c>
      <c r="D382">
        <f t="shared" si="8"/>
        <v>-0.12598156367360869</v>
      </c>
      <c r="E382">
        <v>3.6857027136492526E-2</v>
      </c>
    </row>
    <row r="383" spans="2:5" x14ac:dyDescent="0.35">
      <c r="B383" s="2">
        <v>38462</v>
      </c>
      <c r="C383" s="4">
        <v>58.58</v>
      </c>
      <c r="D383">
        <f t="shared" si="8"/>
        <v>-0.88687188598354638</v>
      </c>
      <c r="E383">
        <v>3.6814159292035464E-2</v>
      </c>
    </row>
    <row r="384" spans="2:5" x14ac:dyDescent="0.35">
      <c r="B384" s="2">
        <v>42128</v>
      </c>
      <c r="C384" s="4">
        <v>517.82000000000005</v>
      </c>
      <c r="D384">
        <f t="shared" si="8"/>
        <v>8.0417321459752049</v>
      </c>
      <c r="E384">
        <v>3.6780458504354963E-2</v>
      </c>
    </row>
    <row r="385" spans="2:5" x14ac:dyDescent="0.35">
      <c r="B385" s="2">
        <v>38414</v>
      </c>
      <c r="C385" s="4">
        <v>57.27</v>
      </c>
      <c r="D385">
        <f t="shared" si="8"/>
        <v>-0.94135597038614738</v>
      </c>
      <c r="E385">
        <v>3.6748732802317274E-2</v>
      </c>
    </row>
    <row r="386" spans="2:5" x14ac:dyDescent="0.35">
      <c r="B386" s="2">
        <v>43880</v>
      </c>
      <c r="C386" s="4">
        <v>976.57</v>
      </c>
      <c r="D386">
        <f t="shared" si="8"/>
        <v>19.791356184798808</v>
      </c>
      <c r="E386">
        <v>3.6742536838082263E-2</v>
      </c>
    </row>
    <row r="387" spans="2:5" x14ac:dyDescent="0.35">
      <c r="B387" s="2">
        <v>39946</v>
      </c>
      <c r="C387" s="4">
        <v>46.97</v>
      </c>
      <c r="D387">
        <f t="shared" si="8"/>
        <v>-0.78732171156893815</v>
      </c>
      <c r="E387">
        <v>3.6636504082983912E-2</v>
      </c>
    </row>
    <row r="388" spans="2:5" x14ac:dyDescent="0.35">
      <c r="B388" s="2">
        <v>41689</v>
      </c>
      <c r="C388" s="4">
        <v>220.85</v>
      </c>
      <c r="D388">
        <f t="shared" ref="D388:D451" si="9">C388/C389-1</f>
        <v>1.1786524612804574</v>
      </c>
      <c r="E388">
        <v>3.6562470665540081E-2</v>
      </c>
    </row>
    <row r="389" spans="2:5" x14ac:dyDescent="0.35">
      <c r="B389" s="2">
        <v>41254</v>
      </c>
      <c r="C389" s="4">
        <v>101.37</v>
      </c>
      <c r="D389">
        <f t="shared" si="9"/>
        <v>2.3356367226061203</v>
      </c>
      <c r="E389">
        <v>3.6503067484662699E-2</v>
      </c>
    </row>
    <row r="390" spans="2:5" x14ac:dyDescent="0.35">
      <c r="B390" s="2">
        <v>37473</v>
      </c>
      <c r="C390" s="4">
        <v>30.39</v>
      </c>
      <c r="D390">
        <f t="shared" si="9"/>
        <v>-0.95004602537970939</v>
      </c>
      <c r="E390">
        <v>3.6493860845838944E-2</v>
      </c>
    </row>
    <row r="391" spans="2:5" x14ac:dyDescent="0.35">
      <c r="B391" s="2">
        <v>43683</v>
      </c>
      <c r="C391" s="4">
        <v>608.36</v>
      </c>
      <c r="D391">
        <f t="shared" si="9"/>
        <v>21.481892091648191</v>
      </c>
      <c r="E391">
        <v>3.6406071653690919E-2</v>
      </c>
    </row>
    <row r="392" spans="2:5" x14ac:dyDescent="0.35">
      <c r="B392" s="2">
        <v>37888</v>
      </c>
      <c r="C392" s="4">
        <v>27.06</v>
      </c>
      <c r="D392">
        <f t="shared" si="9"/>
        <v>-0.98707384531606024</v>
      </c>
      <c r="E392">
        <v>3.6384527001148914E-2</v>
      </c>
    </row>
    <row r="393" spans="2:5" x14ac:dyDescent="0.35">
      <c r="B393" s="2">
        <v>44207</v>
      </c>
      <c r="C393" s="4">
        <v>2093.4299999999998</v>
      </c>
      <c r="D393">
        <f t="shared" si="9"/>
        <v>20.460071758072782</v>
      </c>
      <c r="E393">
        <v>3.6341224344313305E-2</v>
      </c>
    </row>
    <row r="394" spans="2:5" x14ac:dyDescent="0.35">
      <c r="B394" s="2">
        <v>40324</v>
      </c>
      <c r="C394" s="4">
        <v>97.55</v>
      </c>
      <c r="D394">
        <f t="shared" si="9"/>
        <v>0.21648584611547572</v>
      </c>
      <c r="E394">
        <v>3.6332731329013157E-2</v>
      </c>
    </row>
    <row r="395" spans="2:5" x14ac:dyDescent="0.35">
      <c r="B395" s="2">
        <v>39013</v>
      </c>
      <c r="C395" s="4">
        <v>80.19</v>
      </c>
      <c r="D395">
        <f t="shared" si="9"/>
        <v>0.19526009837531655</v>
      </c>
      <c r="E395">
        <v>3.6314293098991923E-2</v>
      </c>
    </row>
    <row r="396" spans="2:5" x14ac:dyDescent="0.35">
      <c r="B396" s="2">
        <v>40140</v>
      </c>
      <c r="C396" s="4">
        <v>67.09</v>
      </c>
      <c r="D396">
        <f t="shared" si="9"/>
        <v>-0.31756688027667579</v>
      </c>
      <c r="E396">
        <v>3.6299042323138853E-2</v>
      </c>
    </row>
    <row r="397" spans="2:5" x14ac:dyDescent="0.35">
      <c r="B397" s="2">
        <v>40424</v>
      </c>
      <c r="C397" s="4">
        <v>98.31</v>
      </c>
      <c r="D397">
        <f t="shared" si="9"/>
        <v>-0.87275598296682677</v>
      </c>
      <c r="E397">
        <v>3.6260145462211346E-2</v>
      </c>
    </row>
    <row r="398" spans="2:5" x14ac:dyDescent="0.35">
      <c r="B398" s="2">
        <v>43013</v>
      </c>
      <c r="C398" s="4">
        <v>772.61</v>
      </c>
      <c r="D398">
        <f t="shared" si="9"/>
        <v>26.071128241065171</v>
      </c>
      <c r="E398">
        <v>3.6142477804897766E-2</v>
      </c>
    </row>
    <row r="399" spans="2:5" x14ac:dyDescent="0.35">
      <c r="B399" s="2">
        <v>37903</v>
      </c>
      <c r="C399" s="4">
        <v>28.54</v>
      </c>
      <c r="D399">
        <f t="shared" si="9"/>
        <v>-0.16108171663727233</v>
      </c>
      <c r="E399">
        <v>3.59346642468239E-2</v>
      </c>
    </row>
    <row r="400" spans="2:5" x14ac:dyDescent="0.35">
      <c r="B400" s="2">
        <v>37498</v>
      </c>
      <c r="C400" s="4">
        <v>34.020000000000003</v>
      </c>
      <c r="D400">
        <f t="shared" si="9"/>
        <v>-0.96193438660878128</v>
      </c>
      <c r="E400">
        <v>3.5931790499390992E-2</v>
      </c>
    </row>
    <row r="401" spans="2:5" x14ac:dyDescent="0.35">
      <c r="B401" s="2">
        <v>42256</v>
      </c>
      <c r="C401" s="4">
        <v>893.72</v>
      </c>
      <c r="D401">
        <f t="shared" si="9"/>
        <v>10.774967061923583</v>
      </c>
      <c r="E401">
        <v>3.5812799888736979E-2</v>
      </c>
    </row>
    <row r="402" spans="2:5" x14ac:dyDescent="0.35">
      <c r="B402" s="2">
        <v>41515</v>
      </c>
      <c r="C402" s="4">
        <v>75.900000000000006</v>
      </c>
      <c r="D402">
        <f t="shared" si="9"/>
        <v>-0.2109366878053851</v>
      </c>
      <c r="E402">
        <v>3.5753275109170257E-2</v>
      </c>
    </row>
    <row r="403" spans="2:5" x14ac:dyDescent="0.35">
      <c r="B403" s="2">
        <v>39077</v>
      </c>
      <c r="C403" s="4">
        <v>96.19</v>
      </c>
      <c r="D403">
        <f t="shared" si="9"/>
        <v>-0.97399862681177052</v>
      </c>
      <c r="E403">
        <v>3.5748896306665223E-2</v>
      </c>
    </row>
    <row r="404" spans="2:5" x14ac:dyDescent="0.35">
      <c r="B404" s="2">
        <v>44355</v>
      </c>
      <c r="C404" s="4">
        <v>3699.42</v>
      </c>
      <c r="D404">
        <f t="shared" si="9"/>
        <v>38.693347639484976</v>
      </c>
      <c r="E404">
        <v>3.5718285253538706E-2</v>
      </c>
    </row>
    <row r="405" spans="2:5" x14ac:dyDescent="0.35">
      <c r="B405" s="2">
        <v>39037</v>
      </c>
      <c r="C405" s="4">
        <v>93.2</v>
      </c>
      <c r="D405">
        <f t="shared" si="9"/>
        <v>0.67025089605734789</v>
      </c>
      <c r="E405">
        <v>3.5670630070007814E-2</v>
      </c>
    </row>
    <row r="406" spans="2:5" x14ac:dyDescent="0.35">
      <c r="B406" s="2">
        <v>39973</v>
      </c>
      <c r="C406" s="4">
        <v>55.8</v>
      </c>
      <c r="D406">
        <f t="shared" si="9"/>
        <v>-0.89622466059140782</v>
      </c>
      <c r="E406">
        <v>3.5634743875278208E-2</v>
      </c>
    </row>
    <row r="407" spans="2:5" x14ac:dyDescent="0.35">
      <c r="B407" s="2">
        <v>42143</v>
      </c>
      <c r="C407" s="4">
        <v>537.70000000000005</v>
      </c>
      <c r="D407">
        <f t="shared" si="9"/>
        <v>-0.81423389186387973</v>
      </c>
      <c r="E407">
        <v>3.5631741140215611E-2</v>
      </c>
    </row>
    <row r="408" spans="2:5" x14ac:dyDescent="0.35">
      <c r="B408" s="2">
        <v>44301</v>
      </c>
      <c r="C408" s="4">
        <v>2894.5</v>
      </c>
      <c r="D408">
        <f t="shared" si="9"/>
        <v>79.091311566131708</v>
      </c>
      <c r="E408">
        <v>3.5621516025388766E-2</v>
      </c>
    </row>
    <row r="409" spans="2:5" x14ac:dyDescent="0.35">
      <c r="B409" s="2">
        <v>38180</v>
      </c>
      <c r="C409" s="4">
        <v>36.14</v>
      </c>
      <c r="D409">
        <f t="shared" si="9"/>
        <v>-0.96040146385291347</v>
      </c>
      <c r="E409">
        <v>3.5530085959885493E-2</v>
      </c>
    </row>
    <row r="410" spans="2:5" x14ac:dyDescent="0.35">
      <c r="B410" s="2">
        <v>43098</v>
      </c>
      <c r="C410" s="4">
        <v>912.66</v>
      </c>
      <c r="D410">
        <f t="shared" si="9"/>
        <v>16.670087124878993</v>
      </c>
      <c r="E410">
        <v>3.5501548725279886E-2</v>
      </c>
    </row>
    <row r="411" spans="2:5" x14ac:dyDescent="0.35">
      <c r="B411" s="2">
        <v>38259</v>
      </c>
      <c r="C411" s="4">
        <v>51.65</v>
      </c>
      <c r="D411">
        <f t="shared" si="9"/>
        <v>0.97665518561040954</v>
      </c>
      <c r="E411">
        <v>3.5485164394546853E-2</v>
      </c>
    </row>
    <row r="412" spans="2:5" x14ac:dyDescent="0.35">
      <c r="B412" s="2">
        <v>37853</v>
      </c>
      <c r="C412" s="4">
        <v>26.13</v>
      </c>
      <c r="D412">
        <f t="shared" si="9"/>
        <v>-0.97275428809759656</v>
      </c>
      <c r="E412">
        <v>3.5261489698890758E-2</v>
      </c>
    </row>
    <row r="413" spans="2:5" x14ac:dyDescent="0.35">
      <c r="B413" s="2">
        <v>44048</v>
      </c>
      <c r="C413" s="4">
        <v>959.05</v>
      </c>
      <c r="D413">
        <f t="shared" si="9"/>
        <v>12.307201332038296</v>
      </c>
      <c r="E413">
        <v>3.522160575117117E-2</v>
      </c>
    </row>
    <row r="414" spans="2:5" x14ac:dyDescent="0.35">
      <c r="B414" s="2">
        <v>39470</v>
      </c>
      <c r="C414" s="4">
        <v>72.069999999999993</v>
      </c>
      <c r="D414">
        <f t="shared" si="9"/>
        <v>2.2551942186088523</v>
      </c>
      <c r="E414">
        <v>3.5191037058316388E-2</v>
      </c>
    </row>
    <row r="415" spans="2:5" x14ac:dyDescent="0.35">
      <c r="B415" s="2">
        <v>37713</v>
      </c>
      <c r="C415" s="4">
        <v>22.14</v>
      </c>
      <c r="D415">
        <f t="shared" si="9"/>
        <v>-0.78801225584067403</v>
      </c>
      <c r="E415">
        <v>3.5063113604488105E-2</v>
      </c>
    </row>
    <row r="416" spans="2:5" x14ac:dyDescent="0.35">
      <c r="B416" s="2">
        <v>39164</v>
      </c>
      <c r="C416" s="4">
        <v>104.44</v>
      </c>
      <c r="D416">
        <f t="shared" si="9"/>
        <v>-0.87121595126823437</v>
      </c>
      <c r="E416">
        <v>3.4981666831830349E-2</v>
      </c>
    </row>
    <row r="417" spans="2:5" x14ac:dyDescent="0.35">
      <c r="B417" s="2">
        <v>42943</v>
      </c>
      <c r="C417" s="4">
        <v>810.97</v>
      </c>
      <c r="D417">
        <f t="shared" si="9"/>
        <v>10.404443819434679</v>
      </c>
      <c r="E417">
        <v>3.4954950356058001E-2</v>
      </c>
    </row>
    <row r="418" spans="2:5" x14ac:dyDescent="0.35">
      <c r="B418" s="2">
        <v>38565</v>
      </c>
      <c r="C418" s="4">
        <v>71.11</v>
      </c>
      <c r="D418">
        <f t="shared" si="9"/>
        <v>1.2418032786885247</v>
      </c>
      <c r="E418">
        <v>3.4929413476932014E-2</v>
      </c>
    </row>
    <row r="419" spans="2:5" x14ac:dyDescent="0.35">
      <c r="B419" s="2">
        <v>38148</v>
      </c>
      <c r="C419" s="4">
        <v>31.72</v>
      </c>
      <c r="D419">
        <f t="shared" si="9"/>
        <v>-0.18957588145120086</v>
      </c>
      <c r="E419">
        <v>3.4910277324633032E-2</v>
      </c>
    </row>
    <row r="420" spans="2:5" x14ac:dyDescent="0.35">
      <c r="B420" s="2">
        <v>38216</v>
      </c>
      <c r="C420" s="4">
        <v>39.14</v>
      </c>
      <c r="D420">
        <f t="shared" si="9"/>
        <v>-0.95395998259089787</v>
      </c>
      <c r="E420">
        <v>3.4902168164992142E-2</v>
      </c>
    </row>
    <row r="421" spans="2:5" x14ac:dyDescent="0.35">
      <c r="B421" s="2">
        <v>42243</v>
      </c>
      <c r="C421" s="4">
        <v>850.13</v>
      </c>
      <c r="D421">
        <f t="shared" si="9"/>
        <v>-0.24272008979075543</v>
      </c>
      <c r="E421">
        <v>3.487607732385456E-2</v>
      </c>
    </row>
    <row r="422" spans="2:5" x14ac:dyDescent="0.35">
      <c r="B422" s="2">
        <v>44076</v>
      </c>
      <c r="C422" s="4">
        <v>1122.6099999999999</v>
      </c>
      <c r="D422">
        <f t="shared" si="9"/>
        <v>10.620018631611634</v>
      </c>
      <c r="E422">
        <v>3.4854351032448383E-2</v>
      </c>
    </row>
    <row r="423" spans="2:5" x14ac:dyDescent="0.35">
      <c r="B423" s="2">
        <v>41123</v>
      </c>
      <c r="C423" s="4">
        <v>96.61</v>
      </c>
      <c r="D423">
        <f t="shared" si="9"/>
        <v>-0.90072751186830802</v>
      </c>
      <c r="E423">
        <v>3.4811482433590335E-2</v>
      </c>
    </row>
    <row r="424" spans="2:5" x14ac:dyDescent="0.35">
      <c r="B424" s="2">
        <v>43110</v>
      </c>
      <c r="C424" s="4">
        <v>973.18</v>
      </c>
      <c r="D424">
        <f t="shared" si="9"/>
        <v>8.0883451624953295</v>
      </c>
      <c r="E424">
        <v>3.4802488170556645E-2</v>
      </c>
    </row>
    <row r="425" spans="2:5" x14ac:dyDescent="0.35">
      <c r="B425" s="2">
        <v>39321</v>
      </c>
      <c r="C425" s="4">
        <v>107.08</v>
      </c>
      <c r="D425">
        <f t="shared" si="9"/>
        <v>0.41640211640211655</v>
      </c>
      <c r="E425">
        <v>3.4789331271743329E-2</v>
      </c>
    </row>
    <row r="426" spans="2:5" x14ac:dyDescent="0.35">
      <c r="B426" s="2">
        <v>40911</v>
      </c>
      <c r="C426" s="4">
        <v>75.599999999999994</v>
      </c>
      <c r="D426">
        <f t="shared" si="9"/>
        <v>-0.15360501567398122</v>
      </c>
      <c r="E426">
        <v>3.4765945797974096E-2</v>
      </c>
    </row>
    <row r="427" spans="2:5" x14ac:dyDescent="0.35">
      <c r="B427" s="2">
        <v>41031</v>
      </c>
      <c r="C427" s="4">
        <v>89.32</v>
      </c>
      <c r="D427">
        <f t="shared" si="9"/>
        <v>0.6355978758469143</v>
      </c>
      <c r="E427">
        <v>3.4754402224281833E-2</v>
      </c>
    </row>
    <row r="428" spans="2:5" x14ac:dyDescent="0.35">
      <c r="B428" s="2">
        <v>39534</v>
      </c>
      <c r="C428" s="4">
        <v>54.61</v>
      </c>
      <c r="D428">
        <f t="shared" si="9"/>
        <v>-0.49048329912297073</v>
      </c>
      <c r="E428">
        <v>3.4672224327396695E-2</v>
      </c>
    </row>
    <row r="429" spans="2:5" x14ac:dyDescent="0.35">
      <c r="B429" s="2">
        <v>39183</v>
      </c>
      <c r="C429" s="4">
        <v>107.18</v>
      </c>
      <c r="D429">
        <f t="shared" si="9"/>
        <v>2.3491214667685334E-2</v>
      </c>
      <c r="E429">
        <v>3.465585481224065E-2</v>
      </c>
    </row>
    <row r="430" spans="2:5" x14ac:dyDescent="0.35">
      <c r="B430" s="2">
        <v>41106</v>
      </c>
      <c r="C430" s="4">
        <v>104.72</v>
      </c>
      <c r="D430">
        <f t="shared" si="9"/>
        <v>1.4925373134328179E-2</v>
      </c>
      <c r="E430">
        <v>3.4578146611341731E-2</v>
      </c>
    </row>
    <row r="431" spans="2:5" x14ac:dyDescent="0.35">
      <c r="B431" s="2">
        <v>40611</v>
      </c>
      <c r="C431" s="4">
        <v>103.18</v>
      </c>
      <c r="D431">
        <f t="shared" si="9"/>
        <v>-0.98241727530818335</v>
      </c>
      <c r="E431">
        <v>3.4489673150190692E-2</v>
      </c>
    </row>
    <row r="432" spans="2:5" x14ac:dyDescent="0.35">
      <c r="B432" s="2">
        <v>44537</v>
      </c>
      <c r="C432" s="4">
        <v>5868.26</v>
      </c>
      <c r="D432">
        <f t="shared" si="9"/>
        <v>9.9558090472901082</v>
      </c>
      <c r="E432">
        <v>3.442647224729245E-2</v>
      </c>
    </row>
    <row r="433" spans="2:5" x14ac:dyDescent="0.35">
      <c r="B433" s="2">
        <v>42129</v>
      </c>
      <c r="C433" s="4">
        <v>535.63</v>
      </c>
      <c r="D433">
        <f t="shared" si="9"/>
        <v>-0.4814108398040392</v>
      </c>
      <c r="E433">
        <v>3.4394191031632548E-2</v>
      </c>
    </row>
    <row r="434" spans="2:5" x14ac:dyDescent="0.35">
      <c r="B434" s="2">
        <v>42355</v>
      </c>
      <c r="C434" s="4">
        <v>1032.8599999999999</v>
      </c>
      <c r="D434">
        <f t="shared" si="9"/>
        <v>10.636547994592156</v>
      </c>
      <c r="E434">
        <v>3.4390898529824021E-2</v>
      </c>
    </row>
    <row r="435" spans="2:5" x14ac:dyDescent="0.35">
      <c r="B435" s="2">
        <v>39414</v>
      </c>
      <c r="C435" s="4">
        <v>88.76</v>
      </c>
      <c r="D435">
        <f t="shared" si="9"/>
        <v>-0.94669421239437634</v>
      </c>
      <c r="E435">
        <v>3.4257748776509223E-2</v>
      </c>
    </row>
    <row r="436" spans="2:5" x14ac:dyDescent="0.35">
      <c r="B436" s="2">
        <v>44167</v>
      </c>
      <c r="C436" s="4">
        <v>1665.11</v>
      </c>
      <c r="D436">
        <f t="shared" si="9"/>
        <v>5.1363921135065409</v>
      </c>
      <c r="E436">
        <v>3.4197695723735322E-2</v>
      </c>
    </row>
    <row r="437" spans="2:5" x14ac:dyDescent="0.35">
      <c r="B437" s="2">
        <v>41932</v>
      </c>
      <c r="C437" s="4">
        <v>271.35000000000002</v>
      </c>
      <c r="D437">
        <f t="shared" si="9"/>
        <v>-0.80292400209168557</v>
      </c>
      <c r="E437">
        <v>3.4187056940315763E-2</v>
      </c>
    </row>
    <row r="438" spans="2:5" x14ac:dyDescent="0.35">
      <c r="B438" s="2">
        <v>44110</v>
      </c>
      <c r="C438" s="4">
        <v>1376.88</v>
      </c>
      <c r="D438">
        <f t="shared" si="9"/>
        <v>10.395183315401805</v>
      </c>
      <c r="E438">
        <v>3.4151763919453737E-2</v>
      </c>
    </row>
    <row r="439" spans="2:5" x14ac:dyDescent="0.35">
      <c r="B439" s="2">
        <v>39240</v>
      </c>
      <c r="C439" s="4">
        <v>120.83</v>
      </c>
      <c r="D439">
        <f t="shared" si="9"/>
        <v>0.12704038802350537</v>
      </c>
      <c r="E439">
        <v>3.4149263950701725E-2</v>
      </c>
    </row>
    <row r="440" spans="2:5" x14ac:dyDescent="0.35">
      <c r="B440" s="2">
        <v>40731</v>
      </c>
      <c r="C440" s="4">
        <v>107.21</v>
      </c>
      <c r="D440">
        <f t="shared" si="9"/>
        <v>-0.77531645569620256</v>
      </c>
      <c r="E440">
        <v>3.4146811999614002E-2</v>
      </c>
    </row>
    <row r="441" spans="2:5" x14ac:dyDescent="0.35">
      <c r="B441" s="2">
        <v>42061</v>
      </c>
      <c r="C441" s="4">
        <v>477.16</v>
      </c>
      <c r="D441">
        <f t="shared" si="9"/>
        <v>14.878868552412646</v>
      </c>
      <c r="E441">
        <v>3.4089677740935853E-2</v>
      </c>
    </row>
    <row r="442" spans="2:5" x14ac:dyDescent="0.35">
      <c r="B442" s="2">
        <v>39902</v>
      </c>
      <c r="C442" s="4">
        <v>30.05</v>
      </c>
      <c r="D442">
        <f t="shared" si="9"/>
        <v>-0.8951939174107143</v>
      </c>
      <c r="E442">
        <v>3.4067446662078504E-2</v>
      </c>
    </row>
    <row r="443" spans="2:5" x14ac:dyDescent="0.35">
      <c r="B443" s="2">
        <v>41976</v>
      </c>
      <c r="C443" s="4">
        <v>286.72000000000003</v>
      </c>
      <c r="D443">
        <f t="shared" si="9"/>
        <v>1.7659656569554314</v>
      </c>
      <c r="E443">
        <v>3.4045008655510856E-2</v>
      </c>
    </row>
    <row r="444" spans="2:5" x14ac:dyDescent="0.35">
      <c r="B444" s="2">
        <v>39379</v>
      </c>
      <c r="C444" s="4">
        <v>103.66</v>
      </c>
      <c r="D444">
        <f t="shared" si="9"/>
        <v>2.5499999999999998</v>
      </c>
      <c r="E444">
        <v>3.4014962593516218E-2</v>
      </c>
    </row>
    <row r="445" spans="2:5" x14ac:dyDescent="0.35">
      <c r="B445" s="2">
        <v>37890</v>
      </c>
      <c r="C445" s="4">
        <v>29.2</v>
      </c>
      <c r="D445">
        <f t="shared" si="9"/>
        <v>-0.96693878013156553</v>
      </c>
      <c r="E445">
        <v>3.3994334277620331E-2</v>
      </c>
    </row>
    <row r="446" spans="2:5" x14ac:dyDescent="0.35">
      <c r="B446" s="2">
        <v>42471</v>
      </c>
      <c r="C446" s="4">
        <v>883.21</v>
      </c>
      <c r="D446">
        <f t="shared" si="9"/>
        <v>12.737906361798101</v>
      </c>
      <c r="E446">
        <v>3.3973706084126531E-2</v>
      </c>
    </row>
    <row r="447" spans="2:5" x14ac:dyDescent="0.35">
      <c r="B447" s="2">
        <v>38754</v>
      </c>
      <c r="C447" s="4">
        <v>64.290000000000006</v>
      </c>
      <c r="D447">
        <f t="shared" si="9"/>
        <v>-0.34297393970362788</v>
      </c>
      <c r="E447">
        <v>3.3933740752653652E-2</v>
      </c>
    </row>
    <row r="448" spans="2:5" x14ac:dyDescent="0.35">
      <c r="B448" s="2">
        <v>39085</v>
      </c>
      <c r="C448" s="4">
        <v>97.85</v>
      </c>
      <c r="D448">
        <f t="shared" si="9"/>
        <v>0.27808254963427359</v>
      </c>
      <c r="E448">
        <v>3.3918005071851054E-2</v>
      </c>
    </row>
    <row r="449" spans="2:5" x14ac:dyDescent="0.35">
      <c r="B449" s="2">
        <v>39598</v>
      </c>
      <c r="C449" s="4">
        <v>76.56</v>
      </c>
      <c r="D449">
        <f t="shared" si="9"/>
        <v>-0.89985611510791363</v>
      </c>
      <c r="E449">
        <v>3.3896016205266832E-2</v>
      </c>
    </row>
    <row r="450" spans="2:5" x14ac:dyDescent="0.35">
      <c r="B450" s="2">
        <v>43765</v>
      </c>
      <c r="C450" s="4">
        <v>764.5</v>
      </c>
      <c r="D450">
        <f t="shared" si="9"/>
        <v>6.8814432989690726</v>
      </c>
      <c r="E450">
        <v>3.3876529853269277E-2</v>
      </c>
    </row>
    <row r="451" spans="2:5" x14ac:dyDescent="0.35">
      <c r="B451" s="2">
        <v>40603</v>
      </c>
      <c r="C451" s="4">
        <v>97</v>
      </c>
      <c r="D451">
        <f t="shared" si="9"/>
        <v>-0.24525365701836299</v>
      </c>
      <c r="E451">
        <v>3.3784503890013973E-2</v>
      </c>
    </row>
    <row r="452" spans="2:5" x14ac:dyDescent="0.35">
      <c r="B452" s="2">
        <v>40275</v>
      </c>
      <c r="C452" s="4">
        <v>128.52000000000001</v>
      </c>
      <c r="D452">
        <f t="shared" ref="D452:D515" si="10">C452/C453-1</f>
        <v>0.14668094218415439</v>
      </c>
      <c r="E452">
        <v>3.3783783783783994E-2</v>
      </c>
    </row>
    <row r="453" spans="2:5" x14ac:dyDescent="0.35">
      <c r="B453" s="2">
        <v>41603</v>
      </c>
      <c r="C453" s="4">
        <v>112.08</v>
      </c>
      <c r="D453">
        <f t="shared" si="10"/>
        <v>-0.98051968367080911</v>
      </c>
      <c r="E453">
        <v>3.3757609297177638E-2</v>
      </c>
    </row>
    <row r="454" spans="2:5" x14ac:dyDescent="0.35">
      <c r="B454" s="2">
        <v>44470</v>
      </c>
      <c r="C454" s="4">
        <v>5753.5</v>
      </c>
      <c r="D454">
        <f t="shared" si="10"/>
        <v>76.228187919463082</v>
      </c>
      <c r="E454">
        <v>3.3742386402429103E-2</v>
      </c>
    </row>
    <row r="455" spans="2:5" x14ac:dyDescent="0.35">
      <c r="B455" s="2">
        <v>39471</v>
      </c>
      <c r="C455" s="4">
        <v>74.5</v>
      </c>
      <c r="D455">
        <f t="shared" si="10"/>
        <v>-1.6501650165016479E-2</v>
      </c>
      <c r="E455">
        <v>3.3717219370057006E-2</v>
      </c>
    </row>
    <row r="456" spans="2:5" x14ac:dyDescent="0.35">
      <c r="B456" s="2">
        <v>39630</v>
      </c>
      <c r="C456" s="4">
        <v>75.75</v>
      </c>
      <c r="D456">
        <f t="shared" si="10"/>
        <v>-0.98919439392318387</v>
      </c>
      <c r="E456">
        <v>3.3706331877729312E-2</v>
      </c>
    </row>
    <row r="457" spans="2:5" x14ac:dyDescent="0.35">
      <c r="B457" s="2">
        <v>44895</v>
      </c>
      <c r="C457" s="4">
        <v>7010.25</v>
      </c>
      <c r="D457">
        <f t="shared" si="10"/>
        <v>1.5648976455737884</v>
      </c>
      <c r="E457">
        <v>3.3693368230913956E-2</v>
      </c>
    </row>
    <row r="458" spans="2:5" x14ac:dyDescent="0.35">
      <c r="B458" s="2">
        <v>44274</v>
      </c>
      <c r="C458" s="4">
        <v>2733.15</v>
      </c>
      <c r="D458">
        <f t="shared" si="10"/>
        <v>24.040311497938617</v>
      </c>
      <c r="E458">
        <v>3.3627937055399792E-2</v>
      </c>
    </row>
    <row r="459" spans="2:5" x14ac:dyDescent="0.35">
      <c r="B459" s="2">
        <v>39113</v>
      </c>
      <c r="C459" s="4">
        <v>109.15</v>
      </c>
      <c r="D459">
        <f t="shared" si="10"/>
        <v>0.21102851436813497</v>
      </c>
      <c r="E459">
        <v>3.361742424242431E-2</v>
      </c>
    </row>
    <row r="460" spans="2:5" x14ac:dyDescent="0.35">
      <c r="B460" s="2">
        <v>39072</v>
      </c>
      <c r="C460" s="4">
        <v>90.13</v>
      </c>
      <c r="D460">
        <f t="shared" si="10"/>
        <v>1.7039043105393725E-2</v>
      </c>
      <c r="E460">
        <v>3.3600917431192645E-2</v>
      </c>
    </row>
    <row r="461" spans="2:5" x14ac:dyDescent="0.35">
      <c r="B461" s="2">
        <v>41341</v>
      </c>
      <c r="C461" s="4">
        <v>88.62</v>
      </c>
      <c r="D461">
        <f t="shared" si="10"/>
        <v>-0.91953000145285491</v>
      </c>
      <c r="E461">
        <v>3.358992302309316E-2</v>
      </c>
    </row>
    <row r="462" spans="2:5" x14ac:dyDescent="0.35">
      <c r="B462" s="2">
        <v>43228</v>
      </c>
      <c r="C462" s="4">
        <v>1101.28</v>
      </c>
      <c r="D462">
        <f t="shared" si="10"/>
        <v>8.6918067411775066</v>
      </c>
      <c r="E462">
        <v>3.3570778312732807E-2</v>
      </c>
    </row>
    <row r="463" spans="2:5" x14ac:dyDescent="0.35">
      <c r="B463" s="2">
        <v>40246</v>
      </c>
      <c r="C463" s="4">
        <v>113.63</v>
      </c>
      <c r="D463">
        <f t="shared" si="10"/>
        <v>-0.27527265769500608</v>
      </c>
      <c r="E463">
        <v>3.3563762052028379E-2</v>
      </c>
    </row>
    <row r="464" spans="2:5" x14ac:dyDescent="0.35">
      <c r="B464" s="2">
        <v>41626</v>
      </c>
      <c r="C464" s="4">
        <v>156.79</v>
      </c>
      <c r="D464">
        <f t="shared" si="10"/>
        <v>-0.98054859439743935</v>
      </c>
      <c r="E464">
        <v>3.3553065260382375E-2</v>
      </c>
    </row>
    <row r="465" spans="2:5" x14ac:dyDescent="0.35">
      <c r="B465" s="2">
        <v>44757</v>
      </c>
      <c r="C465" s="4">
        <v>8060.6</v>
      </c>
      <c r="D465">
        <f t="shared" si="10"/>
        <v>0.35186446135733207</v>
      </c>
      <c r="E465">
        <v>3.3469879672545222E-2</v>
      </c>
    </row>
    <row r="466" spans="2:5" x14ac:dyDescent="0.35">
      <c r="B466" s="2">
        <v>44571</v>
      </c>
      <c r="C466" s="4">
        <v>5962.58</v>
      </c>
      <c r="D466">
        <f t="shared" si="10"/>
        <v>-0.43638116663988435</v>
      </c>
      <c r="E466">
        <v>3.3347428840794668E-2</v>
      </c>
    </row>
    <row r="467" spans="2:5" x14ac:dyDescent="0.35">
      <c r="B467" s="2">
        <v>44789</v>
      </c>
      <c r="C467" s="4">
        <v>10579.1</v>
      </c>
      <c r="D467">
        <f t="shared" si="10"/>
        <v>164.37595748006879</v>
      </c>
      <c r="E467">
        <v>3.3312007657708254E-2</v>
      </c>
    </row>
    <row r="468" spans="2:5" x14ac:dyDescent="0.35">
      <c r="B468" s="2">
        <v>38938</v>
      </c>
      <c r="C468" s="4">
        <v>63.97</v>
      </c>
      <c r="D468">
        <f t="shared" si="10"/>
        <v>-0.92823648193852371</v>
      </c>
      <c r="E468">
        <v>3.3274107575512968E-2</v>
      </c>
    </row>
    <row r="469" spans="2:5" x14ac:dyDescent="0.35">
      <c r="B469" s="2">
        <v>42282</v>
      </c>
      <c r="C469" s="4">
        <v>891.4</v>
      </c>
      <c r="D469">
        <f t="shared" si="10"/>
        <v>12.386394353506532</v>
      </c>
      <c r="E469">
        <v>3.3207765864966543E-2</v>
      </c>
    </row>
    <row r="470" spans="2:5" x14ac:dyDescent="0.35">
      <c r="B470" s="2">
        <v>38539</v>
      </c>
      <c r="C470" s="4">
        <v>66.59</v>
      </c>
      <c r="D470">
        <f t="shared" si="10"/>
        <v>0.94480140186915884</v>
      </c>
      <c r="E470">
        <v>3.3204034134988403E-2</v>
      </c>
    </row>
    <row r="471" spans="2:5" x14ac:dyDescent="0.35">
      <c r="B471" s="2">
        <v>39792</v>
      </c>
      <c r="C471" s="4">
        <v>34.24</v>
      </c>
      <c r="D471">
        <f t="shared" si="10"/>
        <v>-0.95949127477077789</v>
      </c>
      <c r="E471">
        <v>3.3192516596258326E-2</v>
      </c>
    </row>
    <row r="472" spans="2:5" x14ac:dyDescent="0.35">
      <c r="B472" s="2">
        <v>42290</v>
      </c>
      <c r="C472" s="4">
        <v>845.25</v>
      </c>
      <c r="D472">
        <f t="shared" si="10"/>
        <v>7.1824782187802523</v>
      </c>
      <c r="E472">
        <v>3.3136138069279175E-2</v>
      </c>
    </row>
    <row r="473" spans="2:5" x14ac:dyDescent="0.35">
      <c r="B473" s="2">
        <v>40728</v>
      </c>
      <c r="C473" s="4">
        <v>103.3</v>
      </c>
      <c r="D473">
        <f t="shared" si="10"/>
        <v>2.0928143712574849</v>
      </c>
      <c r="E473">
        <v>3.3103310331033198E-2</v>
      </c>
    </row>
    <row r="474" spans="2:5" x14ac:dyDescent="0.35">
      <c r="B474" s="2">
        <v>37491</v>
      </c>
      <c r="C474" s="4">
        <v>33.4</v>
      </c>
      <c r="D474">
        <f t="shared" si="10"/>
        <v>1.8603232692894212E-2</v>
      </c>
      <c r="E474">
        <v>3.3096195484070501E-2</v>
      </c>
    </row>
    <row r="475" spans="2:5" x14ac:dyDescent="0.35">
      <c r="B475" s="2">
        <v>37516</v>
      </c>
      <c r="C475" s="4">
        <v>32.79</v>
      </c>
      <c r="D475">
        <f t="shared" si="10"/>
        <v>-0.95450951013443208</v>
      </c>
      <c r="E475">
        <v>3.3081285444234387E-2</v>
      </c>
    </row>
    <row r="476" spans="2:5" x14ac:dyDescent="0.35">
      <c r="B476" s="2">
        <v>42831</v>
      </c>
      <c r="C476" s="4">
        <v>720.81</v>
      </c>
      <c r="D476">
        <f t="shared" si="10"/>
        <v>10.695765049488884</v>
      </c>
      <c r="E476">
        <v>3.3078698063720768E-2</v>
      </c>
    </row>
    <row r="477" spans="2:5" x14ac:dyDescent="0.35">
      <c r="B477" s="2">
        <v>39545</v>
      </c>
      <c r="C477" s="4">
        <v>61.63</v>
      </c>
      <c r="D477">
        <f t="shared" si="10"/>
        <v>-0.94685419612983335</v>
      </c>
      <c r="E477">
        <v>3.3020449212202596E-2</v>
      </c>
    </row>
    <row r="478" spans="2:5" x14ac:dyDescent="0.35">
      <c r="B478" s="2">
        <v>44077</v>
      </c>
      <c r="C478" s="4">
        <v>1159.6400000000001</v>
      </c>
      <c r="D478">
        <f t="shared" si="10"/>
        <v>2.9599781450621507</v>
      </c>
      <c r="E478">
        <v>3.2985631697562079E-2</v>
      </c>
    </row>
    <row r="479" spans="2:5" x14ac:dyDescent="0.35">
      <c r="B479" s="2">
        <v>41702</v>
      </c>
      <c r="C479" s="4">
        <v>292.83999999999997</v>
      </c>
      <c r="D479">
        <f t="shared" si="10"/>
        <v>-0.76525287181254864</v>
      </c>
      <c r="E479">
        <v>3.2981763025150768E-2</v>
      </c>
    </row>
    <row r="480" spans="2:5" x14ac:dyDescent="0.35">
      <c r="B480" s="2">
        <v>44084</v>
      </c>
      <c r="C480" s="4">
        <v>1247.47</v>
      </c>
      <c r="D480">
        <f t="shared" si="10"/>
        <v>53.35599128540305</v>
      </c>
      <c r="E480">
        <v>3.2947469528351814E-2</v>
      </c>
    </row>
    <row r="481" spans="2:5" x14ac:dyDescent="0.35">
      <c r="B481" s="2">
        <v>37700</v>
      </c>
      <c r="C481" s="4">
        <v>22.95</v>
      </c>
      <c r="D481">
        <f t="shared" si="10"/>
        <v>-0.77047704770477043</v>
      </c>
      <c r="E481">
        <v>3.2853285328532822E-2</v>
      </c>
    </row>
    <row r="482" spans="2:5" x14ac:dyDescent="0.35">
      <c r="B482" s="2">
        <v>39097</v>
      </c>
      <c r="C482" s="4">
        <v>99.99</v>
      </c>
      <c r="D482">
        <f t="shared" si="10"/>
        <v>-0.6032772575781622</v>
      </c>
      <c r="E482">
        <v>3.2847846296869987E-2</v>
      </c>
    </row>
    <row r="483" spans="2:5" x14ac:dyDescent="0.35">
      <c r="B483" s="2">
        <v>41757</v>
      </c>
      <c r="C483" s="4">
        <v>252.04</v>
      </c>
      <c r="D483">
        <f t="shared" si="10"/>
        <v>-0.64649283981093175</v>
      </c>
      <c r="E483">
        <v>3.2823833135270153E-2</v>
      </c>
    </row>
    <row r="484" spans="2:5" x14ac:dyDescent="0.35">
      <c r="B484" s="2">
        <v>42892</v>
      </c>
      <c r="C484" s="4">
        <v>712.97</v>
      </c>
      <c r="D484">
        <f t="shared" si="10"/>
        <v>7.3505504802061381</v>
      </c>
      <c r="E484">
        <v>3.2810870321010599E-2</v>
      </c>
    </row>
    <row r="485" spans="2:5" x14ac:dyDescent="0.35">
      <c r="B485" s="2">
        <v>41365</v>
      </c>
      <c r="C485" s="4">
        <v>85.38</v>
      </c>
      <c r="D485">
        <f t="shared" si="10"/>
        <v>0.12430866473531732</v>
      </c>
      <c r="E485">
        <v>3.2780936252570392E-2</v>
      </c>
    </row>
    <row r="486" spans="2:5" x14ac:dyDescent="0.35">
      <c r="B486" s="2">
        <v>39608</v>
      </c>
      <c r="C486" s="4">
        <v>75.94</v>
      </c>
      <c r="D486">
        <f t="shared" si="10"/>
        <v>1.9029051987767582</v>
      </c>
      <c r="E486">
        <v>3.2775737794097592E-2</v>
      </c>
    </row>
    <row r="487" spans="2:5" x14ac:dyDescent="0.35">
      <c r="B487" s="2">
        <v>38078</v>
      </c>
      <c r="C487" s="4">
        <v>26.16</v>
      </c>
      <c r="D487">
        <f t="shared" si="10"/>
        <v>-0.97737239536030307</v>
      </c>
      <c r="E487">
        <v>3.2767469403869098E-2</v>
      </c>
    </row>
    <row r="488" spans="2:5" x14ac:dyDescent="0.35">
      <c r="B488" s="2">
        <v>43220</v>
      </c>
      <c r="C488" s="4">
        <v>1156.1099999999999</v>
      </c>
      <c r="D488">
        <f t="shared" si="10"/>
        <v>12.567773735477056</v>
      </c>
      <c r="E488">
        <v>3.26652017793021E-2</v>
      </c>
    </row>
    <row r="489" spans="2:5" x14ac:dyDescent="0.35">
      <c r="B489" s="2">
        <v>40788</v>
      </c>
      <c r="C489" s="4">
        <v>85.21</v>
      </c>
      <c r="D489">
        <f t="shared" si="10"/>
        <v>2.0541218637992831</v>
      </c>
      <c r="E489">
        <v>3.2598158022297596E-2</v>
      </c>
    </row>
    <row r="490" spans="2:5" x14ac:dyDescent="0.35">
      <c r="B490" s="2">
        <v>37560</v>
      </c>
      <c r="C490" s="4">
        <v>27.9</v>
      </c>
      <c r="D490">
        <f t="shared" si="10"/>
        <v>-0.91596385542168679</v>
      </c>
      <c r="E490">
        <v>3.2568467801628476E-2</v>
      </c>
    </row>
    <row r="491" spans="2:5" x14ac:dyDescent="0.35">
      <c r="B491" s="2">
        <v>42018</v>
      </c>
      <c r="C491" s="4">
        <v>332</v>
      </c>
      <c r="D491">
        <f t="shared" si="10"/>
        <v>3.5182362547632007</v>
      </c>
      <c r="E491">
        <v>3.2530944828015107E-2</v>
      </c>
    </row>
    <row r="492" spans="2:5" x14ac:dyDescent="0.35">
      <c r="B492" s="2">
        <v>38947</v>
      </c>
      <c r="C492" s="4">
        <v>73.48</v>
      </c>
      <c r="D492">
        <f t="shared" si="10"/>
        <v>6.9577874818049557E-2</v>
      </c>
      <c r="E492">
        <v>3.231244731666183E-2</v>
      </c>
    </row>
    <row r="493" spans="2:5" x14ac:dyDescent="0.35">
      <c r="B493" s="2">
        <v>38621</v>
      </c>
      <c r="C493" s="4">
        <v>68.7</v>
      </c>
      <c r="D493">
        <f t="shared" si="10"/>
        <v>-0.9147007698038242</v>
      </c>
      <c r="E493">
        <v>3.2306536438768019E-2</v>
      </c>
    </row>
    <row r="494" spans="2:5" x14ac:dyDescent="0.35">
      <c r="B494" s="2">
        <v>42230</v>
      </c>
      <c r="C494" s="4">
        <v>805.4</v>
      </c>
      <c r="D494">
        <f t="shared" si="10"/>
        <v>19.99582898852972</v>
      </c>
      <c r="E494">
        <v>3.229941040758777E-2</v>
      </c>
    </row>
    <row r="495" spans="2:5" x14ac:dyDescent="0.35">
      <c r="B495" s="2">
        <v>38183</v>
      </c>
      <c r="C495" s="4">
        <v>38.36</v>
      </c>
      <c r="D495">
        <f t="shared" si="10"/>
        <v>-0.53598645215918717</v>
      </c>
      <c r="E495">
        <v>3.2292787944026013E-2</v>
      </c>
    </row>
    <row r="496" spans="2:5" x14ac:dyDescent="0.35">
      <c r="B496" s="2">
        <v>41361</v>
      </c>
      <c r="C496" s="4">
        <v>82.67</v>
      </c>
      <c r="D496">
        <f t="shared" si="10"/>
        <v>-0.98544075742579484</v>
      </c>
      <c r="E496">
        <v>3.2213759520539398E-2</v>
      </c>
    </row>
    <row r="497" spans="2:5" x14ac:dyDescent="0.35">
      <c r="B497" s="2">
        <v>44559</v>
      </c>
      <c r="C497" s="4">
        <v>5678.18</v>
      </c>
      <c r="D497">
        <f t="shared" si="10"/>
        <v>7.7029918459935018</v>
      </c>
      <c r="E497">
        <v>3.2193678332254727E-2</v>
      </c>
    </row>
    <row r="498" spans="2:5" x14ac:dyDescent="0.35">
      <c r="B498" s="2">
        <v>43754</v>
      </c>
      <c r="C498" s="4">
        <v>652.44000000000005</v>
      </c>
      <c r="D498">
        <f t="shared" si="10"/>
        <v>0.25522336373080945</v>
      </c>
      <c r="E498">
        <v>3.2178452776459476E-2</v>
      </c>
    </row>
    <row r="499" spans="2:5" x14ac:dyDescent="0.35">
      <c r="B499" s="2">
        <v>42137</v>
      </c>
      <c r="C499" s="4">
        <v>519.78</v>
      </c>
      <c r="D499">
        <f t="shared" si="10"/>
        <v>16.764183185235815</v>
      </c>
      <c r="E499">
        <v>3.2128673550436693E-2</v>
      </c>
    </row>
    <row r="500" spans="2:5" x14ac:dyDescent="0.35">
      <c r="B500" s="2">
        <v>37952</v>
      </c>
      <c r="C500" s="4">
        <v>29.26</v>
      </c>
      <c r="D500">
        <f t="shared" si="10"/>
        <v>-0.53415061295971977</v>
      </c>
      <c r="E500">
        <v>3.2098765432098775E-2</v>
      </c>
    </row>
    <row r="501" spans="2:5" x14ac:dyDescent="0.35">
      <c r="B501" s="2">
        <v>38931</v>
      </c>
      <c r="C501" s="4">
        <v>62.81</v>
      </c>
      <c r="D501">
        <f t="shared" si="10"/>
        <v>-0.3978525548844789</v>
      </c>
      <c r="E501">
        <v>3.2040749260598078E-2</v>
      </c>
    </row>
    <row r="502" spans="2:5" x14ac:dyDescent="0.35">
      <c r="B502" s="2">
        <v>39181</v>
      </c>
      <c r="C502" s="4">
        <v>104.31</v>
      </c>
      <c r="D502">
        <f t="shared" si="10"/>
        <v>0.1292627476453394</v>
      </c>
      <c r="E502">
        <v>3.1954887218045069E-2</v>
      </c>
    </row>
    <row r="503" spans="2:5" x14ac:dyDescent="0.35">
      <c r="B503" s="2">
        <v>41325</v>
      </c>
      <c r="C503" s="4">
        <v>92.37</v>
      </c>
      <c r="D503">
        <f t="shared" si="10"/>
        <v>-0.9005062473071952</v>
      </c>
      <c r="E503">
        <v>3.1951737236062927E-2</v>
      </c>
    </row>
    <row r="504" spans="2:5" x14ac:dyDescent="0.35">
      <c r="B504" s="2">
        <v>42338</v>
      </c>
      <c r="C504" s="4">
        <v>928.4</v>
      </c>
      <c r="D504">
        <f t="shared" si="10"/>
        <v>0.8137417703713834</v>
      </c>
      <c r="E504">
        <v>3.1945401596158662E-2</v>
      </c>
    </row>
    <row r="505" spans="2:5" x14ac:dyDescent="0.35">
      <c r="B505" s="2">
        <v>42123</v>
      </c>
      <c r="C505" s="4">
        <v>511.87</v>
      </c>
      <c r="D505">
        <f t="shared" si="10"/>
        <v>0.8223796639134151</v>
      </c>
      <c r="E505">
        <v>3.1850343701493866E-2</v>
      </c>
    </row>
    <row r="506" spans="2:5" x14ac:dyDescent="0.35">
      <c r="B506" s="2">
        <v>41970</v>
      </c>
      <c r="C506" s="4">
        <v>280.88</v>
      </c>
      <c r="D506">
        <f t="shared" si="10"/>
        <v>8.505245346869712</v>
      </c>
      <c r="E506">
        <v>3.1774602358299875E-2</v>
      </c>
    </row>
    <row r="507" spans="2:5" x14ac:dyDescent="0.35">
      <c r="B507" s="2">
        <v>37629</v>
      </c>
      <c r="C507" s="4">
        <v>29.55</v>
      </c>
      <c r="D507">
        <f t="shared" si="10"/>
        <v>-0.96145719204883395</v>
      </c>
      <c r="E507">
        <v>3.1773743016759726E-2</v>
      </c>
    </row>
    <row r="508" spans="2:5" x14ac:dyDescent="0.35">
      <c r="B508" s="2">
        <v>43958</v>
      </c>
      <c r="C508" s="4">
        <v>766.68</v>
      </c>
      <c r="D508">
        <f t="shared" si="10"/>
        <v>4.2867190732312777</v>
      </c>
      <c r="E508">
        <v>3.1745818137775883E-2</v>
      </c>
    </row>
    <row r="509" spans="2:5" x14ac:dyDescent="0.35">
      <c r="B509" s="2">
        <v>41618</v>
      </c>
      <c r="C509" s="4">
        <v>145.02000000000001</v>
      </c>
      <c r="D509">
        <f t="shared" si="10"/>
        <v>-0.84466081814968352</v>
      </c>
      <c r="E509">
        <v>3.1730221969265893E-2</v>
      </c>
    </row>
    <row r="510" spans="2:5" x14ac:dyDescent="0.35">
      <c r="B510" s="2">
        <v>43570</v>
      </c>
      <c r="C510" s="4">
        <v>933.57</v>
      </c>
      <c r="D510">
        <f t="shared" si="10"/>
        <v>-0.20444319460067484</v>
      </c>
      <c r="E510">
        <v>3.1728665207877427E-2</v>
      </c>
    </row>
    <row r="511" spans="2:5" x14ac:dyDescent="0.35">
      <c r="B511" s="2">
        <v>44081</v>
      </c>
      <c r="C511" s="4">
        <v>1173.48</v>
      </c>
      <c r="D511">
        <f t="shared" si="10"/>
        <v>39.036847492323439</v>
      </c>
      <c r="E511">
        <v>3.1685187790125191E-2</v>
      </c>
    </row>
    <row r="512" spans="2:5" x14ac:dyDescent="0.35">
      <c r="B512" s="2">
        <v>37928</v>
      </c>
      <c r="C512" s="4">
        <v>29.31</v>
      </c>
      <c r="D512">
        <f t="shared" si="10"/>
        <v>-0.97454270675908072</v>
      </c>
      <c r="E512">
        <v>3.1678986272439147E-2</v>
      </c>
    </row>
    <row r="513" spans="2:5" x14ac:dyDescent="0.35">
      <c r="B513" s="2">
        <v>43245</v>
      </c>
      <c r="C513" s="4">
        <v>1151.3399999999999</v>
      </c>
      <c r="D513">
        <f t="shared" si="10"/>
        <v>21.408330089528995</v>
      </c>
      <c r="E513">
        <v>3.1592717367930678E-2</v>
      </c>
    </row>
    <row r="514" spans="2:5" x14ac:dyDescent="0.35">
      <c r="B514" s="2">
        <v>38342</v>
      </c>
      <c r="C514" s="4">
        <v>51.38</v>
      </c>
      <c r="D514">
        <f t="shared" si="10"/>
        <v>0.25500732779677593</v>
      </c>
      <c r="E514">
        <v>3.1519775145553153E-2</v>
      </c>
    </row>
    <row r="515" spans="2:5" x14ac:dyDescent="0.35">
      <c r="B515" s="2">
        <v>39932</v>
      </c>
      <c r="C515" s="4">
        <v>40.94</v>
      </c>
      <c r="D515">
        <f t="shared" si="10"/>
        <v>-9.644670050761428E-2</v>
      </c>
      <c r="E515">
        <v>3.1494079113126627E-2</v>
      </c>
    </row>
    <row r="516" spans="2:5" x14ac:dyDescent="0.35">
      <c r="B516" s="2">
        <v>39945</v>
      </c>
      <c r="C516" s="4">
        <v>45.31</v>
      </c>
      <c r="D516">
        <f t="shared" ref="D516:D579" si="11">C516/C517-1</f>
        <v>-0.92574078930116688</v>
      </c>
      <c r="E516">
        <v>3.141361256544517E-2</v>
      </c>
    </row>
    <row r="517" spans="2:5" x14ac:dyDescent="0.35">
      <c r="B517" s="2">
        <v>42201</v>
      </c>
      <c r="C517" s="4">
        <v>610.16</v>
      </c>
      <c r="D517">
        <f t="shared" si="11"/>
        <v>-0.91273392973347922</v>
      </c>
      <c r="E517">
        <v>3.1372549019607732E-2</v>
      </c>
    </row>
    <row r="518" spans="2:5" x14ac:dyDescent="0.35">
      <c r="B518" s="2">
        <v>45055</v>
      </c>
      <c r="C518" s="4">
        <v>6991.95</v>
      </c>
      <c r="D518">
        <f t="shared" si="11"/>
        <v>252.14808110065169</v>
      </c>
      <c r="E518">
        <v>3.1367545321788315E-2</v>
      </c>
    </row>
    <row r="519" spans="2:5" x14ac:dyDescent="0.35">
      <c r="B519" s="2">
        <v>37578</v>
      </c>
      <c r="C519" s="4">
        <v>27.62</v>
      </c>
      <c r="D519">
        <f t="shared" si="11"/>
        <v>-0.96425937188628219</v>
      </c>
      <c r="E519">
        <v>3.1366691560866355E-2</v>
      </c>
    </row>
    <row r="520" spans="2:5" x14ac:dyDescent="0.35">
      <c r="B520" s="2">
        <v>42920</v>
      </c>
      <c r="C520" s="4">
        <v>772.79</v>
      </c>
      <c r="D520">
        <f t="shared" si="11"/>
        <v>12.428149435273674</v>
      </c>
      <c r="E520">
        <v>3.1363023662400513E-2</v>
      </c>
    </row>
    <row r="521" spans="2:5" x14ac:dyDescent="0.35">
      <c r="B521" s="2">
        <v>39974</v>
      </c>
      <c r="C521" s="4">
        <v>57.55</v>
      </c>
      <c r="D521">
        <f t="shared" si="11"/>
        <v>-0.49093321539141976</v>
      </c>
      <c r="E521">
        <v>3.1362007168458828E-2</v>
      </c>
    </row>
    <row r="522" spans="2:5" x14ac:dyDescent="0.35">
      <c r="B522" s="2">
        <v>40513</v>
      </c>
      <c r="C522" s="4">
        <v>113.05</v>
      </c>
      <c r="D522">
        <f t="shared" si="11"/>
        <v>-0.87741005009867923</v>
      </c>
      <c r="E522">
        <v>3.1289910600255322E-2</v>
      </c>
    </row>
    <row r="523" spans="2:5" x14ac:dyDescent="0.35">
      <c r="B523" s="2">
        <v>43539</v>
      </c>
      <c r="C523" s="4">
        <v>922.18</v>
      </c>
      <c r="D523">
        <f t="shared" si="11"/>
        <v>0.148690225582641</v>
      </c>
      <c r="E523">
        <v>3.125594086532546E-2</v>
      </c>
    </row>
    <row r="524" spans="2:5" x14ac:dyDescent="0.35">
      <c r="B524" s="2">
        <v>42552</v>
      </c>
      <c r="C524" s="4">
        <v>802.81</v>
      </c>
      <c r="D524">
        <f t="shared" si="11"/>
        <v>-0.90721297985016491</v>
      </c>
      <c r="E524">
        <v>3.1200226069978854E-2</v>
      </c>
    </row>
    <row r="525" spans="2:5" x14ac:dyDescent="0.35">
      <c r="B525" s="2">
        <v>44718</v>
      </c>
      <c r="C525" s="4">
        <v>8652.18</v>
      </c>
      <c r="D525">
        <f t="shared" si="11"/>
        <v>89.136264194186907</v>
      </c>
      <c r="E525">
        <v>3.1180278789496807E-2</v>
      </c>
    </row>
    <row r="526" spans="2:5" x14ac:dyDescent="0.35">
      <c r="B526" s="2">
        <v>40942</v>
      </c>
      <c r="C526" s="4">
        <v>95.99</v>
      </c>
      <c r="D526">
        <f t="shared" si="11"/>
        <v>1.9256324291374578</v>
      </c>
      <c r="E526">
        <v>3.1152647975077885E-2</v>
      </c>
    </row>
    <row r="527" spans="2:5" x14ac:dyDescent="0.35">
      <c r="B527" s="2">
        <v>38133</v>
      </c>
      <c r="C527" s="4">
        <v>32.81</v>
      </c>
      <c r="D527">
        <f t="shared" si="11"/>
        <v>-0.52661953542057427</v>
      </c>
      <c r="E527">
        <v>3.111250785669406E-2</v>
      </c>
    </row>
    <row r="528" spans="2:5" x14ac:dyDescent="0.35">
      <c r="B528" s="2">
        <v>38541</v>
      </c>
      <c r="C528" s="4">
        <v>69.31</v>
      </c>
      <c r="D528">
        <f t="shared" si="11"/>
        <v>1.6423942051086544</v>
      </c>
      <c r="E528">
        <v>3.1091936923534735E-2</v>
      </c>
    </row>
    <row r="529" spans="2:5" x14ac:dyDescent="0.35">
      <c r="B529" s="2">
        <v>37840</v>
      </c>
      <c r="C529" s="4">
        <v>26.23</v>
      </c>
      <c r="D529">
        <f t="shared" si="11"/>
        <v>-0.97542465779093623</v>
      </c>
      <c r="E529">
        <v>3.1053459119496862E-2</v>
      </c>
    </row>
    <row r="530" spans="2:5" x14ac:dyDescent="0.35">
      <c r="B530" s="2">
        <v>43210</v>
      </c>
      <c r="C530" s="4">
        <v>1067.33</v>
      </c>
      <c r="D530">
        <f t="shared" si="11"/>
        <v>42.88692434210526</v>
      </c>
      <c r="E530">
        <v>3.0987684134267113E-2</v>
      </c>
    </row>
    <row r="531" spans="2:5" x14ac:dyDescent="0.35">
      <c r="B531" s="2">
        <v>37784</v>
      </c>
      <c r="C531" s="4">
        <v>24.32</v>
      </c>
      <c r="D531">
        <f t="shared" si="11"/>
        <v>-0.97350445042434275</v>
      </c>
      <c r="E531">
        <v>3.0945315811784724E-2</v>
      </c>
    </row>
    <row r="532" spans="2:5" x14ac:dyDescent="0.35">
      <c r="B532" s="2">
        <v>42486</v>
      </c>
      <c r="C532" s="4">
        <v>917.89</v>
      </c>
      <c r="D532">
        <f t="shared" si="11"/>
        <v>-0.87210405679371872</v>
      </c>
      <c r="E532">
        <v>3.086218708235533E-2</v>
      </c>
    </row>
    <row r="533" spans="2:5" x14ac:dyDescent="0.35">
      <c r="B533" s="2">
        <v>44636</v>
      </c>
      <c r="C533" s="4">
        <v>7176.85</v>
      </c>
      <c r="D533">
        <f t="shared" si="11"/>
        <v>91.892182241781001</v>
      </c>
      <c r="E533">
        <v>3.0861865644736808E-2</v>
      </c>
    </row>
    <row r="534" spans="2:5" x14ac:dyDescent="0.35">
      <c r="B534" s="2">
        <v>39612</v>
      </c>
      <c r="C534" s="4">
        <v>77.260000000000005</v>
      </c>
      <c r="D534">
        <f t="shared" si="11"/>
        <v>0.17273831208257451</v>
      </c>
      <c r="E534">
        <v>3.0820547031354284E-2</v>
      </c>
    </row>
    <row r="535" spans="2:5" x14ac:dyDescent="0.35">
      <c r="B535" s="2">
        <v>38448</v>
      </c>
      <c r="C535" s="4">
        <v>65.88</v>
      </c>
      <c r="D535">
        <f t="shared" si="11"/>
        <v>2.4412999533509394E-2</v>
      </c>
      <c r="E535">
        <v>3.0663329161451758E-2</v>
      </c>
    </row>
    <row r="536" spans="2:5" x14ac:dyDescent="0.35">
      <c r="B536" s="2">
        <v>40043</v>
      </c>
      <c r="C536" s="4">
        <v>64.31</v>
      </c>
      <c r="D536">
        <f t="shared" si="11"/>
        <v>-0.39756440281030447</v>
      </c>
      <c r="E536">
        <v>3.0608974358974361E-2</v>
      </c>
    </row>
    <row r="537" spans="2:5" x14ac:dyDescent="0.35">
      <c r="B537" s="2">
        <v>40343</v>
      </c>
      <c r="C537" s="4">
        <v>106.75</v>
      </c>
      <c r="D537">
        <f t="shared" si="11"/>
        <v>-0.88652911976359794</v>
      </c>
      <c r="E537">
        <v>3.0604363776790988E-2</v>
      </c>
    </row>
    <row r="538" spans="2:5" x14ac:dyDescent="0.35">
      <c r="B538" s="2">
        <v>43186</v>
      </c>
      <c r="C538" s="4">
        <v>940.77</v>
      </c>
      <c r="D538">
        <f t="shared" si="11"/>
        <v>7.8860867101161798</v>
      </c>
      <c r="E538">
        <v>3.0585528838253717E-2</v>
      </c>
    </row>
    <row r="539" spans="2:5" x14ac:dyDescent="0.35">
      <c r="B539" s="2">
        <v>41277</v>
      </c>
      <c r="C539" s="4">
        <v>105.87</v>
      </c>
      <c r="D539">
        <f t="shared" si="11"/>
        <v>-0.92902538111902178</v>
      </c>
      <c r="E539">
        <v>3.0565560206366138E-2</v>
      </c>
    </row>
    <row r="540" spans="2:5" x14ac:dyDescent="0.35">
      <c r="B540" s="2">
        <v>44120</v>
      </c>
      <c r="C540" s="4">
        <v>1491.66</v>
      </c>
      <c r="D540">
        <f t="shared" si="11"/>
        <v>15.799864849645228</v>
      </c>
      <c r="E540">
        <v>3.0529130137412208E-2</v>
      </c>
    </row>
    <row r="541" spans="2:5" x14ac:dyDescent="0.35">
      <c r="B541" s="2">
        <v>39048</v>
      </c>
      <c r="C541" s="4">
        <v>88.79</v>
      </c>
      <c r="D541">
        <f t="shared" si="11"/>
        <v>-0.2402019510525415</v>
      </c>
      <c r="E541">
        <v>3.052460538532964E-2</v>
      </c>
    </row>
    <row r="542" spans="2:5" x14ac:dyDescent="0.35">
      <c r="B542" s="2">
        <v>40483</v>
      </c>
      <c r="C542" s="4">
        <v>116.86</v>
      </c>
      <c r="D542">
        <f t="shared" si="11"/>
        <v>3.5506230529595015</v>
      </c>
      <c r="E542">
        <v>3.0511463844797193E-2</v>
      </c>
    </row>
    <row r="543" spans="2:5" x14ac:dyDescent="0.35">
      <c r="B543" s="2">
        <v>37859</v>
      </c>
      <c r="C543" s="4">
        <v>25.68</v>
      </c>
      <c r="D543">
        <f t="shared" si="11"/>
        <v>-0.69898018989567468</v>
      </c>
      <c r="E543">
        <v>3.0497592295344989E-2</v>
      </c>
    </row>
    <row r="544" spans="2:5" x14ac:dyDescent="0.35">
      <c r="B544" s="2">
        <v>40826</v>
      </c>
      <c r="C544" s="4">
        <v>85.31</v>
      </c>
      <c r="D544">
        <f t="shared" si="11"/>
        <v>-8.1404113276623224E-2</v>
      </c>
      <c r="E544">
        <v>3.0438458751056885E-2</v>
      </c>
    </row>
    <row r="545" spans="2:5" x14ac:dyDescent="0.35">
      <c r="B545" s="2">
        <v>39073</v>
      </c>
      <c r="C545" s="4">
        <v>92.87</v>
      </c>
      <c r="D545">
        <f t="shared" si="11"/>
        <v>2.0721137942441286</v>
      </c>
      <c r="E545">
        <v>3.0400532564074156E-2</v>
      </c>
    </row>
    <row r="546" spans="2:5" x14ac:dyDescent="0.35">
      <c r="B546" s="2">
        <v>38026</v>
      </c>
      <c r="C546" s="4">
        <v>30.23</v>
      </c>
      <c r="D546">
        <f t="shared" si="11"/>
        <v>-0.99591159966946574</v>
      </c>
      <c r="E546">
        <v>3.0334014996591607E-2</v>
      </c>
    </row>
    <row r="547" spans="2:5" x14ac:dyDescent="0.35">
      <c r="B547" s="2">
        <v>44637</v>
      </c>
      <c r="C547" s="4">
        <v>7394.09</v>
      </c>
      <c r="D547">
        <f t="shared" si="11"/>
        <v>6.3330060595241635</v>
      </c>
      <c r="E547">
        <v>3.0269547224757387E-2</v>
      </c>
    </row>
    <row r="548" spans="2:5" x14ac:dyDescent="0.35">
      <c r="B548" s="2">
        <v>44053</v>
      </c>
      <c r="C548" s="4">
        <v>1008.33</v>
      </c>
      <c r="D548">
        <f t="shared" si="11"/>
        <v>8.3355244884732898</v>
      </c>
      <c r="E548">
        <v>3.0253800882785731E-2</v>
      </c>
    </row>
    <row r="549" spans="2:5" x14ac:dyDescent="0.35">
      <c r="B549" s="2">
        <v>40239</v>
      </c>
      <c r="C549" s="4">
        <v>108.01</v>
      </c>
      <c r="D549">
        <f t="shared" si="11"/>
        <v>-0.96174294346626432</v>
      </c>
      <c r="E549">
        <v>3.0236550934757744E-2</v>
      </c>
    </row>
    <row r="550" spans="2:5" x14ac:dyDescent="0.35">
      <c r="B550" s="2">
        <v>44291</v>
      </c>
      <c r="C550" s="4">
        <v>2823.27</v>
      </c>
      <c r="D550">
        <f t="shared" si="11"/>
        <v>49.778237410071938</v>
      </c>
      <c r="E550">
        <v>3.0232592084425081E-2</v>
      </c>
    </row>
    <row r="551" spans="2:5" x14ac:dyDescent="0.35">
      <c r="B551" s="2">
        <v>38387</v>
      </c>
      <c r="C551" s="4">
        <v>55.6</v>
      </c>
      <c r="D551">
        <f t="shared" si="11"/>
        <v>1.5067628494138865</v>
      </c>
      <c r="E551">
        <v>3.0201964054104247E-2</v>
      </c>
    </row>
    <row r="552" spans="2:5" x14ac:dyDescent="0.35">
      <c r="B552" s="2">
        <v>37757</v>
      </c>
      <c r="C552" s="4">
        <v>22.18</v>
      </c>
      <c r="D552">
        <f t="shared" si="11"/>
        <v>-0.78970323314686641</v>
      </c>
      <c r="E552">
        <v>3.0190431955410935E-2</v>
      </c>
    </row>
    <row r="553" spans="2:5" x14ac:dyDescent="0.35">
      <c r="B553" s="2">
        <v>40400</v>
      </c>
      <c r="C553" s="4">
        <v>105.47</v>
      </c>
      <c r="D553">
        <f t="shared" si="11"/>
        <v>0.22825200885058794</v>
      </c>
      <c r="E553">
        <v>3.0181676108615108E-2</v>
      </c>
    </row>
    <row r="554" spans="2:5" x14ac:dyDescent="0.35">
      <c r="B554" s="2">
        <v>41465</v>
      </c>
      <c r="C554" s="4">
        <v>85.87</v>
      </c>
      <c r="D554">
        <f t="shared" si="11"/>
        <v>0.43427426089861387</v>
      </c>
      <c r="E554">
        <v>3.0110364683301416E-2</v>
      </c>
    </row>
    <row r="555" spans="2:5" x14ac:dyDescent="0.35">
      <c r="B555" s="2">
        <v>38497</v>
      </c>
      <c r="C555" s="4">
        <v>59.87</v>
      </c>
      <c r="D555">
        <f t="shared" si="11"/>
        <v>0.10747317795042544</v>
      </c>
      <c r="E555">
        <v>3.0110116999311876E-2</v>
      </c>
    </row>
    <row r="556" spans="2:5" x14ac:dyDescent="0.35">
      <c r="B556" s="2">
        <v>38268</v>
      </c>
      <c r="C556" s="4">
        <v>54.06</v>
      </c>
      <c r="D556">
        <f t="shared" si="11"/>
        <v>-0.36302580417108521</v>
      </c>
      <c r="E556">
        <v>3.0106707317073322E-2</v>
      </c>
    </row>
    <row r="557" spans="2:5" x14ac:dyDescent="0.35">
      <c r="B557" s="2">
        <v>41001</v>
      </c>
      <c r="C557" s="4">
        <v>84.87</v>
      </c>
      <c r="D557">
        <f t="shared" si="11"/>
        <v>1.9144917582417582</v>
      </c>
      <c r="E557">
        <v>3.010074038111421E-2</v>
      </c>
    </row>
    <row r="558" spans="2:5" x14ac:dyDescent="0.35">
      <c r="B558" s="2">
        <v>38097</v>
      </c>
      <c r="C558" s="4">
        <v>29.12</v>
      </c>
      <c r="D558">
        <f t="shared" si="11"/>
        <v>-0.7729080558371676</v>
      </c>
      <c r="E558">
        <v>3.0067209055536059E-2</v>
      </c>
    </row>
    <row r="559" spans="2:5" x14ac:dyDescent="0.35">
      <c r="B559" s="2">
        <v>40486</v>
      </c>
      <c r="C559" s="4">
        <v>128.22999999999999</v>
      </c>
      <c r="D559">
        <f t="shared" si="11"/>
        <v>0.27999600718706308</v>
      </c>
      <c r="E559">
        <v>3.0042573700698849E-2</v>
      </c>
    </row>
    <row r="560" spans="2:5" x14ac:dyDescent="0.35">
      <c r="B560" s="2">
        <v>41183</v>
      </c>
      <c r="C560" s="4">
        <v>100.18</v>
      </c>
      <c r="D560">
        <f t="shared" si="11"/>
        <v>-0.88321967709972604</v>
      </c>
      <c r="E560">
        <v>3.0022619782027471E-2</v>
      </c>
    </row>
    <row r="561" spans="2:5" x14ac:dyDescent="0.35">
      <c r="B561" s="2">
        <v>43525</v>
      </c>
      <c r="C561" s="4">
        <v>857.85</v>
      </c>
      <c r="D561">
        <f t="shared" si="11"/>
        <v>15.219512195121951</v>
      </c>
      <c r="E561">
        <v>3.000504286434702E-2</v>
      </c>
    </row>
    <row r="562" spans="2:5" x14ac:dyDescent="0.35">
      <c r="B562" s="2">
        <v>38315</v>
      </c>
      <c r="C562" s="4">
        <v>52.89</v>
      </c>
      <c r="D562">
        <f t="shared" si="11"/>
        <v>-5.668934240362633E-4</v>
      </c>
      <c r="E562">
        <v>2.9990262901655296E-2</v>
      </c>
    </row>
    <row r="563" spans="2:5" x14ac:dyDescent="0.35">
      <c r="B563" s="2">
        <v>38343</v>
      </c>
      <c r="C563" s="4">
        <v>52.92</v>
      </c>
      <c r="D563">
        <f t="shared" si="11"/>
        <v>-0.9925952355965999</v>
      </c>
      <c r="E563">
        <v>2.9972752043596618E-2</v>
      </c>
    </row>
    <row r="564" spans="2:5" x14ac:dyDescent="0.35">
      <c r="B564" s="2">
        <v>44589</v>
      </c>
      <c r="C564" s="4">
        <v>7146.75</v>
      </c>
      <c r="D564">
        <f t="shared" si="11"/>
        <v>11.264677112114088</v>
      </c>
      <c r="E564">
        <v>2.9967674572441094E-2</v>
      </c>
    </row>
    <row r="565" spans="2:5" x14ac:dyDescent="0.35">
      <c r="B565" s="2">
        <v>42075</v>
      </c>
      <c r="C565" s="4">
        <v>582.71</v>
      </c>
      <c r="D565">
        <f t="shared" si="11"/>
        <v>6.626096060725037</v>
      </c>
      <c r="E565">
        <v>2.9923291738838564E-2</v>
      </c>
    </row>
    <row r="566" spans="2:5" x14ac:dyDescent="0.35">
      <c r="B566" s="2">
        <v>41493</v>
      </c>
      <c r="C566" s="4">
        <v>76.41</v>
      </c>
      <c r="D566">
        <f t="shared" si="11"/>
        <v>-0.98790230649390132</v>
      </c>
      <c r="E566">
        <v>2.9923170238576713E-2</v>
      </c>
    </row>
    <row r="567" spans="2:5" x14ac:dyDescent="0.35">
      <c r="B567" s="2">
        <v>44476</v>
      </c>
      <c r="C567" s="4">
        <v>6316.08</v>
      </c>
      <c r="D567">
        <f t="shared" si="11"/>
        <v>175.27909572983535</v>
      </c>
      <c r="E567">
        <v>2.9900321391358675E-2</v>
      </c>
    </row>
    <row r="568" spans="2:5" x14ac:dyDescent="0.35">
      <c r="B568" s="2">
        <v>39798</v>
      </c>
      <c r="C568" s="4">
        <v>35.83</v>
      </c>
      <c r="D568">
        <f t="shared" si="11"/>
        <v>-0.94226461915274173</v>
      </c>
      <c r="E568">
        <v>2.9893647599884998E-2</v>
      </c>
    </row>
    <row r="569" spans="2:5" x14ac:dyDescent="0.35">
      <c r="B569" s="2">
        <v>43917</v>
      </c>
      <c r="C569" s="4">
        <v>620.59</v>
      </c>
      <c r="D569">
        <f t="shared" si="11"/>
        <v>10.439447004608295</v>
      </c>
      <c r="E569">
        <v>2.9888147631849771E-2</v>
      </c>
    </row>
    <row r="570" spans="2:5" x14ac:dyDescent="0.35">
      <c r="B570" s="2">
        <v>40011</v>
      </c>
      <c r="C570" s="4">
        <v>54.25</v>
      </c>
      <c r="D570">
        <f t="shared" si="11"/>
        <v>-0.99328589108910892</v>
      </c>
      <c r="E570">
        <v>2.9802581624905011E-2</v>
      </c>
    </row>
    <row r="571" spans="2:5" x14ac:dyDescent="0.35">
      <c r="B571" s="2">
        <v>44697</v>
      </c>
      <c r="C571" s="4">
        <v>8080</v>
      </c>
      <c r="D571">
        <f t="shared" si="11"/>
        <v>133.06338145014104</v>
      </c>
      <c r="E571">
        <v>2.9734868759781152E-2</v>
      </c>
    </row>
    <row r="572" spans="2:5" x14ac:dyDescent="0.35">
      <c r="B572" s="2">
        <v>38484</v>
      </c>
      <c r="C572" s="4">
        <v>60.27</v>
      </c>
      <c r="D572">
        <f t="shared" si="11"/>
        <v>0.80882352941176472</v>
      </c>
      <c r="E572">
        <v>2.9728344438749499E-2</v>
      </c>
    </row>
    <row r="573" spans="2:5" x14ac:dyDescent="0.35">
      <c r="B573" s="2">
        <v>37963</v>
      </c>
      <c r="C573" s="4">
        <v>33.32</v>
      </c>
      <c r="D573">
        <f t="shared" si="11"/>
        <v>-0.97959308663751399</v>
      </c>
      <c r="E573">
        <v>2.9666254635352329E-2</v>
      </c>
    </row>
    <row r="574" spans="2:5" x14ac:dyDescent="0.35">
      <c r="B574" s="2">
        <v>44127</v>
      </c>
      <c r="C574" s="4">
        <v>1632.78</v>
      </c>
      <c r="D574">
        <f t="shared" si="11"/>
        <v>-0.73158839542866161</v>
      </c>
      <c r="E574">
        <v>2.9547518159806163E-2</v>
      </c>
    </row>
    <row r="575" spans="2:5" x14ac:dyDescent="0.35">
      <c r="B575" s="2">
        <v>44573</v>
      </c>
      <c r="C575" s="4">
        <v>6083.12</v>
      </c>
      <c r="D575">
        <f t="shared" si="11"/>
        <v>50.291062394603713</v>
      </c>
      <c r="E575">
        <v>2.9526153137936495E-2</v>
      </c>
    </row>
    <row r="576" spans="2:5" x14ac:dyDescent="0.35">
      <c r="B576" s="2">
        <v>40463</v>
      </c>
      <c r="C576" s="4">
        <v>118.6</v>
      </c>
      <c r="D576">
        <f t="shared" si="11"/>
        <v>-0.95672196232694262</v>
      </c>
      <c r="E576">
        <v>2.951388888888884E-2</v>
      </c>
    </row>
    <row r="577" spans="2:5" x14ac:dyDescent="0.35">
      <c r="B577" s="2">
        <v>44287</v>
      </c>
      <c r="C577" s="4">
        <v>2740.42</v>
      </c>
      <c r="D577">
        <f t="shared" si="11"/>
        <v>50.098638821555099</v>
      </c>
      <c r="E577">
        <v>2.9373981113506975E-2</v>
      </c>
    </row>
    <row r="578" spans="2:5" x14ac:dyDescent="0.35">
      <c r="B578" s="2">
        <v>38265</v>
      </c>
      <c r="C578" s="4">
        <v>53.63</v>
      </c>
      <c r="D578">
        <f t="shared" si="11"/>
        <v>-0.33888067061143989</v>
      </c>
      <c r="E578">
        <v>2.9366602687140198E-2</v>
      </c>
    </row>
    <row r="579" spans="2:5" x14ac:dyDescent="0.35">
      <c r="B579" s="2">
        <v>38973</v>
      </c>
      <c r="C579" s="4">
        <v>81.12</v>
      </c>
      <c r="D579">
        <f t="shared" si="11"/>
        <v>-0.99033703635761539</v>
      </c>
      <c r="E579">
        <v>2.9311001141987036E-2</v>
      </c>
    </row>
    <row r="580" spans="2:5" x14ac:dyDescent="0.35">
      <c r="B580" s="2">
        <v>44699</v>
      </c>
      <c r="C580" s="4">
        <v>8394.94</v>
      </c>
      <c r="D580">
        <f t="shared" ref="D580:D643" si="12">C580/C581-1</f>
        <v>147.21574858757063</v>
      </c>
      <c r="E580">
        <v>2.9294961629522387E-2</v>
      </c>
    </row>
    <row r="581" spans="2:5" x14ac:dyDescent="0.35">
      <c r="B581" s="2">
        <v>39962</v>
      </c>
      <c r="C581" s="4">
        <v>56.64</v>
      </c>
      <c r="D581">
        <f t="shared" si="12"/>
        <v>-0.91814319160620861</v>
      </c>
      <c r="E581">
        <v>2.9256769035071795E-2</v>
      </c>
    </row>
    <row r="582" spans="2:5" x14ac:dyDescent="0.35">
      <c r="B582" s="2">
        <v>42774</v>
      </c>
      <c r="C582" s="4">
        <v>691.94</v>
      </c>
      <c r="D582">
        <f t="shared" si="12"/>
        <v>0.38004347912802428</v>
      </c>
      <c r="E582">
        <v>2.9243767477836746E-2</v>
      </c>
    </row>
    <row r="583" spans="2:5" x14ac:dyDescent="0.35">
      <c r="B583" s="2">
        <v>42132</v>
      </c>
      <c r="C583" s="4">
        <v>501.39</v>
      </c>
      <c r="D583">
        <f t="shared" si="12"/>
        <v>3.3659874608150471</v>
      </c>
      <c r="E583">
        <v>2.9146739465095717E-2</v>
      </c>
    </row>
    <row r="584" spans="2:5" x14ac:dyDescent="0.35">
      <c r="B584" s="2">
        <v>40368</v>
      </c>
      <c r="C584" s="4">
        <v>114.84</v>
      </c>
      <c r="D584">
        <f t="shared" si="12"/>
        <v>0.26420079260237772</v>
      </c>
      <c r="E584">
        <v>2.9124473519132499E-2</v>
      </c>
    </row>
    <row r="585" spans="2:5" x14ac:dyDescent="0.35">
      <c r="B585" s="2">
        <v>40807</v>
      </c>
      <c r="C585" s="4">
        <v>90.84</v>
      </c>
      <c r="D585">
        <f t="shared" si="12"/>
        <v>2.7601809954751033E-2</v>
      </c>
      <c r="E585">
        <v>2.911521468222511E-2</v>
      </c>
    </row>
    <row r="586" spans="2:5" x14ac:dyDescent="0.35">
      <c r="B586" s="2">
        <v>40967</v>
      </c>
      <c r="C586" s="4">
        <v>88.4</v>
      </c>
      <c r="D586">
        <f t="shared" si="12"/>
        <v>-0.98614702333380344</v>
      </c>
      <c r="E586">
        <v>2.9103608847497187E-2</v>
      </c>
    </row>
    <row r="587" spans="2:5" x14ac:dyDescent="0.35">
      <c r="B587" s="2">
        <v>45027</v>
      </c>
      <c r="C587" s="4">
        <v>6381.3</v>
      </c>
      <c r="D587">
        <f t="shared" si="12"/>
        <v>5.360374368328201</v>
      </c>
      <c r="E587">
        <v>2.9059360436051618E-2</v>
      </c>
    </row>
    <row r="588" spans="2:5" x14ac:dyDescent="0.35">
      <c r="B588" s="2">
        <v>42353</v>
      </c>
      <c r="C588" s="4">
        <v>1003.29</v>
      </c>
      <c r="D588">
        <f t="shared" si="12"/>
        <v>-0.86801125592494999</v>
      </c>
      <c r="E588">
        <v>2.9057602363173896E-2</v>
      </c>
    </row>
    <row r="589" spans="2:5" x14ac:dyDescent="0.35">
      <c r="B589" s="2">
        <v>44599</v>
      </c>
      <c r="C589" s="4">
        <v>7601.33</v>
      </c>
      <c r="D589">
        <f t="shared" si="12"/>
        <v>107.69912769912769</v>
      </c>
      <c r="E589">
        <v>2.899080432696155E-2</v>
      </c>
    </row>
    <row r="590" spans="2:5" x14ac:dyDescent="0.35">
      <c r="B590" s="2">
        <v>40100</v>
      </c>
      <c r="C590" s="4">
        <v>69.930000000000007</v>
      </c>
      <c r="D590">
        <f t="shared" si="12"/>
        <v>-0.19305331179321472</v>
      </c>
      <c r="E590">
        <v>2.8987639788110808E-2</v>
      </c>
    </row>
    <row r="591" spans="2:5" x14ac:dyDescent="0.35">
      <c r="B591" s="2">
        <v>40828</v>
      </c>
      <c r="C591" s="4">
        <v>86.66</v>
      </c>
      <c r="D591">
        <f t="shared" si="12"/>
        <v>1.7098186366479049</v>
      </c>
      <c r="E591">
        <v>2.897174067917363E-2</v>
      </c>
    </row>
    <row r="592" spans="2:5" x14ac:dyDescent="0.35">
      <c r="B592" s="2">
        <v>38114</v>
      </c>
      <c r="C592" s="4">
        <v>31.98</v>
      </c>
      <c r="D592">
        <f t="shared" si="12"/>
        <v>-0.98939254227393647</v>
      </c>
      <c r="E592">
        <v>2.8957528957529011E-2</v>
      </c>
    </row>
    <row r="593" spans="2:5" x14ac:dyDescent="0.35">
      <c r="B593" s="2">
        <v>44305</v>
      </c>
      <c r="C593" s="4">
        <v>3014.86</v>
      </c>
      <c r="D593">
        <f t="shared" si="12"/>
        <v>104.93323963457485</v>
      </c>
      <c r="E593">
        <v>2.8948410260610791E-2</v>
      </c>
    </row>
    <row r="594" spans="2:5" x14ac:dyDescent="0.35">
      <c r="B594" s="2">
        <v>37942</v>
      </c>
      <c r="C594" s="4">
        <v>28.46</v>
      </c>
      <c r="D594">
        <f t="shared" si="12"/>
        <v>-0.99597739084467729</v>
      </c>
      <c r="E594">
        <v>2.8922631959508394E-2</v>
      </c>
    </row>
    <row r="595" spans="2:5" x14ac:dyDescent="0.35">
      <c r="B595" s="2">
        <v>44607</v>
      </c>
      <c r="C595" s="4">
        <v>7075.01</v>
      </c>
      <c r="D595">
        <f t="shared" si="12"/>
        <v>222.0457124842371</v>
      </c>
      <c r="E595">
        <v>2.8893319546909435E-2</v>
      </c>
    </row>
    <row r="596" spans="2:5" x14ac:dyDescent="0.35">
      <c r="B596" s="2">
        <v>37480</v>
      </c>
      <c r="C596" s="4">
        <v>31.72</v>
      </c>
      <c r="D596">
        <f t="shared" si="12"/>
        <v>-0.93671567942860567</v>
      </c>
      <c r="E596">
        <v>2.8867985728186829E-2</v>
      </c>
    </row>
    <row r="597" spans="2:5" x14ac:dyDescent="0.35">
      <c r="B597" s="2">
        <v>42164</v>
      </c>
      <c r="C597" s="4">
        <v>501.23</v>
      </c>
      <c r="D597">
        <f t="shared" si="12"/>
        <v>0.84962544743348456</v>
      </c>
      <c r="E597">
        <v>2.8818325499291975E-2</v>
      </c>
    </row>
    <row r="598" spans="2:5" x14ac:dyDescent="0.35">
      <c r="B598" s="2">
        <v>41835</v>
      </c>
      <c r="C598" s="4">
        <v>270.99</v>
      </c>
      <c r="D598">
        <f t="shared" si="12"/>
        <v>9.1609875991509604E-3</v>
      </c>
      <c r="E598">
        <v>2.8815489749430601E-2</v>
      </c>
    </row>
    <row r="599" spans="2:5" x14ac:dyDescent="0.35">
      <c r="B599" s="2">
        <v>41869</v>
      </c>
      <c r="C599" s="4">
        <v>268.52999999999997</v>
      </c>
      <c r="D599">
        <f t="shared" si="12"/>
        <v>3.0187069739598922</v>
      </c>
      <c r="E599">
        <v>2.8811156660664361E-2</v>
      </c>
    </row>
    <row r="600" spans="2:5" x14ac:dyDescent="0.35">
      <c r="B600" s="2">
        <v>39582</v>
      </c>
      <c r="C600" s="4">
        <v>66.819999999999993</v>
      </c>
      <c r="D600">
        <f t="shared" si="12"/>
        <v>1.2528658125421441</v>
      </c>
      <c r="E600">
        <v>2.8791377983063748E-2</v>
      </c>
    </row>
    <row r="601" spans="2:5" x14ac:dyDescent="0.35">
      <c r="B601" s="2">
        <v>37931</v>
      </c>
      <c r="C601" s="4">
        <v>29.66</v>
      </c>
      <c r="D601">
        <f t="shared" si="12"/>
        <v>-0.68929394510789854</v>
      </c>
      <c r="E601">
        <v>2.878945542837319E-2</v>
      </c>
    </row>
    <row r="602" spans="2:5" x14ac:dyDescent="0.35">
      <c r="B602" s="2">
        <v>40847</v>
      </c>
      <c r="C602" s="4">
        <v>95.46</v>
      </c>
      <c r="D602">
        <f t="shared" si="12"/>
        <v>-0.84966929133858271</v>
      </c>
      <c r="E602">
        <v>2.8774652440995752E-2</v>
      </c>
    </row>
    <row r="603" spans="2:5" x14ac:dyDescent="0.35">
      <c r="B603" s="2">
        <v>42887</v>
      </c>
      <c r="C603" s="4">
        <v>635</v>
      </c>
      <c r="D603">
        <f t="shared" si="12"/>
        <v>4.5361813426329558</v>
      </c>
      <c r="E603">
        <v>2.8756581611988574E-2</v>
      </c>
    </row>
    <row r="604" spans="2:5" x14ac:dyDescent="0.35">
      <c r="B604" s="2">
        <v>39206</v>
      </c>
      <c r="C604" s="4">
        <v>114.7</v>
      </c>
      <c r="D604">
        <f t="shared" si="12"/>
        <v>0.49290641676428493</v>
      </c>
      <c r="E604">
        <v>2.8699551569506765E-2</v>
      </c>
    </row>
    <row r="605" spans="2:5" x14ac:dyDescent="0.35">
      <c r="B605" s="2">
        <v>38952</v>
      </c>
      <c r="C605" s="4">
        <v>76.83</v>
      </c>
      <c r="D605">
        <f t="shared" si="12"/>
        <v>-0.98805438728786543</v>
      </c>
      <c r="E605">
        <v>2.8651760610523436E-2</v>
      </c>
    </row>
    <row r="606" spans="2:5" x14ac:dyDescent="0.35">
      <c r="B606" s="2">
        <v>44922</v>
      </c>
      <c r="C606" s="4">
        <v>6431.65</v>
      </c>
      <c r="D606">
        <f t="shared" si="12"/>
        <v>222.24366539396044</v>
      </c>
      <c r="E606">
        <v>2.8627861786602482E-2</v>
      </c>
    </row>
    <row r="607" spans="2:5" x14ac:dyDescent="0.35">
      <c r="B607" s="2">
        <v>37581</v>
      </c>
      <c r="C607" s="4">
        <v>28.81</v>
      </c>
      <c r="D607">
        <f t="shared" si="12"/>
        <v>-0.95341278439869992</v>
      </c>
      <c r="E607">
        <v>2.8561228132809591E-2</v>
      </c>
    </row>
    <row r="608" spans="2:5" x14ac:dyDescent="0.35">
      <c r="B608" s="2">
        <v>43677</v>
      </c>
      <c r="C608" s="4">
        <v>618.41</v>
      </c>
      <c r="D608">
        <f t="shared" si="12"/>
        <v>5.3465722495894905</v>
      </c>
      <c r="E608">
        <v>2.8506328271824533E-2</v>
      </c>
    </row>
    <row r="609" spans="2:5" x14ac:dyDescent="0.35">
      <c r="B609" s="2">
        <v>39149</v>
      </c>
      <c r="C609" s="4">
        <v>97.44</v>
      </c>
      <c r="D609">
        <f t="shared" si="12"/>
        <v>1.4577259475218485E-2</v>
      </c>
      <c r="E609">
        <v>2.8499050031665751E-2</v>
      </c>
    </row>
    <row r="610" spans="2:5" x14ac:dyDescent="0.35">
      <c r="B610" s="2">
        <v>41159</v>
      </c>
      <c r="C610" s="4">
        <v>96.04</v>
      </c>
      <c r="D610">
        <f t="shared" si="12"/>
        <v>2.9669558033870302</v>
      </c>
      <c r="E610">
        <v>2.8485757121439415E-2</v>
      </c>
    </row>
    <row r="611" spans="2:5" x14ac:dyDescent="0.35">
      <c r="B611" s="2">
        <v>37680</v>
      </c>
      <c r="C611" s="4">
        <v>24.21</v>
      </c>
      <c r="D611">
        <f t="shared" si="12"/>
        <v>-0.90382552735073296</v>
      </c>
      <c r="E611">
        <v>2.8462192013593901E-2</v>
      </c>
    </row>
    <row r="612" spans="2:5" x14ac:dyDescent="0.35">
      <c r="B612" s="2">
        <v>41733</v>
      </c>
      <c r="C612" s="4">
        <v>251.73</v>
      </c>
      <c r="D612">
        <f t="shared" si="12"/>
        <v>2.6770376862401406</v>
      </c>
      <c r="E612">
        <v>2.8392842552495967E-2</v>
      </c>
    </row>
    <row r="613" spans="2:5" x14ac:dyDescent="0.35">
      <c r="B613" s="2">
        <v>39567</v>
      </c>
      <c r="C613" s="4">
        <v>68.459999999999994</v>
      </c>
      <c r="D613">
        <f t="shared" si="12"/>
        <v>-0.93010648398656448</v>
      </c>
      <c r="E613">
        <v>2.8391167192429068E-2</v>
      </c>
    </row>
    <row r="614" spans="2:5" x14ac:dyDescent="0.35">
      <c r="B614" s="2">
        <v>43157</v>
      </c>
      <c r="C614" s="4">
        <v>979.49</v>
      </c>
      <c r="D614">
        <f t="shared" si="12"/>
        <v>-0.85065107343254454</v>
      </c>
      <c r="E614">
        <v>2.8389941729224599E-2</v>
      </c>
    </row>
    <row r="615" spans="2:5" x14ac:dyDescent="0.35">
      <c r="B615" s="2">
        <v>44511</v>
      </c>
      <c r="C615" s="4">
        <v>6558.4</v>
      </c>
      <c r="D615">
        <f t="shared" si="12"/>
        <v>100.35064132282491</v>
      </c>
      <c r="E615">
        <v>2.8337935327478414E-2</v>
      </c>
    </row>
    <row r="616" spans="2:5" x14ac:dyDescent="0.35">
      <c r="B616" s="2">
        <v>39553</v>
      </c>
      <c r="C616" s="4">
        <v>64.709999999999994</v>
      </c>
      <c r="D616">
        <f t="shared" si="12"/>
        <v>-0.89655337788151035</v>
      </c>
      <c r="E616">
        <v>2.8285396472270685E-2</v>
      </c>
    </row>
    <row r="617" spans="2:5" x14ac:dyDescent="0.35">
      <c r="B617" s="2">
        <v>43728</v>
      </c>
      <c r="C617" s="4">
        <v>625.54</v>
      </c>
      <c r="D617">
        <f t="shared" si="12"/>
        <v>5.2454073482428116</v>
      </c>
      <c r="E617">
        <v>2.8239857978828331E-2</v>
      </c>
    </row>
    <row r="618" spans="2:5" x14ac:dyDescent="0.35">
      <c r="B618" s="2">
        <v>39153</v>
      </c>
      <c r="C618" s="4">
        <v>100.16</v>
      </c>
      <c r="D618">
        <f t="shared" si="12"/>
        <v>-0.97088752924762745</v>
      </c>
      <c r="E618">
        <v>2.8231187763063437E-2</v>
      </c>
    </row>
    <row r="619" spans="2:5" x14ac:dyDescent="0.35">
      <c r="B619" s="2">
        <v>44316</v>
      </c>
      <c r="C619" s="4">
        <v>3440.45</v>
      </c>
      <c r="D619">
        <f t="shared" si="12"/>
        <v>31.216967880887722</v>
      </c>
      <c r="E619">
        <v>2.8184714327553539E-2</v>
      </c>
    </row>
    <row r="620" spans="2:5" x14ac:dyDescent="0.35">
      <c r="B620" s="2">
        <v>39294</v>
      </c>
      <c r="C620" s="4">
        <v>106.79</v>
      </c>
      <c r="D620">
        <f t="shared" si="12"/>
        <v>1.9669626659027939E-2</v>
      </c>
      <c r="E620">
        <v>2.8112063155868006E-2</v>
      </c>
    </row>
    <row r="621" spans="2:5" x14ac:dyDescent="0.35">
      <c r="B621" s="2">
        <v>40632</v>
      </c>
      <c r="C621" s="4">
        <v>104.73</v>
      </c>
      <c r="D621">
        <f t="shared" si="12"/>
        <v>-0.91863545607806274</v>
      </c>
      <c r="E621">
        <v>2.8074997545891822E-2</v>
      </c>
    </row>
    <row r="622" spans="2:5" x14ac:dyDescent="0.35">
      <c r="B622" s="2">
        <v>44102</v>
      </c>
      <c r="C622" s="4">
        <v>1287.17</v>
      </c>
      <c r="D622">
        <f t="shared" si="12"/>
        <v>17.083309918516438</v>
      </c>
      <c r="E622">
        <v>2.8074631395664573E-2</v>
      </c>
    </row>
    <row r="623" spans="2:5" x14ac:dyDescent="0.35">
      <c r="B623" s="2">
        <v>38946</v>
      </c>
      <c r="C623" s="4">
        <v>71.180000000000007</v>
      </c>
      <c r="D623">
        <f t="shared" si="12"/>
        <v>-0.29272655007949122</v>
      </c>
      <c r="E623">
        <v>2.8018486424032485E-2</v>
      </c>
    </row>
    <row r="624" spans="2:5" x14ac:dyDescent="0.35">
      <c r="B624" s="2">
        <v>40694</v>
      </c>
      <c r="C624" s="4">
        <v>100.64</v>
      </c>
      <c r="D624">
        <f t="shared" si="12"/>
        <v>-6.6332683922441849E-2</v>
      </c>
      <c r="E624">
        <v>2.7987742594484111E-2</v>
      </c>
    </row>
    <row r="625" spans="2:5" x14ac:dyDescent="0.35">
      <c r="B625" s="2">
        <v>39105</v>
      </c>
      <c r="C625" s="4">
        <v>107.79</v>
      </c>
      <c r="D625">
        <f t="shared" si="12"/>
        <v>0.2408196155174398</v>
      </c>
      <c r="E625">
        <v>2.7942017928666907E-2</v>
      </c>
    </row>
    <row r="626" spans="2:5" x14ac:dyDescent="0.35">
      <c r="B626" s="2">
        <v>41382</v>
      </c>
      <c r="C626" s="4">
        <v>86.87</v>
      </c>
      <c r="D626">
        <f t="shared" si="12"/>
        <v>-0.70095356122413854</v>
      </c>
      <c r="E626">
        <v>2.7925689267542353E-2</v>
      </c>
    </row>
    <row r="627" spans="2:5" x14ac:dyDescent="0.35">
      <c r="B627" s="2">
        <v>41912</v>
      </c>
      <c r="C627" s="4">
        <v>290.49</v>
      </c>
      <c r="D627">
        <f t="shared" si="12"/>
        <v>2.2529675251959689</v>
      </c>
      <c r="E627">
        <v>2.7919320594479879E-2</v>
      </c>
    </row>
    <row r="628" spans="2:5" x14ac:dyDescent="0.35">
      <c r="B628" s="2">
        <v>41470</v>
      </c>
      <c r="C628" s="4">
        <v>89.3</v>
      </c>
      <c r="D628">
        <f t="shared" si="12"/>
        <v>0.2786368843069873</v>
      </c>
      <c r="E628">
        <v>2.7854511970534013E-2</v>
      </c>
    </row>
    <row r="629" spans="2:5" x14ac:dyDescent="0.35">
      <c r="B629" s="2">
        <v>38761</v>
      </c>
      <c r="C629" s="4">
        <v>69.84</v>
      </c>
      <c r="D629">
        <f t="shared" si="12"/>
        <v>-0.93061930023246109</v>
      </c>
      <c r="E629">
        <v>2.7814569536423805E-2</v>
      </c>
    </row>
    <row r="630" spans="2:5" x14ac:dyDescent="0.35">
      <c r="B630" s="2">
        <v>42235</v>
      </c>
      <c r="C630" s="4">
        <v>1006.62</v>
      </c>
      <c r="D630">
        <f t="shared" si="12"/>
        <v>11.826452599388379</v>
      </c>
      <c r="E630">
        <v>2.780302024729675E-2</v>
      </c>
    </row>
    <row r="631" spans="2:5" x14ac:dyDescent="0.35">
      <c r="B631" s="2">
        <v>40913</v>
      </c>
      <c r="C631" s="4">
        <v>78.48</v>
      </c>
      <c r="D631">
        <f t="shared" si="12"/>
        <v>-0.89762187406238181</v>
      </c>
      <c r="E631">
        <v>2.7763226820324727E-2</v>
      </c>
    </row>
    <row r="632" spans="2:5" x14ac:dyDescent="0.35">
      <c r="B632" s="2">
        <v>42577</v>
      </c>
      <c r="C632" s="4">
        <v>766.57</v>
      </c>
      <c r="D632">
        <f t="shared" si="12"/>
        <v>9.3450742240215945</v>
      </c>
      <c r="E632">
        <v>2.7670156717118255E-2</v>
      </c>
    </row>
    <row r="633" spans="2:5" x14ac:dyDescent="0.35">
      <c r="B633" s="2">
        <v>38552</v>
      </c>
      <c r="C633" s="4">
        <v>74.099999999999994</v>
      </c>
      <c r="D633">
        <f t="shared" si="12"/>
        <v>-0.91268279462192003</v>
      </c>
      <c r="E633">
        <v>2.7596727222299222E-2</v>
      </c>
    </row>
    <row r="634" spans="2:5" x14ac:dyDescent="0.35">
      <c r="B634" s="2">
        <v>43048</v>
      </c>
      <c r="C634" s="4">
        <v>848.63</v>
      </c>
      <c r="D634">
        <f t="shared" si="12"/>
        <v>29.691862567811935</v>
      </c>
      <c r="E634">
        <v>2.7596144531628397E-2</v>
      </c>
    </row>
    <row r="635" spans="2:5" x14ac:dyDescent="0.35">
      <c r="B635" s="2">
        <v>37558</v>
      </c>
      <c r="C635" s="4">
        <v>27.65</v>
      </c>
      <c r="D635">
        <f t="shared" si="12"/>
        <v>-0.75143833153541895</v>
      </c>
      <c r="E635">
        <v>2.749907097733173E-2</v>
      </c>
    </row>
    <row r="636" spans="2:5" x14ac:dyDescent="0.35">
      <c r="B636" s="2">
        <v>40353</v>
      </c>
      <c r="C636" s="4">
        <v>111.24</v>
      </c>
      <c r="D636">
        <f t="shared" si="12"/>
        <v>-0.83293283671752971</v>
      </c>
      <c r="E636">
        <v>2.7431421446383997E-2</v>
      </c>
    </row>
    <row r="637" spans="2:5" x14ac:dyDescent="0.35">
      <c r="B637" s="2">
        <v>43734</v>
      </c>
      <c r="C637" s="4">
        <v>665.84</v>
      </c>
      <c r="D637">
        <f t="shared" si="12"/>
        <v>1.7020534047561076</v>
      </c>
      <c r="E637">
        <v>2.7419877482370625E-2</v>
      </c>
    </row>
    <row r="638" spans="2:5" x14ac:dyDescent="0.35">
      <c r="B638" s="2">
        <v>41807</v>
      </c>
      <c r="C638" s="4">
        <v>246.42</v>
      </c>
      <c r="D638">
        <f t="shared" si="12"/>
        <v>2.1331214240305147</v>
      </c>
      <c r="E638">
        <v>2.7392120075046877E-2</v>
      </c>
    </row>
    <row r="639" spans="2:5" x14ac:dyDescent="0.35">
      <c r="B639" s="2">
        <v>39601</v>
      </c>
      <c r="C639" s="4">
        <v>78.650000000000006</v>
      </c>
      <c r="D639">
        <f t="shared" si="12"/>
        <v>-0.56215554194733608</v>
      </c>
      <c r="E639">
        <v>2.7298850574712707E-2</v>
      </c>
    </row>
    <row r="640" spans="2:5" x14ac:dyDescent="0.35">
      <c r="B640" s="2">
        <v>41668</v>
      </c>
      <c r="C640" s="4">
        <v>179.63</v>
      </c>
      <c r="D640">
        <f t="shared" si="12"/>
        <v>1.4317043454717746</v>
      </c>
      <c r="E640">
        <v>2.7278966029966822E-2</v>
      </c>
    </row>
    <row r="641" spans="2:5" x14ac:dyDescent="0.35">
      <c r="B641" s="2">
        <v>38589</v>
      </c>
      <c r="C641" s="4">
        <v>73.87</v>
      </c>
      <c r="D641">
        <f t="shared" si="12"/>
        <v>1.2785317705120298</v>
      </c>
      <c r="E641">
        <v>2.7256292587957365E-2</v>
      </c>
    </row>
    <row r="642" spans="2:5" x14ac:dyDescent="0.35">
      <c r="B642" s="2">
        <v>39863</v>
      </c>
      <c r="C642" s="4">
        <v>32.42</v>
      </c>
      <c r="D642">
        <f t="shared" si="12"/>
        <v>-0.68055966105034971</v>
      </c>
      <c r="E642">
        <v>2.7249683143219405E-2</v>
      </c>
    </row>
    <row r="643" spans="2:5" x14ac:dyDescent="0.35">
      <c r="B643" s="2">
        <v>41598</v>
      </c>
      <c r="C643" s="4">
        <v>101.49</v>
      </c>
      <c r="D643">
        <f t="shared" si="12"/>
        <v>2.2005676442762532</v>
      </c>
      <c r="E643">
        <v>2.7226720647773206E-2</v>
      </c>
    </row>
    <row r="644" spans="2:5" x14ac:dyDescent="0.35">
      <c r="B644" s="2">
        <v>39905</v>
      </c>
      <c r="C644" s="4">
        <v>31.71</v>
      </c>
      <c r="D644">
        <f t="shared" ref="D644:D707" si="13">C644/C645-1</f>
        <v>-0.9598617756512493</v>
      </c>
      <c r="E644">
        <v>2.7210884353741527E-2</v>
      </c>
    </row>
    <row r="645" spans="2:5" x14ac:dyDescent="0.35">
      <c r="B645" s="2">
        <v>42963</v>
      </c>
      <c r="C645" s="4">
        <v>790.02</v>
      </c>
      <c r="D645">
        <f t="shared" si="13"/>
        <v>-0.23138590261224878</v>
      </c>
      <c r="E645">
        <v>2.7200624106098026E-2</v>
      </c>
    </row>
    <row r="646" spans="2:5" x14ac:dyDescent="0.35">
      <c r="B646" s="2">
        <v>43871</v>
      </c>
      <c r="C646" s="4">
        <v>1027.8499999999999</v>
      </c>
      <c r="D646">
        <f t="shared" si="13"/>
        <v>9.5183176422431437</v>
      </c>
      <c r="E646">
        <v>2.7172066436152109E-2</v>
      </c>
    </row>
    <row r="647" spans="2:5" x14ac:dyDescent="0.35">
      <c r="B647" s="2">
        <v>40718</v>
      </c>
      <c r="C647" s="4">
        <v>97.72</v>
      </c>
      <c r="D647">
        <f t="shared" si="13"/>
        <v>1.4098643649815044</v>
      </c>
      <c r="E647">
        <v>2.7117931469413437E-2</v>
      </c>
    </row>
    <row r="648" spans="2:5" x14ac:dyDescent="0.35">
      <c r="B648" s="2">
        <v>37984</v>
      </c>
      <c r="C648" s="4">
        <v>40.549999999999997</v>
      </c>
      <c r="D648">
        <f t="shared" si="13"/>
        <v>-0.66794955781198828</v>
      </c>
      <c r="E648">
        <v>2.7102330293819588E-2</v>
      </c>
    </row>
    <row r="649" spans="2:5" x14ac:dyDescent="0.35">
      <c r="B649" s="2">
        <v>39265</v>
      </c>
      <c r="C649" s="4">
        <v>122.12</v>
      </c>
      <c r="D649">
        <f t="shared" si="13"/>
        <v>0.25276979893311458</v>
      </c>
      <c r="E649">
        <v>2.7081581160639079E-2</v>
      </c>
    </row>
    <row r="650" spans="2:5" x14ac:dyDescent="0.35">
      <c r="B650" s="2">
        <v>40955</v>
      </c>
      <c r="C650" s="4">
        <v>97.48</v>
      </c>
      <c r="D650">
        <f t="shared" si="13"/>
        <v>-0.89941909056202729</v>
      </c>
      <c r="E650">
        <v>2.7078284690759791E-2</v>
      </c>
    </row>
    <row r="651" spans="2:5" x14ac:dyDescent="0.35">
      <c r="B651" s="2">
        <v>43174</v>
      </c>
      <c r="C651" s="4">
        <v>969.17</v>
      </c>
      <c r="D651">
        <f t="shared" si="13"/>
        <v>8.4590083935194222</v>
      </c>
      <c r="E651">
        <v>2.7076577435832139E-2</v>
      </c>
    </row>
    <row r="652" spans="2:5" x14ac:dyDescent="0.35">
      <c r="B652" s="2">
        <v>39099</v>
      </c>
      <c r="C652" s="4">
        <v>102.46</v>
      </c>
      <c r="D652">
        <f t="shared" si="13"/>
        <v>-0.90800861914167719</v>
      </c>
      <c r="E652">
        <v>2.7064955894145815E-2</v>
      </c>
    </row>
    <row r="653" spans="2:5" x14ac:dyDescent="0.35">
      <c r="B653" s="2">
        <v>43257</v>
      </c>
      <c r="C653" s="4">
        <v>1113.8</v>
      </c>
      <c r="D653">
        <f t="shared" si="13"/>
        <v>21.378943138436806</v>
      </c>
      <c r="E653">
        <v>2.7045469215376983E-2</v>
      </c>
    </row>
    <row r="654" spans="2:5" x14ac:dyDescent="0.35">
      <c r="B654" s="2">
        <v>40008</v>
      </c>
      <c r="C654" s="4">
        <v>49.77</v>
      </c>
      <c r="D654">
        <f t="shared" si="13"/>
        <v>-0.1773553719008264</v>
      </c>
      <c r="E654">
        <v>2.7032604209657585E-2</v>
      </c>
    </row>
    <row r="655" spans="2:5" x14ac:dyDescent="0.35">
      <c r="B655" s="2">
        <v>40036</v>
      </c>
      <c r="C655" s="4">
        <v>60.5</v>
      </c>
      <c r="D655">
        <f t="shared" si="13"/>
        <v>-0.94979711395640232</v>
      </c>
      <c r="E655">
        <v>2.699032422339176E-2</v>
      </c>
    </row>
    <row r="656" spans="2:5" x14ac:dyDescent="0.35">
      <c r="B656" s="2">
        <v>44082</v>
      </c>
      <c r="C656" s="4">
        <v>1205.1099999999999</v>
      </c>
      <c r="D656">
        <f t="shared" si="13"/>
        <v>15.302895021645021</v>
      </c>
      <c r="E656">
        <v>2.6954017111497253E-2</v>
      </c>
    </row>
    <row r="657" spans="2:5" x14ac:dyDescent="0.35">
      <c r="B657" s="2">
        <v>39479</v>
      </c>
      <c r="C657" s="4">
        <v>73.92</v>
      </c>
      <c r="D657">
        <f t="shared" si="13"/>
        <v>-0.93409650155129986</v>
      </c>
      <c r="E657">
        <v>2.6951931091969916E-2</v>
      </c>
    </row>
    <row r="658" spans="2:5" x14ac:dyDescent="0.35">
      <c r="B658" s="2">
        <v>43243</v>
      </c>
      <c r="C658" s="4">
        <v>1121.6400000000001</v>
      </c>
      <c r="D658">
        <f t="shared" si="13"/>
        <v>18.80996114447192</v>
      </c>
      <c r="E658">
        <v>2.688895602735597E-2</v>
      </c>
    </row>
    <row r="659" spans="2:5" x14ac:dyDescent="0.35">
      <c r="B659" s="2">
        <v>40018</v>
      </c>
      <c r="C659" s="4">
        <v>56.62</v>
      </c>
      <c r="D659">
        <f t="shared" si="13"/>
        <v>-0.9933873603047747</v>
      </c>
      <c r="E659">
        <v>2.6840768951759131E-2</v>
      </c>
    </row>
    <row r="660" spans="2:5" x14ac:dyDescent="0.35">
      <c r="B660" s="2">
        <v>44713</v>
      </c>
      <c r="C660" s="4">
        <v>8562.39</v>
      </c>
      <c r="D660">
        <f t="shared" si="13"/>
        <v>94.9909192825112</v>
      </c>
      <c r="E660">
        <v>2.6834144217935174E-2</v>
      </c>
    </row>
    <row r="661" spans="2:5" x14ac:dyDescent="0.35">
      <c r="B661" s="2">
        <v>40765</v>
      </c>
      <c r="C661" s="4">
        <v>89.2</v>
      </c>
      <c r="D661">
        <f t="shared" si="13"/>
        <v>-0.90406745391581167</v>
      </c>
      <c r="E661">
        <v>2.6821687579141162E-2</v>
      </c>
    </row>
    <row r="662" spans="2:5" x14ac:dyDescent="0.35">
      <c r="B662" s="2">
        <v>43860</v>
      </c>
      <c r="C662" s="4">
        <v>929.82</v>
      </c>
      <c r="D662">
        <f t="shared" si="13"/>
        <v>-0.72212160877907072</v>
      </c>
      <c r="E662">
        <v>2.6756037500414109E-2</v>
      </c>
    </row>
    <row r="663" spans="2:5" x14ac:dyDescent="0.35">
      <c r="B663" s="2">
        <v>44315</v>
      </c>
      <c r="C663" s="4">
        <v>3346.14</v>
      </c>
      <c r="D663">
        <f t="shared" si="13"/>
        <v>99.123877917414717</v>
      </c>
      <c r="E663">
        <v>2.6754015864005387E-2</v>
      </c>
    </row>
    <row r="664" spans="2:5" x14ac:dyDescent="0.35">
      <c r="B664" s="2">
        <v>39786</v>
      </c>
      <c r="C664" s="4">
        <v>33.42</v>
      </c>
      <c r="D664">
        <f t="shared" si="13"/>
        <v>-0.55445940541261174</v>
      </c>
      <c r="E664">
        <v>2.6728110599078425E-2</v>
      </c>
    </row>
    <row r="665" spans="2:5" x14ac:dyDescent="0.35">
      <c r="B665" s="2">
        <v>39505</v>
      </c>
      <c r="C665" s="4">
        <v>75.010000000000005</v>
      </c>
      <c r="D665">
        <f t="shared" si="13"/>
        <v>-0.92907258217027877</v>
      </c>
      <c r="E665">
        <v>2.6690391459074814E-2</v>
      </c>
    </row>
    <row r="666" spans="2:5" x14ac:dyDescent="0.35">
      <c r="B666" s="2">
        <v>43874</v>
      </c>
      <c r="C666" s="4">
        <v>1057.56</v>
      </c>
      <c r="D666">
        <f t="shared" si="13"/>
        <v>9.6031682374172842</v>
      </c>
      <c r="E666">
        <v>2.6577879593857379E-2</v>
      </c>
    </row>
    <row r="667" spans="2:5" x14ac:dyDescent="0.35">
      <c r="B667" s="2">
        <v>40623</v>
      </c>
      <c r="C667" s="4">
        <v>99.74</v>
      </c>
      <c r="D667">
        <f t="shared" si="13"/>
        <v>-0.87817717684706809</v>
      </c>
      <c r="E667">
        <v>2.6554137505146125E-2</v>
      </c>
    </row>
    <row r="668" spans="2:5" x14ac:dyDescent="0.35">
      <c r="B668" s="2">
        <v>43839</v>
      </c>
      <c r="C668" s="4">
        <v>818.73</v>
      </c>
      <c r="D668">
        <f t="shared" si="13"/>
        <v>27.19318181818182</v>
      </c>
      <c r="E668">
        <v>2.6543457545513904E-2</v>
      </c>
    </row>
    <row r="669" spans="2:5" x14ac:dyDescent="0.35">
      <c r="B669" s="2">
        <v>37588</v>
      </c>
      <c r="C669" s="4">
        <v>29.04</v>
      </c>
      <c r="D669">
        <f t="shared" si="13"/>
        <v>-0.9969608171466845</v>
      </c>
      <c r="E669">
        <v>2.6511134676564074E-2</v>
      </c>
    </row>
    <row r="670" spans="2:5" x14ac:dyDescent="0.35">
      <c r="B670" s="2">
        <v>44781</v>
      </c>
      <c r="C670" s="4">
        <v>9555.2000000000007</v>
      </c>
      <c r="D670">
        <f t="shared" si="13"/>
        <v>10.422969790433838</v>
      </c>
      <c r="E670">
        <v>2.6491631394624404E-2</v>
      </c>
    </row>
    <row r="671" spans="2:5" x14ac:dyDescent="0.35">
      <c r="B671" s="2">
        <v>43055</v>
      </c>
      <c r="C671" s="4">
        <v>836.49</v>
      </c>
      <c r="D671">
        <f t="shared" si="13"/>
        <v>9.8381705104949457</v>
      </c>
      <c r="E671">
        <v>2.6468855838609917E-2</v>
      </c>
    </row>
    <row r="672" spans="2:5" x14ac:dyDescent="0.35">
      <c r="B672" s="2">
        <v>38834</v>
      </c>
      <c r="C672" s="4">
        <v>77.180000000000007</v>
      </c>
      <c r="D672">
        <f t="shared" si="13"/>
        <v>1.3667586629868143</v>
      </c>
      <c r="E672">
        <v>2.6466285410293944E-2</v>
      </c>
    </row>
    <row r="673" spans="2:5" x14ac:dyDescent="0.35">
      <c r="B673" s="2">
        <v>38163</v>
      </c>
      <c r="C673" s="4">
        <v>32.61</v>
      </c>
      <c r="D673">
        <f t="shared" si="13"/>
        <v>-0.7068500539374325</v>
      </c>
      <c r="E673">
        <v>2.6440037771482627E-2</v>
      </c>
    </row>
    <row r="674" spans="2:5" x14ac:dyDescent="0.35">
      <c r="B674" s="2">
        <v>40308</v>
      </c>
      <c r="C674" s="4">
        <v>111.24</v>
      </c>
      <c r="D674">
        <f t="shared" si="13"/>
        <v>-0.97508265462462707</v>
      </c>
      <c r="E674">
        <v>2.6388632589038563E-2</v>
      </c>
    </row>
    <row r="675" spans="2:5" x14ac:dyDescent="0.35">
      <c r="B675" s="2">
        <v>44392</v>
      </c>
      <c r="C675" s="4">
        <v>4464.3599999999997</v>
      </c>
      <c r="D675">
        <f t="shared" si="13"/>
        <v>62.986813816826718</v>
      </c>
      <c r="E675">
        <v>2.6372236846642805E-2</v>
      </c>
    </row>
    <row r="676" spans="2:5" x14ac:dyDescent="0.35">
      <c r="B676" s="2">
        <v>38674</v>
      </c>
      <c r="C676" s="4">
        <v>69.77</v>
      </c>
      <c r="D676">
        <f t="shared" si="13"/>
        <v>1.8854425144747724</v>
      </c>
      <c r="E676">
        <v>2.6331273904089292E-2</v>
      </c>
    </row>
    <row r="677" spans="2:5" x14ac:dyDescent="0.35">
      <c r="B677" s="2">
        <v>37718</v>
      </c>
      <c r="C677" s="4">
        <v>24.18</v>
      </c>
      <c r="D677">
        <f t="shared" si="13"/>
        <v>-0.81060546722017701</v>
      </c>
      <c r="E677">
        <v>2.6315789473684292E-2</v>
      </c>
    </row>
    <row r="678" spans="2:5" x14ac:dyDescent="0.35">
      <c r="B678" s="2">
        <v>40269</v>
      </c>
      <c r="C678" s="4">
        <v>127.67</v>
      </c>
      <c r="D678">
        <f t="shared" si="13"/>
        <v>-0.97759302745981769</v>
      </c>
      <c r="E678">
        <v>2.6286173633440546E-2</v>
      </c>
    </row>
    <row r="679" spans="2:5" x14ac:dyDescent="0.35">
      <c r="B679" s="2">
        <v>44462</v>
      </c>
      <c r="C679" s="4">
        <v>5697.78</v>
      </c>
      <c r="D679">
        <f t="shared" si="13"/>
        <v>53.002274665908438</v>
      </c>
      <c r="E679">
        <v>2.6281234971279988E-2</v>
      </c>
    </row>
    <row r="680" spans="2:5" x14ac:dyDescent="0.35">
      <c r="B680" s="2">
        <v>40577</v>
      </c>
      <c r="C680" s="4">
        <v>105.51</v>
      </c>
      <c r="D680">
        <f t="shared" si="13"/>
        <v>-0.86919815531091937</v>
      </c>
      <c r="E680">
        <v>2.6262036766851571E-2</v>
      </c>
    </row>
    <row r="681" spans="2:5" x14ac:dyDescent="0.35">
      <c r="B681" s="2">
        <v>42391</v>
      </c>
      <c r="C681" s="4">
        <v>806.64</v>
      </c>
      <c r="D681">
        <f t="shared" si="13"/>
        <v>-0.19278687868386557</v>
      </c>
      <c r="E681">
        <v>2.619426245149814E-2</v>
      </c>
    </row>
    <row r="682" spans="2:5" x14ac:dyDescent="0.35">
      <c r="B682" s="2">
        <v>43202</v>
      </c>
      <c r="C682" s="4">
        <v>999.29</v>
      </c>
      <c r="D682">
        <f t="shared" si="13"/>
        <v>8.1990242106232163</v>
      </c>
      <c r="E682">
        <v>2.6186344078292123E-2</v>
      </c>
    </row>
    <row r="683" spans="2:5" x14ac:dyDescent="0.35">
      <c r="B683" s="2">
        <v>39353</v>
      </c>
      <c r="C683" s="4">
        <v>108.63</v>
      </c>
      <c r="D683">
        <f t="shared" si="13"/>
        <v>-0.88397453698758888</v>
      </c>
      <c r="E683">
        <v>2.6166635178537678E-2</v>
      </c>
    </row>
    <row r="684" spans="2:5" x14ac:dyDescent="0.35">
      <c r="B684" s="2">
        <v>44041</v>
      </c>
      <c r="C684" s="4">
        <v>936.26</v>
      </c>
      <c r="D684">
        <f t="shared" si="13"/>
        <v>8.2406529630742797E-2</v>
      </c>
      <c r="E684">
        <v>2.6162057891910173E-2</v>
      </c>
    </row>
    <row r="685" spans="2:5" x14ac:dyDescent="0.35">
      <c r="B685" s="2">
        <v>42459</v>
      </c>
      <c r="C685" s="4">
        <v>864.98</v>
      </c>
      <c r="D685">
        <f t="shared" si="13"/>
        <v>-5.2294814344096219E-2</v>
      </c>
      <c r="E685">
        <v>2.6134408921051122E-2</v>
      </c>
    </row>
    <row r="686" spans="2:5" x14ac:dyDescent="0.35">
      <c r="B686" s="2">
        <v>42349</v>
      </c>
      <c r="C686" s="4">
        <v>912.71</v>
      </c>
      <c r="D686">
        <f t="shared" si="13"/>
        <v>0.18672474320634502</v>
      </c>
      <c r="E686">
        <v>2.6047170447647261E-2</v>
      </c>
    </row>
    <row r="687" spans="2:5" x14ac:dyDescent="0.35">
      <c r="B687" s="2">
        <v>42961</v>
      </c>
      <c r="C687" s="4">
        <v>769.1</v>
      </c>
      <c r="D687">
        <f t="shared" si="13"/>
        <v>7.8321084060633908</v>
      </c>
      <c r="E687">
        <v>2.6041249766535879E-2</v>
      </c>
    </row>
    <row r="688" spans="2:5" x14ac:dyDescent="0.35">
      <c r="B688" s="2">
        <v>41002</v>
      </c>
      <c r="C688" s="4">
        <v>87.08</v>
      </c>
      <c r="D688">
        <f t="shared" si="13"/>
        <v>-0.91005618905965957</v>
      </c>
      <c r="E688">
        <v>2.6039825615647327E-2</v>
      </c>
    </row>
    <row r="689" spans="2:5" x14ac:dyDescent="0.35">
      <c r="B689" s="2">
        <v>43446</v>
      </c>
      <c r="C689" s="4">
        <v>968.16</v>
      </c>
      <c r="D689">
        <f t="shared" si="13"/>
        <v>6.3590757069017938</v>
      </c>
      <c r="E689">
        <v>2.603885161987729E-2</v>
      </c>
    </row>
    <row r="690" spans="2:5" x14ac:dyDescent="0.35">
      <c r="B690" s="2">
        <v>40490</v>
      </c>
      <c r="C690" s="4">
        <v>131.56</v>
      </c>
      <c r="D690">
        <f t="shared" si="13"/>
        <v>-0.85288559383631335</v>
      </c>
      <c r="E690">
        <v>2.5968962021367892E-2</v>
      </c>
    </row>
    <row r="691" spans="2:5" x14ac:dyDescent="0.35">
      <c r="B691" s="2">
        <v>43530</v>
      </c>
      <c r="C691" s="4">
        <v>894.27</v>
      </c>
      <c r="D691">
        <f t="shared" si="13"/>
        <v>0.35618744313011841</v>
      </c>
      <c r="E691">
        <v>2.5962553347712358E-2</v>
      </c>
    </row>
    <row r="692" spans="2:5" x14ac:dyDescent="0.35">
      <c r="B692" s="2">
        <v>42713</v>
      </c>
      <c r="C692" s="4">
        <v>659.4</v>
      </c>
      <c r="D692">
        <f t="shared" si="13"/>
        <v>27.707009142359599</v>
      </c>
      <c r="E692">
        <v>2.5920278806360164E-2</v>
      </c>
    </row>
    <row r="693" spans="2:5" x14ac:dyDescent="0.35">
      <c r="B693" s="2">
        <v>37778</v>
      </c>
      <c r="C693" s="4">
        <v>22.97</v>
      </c>
      <c r="D693">
        <f t="shared" si="13"/>
        <v>-0.96267043700128385</v>
      </c>
      <c r="E693">
        <v>2.5904421616793183E-2</v>
      </c>
    </row>
    <row r="694" spans="2:5" x14ac:dyDescent="0.35">
      <c r="B694" s="2">
        <v>42731</v>
      </c>
      <c r="C694" s="4">
        <v>615.33000000000004</v>
      </c>
      <c r="D694">
        <f t="shared" si="13"/>
        <v>-0.28581211263028383</v>
      </c>
      <c r="E694">
        <v>2.5635469622468543E-2</v>
      </c>
    </row>
    <row r="695" spans="2:5" x14ac:dyDescent="0.35">
      <c r="B695" s="2">
        <v>42223</v>
      </c>
      <c r="C695" s="4">
        <v>861.58</v>
      </c>
      <c r="D695">
        <f t="shared" si="13"/>
        <v>-8.6912748121535821E-2</v>
      </c>
      <c r="E695">
        <v>2.5580592555559445E-2</v>
      </c>
    </row>
    <row r="696" spans="2:5" x14ac:dyDescent="0.35">
      <c r="B696" s="2">
        <v>43445</v>
      </c>
      <c r="C696" s="4">
        <v>943.59</v>
      </c>
      <c r="D696">
        <f t="shared" si="13"/>
        <v>0.56721698113207553</v>
      </c>
      <c r="E696">
        <v>2.5574419059626541E-2</v>
      </c>
    </row>
    <row r="697" spans="2:5" x14ac:dyDescent="0.35">
      <c r="B697" s="2">
        <v>42705</v>
      </c>
      <c r="C697" s="4">
        <v>602.08000000000004</v>
      </c>
      <c r="D697">
        <f t="shared" si="13"/>
        <v>-0.24675032215285675</v>
      </c>
      <c r="E697">
        <v>2.5567649513686508E-2</v>
      </c>
    </row>
    <row r="698" spans="2:5" x14ac:dyDescent="0.35">
      <c r="B698" s="2">
        <v>43768</v>
      </c>
      <c r="C698" s="4">
        <v>799.31</v>
      </c>
      <c r="D698">
        <f t="shared" si="13"/>
        <v>12.677446954140999</v>
      </c>
      <c r="E698">
        <v>2.547950477901062E-2</v>
      </c>
    </row>
    <row r="699" spans="2:5" x14ac:dyDescent="0.35">
      <c r="B699" s="2">
        <v>39539</v>
      </c>
      <c r="C699" s="4">
        <v>58.44</v>
      </c>
      <c r="D699">
        <f t="shared" si="13"/>
        <v>3.5252435783879488E-2</v>
      </c>
      <c r="E699">
        <v>2.5443060185997401E-2</v>
      </c>
    </row>
    <row r="700" spans="2:5" x14ac:dyDescent="0.35">
      <c r="B700" s="2">
        <v>39960</v>
      </c>
      <c r="C700" s="4">
        <v>56.45</v>
      </c>
      <c r="D700">
        <f t="shared" si="13"/>
        <v>-0.45783711102573954</v>
      </c>
      <c r="E700">
        <v>2.5431425976385258E-2</v>
      </c>
    </row>
    <row r="701" spans="2:5" x14ac:dyDescent="0.35">
      <c r="B701" s="2">
        <v>39140</v>
      </c>
      <c r="C701" s="4">
        <v>104.12</v>
      </c>
      <c r="D701">
        <f t="shared" si="13"/>
        <v>-0.93533120089438215</v>
      </c>
      <c r="E701">
        <v>2.5408705928698039E-2</v>
      </c>
    </row>
    <row r="702" spans="2:5" x14ac:dyDescent="0.35">
      <c r="B702" s="2">
        <v>44166</v>
      </c>
      <c r="C702" s="4">
        <v>1610.05</v>
      </c>
      <c r="D702">
        <f t="shared" si="13"/>
        <v>18.738261615790119</v>
      </c>
      <c r="E702">
        <v>2.5405054261985915E-2</v>
      </c>
    </row>
    <row r="703" spans="2:5" x14ac:dyDescent="0.35">
      <c r="B703" s="2">
        <v>40784</v>
      </c>
      <c r="C703" s="4">
        <v>81.569999999999993</v>
      </c>
      <c r="D703">
        <f t="shared" si="13"/>
        <v>-0.27085009385894354</v>
      </c>
      <c r="E703">
        <v>2.5392834695160182E-2</v>
      </c>
    </row>
    <row r="704" spans="2:5" x14ac:dyDescent="0.35">
      <c r="B704" s="2">
        <v>39202</v>
      </c>
      <c r="C704" s="4">
        <v>111.87</v>
      </c>
      <c r="D704">
        <f t="shared" si="13"/>
        <v>-0.9780107675887324</v>
      </c>
      <c r="E704">
        <v>2.5389550870760891E-2</v>
      </c>
    </row>
    <row r="705" spans="2:5" x14ac:dyDescent="0.35">
      <c r="B705" s="2">
        <v>44454</v>
      </c>
      <c r="C705" s="4">
        <v>5087.49</v>
      </c>
      <c r="D705">
        <f t="shared" si="13"/>
        <v>-0.36339531508083489</v>
      </c>
      <c r="E705">
        <v>2.5345998270764447E-2</v>
      </c>
    </row>
    <row r="706" spans="2:5" x14ac:dyDescent="0.35">
      <c r="B706" s="2">
        <v>44739</v>
      </c>
      <c r="C706" s="4">
        <v>7991.6</v>
      </c>
      <c r="D706">
        <f t="shared" si="13"/>
        <v>8.1722523184280611</v>
      </c>
      <c r="E706">
        <v>2.5306792740895645E-2</v>
      </c>
    </row>
    <row r="707" spans="2:5" x14ac:dyDescent="0.35">
      <c r="B707" s="2">
        <v>43076</v>
      </c>
      <c r="C707" s="4">
        <v>871.28</v>
      </c>
      <c r="D707">
        <f t="shared" si="13"/>
        <v>-0.85457895694350094</v>
      </c>
      <c r="E707">
        <v>2.5276535655448296E-2</v>
      </c>
    </row>
    <row r="708" spans="2:5" x14ac:dyDescent="0.35">
      <c r="B708" s="2">
        <v>44544</v>
      </c>
      <c r="C708" s="4">
        <v>5991.43</v>
      </c>
      <c r="D708">
        <f t="shared" ref="D708:D771" si="14">C708/C709-1</f>
        <v>-0.39241152012980429</v>
      </c>
      <c r="E708">
        <v>2.5246881785933706E-2</v>
      </c>
    </row>
    <row r="709" spans="2:5" x14ac:dyDescent="0.35">
      <c r="B709" s="2">
        <v>44797</v>
      </c>
      <c r="C709" s="4">
        <v>9861</v>
      </c>
      <c r="D709">
        <f t="shared" si="14"/>
        <v>182.35812569728523</v>
      </c>
      <c r="E709">
        <v>2.5185185185185199E-2</v>
      </c>
    </row>
    <row r="710" spans="2:5" x14ac:dyDescent="0.35">
      <c r="B710" s="2">
        <v>38293</v>
      </c>
      <c r="C710" s="4">
        <v>53.78</v>
      </c>
      <c r="D710">
        <f t="shared" si="14"/>
        <v>0.57067757009345788</v>
      </c>
      <c r="E710">
        <v>2.516202821197111E-2</v>
      </c>
    </row>
    <row r="711" spans="2:5" x14ac:dyDescent="0.35">
      <c r="B711" s="2">
        <v>37494</v>
      </c>
      <c r="C711" s="4">
        <v>34.24</v>
      </c>
      <c r="D711">
        <f t="shared" si="14"/>
        <v>-0.94639110693596362</v>
      </c>
      <c r="E711">
        <v>2.5149700598802394E-2</v>
      </c>
    </row>
    <row r="712" spans="2:5" x14ac:dyDescent="0.35">
      <c r="B712" s="2">
        <v>42710</v>
      </c>
      <c r="C712" s="4">
        <v>638.70000000000005</v>
      </c>
      <c r="D712">
        <f t="shared" si="14"/>
        <v>2.5134822804314449E-2</v>
      </c>
      <c r="E712">
        <v>2.5134822804314449E-2</v>
      </c>
    </row>
    <row r="713" spans="2:5" x14ac:dyDescent="0.35">
      <c r="B713" s="2">
        <v>42709</v>
      </c>
      <c r="C713" s="4">
        <v>623.04</v>
      </c>
      <c r="D713">
        <f t="shared" si="14"/>
        <v>6.0519524617996607</v>
      </c>
      <c r="E713">
        <v>2.5090903107981344E-2</v>
      </c>
    </row>
    <row r="714" spans="2:5" x14ac:dyDescent="0.35">
      <c r="B714" s="2">
        <v>39406</v>
      </c>
      <c r="C714" s="4">
        <v>88.35</v>
      </c>
      <c r="D714">
        <f t="shared" si="14"/>
        <v>3.0639374425022998</v>
      </c>
      <c r="E714">
        <v>2.5060911938739938E-2</v>
      </c>
    </row>
    <row r="715" spans="2:5" x14ac:dyDescent="0.35">
      <c r="B715" s="2">
        <v>37697</v>
      </c>
      <c r="C715" s="4">
        <v>21.74</v>
      </c>
      <c r="D715">
        <f t="shared" si="14"/>
        <v>-0.8107755244146575</v>
      </c>
      <c r="E715">
        <v>2.4988213107024926E-2</v>
      </c>
    </row>
    <row r="716" spans="2:5" x14ac:dyDescent="0.35">
      <c r="B716" s="2">
        <v>39227</v>
      </c>
      <c r="C716" s="4">
        <v>114.89</v>
      </c>
      <c r="D716">
        <f t="shared" si="14"/>
        <v>0.88375143466141992</v>
      </c>
      <c r="E716">
        <v>2.49799268444999E-2</v>
      </c>
    </row>
    <row r="717" spans="2:5" x14ac:dyDescent="0.35">
      <c r="B717" s="2">
        <v>40122</v>
      </c>
      <c r="C717" s="4">
        <v>60.99</v>
      </c>
      <c r="D717">
        <f t="shared" si="14"/>
        <v>0.64437853868967365</v>
      </c>
      <c r="E717">
        <v>2.4869769786590501E-2</v>
      </c>
    </row>
    <row r="718" spans="2:5" x14ac:dyDescent="0.35">
      <c r="B718" s="2">
        <v>37970</v>
      </c>
      <c r="C718" s="4">
        <v>37.090000000000003</v>
      </c>
      <c r="D718">
        <f t="shared" si="14"/>
        <v>-0.53868159203980093</v>
      </c>
      <c r="E718">
        <v>2.4868748273003671E-2</v>
      </c>
    </row>
    <row r="719" spans="2:5" x14ac:dyDescent="0.35">
      <c r="B719" s="2">
        <v>41456</v>
      </c>
      <c r="C719" s="4">
        <v>80.400000000000006</v>
      </c>
      <c r="D719">
        <f t="shared" si="14"/>
        <v>0.11172566371681425</v>
      </c>
      <c r="E719">
        <v>2.4856596558317401E-2</v>
      </c>
    </row>
    <row r="720" spans="2:5" x14ac:dyDescent="0.35">
      <c r="B720" s="2">
        <v>38574</v>
      </c>
      <c r="C720" s="4">
        <v>72.319999999999993</v>
      </c>
      <c r="D720">
        <f t="shared" si="14"/>
        <v>-0.71130892978324223</v>
      </c>
      <c r="E720">
        <v>2.479807283548241E-2</v>
      </c>
    </row>
    <row r="721" spans="2:5" x14ac:dyDescent="0.35">
      <c r="B721" s="2">
        <v>41800</v>
      </c>
      <c r="C721" s="4">
        <v>250.51</v>
      </c>
      <c r="D721">
        <f t="shared" si="14"/>
        <v>2.5730994152046782</v>
      </c>
      <c r="E721">
        <v>2.4706507955986279E-2</v>
      </c>
    </row>
    <row r="722" spans="2:5" x14ac:dyDescent="0.35">
      <c r="B722" s="2">
        <v>38628</v>
      </c>
      <c r="C722" s="4">
        <v>70.11</v>
      </c>
      <c r="D722">
        <f t="shared" si="14"/>
        <v>-0.88680981595092023</v>
      </c>
      <c r="E722">
        <v>2.470038000584629E-2</v>
      </c>
    </row>
    <row r="723" spans="2:5" x14ac:dyDescent="0.35">
      <c r="B723" s="2">
        <v>42661</v>
      </c>
      <c r="C723" s="4">
        <v>619.4</v>
      </c>
      <c r="D723">
        <f t="shared" si="14"/>
        <v>-0.11211135161479913</v>
      </c>
      <c r="E723">
        <v>2.4665420437062657E-2</v>
      </c>
    </row>
    <row r="724" spans="2:5" x14ac:dyDescent="0.35">
      <c r="B724" s="2">
        <v>42793</v>
      </c>
      <c r="C724" s="4">
        <v>697.61</v>
      </c>
      <c r="D724">
        <f t="shared" si="14"/>
        <v>27.862639635912288</v>
      </c>
      <c r="E724">
        <v>2.4601239608730063E-2</v>
      </c>
    </row>
    <row r="725" spans="2:5" x14ac:dyDescent="0.35">
      <c r="B725" s="2">
        <v>38071</v>
      </c>
      <c r="C725" s="4">
        <v>24.17</v>
      </c>
      <c r="D725">
        <f t="shared" si="14"/>
        <v>-0.90172000162647903</v>
      </c>
      <c r="E725">
        <v>2.4586689275116758E-2</v>
      </c>
    </row>
    <row r="726" spans="2:5" x14ac:dyDescent="0.35">
      <c r="B726" s="2">
        <v>41795</v>
      </c>
      <c r="C726" s="4">
        <v>245.93</v>
      </c>
      <c r="D726">
        <f t="shared" si="14"/>
        <v>-0.71867028152418866</v>
      </c>
      <c r="E726">
        <v>2.4580260800733278E-2</v>
      </c>
    </row>
    <row r="727" spans="2:5" x14ac:dyDescent="0.35">
      <c r="B727" s="2">
        <v>42502</v>
      </c>
      <c r="C727" s="4">
        <v>874.17</v>
      </c>
      <c r="D727">
        <f t="shared" si="14"/>
        <v>0.38686698819647147</v>
      </c>
      <c r="E727">
        <v>2.4542034386976441E-2</v>
      </c>
    </row>
    <row r="728" spans="2:5" x14ac:dyDescent="0.35">
      <c r="B728" s="2">
        <v>42881</v>
      </c>
      <c r="C728" s="4">
        <v>630.32000000000005</v>
      </c>
      <c r="D728">
        <f t="shared" si="14"/>
        <v>-0.89201709032724485</v>
      </c>
      <c r="E728">
        <v>2.4510760028606748E-2</v>
      </c>
    </row>
    <row r="729" spans="2:5" x14ac:dyDescent="0.35">
      <c r="B729" s="2">
        <v>44463</v>
      </c>
      <c r="C729" s="4">
        <v>5837.22</v>
      </c>
      <c r="D729">
        <f t="shared" si="14"/>
        <v>58.740251765428312</v>
      </c>
      <c r="E729">
        <v>2.4472689363225664E-2</v>
      </c>
    </row>
    <row r="730" spans="2:5" x14ac:dyDescent="0.35">
      <c r="B730" s="2">
        <v>40947</v>
      </c>
      <c r="C730" s="4">
        <v>97.71</v>
      </c>
      <c r="D730">
        <f t="shared" si="14"/>
        <v>-0.26550402164925213</v>
      </c>
      <c r="E730">
        <v>2.4428601383937876E-2</v>
      </c>
    </row>
    <row r="731" spans="2:5" x14ac:dyDescent="0.35">
      <c r="B731" s="2">
        <v>41607</v>
      </c>
      <c r="C731" s="4">
        <v>133.03</v>
      </c>
      <c r="D731">
        <f t="shared" si="14"/>
        <v>-0.98037891134890376</v>
      </c>
      <c r="E731">
        <v>2.4410904050515825E-2</v>
      </c>
    </row>
    <row r="732" spans="2:5" x14ac:dyDescent="0.35">
      <c r="B732" s="2">
        <v>44890</v>
      </c>
      <c r="C732" s="4">
        <v>6779.95</v>
      </c>
      <c r="D732">
        <f t="shared" si="14"/>
        <v>101.8823975720789</v>
      </c>
      <c r="E732">
        <v>2.4409222772875605E-2</v>
      </c>
    </row>
    <row r="733" spans="2:5" x14ac:dyDescent="0.35">
      <c r="B733" s="2">
        <v>39555</v>
      </c>
      <c r="C733" s="4">
        <v>65.900000000000006</v>
      </c>
      <c r="D733">
        <f t="shared" si="14"/>
        <v>-0.23788597201341499</v>
      </c>
      <c r="E733">
        <v>2.4405409606715445E-2</v>
      </c>
    </row>
    <row r="734" spans="2:5" x14ac:dyDescent="0.35">
      <c r="B734" s="2">
        <v>41047</v>
      </c>
      <c r="C734" s="4">
        <v>86.47</v>
      </c>
      <c r="D734">
        <f t="shared" si="14"/>
        <v>-0.90023076035537097</v>
      </c>
      <c r="E734">
        <v>2.4404691387276412E-2</v>
      </c>
    </row>
    <row r="735" spans="2:5" x14ac:dyDescent="0.35">
      <c r="B735" s="2">
        <v>43648</v>
      </c>
      <c r="C735" s="4">
        <v>866.7</v>
      </c>
      <c r="D735">
        <f t="shared" si="14"/>
        <v>0.10232114467408593</v>
      </c>
      <c r="E735">
        <v>2.4371217851739901E-2</v>
      </c>
    </row>
    <row r="736" spans="2:5" x14ac:dyDescent="0.35">
      <c r="B736" s="2">
        <v>43788</v>
      </c>
      <c r="C736" s="4">
        <v>786.25</v>
      </c>
      <c r="D736">
        <f t="shared" si="14"/>
        <v>10.814425244177311</v>
      </c>
      <c r="E736">
        <v>2.4349887956641947E-2</v>
      </c>
    </row>
    <row r="737" spans="2:5" x14ac:dyDescent="0.35">
      <c r="B737" s="2">
        <v>38618</v>
      </c>
      <c r="C737" s="4">
        <v>66.55</v>
      </c>
      <c r="D737">
        <f t="shared" si="14"/>
        <v>-0.93168333093805822</v>
      </c>
      <c r="E737">
        <v>2.4318916422964465E-2</v>
      </c>
    </row>
    <row r="738" spans="2:5" x14ac:dyDescent="0.35">
      <c r="B738" s="2">
        <v>43404</v>
      </c>
      <c r="C738" s="4">
        <v>974.14</v>
      </c>
      <c r="D738">
        <f t="shared" si="14"/>
        <v>12.126802317746936</v>
      </c>
      <c r="E738">
        <v>2.42999695067454E-2</v>
      </c>
    </row>
    <row r="739" spans="2:5" x14ac:dyDescent="0.35">
      <c r="B739" s="2">
        <v>38702</v>
      </c>
      <c r="C739" s="4">
        <v>74.209999999999994</v>
      </c>
      <c r="D739">
        <f t="shared" si="14"/>
        <v>0.28124999999999978</v>
      </c>
      <c r="E739">
        <v>2.4292615596963385E-2</v>
      </c>
    </row>
    <row r="740" spans="2:5" x14ac:dyDescent="0.35">
      <c r="B740" s="2">
        <v>38475</v>
      </c>
      <c r="C740" s="4">
        <v>57.92</v>
      </c>
      <c r="D740">
        <f t="shared" si="14"/>
        <v>1.6339245111414282</v>
      </c>
      <c r="E740">
        <v>2.4226348364279504E-2</v>
      </c>
    </row>
    <row r="741" spans="2:5" x14ac:dyDescent="0.35">
      <c r="B741" s="2">
        <v>37722</v>
      </c>
      <c r="C741" s="4">
        <v>21.99</v>
      </c>
      <c r="D741">
        <f t="shared" si="14"/>
        <v>-0.99245064078576506</v>
      </c>
      <c r="E741">
        <v>2.4219841639496975E-2</v>
      </c>
    </row>
    <row r="742" spans="2:5" x14ac:dyDescent="0.35">
      <c r="B742" s="2">
        <v>44293</v>
      </c>
      <c r="C742" s="4">
        <v>2912.83</v>
      </c>
      <c r="D742">
        <f t="shared" si="14"/>
        <v>4.2565823904138016</v>
      </c>
      <c r="E742">
        <v>2.4209031005843817E-2</v>
      </c>
    </row>
    <row r="743" spans="2:5" x14ac:dyDescent="0.35">
      <c r="B743" s="2">
        <v>42179</v>
      </c>
      <c r="C743" s="4">
        <v>554.13</v>
      </c>
      <c r="D743">
        <f t="shared" si="14"/>
        <v>11.322214809873248</v>
      </c>
      <c r="E743">
        <v>2.4156285809337374E-2</v>
      </c>
    </row>
    <row r="744" spans="2:5" x14ac:dyDescent="0.35">
      <c r="B744" s="2">
        <v>39940</v>
      </c>
      <c r="C744" s="4">
        <v>44.97</v>
      </c>
      <c r="D744">
        <f t="shared" si="14"/>
        <v>-0.83758306847731867</v>
      </c>
      <c r="E744">
        <v>2.4140286950580681E-2</v>
      </c>
    </row>
    <row r="745" spans="2:5" x14ac:dyDescent="0.35">
      <c r="B745" s="2">
        <v>41824</v>
      </c>
      <c r="C745" s="4">
        <v>276.88</v>
      </c>
      <c r="D745">
        <f t="shared" si="14"/>
        <v>4.1589342276877206</v>
      </c>
      <c r="E745">
        <v>2.4078115175500292E-2</v>
      </c>
    </row>
    <row r="746" spans="2:5" x14ac:dyDescent="0.35">
      <c r="B746" s="2">
        <v>38359</v>
      </c>
      <c r="C746" s="4">
        <v>53.67</v>
      </c>
      <c r="D746">
        <f t="shared" si="14"/>
        <v>-0.19281094901488938</v>
      </c>
      <c r="E746">
        <v>2.4041213508872561E-2</v>
      </c>
    </row>
    <row r="747" spans="2:5" x14ac:dyDescent="0.35">
      <c r="B747" s="2">
        <v>40050</v>
      </c>
      <c r="C747" s="4">
        <v>66.489999999999995</v>
      </c>
      <c r="D747">
        <f t="shared" si="14"/>
        <v>-0.9843747062472975</v>
      </c>
      <c r="E747">
        <v>2.4025874018173132E-2</v>
      </c>
    </row>
    <row r="748" spans="2:5" x14ac:dyDescent="0.35">
      <c r="B748" s="2">
        <v>44406</v>
      </c>
      <c r="C748" s="4">
        <v>4255.28</v>
      </c>
      <c r="D748">
        <f t="shared" si="14"/>
        <v>-0.44397375153860841</v>
      </c>
      <c r="E748">
        <v>2.3930237762372242E-2</v>
      </c>
    </row>
    <row r="749" spans="2:5" x14ac:dyDescent="0.35">
      <c r="B749" s="2">
        <v>44643</v>
      </c>
      <c r="C749" s="4">
        <v>7653.02</v>
      </c>
      <c r="D749">
        <f t="shared" si="14"/>
        <v>114.86707040121121</v>
      </c>
      <c r="E749">
        <v>2.3879762339571897E-2</v>
      </c>
    </row>
    <row r="750" spans="2:5" x14ac:dyDescent="0.35">
      <c r="B750" s="2">
        <v>39518</v>
      </c>
      <c r="C750" s="4">
        <v>66.05</v>
      </c>
      <c r="D750">
        <f t="shared" si="14"/>
        <v>1.9605558045719409</v>
      </c>
      <c r="E750">
        <v>2.387226786544705E-2</v>
      </c>
    </row>
    <row r="751" spans="2:5" x14ac:dyDescent="0.35">
      <c r="B751" s="2">
        <v>37739</v>
      </c>
      <c r="C751" s="4">
        <v>22.31</v>
      </c>
      <c r="D751">
        <f t="shared" si="14"/>
        <v>-0.3067122436295836</v>
      </c>
      <c r="E751">
        <v>2.3864157870582714E-2</v>
      </c>
    </row>
    <row r="752" spans="2:5" x14ac:dyDescent="0.35">
      <c r="B752" s="2">
        <v>38153</v>
      </c>
      <c r="C752" s="4">
        <v>32.18</v>
      </c>
      <c r="D752">
        <f t="shared" si="14"/>
        <v>-0.96547099155552218</v>
      </c>
      <c r="E752">
        <v>2.3862551702195312E-2</v>
      </c>
    </row>
    <row r="753" spans="2:5" x14ac:dyDescent="0.35">
      <c r="B753" s="2">
        <v>43402</v>
      </c>
      <c r="C753" s="4">
        <v>931.97</v>
      </c>
      <c r="D753">
        <f t="shared" si="14"/>
        <v>14.673898419105281</v>
      </c>
      <c r="E753">
        <v>2.3839080712316107E-2</v>
      </c>
    </row>
    <row r="754" spans="2:5" x14ac:dyDescent="0.35">
      <c r="B754" s="2">
        <v>38441</v>
      </c>
      <c r="C754" s="4">
        <v>59.46</v>
      </c>
      <c r="D754">
        <f t="shared" si="14"/>
        <v>-0.93607620112452561</v>
      </c>
      <c r="E754">
        <v>2.3760330578512345E-2</v>
      </c>
    </row>
    <row r="755" spans="2:5" x14ac:dyDescent="0.35">
      <c r="B755" s="2">
        <v>43139</v>
      </c>
      <c r="C755" s="4">
        <v>930.17</v>
      </c>
      <c r="D755">
        <f t="shared" si="14"/>
        <v>0.11080990709116523</v>
      </c>
      <c r="E755">
        <v>2.3694752597288149E-2</v>
      </c>
    </row>
    <row r="756" spans="2:5" x14ac:dyDescent="0.35">
      <c r="B756" s="2">
        <v>42985</v>
      </c>
      <c r="C756" s="4">
        <v>837.38</v>
      </c>
      <c r="D756">
        <f t="shared" si="14"/>
        <v>7.4251936814568875</v>
      </c>
      <c r="E756">
        <v>2.3691931540342326E-2</v>
      </c>
    </row>
    <row r="757" spans="2:5" x14ac:dyDescent="0.35">
      <c r="B757" s="2">
        <v>39175</v>
      </c>
      <c r="C757" s="4">
        <v>99.39</v>
      </c>
      <c r="D757">
        <f t="shared" si="14"/>
        <v>-0.98883452881801481</v>
      </c>
      <c r="E757">
        <v>2.3689360387269431E-2</v>
      </c>
    </row>
    <row r="758" spans="2:5" x14ac:dyDescent="0.35">
      <c r="B758" s="2">
        <v>44824</v>
      </c>
      <c r="C758" s="4">
        <v>8901.5499999999993</v>
      </c>
      <c r="D758">
        <f t="shared" si="14"/>
        <v>1.3715016451092961</v>
      </c>
      <c r="E758">
        <v>2.3590221240973319E-2</v>
      </c>
    </row>
    <row r="759" spans="2:5" x14ac:dyDescent="0.35">
      <c r="B759" s="2">
        <v>44357</v>
      </c>
      <c r="C759" s="4">
        <v>3753.55</v>
      </c>
      <c r="D759">
        <f t="shared" si="14"/>
        <v>52.591519131924613</v>
      </c>
      <c r="E759">
        <v>2.3535410826670766E-2</v>
      </c>
    </row>
    <row r="760" spans="2:5" x14ac:dyDescent="0.35">
      <c r="B760" s="2">
        <v>40087</v>
      </c>
      <c r="C760" s="4">
        <v>70.040000000000006</v>
      </c>
      <c r="D760">
        <f t="shared" si="14"/>
        <v>-0.9105937017322151</v>
      </c>
      <c r="E760">
        <v>2.3527692532514966E-2</v>
      </c>
    </row>
    <row r="761" spans="2:5" x14ac:dyDescent="0.35">
      <c r="B761" s="2">
        <v>43803</v>
      </c>
      <c r="C761" s="4">
        <v>783.39</v>
      </c>
      <c r="D761">
        <f t="shared" si="14"/>
        <v>5.2786727578744888</v>
      </c>
      <c r="E761">
        <v>2.3477306576781487E-2</v>
      </c>
    </row>
    <row r="762" spans="2:5" x14ac:dyDescent="0.35">
      <c r="B762" s="2">
        <v>40297</v>
      </c>
      <c r="C762" s="4">
        <v>124.77</v>
      </c>
      <c r="D762">
        <f t="shared" si="14"/>
        <v>-0.97079244540994047</v>
      </c>
      <c r="E762">
        <v>2.3459929456156159E-2</v>
      </c>
    </row>
    <row r="763" spans="2:5" x14ac:dyDescent="0.35">
      <c r="B763" s="2">
        <v>44420</v>
      </c>
      <c r="C763" s="4">
        <v>4271.84</v>
      </c>
      <c r="D763">
        <f t="shared" si="14"/>
        <v>69.866622428666219</v>
      </c>
      <c r="E763">
        <v>2.3430537321156519E-2</v>
      </c>
    </row>
    <row r="764" spans="2:5" x14ac:dyDescent="0.35">
      <c r="B764" s="2">
        <v>38481</v>
      </c>
      <c r="C764" s="4">
        <v>60.28</v>
      </c>
      <c r="D764">
        <f t="shared" si="14"/>
        <v>-0.46992613436510722</v>
      </c>
      <c r="E764">
        <v>2.3429541595925363E-2</v>
      </c>
    </row>
    <row r="765" spans="2:5" x14ac:dyDescent="0.35">
      <c r="B765" s="2">
        <v>39331</v>
      </c>
      <c r="C765" s="4">
        <v>113.72</v>
      </c>
      <c r="D765">
        <f t="shared" si="14"/>
        <v>-0.89038190896647451</v>
      </c>
      <c r="E765">
        <v>2.3398128149747954E-2</v>
      </c>
    </row>
    <row r="766" spans="2:5" x14ac:dyDescent="0.35">
      <c r="B766" s="2">
        <v>42360</v>
      </c>
      <c r="C766" s="4">
        <v>1037.42</v>
      </c>
      <c r="D766">
        <f t="shared" si="14"/>
        <v>9.897268907563026</v>
      </c>
      <c r="E766">
        <v>2.3389332254786899E-2</v>
      </c>
    </row>
    <row r="767" spans="2:5" x14ac:dyDescent="0.35">
      <c r="B767" s="2">
        <v>40422</v>
      </c>
      <c r="C767" s="4">
        <v>95.2</v>
      </c>
      <c r="D767">
        <f t="shared" si="14"/>
        <v>-0.21973608720596671</v>
      </c>
      <c r="E767">
        <v>2.332580887885638E-2</v>
      </c>
    </row>
    <row r="768" spans="2:5" x14ac:dyDescent="0.35">
      <c r="B768" s="2">
        <v>40255</v>
      </c>
      <c r="C768" s="4">
        <v>122.01</v>
      </c>
      <c r="D768">
        <f t="shared" si="14"/>
        <v>-0.54829513901743732</v>
      </c>
      <c r="E768">
        <v>2.3316279459867584E-2</v>
      </c>
    </row>
    <row r="769" spans="2:5" x14ac:dyDescent="0.35">
      <c r="B769" s="2">
        <v>41710</v>
      </c>
      <c r="C769" s="4">
        <v>270.11</v>
      </c>
      <c r="D769">
        <f t="shared" si="14"/>
        <v>-0.9371691090951384</v>
      </c>
      <c r="E769">
        <v>2.3298984694650748E-2</v>
      </c>
    </row>
    <row r="770" spans="2:5" x14ac:dyDescent="0.35">
      <c r="B770" s="2">
        <v>44411</v>
      </c>
      <c r="C770" s="4">
        <v>4299</v>
      </c>
      <c r="D770">
        <f t="shared" si="14"/>
        <v>43.720690731301367</v>
      </c>
      <c r="E770">
        <v>2.3230351787499437E-2</v>
      </c>
    </row>
    <row r="771" spans="2:5" x14ac:dyDescent="0.35">
      <c r="B771" s="2">
        <v>41128</v>
      </c>
      <c r="C771" s="4">
        <v>96.13</v>
      </c>
      <c r="D771">
        <f t="shared" si="14"/>
        <v>0.53439744612928974</v>
      </c>
      <c r="E771">
        <v>2.3203831825439059E-2</v>
      </c>
    </row>
    <row r="772" spans="2:5" x14ac:dyDescent="0.35">
      <c r="B772" s="2">
        <v>39666</v>
      </c>
      <c r="C772" s="4">
        <v>62.65</v>
      </c>
      <c r="D772">
        <f t="shared" ref="D772:D835" si="15">C772/C773-1</f>
        <v>-0.99252948260854013</v>
      </c>
      <c r="E772">
        <v>2.3191246121182507E-2</v>
      </c>
    </row>
    <row r="773" spans="2:5" x14ac:dyDescent="0.35">
      <c r="B773" s="2">
        <v>44764</v>
      </c>
      <c r="C773" s="4">
        <v>8386.2999999999993</v>
      </c>
      <c r="D773">
        <f t="shared" si="15"/>
        <v>171.69975288303127</v>
      </c>
      <c r="E773">
        <v>2.3181191513243826E-2</v>
      </c>
    </row>
    <row r="774" spans="2:5" x14ac:dyDescent="0.35">
      <c r="B774" s="2">
        <v>39722</v>
      </c>
      <c r="C774" s="4">
        <v>48.56</v>
      </c>
      <c r="D774">
        <f t="shared" si="15"/>
        <v>-0.90683932853717031</v>
      </c>
      <c r="E774">
        <v>2.3177412557943589E-2</v>
      </c>
    </row>
    <row r="775" spans="2:5" x14ac:dyDescent="0.35">
      <c r="B775" s="2">
        <v>42116</v>
      </c>
      <c r="C775" s="4">
        <v>521.25</v>
      </c>
      <c r="D775">
        <f t="shared" si="15"/>
        <v>-0.42393130277176072</v>
      </c>
      <c r="E775">
        <v>2.314215051230728E-2</v>
      </c>
    </row>
    <row r="776" spans="2:5" x14ac:dyDescent="0.35">
      <c r="B776" s="2">
        <v>42258</v>
      </c>
      <c r="C776" s="4">
        <v>904.84</v>
      </c>
      <c r="D776">
        <f t="shared" si="15"/>
        <v>-0.38919115959443229</v>
      </c>
      <c r="E776">
        <v>2.3111714156490271E-2</v>
      </c>
    </row>
    <row r="777" spans="2:5" x14ac:dyDescent="0.35">
      <c r="B777" s="2">
        <v>44146</v>
      </c>
      <c r="C777" s="4">
        <v>1481.38</v>
      </c>
      <c r="D777">
        <f t="shared" si="15"/>
        <v>0.79890466186596076</v>
      </c>
      <c r="E777">
        <v>2.3109011547599367E-2</v>
      </c>
    </row>
    <row r="778" spans="2:5" x14ac:dyDescent="0.35">
      <c r="B778" s="2">
        <v>43811</v>
      </c>
      <c r="C778" s="4">
        <v>823.49</v>
      </c>
      <c r="D778">
        <f t="shared" si="15"/>
        <v>36.144339197113212</v>
      </c>
      <c r="E778">
        <v>2.3108747779199579E-2</v>
      </c>
    </row>
    <row r="779" spans="2:5" x14ac:dyDescent="0.35">
      <c r="B779" s="2">
        <v>37732</v>
      </c>
      <c r="C779" s="4">
        <v>22.17</v>
      </c>
      <c r="D779">
        <f t="shared" si="15"/>
        <v>-0.65531716417910446</v>
      </c>
      <c r="E779">
        <v>2.3073373327180402E-2</v>
      </c>
    </row>
    <row r="780" spans="2:5" x14ac:dyDescent="0.35">
      <c r="B780" s="2">
        <v>38518</v>
      </c>
      <c r="C780" s="4">
        <v>64.319999999999993</v>
      </c>
      <c r="D780">
        <f t="shared" si="15"/>
        <v>0.85413663880080715</v>
      </c>
      <c r="E780">
        <v>2.3063464291394942E-2</v>
      </c>
    </row>
    <row r="781" spans="2:5" x14ac:dyDescent="0.35">
      <c r="B781" s="2">
        <v>39794</v>
      </c>
      <c r="C781" s="4">
        <v>34.69</v>
      </c>
      <c r="D781">
        <f t="shared" si="15"/>
        <v>-0.99607592502516884</v>
      </c>
      <c r="E781">
        <v>2.3002064287820811E-2</v>
      </c>
    </row>
    <row r="782" spans="2:5" x14ac:dyDescent="0.35">
      <c r="B782" s="2">
        <v>44776</v>
      </c>
      <c r="C782" s="4">
        <v>8840.2999999999993</v>
      </c>
      <c r="D782">
        <f t="shared" si="15"/>
        <v>1.0685693426899379</v>
      </c>
      <c r="E782">
        <v>2.2975670437122009E-2</v>
      </c>
    </row>
    <row r="783" spans="2:5" x14ac:dyDescent="0.35">
      <c r="B783" s="2">
        <v>44386</v>
      </c>
      <c r="C783" s="4">
        <v>4273.63</v>
      </c>
      <c r="D783">
        <f t="shared" si="15"/>
        <v>62.501188707280839</v>
      </c>
      <c r="E783">
        <v>2.2957498348381344E-2</v>
      </c>
    </row>
    <row r="784" spans="2:5" x14ac:dyDescent="0.35">
      <c r="B784" s="2">
        <v>38870</v>
      </c>
      <c r="C784" s="4">
        <v>67.3</v>
      </c>
      <c r="D784">
        <f t="shared" si="15"/>
        <v>-0.99259560797429913</v>
      </c>
      <c r="E784">
        <v>2.2951816385468726E-2</v>
      </c>
    </row>
    <row r="785" spans="2:5" x14ac:dyDescent="0.35">
      <c r="B785" s="2">
        <v>44817</v>
      </c>
      <c r="C785" s="4">
        <v>9089.2000000000007</v>
      </c>
      <c r="D785">
        <f t="shared" si="15"/>
        <v>0.459355226123634</v>
      </c>
      <c r="E785">
        <v>2.2936502577261653E-2</v>
      </c>
    </row>
    <row r="786" spans="2:5" x14ac:dyDescent="0.35">
      <c r="B786" s="2">
        <v>44483</v>
      </c>
      <c r="C786" s="4">
        <v>6228.23</v>
      </c>
      <c r="D786">
        <f t="shared" si="15"/>
        <v>87.34368794326241</v>
      </c>
      <c r="E786">
        <v>2.285070511357179E-2</v>
      </c>
    </row>
    <row r="787" spans="2:5" x14ac:dyDescent="0.35">
      <c r="B787" s="2">
        <v>38736</v>
      </c>
      <c r="C787" s="4">
        <v>70.5</v>
      </c>
      <c r="D787">
        <f t="shared" si="15"/>
        <v>-0.90359501702470979</v>
      </c>
      <c r="E787">
        <v>2.2776730015958035E-2</v>
      </c>
    </row>
    <row r="788" spans="2:5" x14ac:dyDescent="0.35">
      <c r="B788" s="2">
        <v>42849</v>
      </c>
      <c r="C788" s="4">
        <v>731.29</v>
      </c>
      <c r="D788">
        <f t="shared" si="15"/>
        <v>0.18870286085825727</v>
      </c>
      <c r="E788">
        <v>2.2768912322904455E-2</v>
      </c>
    </row>
    <row r="789" spans="2:5" x14ac:dyDescent="0.35">
      <c r="B789" s="2">
        <v>43698</v>
      </c>
      <c r="C789" s="4">
        <v>615.20000000000005</v>
      </c>
      <c r="D789">
        <f t="shared" si="15"/>
        <v>-0.3057843778916246</v>
      </c>
      <c r="E789">
        <v>2.2759388871340658E-2</v>
      </c>
    </row>
    <row r="790" spans="2:5" x14ac:dyDescent="0.35">
      <c r="B790" s="2">
        <v>43080</v>
      </c>
      <c r="C790" s="4">
        <v>886.18</v>
      </c>
      <c r="D790">
        <f t="shared" si="15"/>
        <v>11.798671288272676</v>
      </c>
      <c r="E790">
        <v>2.2747469618105587E-2</v>
      </c>
    </row>
    <row r="791" spans="2:5" x14ac:dyDescent="0.35">
      <c r="B791" s="2">
        <v>38945</v>
      </c>
      <c r="C791" s="4">
        <v>69.239999999999995</v>
      </c>
      <c r="D791">
        <f t="shared" si="15"/>
        <v>-1.283147989734823E-2</v>
      </c>
      <c r="E791">
        <v>2.2747415066469712E-2</v>
      </c>
    </row>
    <row r="792" spans="2:5" x14ac:dyDescent="0.35">
      <c r="B792" s="2">
        <v>38720</v>
      </c>
      <c r="C792" s="4">
        <v>70.14</v>
      </c>
      <c r="D792">
        <f t="shared" si="15"/>
        <v>-0.89656545398239218</v>
      </c>
      <c r="E792">
        <v>2.2747156605424257E-2</v>
      </c>
    </row>
    <row r="793" spans="2:5" x14ac:dyDescent="0.35">
      <c r="B793" s="2">
        <v>42782</v>
      </c>
      <c r="C793" s="4">
        <v>678.11</v>
      </c>
      <c r="D793">
        <f t="shared" si="15"/>
        <v>-0.2003608405462135</v>
      </c>
      <c r="E793">
        <v>2.2744068895826697E-2</v>
      </c>
    </row>
    <row r="794" spans="2:5" x14ac:dyDescent="0.35">
      <c r="B794" s="2">
        <v>42249</v>
      </c>
      <c r="C794" s="4">
        <v>848.02</v>
      </c>
      <c r="D794">
        <f t="shared" si="15"/>
        <v>0.19729485514203415</v>
      </c>
      <c r="E794">
        <v>2.2733576950444423E-2</v>
      </c>
    </row>
    <row r="795" spans="2:5" x14ac:dyDescent="0.35">
      <c r="B795" s="2">
        <v>43941</v>
      </c>
      <c r="C795" s="4">
        <v>708.28</v>
      </c>
      <c r="D795">
        <f t="shared" si="15"/>
        <v>10.647426410129912</v>
      </c>
      <c r="E795">
        <v>2.2713161504584578E-2</v>
      </c>
    </row>
    <row r="796" spans="2:5" x14ac:dyDescent="0.35">
      <c r="B796" s="2">
        <v>38442</v>
      </c>
      <c r="C796" s="4">
        <v>60.81</v>
      </c>
      <c r="D796">
        <f t="shared" si="15"/>
        <v>0.64529220779220786</v>
      </c>
      <c r="E796">
        <v>2.2704339051463185E-2</v>
      </c>
    </row>
    <row r="797" spans="2:5" x14ac:dyDescent="0.35">
      <c r="B797" s="2">
        <v>38181</v>
      </c>
      <c r="C797" s="4">
        <v>36.96</v>
      </c>
      <c r="D797">
        <f t="shared" si="15"/>
        <v>-0.33381398702235032</v>
      </c>
      <c r="E797">
        <v>2.2689540675152164E-2</v>
      </c>
    </row>
    <row r="798" spans="2:5" x14ac:dyDescent="0.35">
      <c r="B798" s="2">
        <v>40014</v>
      </c>
      <c r="C798" s="4">
        <v>55.48</v>
      </c>
      <c r="D798">
        <f t="shared" si="15"/>
        <v>-0.96570566709524286</v>
      </c>
      <c r="E798">
        <v>2.2672811059907705E-2</v>
      </c>
    </row>
    <row r="799" spans="2:5" x14ac:dyDescent="0.35">
      <c r="B799" s="2">
        <v>44180</v>
      </c>
      <c r="C799" s="4">
        <v>1617.76</v>
      </c>
      <c r="D799">
        <f t="shared" si="15"/>
        <v>3.5026580199838566</v>
      </c>
      <c r="E799">
        <v>2.2656012946293158E-2</v>
      </c>
    </row>
    <row r="800" spans="2:5" x14ac:dyDescent="0.35">
      <c r="B800" s="2">
        <v>42046</v>
      </c>
      <c r="C800" s="4">
        <v>359.29</v>
      </c>
      <c r="D800">
        <f t="shared" si="15"/>
        <v>2.140646853146853</v>
      </c>
      <c r="E800">
        <v>2.2627654124210306E-2</v>
      </c>
    </row>
    <row r="801" spans="2:5" x14ac:dyDescent="0.35">
      <c r="B801" s="2">
        <v>40457</v>
      </c>
      <c r="C801" s="4">
        <v>114.4</v>
      </c>
      <c r="D801">
        <f t="shared" si="15"/>
        <v>-0.891156462585034</v>
      </c>
      <c r="E801">
        <v>2.2615535889872085E-2</v>
      </c>
    </row>
    <row r="802" spans="2:5" x14ac:dyDescent="0.35">
      <c r="B802" s="2">
        <v>43872</v>
      </c>
      <c r="C802" s="4">
        <v>1051.05</v>
      </c>
      <c r="D802">
        <f t="shared" si="15"/>
        <v>25.054784333168069</v>
      </c>
      <c r="E802">
        <v>2.2571386875516852E-2</v>
      </c>
    </row>
    <row r="803" spans="2:5" x14ac:dyDescent="0.35">
      <c r="B803" s="2">
        <v>37441</v>
      </c>
      <c r="C803" s="4">
        <v>40.340000000000003</v>
      </c>
      <c r="D803">
        <f t="shared" si="15"/>
        <v>-0.95760378349973729</v>
      </c>
      <c r="E803">
        <v>2.2560202788339589E-2</v>
      </c>
    </row>
    <row r="804" spans="2:5" x14ac:dyDescent="0.35">
      <c r="B804" s="2">
        <v>43461</v>
      </c>
      <c r="C804" s="4">
        <v>951.5</v>
      </c>
      <c r="D804">
        <f t="shared" si="15"/>
        <v>2.9327932545259157</v>
      </c>
      <c r="E804">
        <v>2.2557522218998205E-2</v>
      </c>
    </row>
    <row r="805" spans="2:5" x14ac:dyDescent="0.35">
      <c r="B805" s="2">
        <v>41729</v>
      </c>
      <c r="C805" s="4">
        <v>241.94</v>
      </c>
      <c r="D805">
        <f t="shared" si="15"/>
        <v>1.7850811557499711</v>
      </c>
      <c r="E805">
        <v>2.2526520434470232E-2</v>
      </c>
    </row>
    <row r="806" spans="2:5" x14ac:dyDescent="0.35">
      <c r="B806" s="2">
        <v>41347</v>
      </c>
      <c r="C806" s="4">
        <v>86.87</v>
      </c>
      <c r="D806">
        <f t="shared" si="15"/>
        <v>-0.90313120274760805</v>
      </c>
      <c r="E806">
        <v>2.2481167608286334E-2</v>
      </c>
    </row>
    <row r="807" spans="2:5" x14ac:dyDescent="0.35">
      <c r="B807" s="2">
        <v>43089</v>
      </c>
      <c r="C807" s="4">
        <v>896.78</v>
      </c>
      <c r="D807">
        <f t="shared" si="15"/>
        <v>28.412266316825189</v>
      </c>
      <c r="E807">
        <v>2.2472550651601253E-2</v>
      </c>
    </row>
    <row r="808" spans="2:5" x14ac:dyDescent="0.35">
      <c r="B808" s="2">
        <v>37595</v>
      </c>
      <c r="C808" s="4">
        <v>30.49</v>
      </c>
      <c r="D808">
        <f t="shared" si="15"/>
        <v>-0.23179642227261277</v>
      </c>
      <c r="E808">
        <v>2.2468142186451878E-2</v>
      </c>
    </row>
    <row r="809" spans="2:5" x14ac:dyDescent="0.35">
      <c r="B809" s="2">
        <v>39931</v>
      </c>
      <c r="C809" s="4">
        <v>39.69</v>
      </c>
      <c r="D809">
        <f t="shared" si="15"/>
        <v>-0.53486464315012305</v>
      </c>
      <c r="E809">
        <v>2.2411128284389514E-2</v>
      </c>
    </row>
    <row r="810" spans="2:5" x14ac:dyDescent="0.35">
      <c r="B810" s="2">
        <v>41010</v>
      </c>
      <c r="C810" s="4">
        <v>85.33</v>
      </c>
      <c r="D810">
        <f t="shared" si="15"/>
        <v>-0.94357862163359496</v>
      </c>
      <c r="E810">
        <v>2.2405942966690739E-2</v>
      </c>
    </row>
    <row r="811" spans="2:5" x14ac:dyDescent="0.35">
      <c r="B811" s="2">
        <v>44138</v>
      </c>
      <c r="C811" s="4">
        <v>1512.37</v>
      </c>
      <c r="D811">
        <f t="shared" si="15"/>
        <v>-0.76286480799414202</v>
      </c>
      <c r="E811">
        <v>2.2389724522561938E-2</v>
      </c>
    </row>
    <row r="812" spans="2:5" x14ac:dyDescent="0.35">
      <c r="B812" s="2">
        <v>44510</v>
      </c>
      <c r="C812" s="4">
        <v>6377.67</v>
      </c>
      <c r="D812">
        <f t="shared" si="15"/>
        <v>9.160702905939333</v>
      </c>
      <c r="E812">
        <v>2.2352494217109831E-2</v>
      </c>
    </row>
    <row r="813" spans="2:5" x14ac:dyDescent="0.35">
      <c r="B813" s="2">
        <v>43752</v>
      </c>
      <c r="C813" s="4">
        <v>627.67999999999995</v>
      </c>
      <c r="D813">
        <f t="shared" si="15"/>
        <v>-0.50779847088806118</v>
      </c>
      <c r="E813">
        <v>2.2296780077851297E-2</v>
      </c>
    </row>
    <row r="814" spans="2:5" x14ac:dyDescent="0.35">
      <c r="B814" s="2">
        <v>44085</v>
      </c>
      <c r="C814" s="4">
        <v>1275.25</v>
      </c>
      <c r="D814">
        <f t="shared" si="15"/>
        <v>0.39770273676826795</v>
      </c>
      <c r="E814">
        <v>2.2269072602948414E-2</v>
      </c>
    </row>
    <row r="815" spans="2:5" x14ac:dyDescent="0.35">
      <c r="B815" s="2">
        <v>44040</v>
      </c>
      <c r="C815" s="4">
        <v>912.39</v>
      </c>
      <c r="D815">
        <f t="shared" si="15"/>
        <v>-0.54832625419550296</v>
      </c>
      <c r="E815">
        <v>2.2262806435710214E-2</v>
      </c>
    </row>
    <row r="816" spans="2:5" x14ac:dyDescent="0.35">
      <c r="B816" s="2">
        <v>44204</v>
      </c>
      <c r="C816" s="4">
        <v>2020.02</v>
      </c>
      <c r="D816">
        <f t="shared" si="15"/>
        <v>72.966312705968519</v>
      </c>
      <c r="E816">
        <v>2.2184213988604151E-2</v>
      </c>
    </row>
    <row r="817" spans="2:5" x14ac:dyDescent="0.35">
      <c r="B817" s="2">
        <v>38082</v>
      </c>
      <c r="C817" s="4">
        <v>27.31</v>
      </c>
      <c r="D817">
        <f t="shared" si="15"/>
        <v>-0.70937533255294238</v>
      </c>
      <c r="E817">
        <v>2.208083832335328E-2</v>
      </c>
    </row>
    <row r="818" spans="2:5" x14ac:dyDescent="0.35">
      <c r="B818" s="2">
        <v>39464</v>
      </c>
      <c r="C818" s="4">
        <v>93.97</v>
      </c>
      <c r="D818">
        <f t="shared" si="15"/>
        <v>3.2290729072907292</v>
      </c>
      <c r="E818">
        <v>2.2079617141614216E-2</v>
      </c>
    </row>
    <row r="819" spans="2:5" x14ac:dyDescent="0.35">
      <c r="B819" s="2">
        <v>37699</v>
      </c>
      <c r="C819" s="4">
        <v>22.22</v>
      </c>
      <c r="D819">
        <f t="shared" si="15"/>
        <v>-0.98011864391614401</v>
      </c>
      <c r="E819">
        <v>2.2079116835326706E-2</v>
      </c>
    </row>
    <row r="820" spans="2:5" x14ac:dyDescent="0.35">
      <c r="B820" s="2">
        <v>43376</v>
      </c>
      <c r="C820" s="4">
        <v>1117.6300000000001</v>
      </c>
      <c r="D820">
        <f t="shared" si="15"/>
        <v>18.306097771635862</v>
      </c>
      <c r="E820">
        <v>2.2076104948376418E-2</v>
      </c>
    </row>
    <row r="821" spans="2:5" x14ac:dyDescent="0.35">
      <c r="B821" s="2">
        <v>39965</v>
      </c>
      <c r="C821" s="4">
        <v>57.89</v>
      </c>
      <c r="D821">
        <f t="shared" si="15"/>
        <v>-0.92274019405036767</v>
      </c>
      <c r="E821">
        <v>2.206920903954801E-2</v>
      </c>
    </row>
    <row r="822" spans="2:5" x14ac:dyDescent="0.35">
      <c r="B822" s="2">
        <v>42919</v>
      </c>
      <c r="C822" s="4">
        <v>749.29</v>
      </c>
      <c r="D822">
        <f t="shared" si="15"/>
        <v>5.3103419235304026</v>
      </c>
      <c r="E822">
        <v>2.2056416412047142E-2</v>
      </c>
    </row>
    <row r="823" spans="2:5" x14ac:dyDescent="0.35">
      <c r="B823" s="2">
        <v>39272</v>
      </c>
      <c r="C823" s="4">
        <v>118.74</v>
      </c>
      <c r="D823">
        <f t="shared" si="15"/>
        <v>0.40637214260333998</v>
      </c>
      <c r="E823">
        <v>2.2034773627130244E-2</v>
      </c>
    </row>
    <row r="824" spans="2:5" x14ac:dyDescent="0.35">
      <c r="B824" s="2">
        <v>39028</v>
      </c>
      <c r="C824" s="4">
        <v>84.43</v>
      </c>
      <c r="D824">
        <f t="shared" si="15"/>
        <v>-0.87035501504821566</v>
      </c>
      <c r="E824">
        <v>2.2031231085825054E-2</v>
      </c>
    </row>
    <row r="825" spans="2:5" x14ac:dyDescent="0.35">
      <c r="B825" s="2">
        <v>42207</v>
      </c>
      <c r="C825" s="4">
        <v>651.24</v>
      </c>
      <c r="D825">
        <f t="shared" si="15"/>
        <v>-0.57328196257273156</v>
      </c>
      <c r="E825">
        <v>2.2001820407394623E-2</v>
      </c>
    </row>
    <row r="826" spans="2:5" x14ac:dyDescent="0.35">
      <c r="B826" s="2">
        <v>44125</v>
      </c>
      <c r="C826" s="4">
        <v>1526.16</v>
      </c>
      <c r="D826">
        <f t="shared" si="15"/>
        <v>0.60235182949236177</v>
      </c>
      <c r="E826">
        <v>2.1977580457230195E-2</v>
      </c>
    </row>
    <row r="827" spans="2:5" x14ac:dyDescent="0.35">
      <c r="B827" s="2">
        <v>43154</v>
      </c>
      <c r="C827" s="4">
        <v>952.45</v>
      </c>
      <c r="D827">
        <f t="shared" si="15"/>
        <v>6.8076071809164693</v>
      </c>
      <c r="E827">
        <v>2.1953025247052116E-2</v>
      </c>
    </row>
    <row r="828" spans="2:5" x14ac:dyDescent="0.35">
      <c r="B828" s="2">
        <v>40527</v>
      </c>
      <c r="C828" s="4">
        <v>121.99</v>
      </c>
      <c r="D828">
        <f t="shared" si="15"/>
        <v>2.3559834938101787</v>
      </c>
      <c r="E828">
        <v>2.1948563290608902E-2</v>
      </c>
    </row>
    <row r="829" spans="2:5" x14ac:dyDescent="0.35">
      <c r="B829" s="2">
        <v>37977</v>
      </c>
      <c r="C829" s="4">
        <v>36.35</v>
      </c>
      <c r="D829">
        <f t="shared" si="15"/>
        <v>-0.94170942912123157</v>
      </c>
      <c r="E829">
        <v>2.1928591509699169E-2</v>
      </c>
    </row>
    <row r="830" spans="2:5" x14ac:dyDescent="0.35">
      <c r="B830" s="2">
        <v>42205</v>
      </c>
      <c r="C830" s="4">
        <v>623.6</v>
      </c>
      <c r="D830">
        <f t="shared" si="15"/>
        <v>-0.89943719662640498</v>
      </c>
      <c r="E830">
        <v>2.1926518304873577E-2</v>
      </c>
    </row>
    <row r="831" spans="2:5" x14ac:dyDescent="0.35">
      <c r="B831" s="2">
        <v>45026</v>
      </c>
      <c r="C831" s="4">
        <v>6201.1</v>
      </c>
      <c r="D831">
        <f t="shared" si="15"/>
        <v>78.952294997421347</v>
      </c>
      <c r="E831">
        <v>2.1909478177039254E-2</v>
      </c>
    </row>
    <row r="832" spans="2:5" x14ac:dyDescent="0.35">
      <c r="B832" s="2">
        <v>38954</v>
      </c>
      <c r="C832" s="4">
        <v>77.56</v>
      </c>
      <c r="D832">
        <f t="shared" si="15"/>
        <v>0.37128712871287117</v>
      </c>
      <c r="E832">
        <v>2.1870882740447906E-2</v>
      </c>
    </row>
    <row r="833" spans="2:5" x14ac:dyDescent="0.35">
      <c r="B833" s="2">
        <v>38392</v>
      </c>
      <c r="C833" s="4">
        <v>56.56</v>
      </c>
      <c r="D833">
        <f t="shared" si="15"/>
        <v>-0.91123944634506138</v>
      </c>
      <c r="E833">
        <v>2.1860885275519326E-2</v>
      </c>
    </row>
    <row r="834" spans="2:5" x14ac:dyDescent="0.35">
      <c r="B834" s="2">
        <v>42206</v>
      </c>
      <c r="C834" s="4">
        <v>637.22</v>
      </c>
      <c r="D834">
        <f t="shared" si="15"/>
        <v>20.269025367156207</v>
      </c>
      <c r="E834">
        <v>2.1840923669018686E-2</v>
      </c>
    </row>
    <row r="835" spans="2:5" x14ac:dyDescent="0.35">
      <c r="B835" s="2">
        <v>38111</v>
      </c>
      <c r="C835" s="4">
        <v>29.96</v>
      </c>
      <c r="D835">
        <f t="shared" si="15"/>
        <v>-0.62615423009732973</v>
      </c>
      <c r="E835">
        <v>2.1828103683492417E-2</v>
      </c>
    </row>
    <row r="836" spans="2:5" x14ac:dyDescent="0.35">
      <c r="B836" s="2">
        <v>41439</v>
      </c>
      <c r="C836" s="4">
        <v>80.14</v>
      </c>
      <c r="D836">
        <f t="shared" ref="D836:D899" si="16">C836/C837-1</f>
        <v>-0.87523741320795845</v>
      </c>
      <c r="E836">
        <v>2.1802881550426978E-2</v>
      </c>
    </row>
    <row r="837" spans="2:5" x14ac:dyDescent="0.35">
      <c r="B837" s="2">
        <v>43724</v>
      </c>
      <c r="C837" s="4">
        <v>642.34</v>
      </c>
      <c r="D837">
        <f t="shared" si="16"/>
        <v>7.43740969394457</v>
      </c>
      <c r="E837">
        <v>2.1776823351626673E-2</v>
      </c>
    </row>
    <row r="838" spans="2:5" x14ac:dyDescent="0.35">
      <c r="B838" s="2">
        <v>38611</v>
      </c>
      <c r="C838" s="4">
        <v>76.13</v>
      </c>
      <c r="D838">
        <f t="shared" si="16"/>
        <v>-0.87600775256926011</v>
      </c>
      <c r="E838">
        <v>2.1742048047241891E-2</v>
      </c>
    </row>
    <row r="839" spans="2:5" x14ac:dyDescent="0.35">
      <c r="B839" s="2">
        <v>43749</v>
      </c>
      <c r="C839" s="4">
        <v>613.99</v>
      </c>
      <c r="D839">
        <f t="shared" si="16"/>
        <v>-0.63192916619208339</v>
      </c>
      <c r="E839">
        <v>2.1732980546819158E-2</v>
      </c>
    </row>
    <row r="840" spans="2:5" x14ac:dyDescent="0.35">
      <c r="B840" s="2">
        <v>44130</v>
      </c>
      <c r="C840" s="4">
        <v>1668.13</v>
      </c>
      <c r="D840">
        <f t="shared" si="16"/>
        <v>-0.55172256261421038</v>
      </c>
      <c r="E840">
        <v>2.1650191697595522E-2</v>
      </c>
    </row>
    <row r="841" spans="2:5" x14ac:dyDescent="0.35">
      <c r="B841" s="2">
        <v>44371</v>
      </c>
      <c r="C841" s="4">
        <v>3721.2</v>
      </c>
      <c r="D841">
        <f t="shared" si="16"/>
        <v>52.144815766923735</v>
      </c>
      <c r="E841">
        <v>2.1634087414891257E-2</v>
      </c>
    </row>
    <row r="842" spans="2:5" x14ac:dyDescent="0.35">
      <c r="B842" s="2">
        <v>38684</v>
      </c>
      <c r="C842" s="4">
        <v>70.02</v>
      </c>
      <c r="D842">
        <f t="shared" si="16"/>
        <v>-0.13061832629749204</v>
      </c>
      <c r="E842">
        <v>2.1593230230522176E-2</v>
      </c>
    </row>
    <row r="843" spans="2:5" x14ac:dyDescent="0.35">
      <c r="B843" s="2">
        <v>40872</v>
      </c>
      <c r="C843" s="4">
        <v>80.540000000000006</v>
      </c>
      <c r="D843">
        <f t="shared" si="16"/>
        <v>-0.9084418980060478</v>
      </c>
      <c r="E843">
        <v>2.156265854895989E-2</v>
      </c>
    </row>
    <row r="844" spans="2:5" x14ac:dyDescent="0.35">
      <c r="B844" s="2">
        <v>42268</v>
      </c>
      <c r="C844" s="4">
        <v>879.66</v>
      </c>
      <c r="D844">
        <f t="shared" si="16"/>
        <v>23.414654454621147</v>
      </c>
      <c r="E844">
        <v>2.1553826500987139E-2</v>
      </c>
    </row>
    <row r="845" spans="2:5" x14ac:dyDescent="0.35">
      <c r="B845" s="2">
        <v>38169</v>
      </c>
      <c r="C845" s="4">
        <v>36.03</v>
      </c>
      <c r="D845">
        <f t="shared" si="16"/>
        <v>-0.96261982819438108</v>
      </c>
      <c r="E845">
        <v>2.1548057839523516E-2</v>
      </c>
    </row>
    <row r="846" spans="2:5" x14ac:dyDescent="0.35">
      <c r="B846" s="2">
        <v>43434</v>
      </c>
      <c r="C846" s="4">
        <v>963.88</v>
      </c>
      <c r="D846">
        <f t="shared" si="16"/>
        <v>10.240583090379008</v>
      </c>
      <c r="E846">
        <v>2.1546287955063415E-2</v>
      </c>
    </row>
    <row r="847" spans="2:5" x14ac:dyDescent="0.35">
      <c r="B847" s="2">
        <v>40989</v>
      </c>
      <c r="C847" s="4">
        <v>85.75</v>
      </c>
      <c r="D847">
        <f t="shared" si="16"/>
        <v>1.6466049382716053</v>
      </c>
      <c r="E847">
        <v>2.1441334127456857E-2</v>
      </c>
    </row>
    <row r="848" spans="2:5" x14ac:dyDescent="0.35">
      <c r="B848" s="2">
        <v>39842</v>
      </c>
      <c r="C848" s="4">
        <v>32.4</v>
      </c>
      <c r="D848">
        <f t="shared" si="16"/>
        <v>-0.96927482906752904</v>
      </c>
      <c r="E848">
        <v>2.1437578814627933E-2</v>
      </c>
    </row>
    <row r="849" spans="2:5" x14ac:dyDescent="0.35">
      <c r="B849" s="2">
        <v>42402</v>
      </c>
      <c r="C849" s="4">
        <v>1054.51</v>
      </c>
      <c r="D849">
        <f t="shared" si="16"/>
        <v>38.465194610778447</v>
      </c>
      <c r="E849">
        <v>2.1435905383676346E-2</v>
      </c>
    </row>
    <row r="850" spans="2:5" x14ac:dyDescent="0.35">
      <c r="B850" s="2">
        <v>38079</v>
      </c>
      <c r="C850" s="4">
        <v>26.72</v>
      </c>
      <c r="D850">
        <f t="shared" si="16"/>
        <v>-0.72828960748423843</v>
      </c>
      <c r="E850">
        <v>2.1406727828746197E-2</v>
      </c>
    </row>
    <row r="851" spans="2:5" x14ac:dyDescent="0.35">
      <c r="B851" s="2">
        <v>39160</v>
      </c>
      <c r="C851" s="4">
        <v>98.34</v>
      </c>
      <c r="D851">
        <f t="shared" si="16"/>
        <v>2.2168792934249266</v>
      </c>
      <c r="E851">
        <v>2.1395928541753317E-2</v>
      </c>
    </row>
    <row r="852" spans="2:5" x14ac:dyDescent="0.35">
      <c r="B852" s="2">
        <v>38030</v>
      </c>
      <c r="C852" s="4">
        <v>30.57</v>
      </c>
      <c r="D852">
        <f t="shared" si="16"/>
        <v>-0.69466640031961646</v>
      </c>
      <c r="E852">
        <v>2.138322753090538E-2</v>
      </c>
    </row>
    <row r="853" spans="2:5" x14ac:dyDescent="0.35">
      <c r="B853" s="2">
        <v>39447</v>
      </c>
      <c r="C853" s="4">
        <v>100.12</v>
      </c>
      <c r="D853">
        <f t="shared" si="16"/>
        <v>-5.1669316375198004E-3</v>
      </c>
      <c r="E853">
        <v>2.1320004080383592E-2</v>
      </c>
    </row>
    <row r="854" spans="2:5" x14ac:dyDescent="0.35">
      <c r="B854" s="2">
        <v>39170</v>
      </c>
      <c r="C854" s="4">
        <v>100.64</v>
      </c>
      <c r="D854">
        <f t="shared" si="16"/>
        <v>-0.63780321024976616</v>
      </c>
      <c r="E854">
        <v>2.1311142683174245E-2</v>
      </c>
    </row>
    <row r="855" spans="2:5" x14ac:dyDescent="0.35">
      <c r="B855" s="2">
        <v>41878</v>
      </c>
      <c r="C855" s="4">
        <v>277.86</v>
      </c>
      <c r="D855">
        <f t="shared" si="16"/>
        <v>-0.96726938616847091</v>
      </c>
      <c r="E855">
        <v>2.1281287903848423E-2</v>
      </c>
    </row>
    <row r="856" spans="2:5" x14ac:dyDescent="0.35">
      <c r="B856" s="2">
        <v>44838</v>
      </c>
      <c r="C856" s="4">
        <v>8489.2999999999993</v>
      </c>
      <c r="D856">
        <f t="shared" si="16"/>
        <v>88.700972104818248</v>
      </c>
      <c r="E856">
        <v>2.126917293233066E-2</v>
      </c>
    </row>
    <row r="857" spans="2:5" x14ac:dyDescent="0.35">
      <c r="B857" s="2">
        <v>39084</v>
      </c>
      <c r="C857" s="4">
        <v>94.64</v>
      </c>
      <c r="D857">
        <f t="shared" si="16"/>
        <v>0.80404117422798316</v>
      </c>
      <c r="E857">
        <v>2.1258228121290523E-2</v>
      </c>
    </row>
    <row r="858" spans="2:5" x14ac:dyDescent="0.35">
      <c r="B858" s="2">
        <v>38292</v>
      </c>
      <c r="C858" s="4">
        <v>52.46</v>
      </c>
      <c r="D858">
        <f t="shared" si="16"/>
        <v>1.4756960830580463</v>
      </c>
      <c r="E858">
        <v>2.1218610083706402E-2</v>
      </c>
    </row>
    <row r="859" spans="2:5" x14ac:dyDescent="0.35">
      <c r="B859" s="2">
        <v>37755</v>
      </c>
      <c r="C859" s="4">
        <v>21.19</v>
      </c>
      <c r="D859">
        <f t="shared" si="16"/>
        <v>-0.71341628347308628</v>
      </c>
      <c r="E859">
        <v>2.12048192771086E-2</v>
      </c>
    </row>
    <row r="860" spans="2:5" x14ac:dyDescent="0.35">
      <c r="B860" s="2">
        <v>39596</v>
      </c>
      <c r="C860" s="4">
        <v>73.94</v>
      </c>
      <c r="D860">
        <f t="shared" si="16"/>
        <v>-0.91851264078996675</v>
      </c>
      <c r="E860">
        <v>2.1129678221240233E-2</v>
      </c>
    </row>
    <row r="861" spans="2:5" x14ac:dyDescent="0.35">
      <c r="B861" s="2">
        <v>43066</v>
      </c>
      <c r="C861" s="4">
        <v>907.38</v>
      </c>
      <c r="D861">
        <f t="shared" si="16"/>
        <v>12.547028963869812</v>
      </c>
      <c r="E861">
        <v>2.112287730275364E-2</v>
      </c>
    </row>
    <row r="862" spans="2:5" x14ac:dyDescent="0.35">
      <c r="B862" s="2">
        <v>38778</v>
      </c>
      <c r="C862" s="4">
        <v>66.98</v>
      </c>
      <c r="D862">
        <f t="shared" si="16"/>
        <v>-0.9142030025106318</v>
      </c>
      <c r="E862">
        <v>2.1036585365853844E-2</v>
      </c>
    </row>
    <row r="863" spans="2:5" x14ac:dyDescent="0.35">
      <c r="B863" s="2">
        <v>42975</v>
      </c>
      <c r="C863" s="4">
        <v>780.68</v>
      </c>
      <c r="D863">
        <f t="shared" si="16"/>
        <v>8.0702916230974786</v>
      </c>
      <c r="E863">
        <v>2.1003897360780455E-2</v>
      </c>
    </row>
    <row r="864" spans="2:5" x14ac:dyDescent="0.35">
      <c r="B864" s="2">
        <v>40813</v>
      </c>
      <c r="C864" s="4">
        <v>86.07</v>
      </c>
      <c r="D864">
        <f t="shared" si="16"/>
        <v>1.8054106910039112</v>
      </c>
      <c r="E864">
        <v>2.0996441281138756E-2</v>
      </c>
    </row>
    <row r="865" spans="2:5" x14ac:dyDescent="0.35">
      <c r="B865" s="2">
        <v>39903</v>
      </c>
      <c r="C865" s="4">
        <v>30.68</v>
      </c>
      <c r="D865">
        <f t="shared" si="16"/>
        <v>-0.96683099809721507</v>
      </c>
      <c r="E865">
        <v>2.0965058236272816E-2</v>
      </c>
    </row>
    <row r="866" spans="2:5" x14ac:dyDescent="0.35">
      <c r="B866" s="2">
        <v>43423</v>
      </c>
      <c r="C866" s="4">
        <v>924.96</v>
      </c>
      <c r="D866">
        <f t="shared" si="16"/>
        <v>-0.14734513274336281</v>
      </c>
      <c r="E866">
        <v>2.093842095387366E-2</v>
      </c>
    </row>
    <row r="867" spans="2:5" x14ac:dyDescent="0.35">
      <c r="B867" s="2">
        <v>44075</v>
      </c>
      <c r="C867" s="4">
        <v>1084.8</v>
      </c>
      <c r="D867">
        <f t="shared" si="16"/>
        <v>11.277048438207332</v>
      </c>
      <c r="E867">
        <v>2.0930582743562631E-2</v>
      </c>
    </row>
    <row r="868" spans="2:5" x14ac:dyDescent="0.35">
      <c r="B868" s="2">
        <v>40802</v>
      </c>
      <c r="C868" s="4">
        <v>88.36</v>
      </c>
      <c r="D868">
        <f t="shared" si="16"/>
        <v>0.43116294136702304</v>
      </c>
      <c r="E868">
        <v>2.0912767186597403E-2</v>
      </c>
    </row>
    <row r="869" spans="2:5" x14ac:dyDescent="0.35">
      <c r="B869" s="2">
        <v>40126</v>
      </c>
      <c r="C869" s="4">
        <v>61.74</v>
      </c>
      <c r="D869">
        <f t="shared" si="16"/>
        <v>-0.90332430358736671</v>
      </c>
      <c r="E869">
        <v>2.0833333333333481E-2</v>
      </c>
    </row>
    <row r="870" spans="2:5" x14ac:dyDescent="0.35">
      <c r="B870" s="2">
        <v>42733</v>
      </c>
      <c r="C870" s="4">
        <v>638.63</v>
      </c>
      <c r="D870">
        <f t="shared" si="16"/>
        <v>-0.58250472324096048</v>
      </c>
      <c r="E870">
        <v>2.0828005115089532E-2</v>
      </c>
    </row>
    <row r="871" spans="2:5" x14ac:dyDescent="0.35">
      <c r="B871" s="2">
        <v>44153</v>
      </c>
      <c r="C871" s="4">
        <v>1529.67</v>
      </c>
      <c r="D871">
        <f t="shared" si="16"/>
        <v>-0.76580219336051425</v>
      </c>
      <c r="E871">
        <v>2.0678196813195715E-2</v>
      </c>
    </row>
    <row r="872" spans="2:5" x14ac:dyDescent="0.35">
      <c r="B872" s="2">
        <v>44622</v>
      </c>
      <c r="C872" s="4">
        <v>6531.53</v>
      </c>
      <c r="D872">
        <f t="shared" si="16"/>
        <v>22.793413718990202</v>
      </c>
      <c r="E872">
        <v>2.0669577419889062E-2</v>
      </c>
    </row>
    <row r="873" spans="2:5" x14ac:dyDescent="0.35">
      <c r="B873" s="2">
        <v>41900</v>
      </c>
      <c r="C873" s="4">
        <v>274.51</v>
      </c>
      <c r="D873">
        <f t="shared" si="16"/>
        <v>-0.71756487025948101</v>
      </c>
      <c r="E873">
        <v>2.063503866745986E-2</v>
      </c>
    </row>
    <row r="874" spans="2:5" x14ac:dyDescent="0.35">
      <c r="B874" s="2">
        <v>42405</v>
      </c>
      <c r="C874" s="4">
        <v>971.94</v>
      </c>
      <c r="D874">
        <f t="shared" si="16"/>
        <v>13.762150668286756</v>
      </c>
      <c r="E874">
        <v>2.0623753019006763E-2</v>
      </c>
    </row>
    <row r="875" spans="2:5" x14ac:dyDescent="0.35">
      <c r="B875" s="2">
        <v>38776</v>
      </c>
      <c r="C875" s="4">
        <v>65.84</v>
      </c>
      <c r="D875">
        <f t="shared" si="16"/>
        <v>-0.1649968294229549</v>
      </c>
      <c r="E875">
        <v>2.0616958611068048E-2</v>
      </c>
    </row>
    <row r="876" spans="2:5" x14ac:dyDescent="0.35">
      <c r="B876" s="2">
        <v>39615</v>
      </c>
      <c r="C876" s="4">
        <v>78.849999999999994</v>
      </c>
      <c r="D876">
        <f t="shared" si="16"/>
        <v>-0.18652635922830918</v>
      </c>
      <c r="E876">
        <v>2.0579860212270207E-2</v>
      </c>
    </row>
    <row r="877" spans="2:5" x14ac:dyDescent="0.35">
      <c r="B877" s="2">
        <v>41134</v>
      </c>
      <c r="C877" s="4">
        <v>96.93</v>
      </c>
      <c r="D877">
        <f t="shared" si="16"/>
        <v>-0.98384965668232327</v>
      </c>
      <c r="E877">
        <v>2.0530638029058856E-2</v>
      </c>
    </row>
    <row r="878" spans="2:5" x14ac:dyDescent="0.35">
      <c r="B878" s="2">
        <v>44491</v>
      </c>
      <c r="C878" s="4">
        <v>6001.73</v>
      </c>
      <c r="D878">
        <f t="shared" si="16"/>
        <v>98.630312084993349</v>
      </c>
      <c r="E878">
        <v>2.0502792821131877E-2</v>
      </c>
    </row>
    <row r="879" spans="2:5" x14ac:dyDescent="0.35">
      <c r="B879" s="2">
        <v>38468</v>
      </c>
      <c r="C879" s="4">
        <v>60.24</v>
      </c>
      <c r="D879">
        <f t="shared" si="16"/>
        <v>-0.93665814958518656</v>
      </c>
      <c r="E879">
        <v>2.0498051838048426E-2</v>
      </c>
    </row>
    <row r="880" spans="2:5" x14ac:dyDescent="0.35">
      <c r="B880" s="2">
        <v>43403</v>
      </c>
      <c r="C880" s="4">
        <v>951.03</v>
      </c>
      <c r="D880">
        <f t="shared" si="16"/>
        <v>22.811467200801204</v>
      </c>
      <c r="E880">
        <v>2.0451302080539024E-2</v>
      </c>
    </row>
    <row r="881" spans="2:5" x14ac:dyDescent="0.35">
      <c r="B881" s="2">
        <v>38217</v>
      </c>
      <c r="C881" s="4">
        <v>39.94</v>
      </c>
      <c r="D881">
        <f t="shared" si="16"/>
        <v>0.37771645394963782</v>
      </c>
      <c r="E881">
        <v>2.0439448134900395E-2</v>
      </c>
    </row>
    <row r="882" spans="2:5" x14ac:dyDescent="0.35">
      <c r="B882" s="2">
        <v>38106</v>
      </c>
      <c r="C882" s="4">
        <v>28.99</v>
      </c>
      <c r="D882">
        <f t="shared" si="16"/>
        <v>-0.50856077301237501</v>
      </c>
      <c r="E882">
        <v>2.0415346708905213E-2</v>
      </c>
    </row>
    <row r="883" spans="2:5" x14ac:dyDescent="0.35">
      <c r="B883" s="2">
        <v>40029</v>
      </c>
      <c r="C883" s="4">
        <v>58.99</v>
      </c>
      <c r="D883">
        <f t="shared" si="16"/>
        <v>-0.94859124857294741</v>
      </c>
      <c r="E883">
        <v>2.0411693478636916E-2</v>
      </c>
    </row>
    <row r="884" spans="2:5" x14ac:dyDescent="0.35">
      <c r="B884" s="2">
        <v>43215</v>
      </c>
      <c r="C884" s="4">
        <v>1147.47</v>
      </c>
      <c r="D884">
        <f t="shared" si="16"/>
        <v>1.2429922983697566</v>
      </c>
      <c r="E884">
        <v>2.0354265592487986E-2</v>
      </c>
    </row>
    <row r="885" spans="2:5" x14ac:dyDescent="0.35">
      <c r="B885" s="2">
        <v>42135</v>
      </c>
      <c r="C885" s="4">
        <v>511.58</v>
      </c>
      <c r="D885">
        <f t="shared" si="16"/>
        <v>-0.53087144311272916</v>
      </c>
      <c r="E885">
        <v>2.0323500668142591E-2</v>
      </c>
    </row>
    <row r="886" spans="2:5" x14ac:dyDescent="0.35">
      <c r="B886" s="2">
        <v>43236</v>
      </c>
      <c r="C886" s="4">
        <v>1090.49</v>
      </c>
      <c r="D886">
        <f t="shared" si="16"/>
        <v>34.578792822185974</v>
      </c>
      <c r="E886">
        <v>2.031288010628951E-2</v>
      </c>
    </row>
    <row r="887" spans="2:5" x14ac:dyDescent="0.35">
      <c r="B887" s="2">
        <v>38147</v>
      </c>
      <c r="C887" s="4">
        <v>30.65</v>
      </c>
      <c r="D887">
        <f t="shared" si="16"/>
        <v>-0.97732115902566075</v>
      </c>
      <c r="E887">
        <v>2.0306258322237092E-2</v>
      </c>
    </row>
    <row r="888" spans="2:5" x14ac:dyDescent="0.35">
      <c r="B888" s="2">
        <v>43343</v>
      </c>
      <c r="C888" s="4">
        <v>1351.48</v>
      </c>
      <c r="D888">
        <f t="shared" si="16"/>
        <v>24.346586646661667</v>
      </c>
      <c r="E888">
        <v>2.0285216025849317E-2</v>
      </c>
    </row>
    <row r="889" spans="2:5" x14ac:dyDescent="0.35">
      <c r="B889" s="2">
        <v>38299</v>
      </c>
      <c r="C889" s="4">
        <v>53.32</v>
      </c>
      <c r="D889">
        <f t="shared" si="16"/>
        <v>0.10370523701097079</v>
      </c>
      <c r="E889">
        <v>2.0283199387677087E-2</v>
      </c>
    </row>
    <row r="890" spans="2:5" x14ac:dyDescent="0.35">
      <c r="B890" s="2">
        <v>38229</v>
      </c>
      <c r="C890" s="4">
        <v>48.31</v>
      </c>
      <c r="D890">
        <f t="shared" si="16"/>
        <v>0.88196338137904173</v>
      </c>
      <c r="E890">
        <v>2.0274551214361169E-2</v>
      </c>
    </row>
    <row r="891" spans="2:5" x14ac:dyDescent="0.35">
      <c r="B891" s="2">
        <v>38076</v>
      </c>
      <c r="C891" s="4">
        <v>25.67</v>
      </c>
      <c r="D891">
        <f t="shared" si="16"/>
        <v>-0.99063097653911847</v>
      </c>
      <c r="E891">
        <v>2.0270270270270396E-2</v>
      </c>
    </row>
    <row r="892" spans="2:5" x14ac:dyDescent="0.35">
      <c r="B892" s="2">
        <v>44271</v>
      </c>
      <c r="C892" s="4">
        <v>2739.88</v>
      </c>
      <c r="D892">
        <f t="shared" si="16"/>
        <v>28.530933390816987</v>
      </c>
      <c r="E892">
        <v>2.0249487991063075E-2</v>
      </c>
    </row>
    <row r="893" spans="2:5" x14ac:dyDescent="0.35">
      <c r="B893" s="2">
        <v>41120</v>
      </c>
      <c r="C893" s="4">
        <v>92.78</v>
      </c>
      <c r="D893">
        <f t="shared" si="16"/>
        <v>-0.87199933778489047</v>
      </c>
      <c r="E893">
        <v>2.0233120738948784E-2</v>
      </c>
    </row>
    <row r="894" spans="2:5" x14ac:dyDescent="0.35">
      <c r="B894" s="2">
        <v>42835</v>
      </c>
      <c r="C894" s="4">
        <v>724.84</v>
      </c>
      <c r="D894">
        <f t="shared" si="16"/>
        <v>5.8426319267440761</v>
      </c>
      <c r="E894">
        <v>2.0226047545990777E-2</v>
      </c>
    </row>
    <row r="895" spans="2:5" x14ac:dyDescent="0.35">
      <c r="B895" s="2">
        <v>40207</v>
      </c>
      <c r="C895" s="4">
        <v>105.93</v>
      </c>
      <c r="D895">
        <f t="shared" si="16"/>
        <v>-0.88688130706391155</v>
      </c>
      <c r="E895">
        <v>2.0225368390638598E-2</v>
      </c>
    </row>
    <row r="896" spans="2:5" x14ac:dyDescent="0.35">
      <c r="B896" s="2">
        <v>42487</v>
      </c>
      <c r="C896" s="4">
        <v>936.45</v>
      </c>
      <c r="D896">
        <f t="shared" si="16"/>
        <v>14.336554208974778</v>
      </c>
      <c r="E896">
        <v>2.0220287834054274E-2</v>
      </c>
    </row>
    <row r="897" spans="2:5" x14ac:dyDescent="0.35">
      <c r="B897" s="2">
        <v>38506</v>
      </c>
      <c r="C897" s="4">
        <v>61.06</v>
      </c>
      <c r="D897">
        <f t="shared" si="16"/>
        <v>-0.93018442927543188</v>
      </c>
      <c r="E897">
        <v>2.0217209690893911E-2</v>
      </c>
    </row>
    <row r="898" spans="2:5" x14ac:dyDescent="0.35">
      <c r="B898" s="2">
        <v>42417</v>
      </c>
      <c r="C898" s="4">
        <v>874.59</v>
      </c>
      <c r="D898">
        <f t="shared" si="16"/>
        <v>3.3406124373418038</v>
      </c>
      <c r="E898">
        <v>2.020366978898136E-2</v>
      </c>
    </row>
    <row r="899" spans="2:5" x14ac:dyDescent="0.35">
      <c r="B899" s="2">
        <v>41687</v>
      </c>
      <c r="C899" s="4">
        <v>201.49</v>
      </c>
      <c r="D899">
        <f t="shared" si="16"/>
        <v>0.85261125413755057</v>
      </c>
      <c r="E899">
        <v>2.0202531645569621E-2</v>
      </c>
    </row>
    <row r="900" spans="2:5" x14ac:dyDescent="0.35">
      <c r="B900" s="2">
        <v>39296</v>
      </c>
      <c r="C900" s="4">
        <v>108.76</v>
      </c>
      <c r="D900">
        <f t="shared" ref="D900:D963" si="17">C900/C901-1</f>
        <v>0.21356839991073429</v>
      </c>
      <c r="E900">
        <v>2.0166963699465468E-2</v>
      </c>
    </row>
    <row r="901" spans="2:5" x14ac:dyDescent="0.35">
      <c r="B901" s="2">
        <v>41068</v>
      </c>
      <c r="C901" s="4">
        <v>89.62</v>
      </c>
      <c r="D901">
        <f t="shared" si="17"/>
        <v>-0.8538391284493444</v>
      </c>
      <c r="E901">
        <v>2.014797951052949E-2</v>
      </c>
    </row>
    <row r="902" spans="2:5" x14ac:dyDescent="0.35">
      <c r="B902" s="2">
        <v>43685</v>
      </c>
      <c r="C902" s="4">
        <v>613.16</v>
      </c>
      <c r="D902">
        <f t="shared" si="17"/>
        <v>1.5051478999836574</v>
      </c>
      <c r="E902">
        <v>2.0114129801853231E-2</v>
      </c>
    </row>
    <row r="903" spans="2:5" x14ac:dyDescent="0.35">
      <c r="B903" s="2">
        <v>41746</v>
      </c>
      <c r="C903" s="4">
        <v>244.76</v>
      </c>
      <c r="D903">
        <f t="shared" si="17"/>
        <v>-0.7346660017778549</v>
      </c>
      <c r="E903">
        <v>2.0088355422188897E-2</v>
      </c>
    </row>
    <row r="904" spans="2:5" x14ac:dyDescent="0.35">
      <c r="B904" s="2">
        <v>43557</v>
      </c>
      <c r="C904" s="4">
        <v>922.46</v>
      </c>
      <c r="D904">
        <f t="shared" si="17"/>
        <v>0.105391187643048</v>
      </c>
      <c r="E904">
        <v>2.0081831250691184E-2</v>
      </c>
    </row>
    <row r="905" spans="2:5" x14ac:dyDescent="0.35">
      <c r="B905" s="2">
        <v>42523</v>
      </c>
      <c r="C905" s="4">
        <v>834.51</v>
      </c>
      <c r="D905">
        <f t="shared" si="17"/>
        <v>6.9742952699474436</v>
      </c>
      <c r="E905">
        <v>1.998386623643289E-2</v>
      </c>
    </row>
    <row r="906" spans="2:5" x14ac:dyDescent="0.35">
      <c r="B906" s="2">
        <v>40511</v>
      </c>
      <c r="C906" s="4">
        <v>104.65</v>
      </c>
      <c r="D906">
        <f t="shared" si="17"/>
        <v>-0.87070350144555086</v>
      </c>
      <c r="E906">
        <v>1.998050682261221E-2</v>
      </c>
    </row>
    <row r="907" spans="2:5" x14ac:dyDescent="0.35">
      <c r="B907" s="2">
        <v>42954</v>
      </c>
      <c r="C907" s="4">
        <v>809.38</v>
      </c>
      <c r="D907">
        <f t="shared" si="17"/>
        <v>13.667995650598042</v>
      </c>
      <c r="E907">
        <v>1.9974040048895469E-2</v>
      </c>
    </row>
    <row r="908" spans="2:5" x14ac:dyDescent="0.35">
      <c r="B908" s="2">
        <v>40024</v>
      </c>
      <c r="C908" s="4">
        <v>55.18</v>
      </c>
      <c r="D908">
        <f t="shared" si="17"/>
        <v>-0.20990836197021767</v>
      </c>
      <c r="E908">
        <v>1.9963031423290145E-2</v>
      </c>
    </row>
    <row r="909" spans="2:5" x14ac:dyDescent="0.35">
      <c r="B909" s="2">
        <v>38713</v>
      </c>
      <c r="C909" s="4">
        <v>69.84</v>
      </c>
      <c r="D909">
        <f t="shared" si="17"/>
        <v>-0.95487964027754446</v>
      </c>
      <c r="E909">
        <v>1.985981308411211E-2</v>
      </c>
    </row>
    <row r="910" spans="2:5" x14ac:dyDescent="0.35">
      <c r="B910" s="2">
        <v>44140</v>
      </c>
      <c r="C910" s="4">
        <v>1547.86</v>
      </c>
      <c r="D910">
        <f t="shared" si="17"/>
        <v>0.43234164623143467</v>
      </c>
      <c r="E910">
        <v>1.9831857474172487E-2</v>
      </c>
    </row>
    <row r="911" spans="2:5" x14ac:dyDescent="0.35">
      <c r="B911" s="2">
        <v>44068</v>
      </c>
      <c r="C911" s="4">
        <v>1080.6500000000001</v>
      </c>
      <c r="D911">
        <f t="shared" si="17"/>
        <v>9.2044381491973564</v>
      </c>
      <c r="E911">
        <v>1.9827488581027453E-2</v>
      </c>
    </row>
    <row r="912" spans="2:5" x14ac:dyDescent="0.35">
      <c r="B912" s="2">
        <v>40634</v>
      </c>
      <c r="C912" s="4">
        <v>105.9</v>
      </c>
      <c r="D912">
        <f t="shared" si="17"/>
        <v>-0.98517392290439909</v>
      </c>
      <c r="E912">
        <v>1.9740009629273025E-2</v>
      </c>
    </row>
    <row r="913" spans="2:5" x14ac:dyDescent="0.35">
      <c r="B913" s="2">
        <v>44586</v>
      </c>
      <c r="C913" s="4">
        <v>7142.82</v>
      </c>
      <c r="D913">
        <f t="shared" si="17"/>
        <v>113.8178749397203</v>
      </c>
      <c r="E913">
        <v>1.9671606933313379E-2</v>
      </c>
    </row>
    <row r="914" spans="2:5" x14ac:dyDescent="0.35">
      <c r="B914" s="2">
        <v>39548</v>
      </c>
      <c r="C914" s="4">
        <v>62.21</v>
      </c>
      <c r="D914">
        <f t="shared" si="17"/>
        <v>-6.9965615189116481E-2</v>
      </c>
      <c r="E914">
        <v>1.9668906736600711E-2</v>
      </c>
    </row>
    <row r="915" spans="2:5" x14ac:dyDescent="0.35">
      <c r="B915" s="2">
        <v>38805</v>
      </c>
      <c r="C915" s="4">
        <v>66.89</v>
      </c>
      <c r="D915">
        <f t="shared" si="17"/>
        <v>0.25191839790379933</v>
      </c>
      <c r="E915">
        <v>1.9664634146341564E-2</v>
      </c>
    </row>
    <row r="916" spans="2:5" x14ac:dyDescent="0.35">
      <c r="B916" s="2">
        <v>39995</v>
      </c>
      <c r="C916" s="4">
        <v>53.43</v>
      </c>
      <c r="D916">
        <f t="shared" si="17"/>
        <v>-0.26958304853041704</v>
      </c>
      <c r="E916">
        <v>1.9656488549618434E-2</v>
      </c>
    </row>
    <row r="917" spans="2:5" x14ac:dyDescent="0.35">
      <c r="B917" s="2">
        <v>39490</v>
      </c>
      <c r="C917" s="4">
        <v>73.150000000000006</v>
      </c>
      <c r="D917">
        <f t="shared" si="17"/>
        <v>-0.89480269213069485</v>
      </c>
      <c r="E917">
        <v>1.9654307220518641E-2</v>
      </c>
    </row>
    <row r="918" spans="2:5" x14ac:dyDescent="0.35">
      <c r="B918" s="2">
        <v>43761</v>
      </c>
      <c r="C918" s="4">
        <v>695.36</v>
      </c>
      <c r="D918">
        <f t="shared" si="17"/>
        <v>-0.92265742743850554</v>
      </c>
      <c r="E918">
        <v>1.9649246290105005E-2</v>
      </c>
    </row>
    <row r="919" spans="2:5" x14ac:dyDescent="0.35">
      <c r="B919" s="2">
        <v>44826</v>
      </c>
      <c r="C919" s="4">
        <v>8990.65</v>
      </c>
      <c r="D919">
        <f t="shared" si="17"/>
        <v>9.8872002906272716</v>
      </c>
      <c r="E919">
        <v>1.9637085341650096E-2</v>
      </c>
    </row>
    <row r="920" spans="2:5" x14ac:dyDescent="0.35">
      <c r="B920" s="2">
        <v>42324</v>
      </c>
      <c r="C920" s="4">
        <v>825.8</v>
      </c>
      <c r="D920">
        <f t="shared" si="17"/>
        <v>8.6607393542349076</v>
      </c>
      <c r="E920">
        <v>1.9569109204271795E-2</v>
      </c>
    </row>
    <row r="921" spans="2:5" x14ac:dyDescent="0.35">
      <c r="B921" s="2">
        <v>40920</v>
      </c>
      <c r="C921" s="4">
        <v>85.48</v>
      </c>
      <c r="D921">
        <f t="shared" si="17"/>
        <v>-0.89033292706395539</v>
      </c>
      <c r="E921">
        <v>1.9561068702290019E-2</v>
      </c>
    </row>
    <row r="922" spans="2:5" x14ac:dyDescent="0.35">
      <c r="B922" s="2">
        <v>43767</v>
      </c>
      <c r="C922" s="4">
        <v>779.45</v>
      </c>
      <c r="D922">
        <f t="shared" si="17"/>
        <v>-4.1561635413464471E-2</v>
      </c>
      <c r="E922">
        <v>1.9555264879006051E-2</v>
      </c>
    </row>
    <row r="923" spans="2:5" x14ac:dyDescent="0.35">
      <c r="B923" s="2">
        <v>42327</v>
      </c>
      <c r="C923" s="4">
        <v>813.25</v>
      </c>
      <c r="D923">
        <f t="shared" si="17"/>
        <v>6.9079152080902366</v>
      </c>
      <c r="E923">
        <v>1.9531886619780225E-2</v>
      </c>
    </row>
    <row r="924" spans="2:5" x14ac:dyDescent="0.35">
      <c r="B924" s="2">
        <v>41290</v>
      </c>
      <c r="C924" s="4">
        <v>102.84</v>
      </c>
      <c r="D924">
        <f t="shared" si="17"/>
        <v>-0.89481758767757968</v>
      </c>
      <c r="E924">
        <v>1.953008823237834E-2</v>
      </c>
    </row>
    <row r="925" spans="2:5" x14ac:dyDescent="0.35">
      <c r="B925" s="2">
        <v>44049</v>
      </c>
      <c r="C925" s="4">
        <v>977.73</v>
      </c>
      <c r="D925">
        <f t="shared" si="17"/>
        <v>10.040311653116531</v>
      </c>
      <c r="E925">
        <v>1.9477608049632611E-2</v>
      </c>
    </row>
    <row r="926" spans="2:5" x14ac:dyDescent="0.35">
      <c r="B926" s="2">
        <v>41348</v>
      </c>
      <c r="C926" s="4">
        <v>88.56</v>
      </c>
      <c r="D926">
        <f t="shared" si="17"/>
        <v>0.39662513799085319</v>
      </c>
      <c r="E926">
        <v>1.9454357085299856E-2</v>
      </c>
    </row>
    <row r="927" spans="2:5" x14ac:dyDescent="0.35">
      <c r="B927" s="2">
        <v>38537</v>
      </c>
      <c r="C927" s="4">
        <v>63.41</v>
      </c>
      <c r="D927">
        <f t="shared" si="17"/>
        <v>-0.2719862227324914</v>
      </c>
      <c r="E927">
        <v>1.9453376205787576E-2</v>
      </c>
    </row>
    <row r="928" spans="2:5" x14ac:dyDescent="0.35">
      <c r="B928" s="2">
        <v>40977</v>
      </c>
      <c r="C928" s="4">
        <v>87.1</v>
      </c>
      <c r="D928">
        <f t="shared" si="17"/>
        <v>2.85910500664599</v>
      </c>
      <c r="E928">
        <v>1.9428838951310867E-2</v>
      </c>
    </row>
    <row r="929" spans="2:5" x14ac:dyDescent="0.35">
      <c r="B929" s="2">
        <v>37714</v>
      </c>
      <c r="C929" s="4">
        <v>22.57</v>
      </c>
      <c r="D929">
        <f t="shared" si="17"/>
        <v>-0.15720687079910378</v>
      </c>
      <c r="E929">
        <v>1.9421860885275422E-2</v>
      </c>
    </row>
    <row r="930" spans="2:5" x14ac:dyDescent="0.35">
      <c r="B930" s="2">
        <v>37575</v>
      </c>
      <c r="C930" s="4">
        <v>26.78</v>
      </c>
      <c r="D930">
        <f t="shared" si="17"/>
        <v>-0.73727067595408613</v>
      </c>
      <c r="E930">
        <v>1.9413779977160317E-2</v>
      </c>
    </row>
    <row r="931" spans="2:5" x14ac:dyDescent="0.35">
      <c r="B931" s="2">
        <v>39134</v>
      </c>
      <c r="C931" s="4">
        <v>101.93</v>
      </c>
      <c r="D931">
        <f t="shared" si="17"/>
        <v>-9.7804921224995511E-2</v>
      </c>
      <c r="E931">
        <v>1.9401940194019529E-2</v>
      </c>
    </row>
    <row r="932" spans="2:5" x14ac:dyDescent="0.35">
      <c r="B932" s="2">
        <v>39308</v>
      </c>
      <c r="C932" s="4">
        <v>112.98</v>
      </c>
      <c r="D932">
        <f t="shared" si="17"/>
        <v>0.197202500794744</v>
      </c>
      <c r="E932">
        <v>1.9399079671569064E-2</v>
      </c>
    </row>
    <row r="933" spans="2:5" x14ac:dyDescent="0.35">
      <c r="B933" s="2">
        <v>41092</v>
      </c>
      <c r="C933" s="4">
        <v>94.37</v>
      </c>
      <c r="D933">
        <f t="shared" si="17"/>
        <v>-0.66805023039853673</v>
      </c>
      <c r="E933">
        <v>1.9334629509613288E-2</v>
      </c>
    </row>
    <row r="934" spans="2:5" x14ac:dyDescent="0.35">
      <c r="B934" s="2">
        <v>41953</v>
      </c>
      <c r="C934" s="4">
        <v>284.29000000000002</v>
      </c>
      <c r="D934">
        <f t="shared" si="17"/>
        <v>3.6990082644628099</v>
      </c>
      <c r="E934">
        <v>1.9252832353362948E-2</v>
      </c>
    </row>
    <row r="935" spans="2:5" x14ac:dyDescent="0.35">
      <c r="B935" s="2">
        <v>38429</v>
      </c>
      <c r="C935" s="4">
        <v>60.5</v>
      </c>
      <c r="D935">
        <f t="shared" si="17"/>
        <v>-0.93473922657893316</v>
      </c>
      <c r="E935">
        <v>1.9204851752021579E-2</v>
      </c>
    </row>
    <row r="936" spans="2:5" x14ac:dyDescent="0.35">
      <c r="B936" s="2">
        <v>43851</v>
      </c>
      <c r="C936" s="4">
        <v>927.05</v>
      </c>
      <c r="D936">
        <f t="shared" si="17"/>
        <v>10.539083893452824</v>
      </c>
      <c r="E936">
        <v>1.9161847804577636E-2</v>
      </c>
    </row>
    <row r="937" spans="2:5" x14ac:dyDescent="0.35">
      <c r="B937" s="2">
        <v>41521</v>
      </c>
      <c r="C937" s="4">
        <v>80.34</v>
      </c>
      <c r="D937">
        <f t="shared" si="17"/>
        <v>-0.24591702646893188</v>
      </c>
      <c r="E937">
        <v>1.9155143980718048E-2</v>
      </c>
    </row>
    <row r="938" spans="2:5" x14ac:dyDescent="0.35">
      <c r="B938" s="2">
        <v>39120</v>
      </c>
      <c r="C938" s="4">
        <v>106.54</v>
      </c>
      <c r="D938">
        <f t="shared" si="17"/>
        <v>-0.88589604909447262</v>
      </c>
      <c r="E938">
        <v>1.9131432944327509E-2</v>
      </c>
    </row>
    <row r="939" spans="2:5" x14ac:dyDescent="0.35">
      <c r="B939" s="2">
        <v>43426</v>
      </c>
      <c r="C939" s="4">
        <v>933.71</v>
      </c>
      <c r="D939">
        <f t="shared" si="17"/>
        <v>3.1441125560339094</v>
      </c>
      <c r="E939">
        <v>1.9111547697009401E-2</v>
      </c>
    </row>
    <row r="940" spans="2:5" x14ac:dyDescent="0.35">
      <c r="B940" s="2">
        <v>41691</v>
      </c>
      <c r="C940" s="4">
        <v>225.31</v>
      </c>
      <c r="D940">
        <f t="shared" si="17"/>
        <v>2.29545122129589</v>
      </c>
      <c r="E940">
        <v>1.9087249536387851E-2</v>
      </c>
    </row>
    <row r="941" spans="2:5" x14ac:dyDescent="0.35">
      <c r="B941" s="2">
        <v>40081</v>
      </c>
      <c r="C941" s="4">
        <v>68.37</v>
      </c>
      <c r="D941">
        <f t="shared" si="17"/>
        <v>-0.37896266690889269</v>
      </c>
      <c r="E941">
        <v>1.907884930690118E-2</v>
      </c>
    </row>
    <row r="942" spans="2:5" x14ac:dyDescent="0.35">
      <c r="B942" s="2">
        <v>40361</v>
      </c>
      <c r="C942" s="4">
        <v>110.09</v>
      </c>
      <c r="D942">
        <f t="shared" si="17"/>
        <v>2.672114743162108</v>
      </c>
      <c r="E942">
        <v>1.9068777191521002E-2</v>
      </c>
    </row>
    <row r="943" spans="2:5" x14ac:dyDescent="0.35">
      <c r="B943" s="2">
        <v>37614</v>
      </c>
      <c r="C943" s="4">
        <v>29.98</v>
      </c>
      <c r="D943">
        <f t="shared" si="17"/>
        <v>-0.69408163265306122</v>
      </c>
      <c r="E943">
        <v>1.903467029231809E-2</v>
      </c>
    </row>
    <row r="944" spans="2:5" x14ac:dyDescent="0.35">
      <c r="B944" s="2">
        <v>40326</v>
      </c>
      <c r="C944" s="4">
        <v>98</v>
      </c>
      <c r="D944">
        <f t="shared" si="17"/>
        <v>-0.98895507080588541</v>
      </c>
      <c r="E944">
        <v>1.902880316106903E-2</v>
      </c>
    </row>
    <row r="945" spans="2:5" x14ac:dyDescent="0.35">
      <c r="B945" s="2">
        <v>44809</v>
      </c>
      <c r="C945" s="4">
        <v>8872.85</v>
      </c>
      <c r="D945">
        <f t="shared" si="17"/>
        <v>21.633666649660732</v>
      </c>
      <c r="E945">
        <v>1.9018633897039949E-2</v>
      </c>
    </row>
    <row r="946" spans="2:5" x14ac:dyDescent="0.35">
      <c r="B946" s="2">
        <v>42048</v>
      </c>
      <c r="C946" s="4">
        <v>392.02</v>
      </c>
      <c r="D946">
        <f t="shared" si="17"/>
        <v>-0.54422108800037206</v>
      </c>
      <c r="E946">
        <v>1.9001325673884129E-2</v>
      </c>
    </row>
    <row r="947" spans="2:5" x14ac:dyDescent="0.35">
      <c r="B947" s="2">
        <v>42433</v>
      </c>
      <c r="C947" s="4">
        <v>860.11</v>
      </c>
      <c r="D947">
        <f t="shared" si="17"/>
        <v>24.394449365219963</v>
      </c>
      <c r="E947">
        <v>1.8991090891858464E-2</v>
      </c>
    </row>
    <row r="948" spans="2:5" x14ac:dyDescent="0.35">
      <c r="B948" s="2">
        <v>39923</v>
      </c>
      <c r="C948" s="4">
        <v>33.869999999999997</v>
      </c>
      <c r="D948">
        <f t="shared" si="17"/>
        <v>-0.95570754161817206</v>
      </c>
      <c r="E948">
        <v>1.8953068592057587E-2</v>
      </c>
    </row>
    <row r="949" spans="2:5" x14ac:dyDescent="0.35">
      <c r="B949" s="2">
        <v>43971</v>
      </c>
      <c r="C949" s="4">
        <v>764.69</v>
      </c>
      <c r="D949">
        <f t="shared" si="17"/>
        <v>0.13972933496288786</v>
      </c>
      <c r="E949">
        <v>1.8948125841139696E-2</v>
      </c>
    </row>
    <row r="950" spans="2:5" x14ac:dyDescent="0.35">
      <c r="B950" s="2">
        <v>42767</v>
      </c>
      <c r="C950" s="4">
        <v>670.94</v>
      </c>
      <c r="D950">
        <f t="shared" si="17"/>
        <v>-0.23896053810641893</v>
      </c>
      <c r="E950">
        <v>1.8937840752046409E-2</v>
      </c>
    </row>
    <row r="951" spans="2:5" x14ac:dyDescent="0.35">
      <c r="B951" s="2">
        <v>43844</v>
      </c>
      <c r="C951" s="4">
        <v>881.61</v>
      </c>
      <c r="D951">
        <f t="shared" si="17"/>
        <v>8.7815377787640081</v>
      </c>
      <c r="E951">
        <v>1.8919606120844978E-2</v>
      </c>
    </row>
    <row r="952" spans="2:5" x14ac:dyDescent="0.35">
      <c r="B952" s="2">
        <v>39440</v>
      </c>
      <c r="C952" s="4">
        <v>90.13</v>
      </c>
      <c r="D952">
        <f t="shared" si="17"/>
        <v>0.34642963848222297</v>
      </c>
      <c r="E952">
        <v>1.8878589192855566E-2</v>
      </c>
    </row>
    <row r="953" spans="2:5" x14ac:dyDescent="0.35">
      <c r="B953" s="2">
        <v>38810</v>
      </c>
      <c r="C953" s="4">
        <v>66.94</v>
      </c>
      <c r="D953">
        <f t="shared" si="17"/>
        <v>-0.19086183971956971</v>
      </c>
      <c r="E953">
        <v>1.8873668188736703E-2</v>
      </c>
    </row>
    <row r="954" spans="2:5" x14ac:dyDescent="0.35">
      <c r="B954" s="2">
        <v>41550</v>
      </c>
      <c r="C954" s="4">
        <v>82.73</v>
      </c>
      <c r="D954">
        <f t="shared" si="17"/>
        <v>-0.91262053887345662</v>
      </c>
      <c r="E954">
        <v>1.8842364532019706E-2</v>
      </c>
    </row>
    <row r="955" spans="2:5" x14ac:dyDescent="0.35">
      <c r="B955" s="2">
        <v>44046</v>
      </c>
      <c r="C955" s="4">
        <v>946.79</v>
      </c>
      <c r="D955">
        <f t="shared" si="17"/>
        <v>33.303985507246374</v>
      </c>
      <c r="E955">
        <v>1.8831581099549188E-2</v>
      </c>
    </row>
    <row r="956" spans="2:5" x14ac:dyDescent="0.35">
      <c r="B956" s="2">
        <v>37880</v>
      </c>
      <c r="C956" s="4">
        <v>27.6</v>
      </c>
      <c r="D956">
        <f t="shared" si="17"/>
        <v>-0.55281918340894354</v>
      </c>
      <c r="E956">
        <v>1.8826135105205033E-2</v>
      </c>
    </row>
    <row r="957" spans="2:5" x14ac:dyDescent="0.35">
      <c r="B957" s="2">
        <v>38418</v>
      </c>
      <c r="C957" s="4">
        <v>61.72</v>
      </c>
      <c r="D957">
        <f t="shared" si="17"/>
        <v>-0.73167550647769763</v>
      </c>
      <c r="E957">
        <v>1.881809177946514E-2</v>
      </c>
    </row>
    <row r="958" spans="2:5" x14ac:dyDescent="0.35">
      <c r="B958" s="2">
        <v>41786</v>
      </c>
      <c r="C958" s="4">
        <v>230.02</v>
      </c>
      <c r="D958">
        <f t="shared" si="17"/>
        <v>4.8071194142893212</v>
      </c>
      <c r="E958">
        <v>1.8779342723004744E-2</v>
      </c>
    </row>
    <row r="959" spans="2:5" x14ac:dyDescent="0.35">
      <c r="B959" s="2">
        <v>38197</v>
      </c>
      <c r="C959" s="4">
        <v>39.61</v>
      </c>
      <c r="D959">
        <f t="shared" si="17"/>
        <v>-0.99315261491972773</v>
      </c>
      <c r="E959">
        <v>1.8775720164609044E-2</v>
      </c>
    </row>
    <row r="960" spans="2:5" x14ac:dyDescent="0.35">
      <c r="B960" s="2">
        <v>44560</v>
      </c>
      <c r="C960" s="4">
        <v>5784.69</v>
      </c>
      <c r="D960">
        <f t="shared" si="17"/>
        <v>1.9335912935878445</v>
      </c>
      <c r="E960">
        <v>1.8757770975911248E-2</v>
      </c>
    </row>
    <row r="961" spans="2:5" x14ac:dyDescent="0.35">
      <c r="B961" s="2">
        <v>44202</v>
      </c>
      <c r="C961" s="4">
        <v>1971.88</v>
      </c>
      <c r="D961">
        <f t="shared" si="17"/>
        <v>6.4033414679932417</v>
      </c>
      <c r="E961">
        <v>1.8743542054143525E-2</v>
      </c>
    </row>
    <row r="962" spans="2:5" x14ac:dyDescent="0.35">
      <c r="B962" s="2">
        <v>41831</v>
      </c>
      <c r="C962" s="4">
        <v>266.35000000000002</v>
      </c>
      <c r="D962">
        <f t="shared" si="17"/>
        <v>2.8191855463148845</v>
      </c>
      <c r="E962">
        <v>1.8702669624416801E-2</v>
      </c>
    </row>
    <row r="963" spans="2:5" x14ac:dyDescent="0.35">
      <c r="B963" s="2">
        <v>39568</v>
      </c>
      <c r="C963" s="4">
        <v>69.739999999999995</v>
      </c>
      <c r="D963">
        <f t="shared" si="17"/>
        <v>-0.974032840600216</v>
      </c>
      <c r="E963">
        <v>1.8697049371896091E-2</v>
      </c>
    </row>
    <row r="964" spans="2:5" x14ac:dyDescent="0.35">
      <c r="B964" s="2">
        <v>44250</v>
      </c>
      <c r="C964" s="4">
        <v>2685.7</v>
      </c>
      <c r="D964">
        <f t="shared" ref="D964:D1027" si="18">C964/C965-1</f>
        <v>101.66437308868501</v>
      </c>
      <c r="E964">
        <v>1.8692014170731408E-2</v>
      </c>
    </row>
    <row r="965" spans="2:5" x14ac:dyDescent="0.35">
      <c r="B965" s="2">
        <v>38063</v>
      </c>
      <c r="C965" s="4">
        <v>26.16</v>
      </c>
      <c r="D965">
        <f t="shared" si="18"/>
        <v>-0.7003093137816474</v>
      </c>
      <c r="E965">
        <v>1.8691588785046731E-2</v>
      </c>
    </row>
    <row r="966" spans="2:5" x14ac:dyDescent="0.35">
      <c r="B966" s="2">
        <v>40834</v>
      </c>
      <c r="C966" s="4">
        <v>87.29</v>
      </c>
      <c r="D966">
        <f t="shared" si="18"/>
        <v>-0.98933712826839804</v>
      </c>
      <c r="E966">
        <v>1.8671957054498867E-2</v>
      </c>
    </row>
    <row r="967" spans="2:5" x14ac:dyDescent="0.35">
      <c r="B967" s="2">
        <v>44741</v>
      </c>
      <c r="C967" s="4">
        <v>8186.35</v>
      </c>
      <c r="D967">
        <f t="shared" si="18"/>
        <v>276.12762356127286</v>
      </c>
      <c r="E967">
        <v>1.8620826956337933E-2</v>
      </c>
    </row>
    <row r="968" spans="2:5" x14ac:dyDescent="0.35">
      <c r="B968" s="2">
        <v>39885</v>
      </c>
      <c r="C968" s="4">
        <v>29.54</v>
      </c>
      <c r="D968">
        <f t="shared" si="18"/>
        <v>-0.99585220132409413</v>
      </c>
      <c r="E968">
        <v>1.8620689655172384E-2</v>
      </c>
    </row>
    <row r="969" spans="2:5" x14ac:dyDescent="0.35">
      <c r="B969" s="2">
        <v>45056</v>
      </c>
      <c r="C969" s="4">
        <v>7121.85</v>
      </c>
      <c r="D969">
        <f t="shared" si="18"/>
        <v>89.782026768642453</v>
      </c>
      <c r="E969">
        <v>1.8578508141505745E-2</v>
      </c>
    </row>
    <row r="970" spans="2:5" x14ac:dyDescent="0.35">
      <c r="B970" s="2">
        <v>41453</v>
      </c>
      <c r="C970" s="4">
        <v>78.45</v>
      </c>
      <c r="D970">
        <f t="shared" si="18"/>
        <v>0.98557327258921812</v>
      </c>
      <c r="E970">
        <v>1.8566606076343861E-2</v>
      </c>
    </row>
    <row r="971" spans="2:5" x14ac:dyDescent="0.35">
      <c r="B971" s="2">
        <v>38189</v>
      </c>
      <c r="C971" s="4">
        <v>39.51</v>
      </c>
      <c r="D971">
        <f t="shared" si="18"/>
        <v>-0.45465838509316781</v>
      </c>
      <c r="E971">
        <v>1.8561484918793392E-2</v>
      </c>
    </row>
    <row r="972" spans="2:5" x14ac:dyDescent="0.35">
      <c r="B972" s="2">
        <v>38580</v>
      </c>
      <c r="C972" s="4">
        <v>72.45</v>
      </c>
      <c r="D972">
        <f t="shared" si="18"/>
        <v>-0.92065664972840366</v>
      </c>
      <c r="E972">
        <v>1.8557570645297394E-2</v>
      </c>
    </row>
    <row r="973" spans="2:5" x14ac:dyDescent="0.35">
      <c r="B973" s="2">
        <v>42397</v>
      </c>
      <c r="C973" s="4">
        <v>913.12</v>
      </c>
      <c r="D973">
        <f t="shared" si="18"/>
        <v>-0.27201989922826708</v>
      </c>
      <c r="E973">
        <v>1.8516039798331274E-2</v>
      </c>
    </row>
    <row r="974" spans="2:5" x14ac:dyDescent="0.35">
      <c r="B974" s="2">
        <v>43276</v>
      </c>
      <c r="C974" s="4">
        <v>1254.32</v>
      </c>
      <c r="D974">
        <f t="shared" si="18"/>
        <v>11.237268292682927</v>
      </c>
      <c r="E974">
        <v>1.8505436327170166E-2</v>
      </c>
    </row>
    <row r="975" spans="2:5" x14ac:dyDescent="0.35">
      <c r="B975" s="2">
        <v>39171</v>
      </c>
      <c r="C975" s="4">
        <v>102.5</v>
      </c>
      <c r="D975">
        <f t="shared" si="18"/>
        <v>-0.98250778616835188</v>
      </c>
      <c r="E975">
        <v>1.8481717011128662E-2</v>
      </c>
    </row>
    <row r="976" spans="2:5" x14ac:dyDescent="0.35">
      <c r="B976" s="2">
        <v>44473</v>
      </c>
      <c r="C976" s="4">
        <v>5859.75</v>
      </c>
      <c r="D976">
        <f t="shared" si="18"/>
        <v>9.8085549857970271</v>
      </c>
      <c r="E976">
        <v>1.8467020074737217E-2</v>
      </c>
    </row>
    <row r="977" spans="2:5" x14ac:dyDescent="0.35">
      <c r="B977" s="2">
        <v>42185</v>
      </c>
      <c r="C977" s="4">
        <v>542.14</v>
      </c>
      <c r="D977">
        <f t="shared" si="18"/>
        <v>4.1426674255359508</v>
      </c>
      <c r="E977">
        <v>1.8466682947906321E-2</v>
      </c>
    </row>
    <row r="978" spans="2:5" x14ac:dyDescent="0.35">
      <c r="B978" s="2">
        <v>40746</v>
      </c>
      <c r="C978" s="4">
        <v>105.42</v>
      </c>
      <c r="D978">
        <f t="shared" si="18"/>
        <v>-0.98357086641783487</v>
      </c>
      <c r="E978">
        <v>1.8452323447009977E-2</v>
      </c>
    </row>
    <row r="979" spans="2:5" x14ac:dyDescent="0.35">
      <c r="B979" s="2">
        <v>44929</v>
      </c>
      <c r="C979" s="4">
        <v>6416.65</v>
      </c>
      <c r="D979">
        <f t="shared" si="18"/>
        <v>61.412703044450922</v>
      </c>
      <c r="E979">
        <v>1.8451209447019279E-2</v>
      </c>
    </row>
    <row r="980" spans="2:5" x14ac:dyDescent="0.35">
      <c r="B980" s="2">
        <v>40676</v>
      </c>
      <c r="C980" s="4">
        <v>102.81</v>
      </c>
      <c r="D980">
        <f t="shared" si="18"/>
        <v>-0.79961798584988408</v>
      </c>
      <c r="E980">
        <v>1.8424962852897409E-2</v>
      </c>
    </row>
    <row r="981" spans="2:5" x14ac:dyDescent="0.35">
      <c r="B981" s="2">
        <v>42173</v>
      </c>
      <c r="C981" s="4">
        <v>513.07000000000005</v>
      </c>
      <c r="D981">
        <f t="shared" si="18"/>
        <v>-0.42143010182794116</v>
      </c>
      <c r="E981">
        <v>1.8400158793171917E-2</v>
      </c>
    </row>
    <row r="982" spans="2:5" x14ac:dyDescent="0.35">
      <c r="B982" s="2">
        <v>43061</v>
      </c>
      <c r="C982" s="4">
        <v>886.79</v>
      </c>
      <c r="D982">
        <f t="shared" si="18"/>
        <v>-0.89524720780102884</v>
      </c>
      <c r="E982">
        <v>1.8397510249549276E-2</v>
      </c>
    </row>
    <row r="983" spans="2:5" x14ac:dyDescent="0.35">
      <c r="B983" s="2">
        <v>44848</v>
      </c>
      <c r="C983" s="4">
        <v>8465.5499999999993</v>
      </c>
      <c r="D983">
        <f t="shared" si="18"/>
        <v>94.916043507817804</v>
      </c>
      <c r="E983">
        <v>1.8369151374077353E-2</v>
      </c>
    </row>
    <row r="984" spans="2:5" x14ac:dyDescent="0.35">
      <c r="B984" s="2">
        <v>39050</v>
      </c>
      <c r="C984" s="4">
        <v>88.26</v>
      </c>
      <c r="D984">
        <f t="shared" si="18"/>
        <v>-0.87333161112546287</v>
      </c>
      <c r="E984">
        <v>1.8345448251990248E-2</v>
      </c>
    </row>
    <row r="985" spans="2:5" x14ac:dyDescent="0.35">
      <c r="B985" s="2">
        <v>42817</v>
      </c>
      <c r="C985" s="4">
        <v>696.78</v>
      </c>
      <c r="D985">
        <f t="shared" si="18"/>
        <v>-7.8747653171853949E-2</v>
      </c>
      <c r="E985">
        <v>1.8326902841108383E-2</v>
      </c>
    </row>
    <row r="986" spans="2:5" x14ac:dyDescent="0.35">
      <c r="B986" s="2">
        <v>43983</v>
      </c>
      <c r="C986" s="4">
        <v>756.34</v>
      </c>
      <c r="D986">
        <f t="shared" si="18"/>
        <v>-6.7156723689241304E-2</v>
      </c>
      <c r="E986">
        <v>1.8296869740828114E-2</v>
      </c>
    </row>
    <row r="987" spans="2:5" x14ac:dyDescent="0.35">
      <c r="B987" s="2">
        <v>43630</v>
      </c>
      <c r="C987" s="4">
        <v>810.79</v>
      </c>
      <c r="D987">
        <f t="shared" si="18"/>
        <v>-0.90312875981060414</v>
      </c>
      <c r="E987">
        <v>1.8273384909072599E-2</v>
      </c>
    </row>
    <row r="988" spans="2:5" x14ac:dyDescent="0.35">
      <c r="B988" s="2">
        <v>44701</v>
      </c>
      <c r="C988" s="4">
        <v>8369.77</v>
      </c>
      <c r="D988">
        <f t="shared" si="18"/>
        <v>79.656933603160837</v>
      </c>
      <c r="E988">
        <v>1.8266029006172024E-2</v>
      </c>
    </row>
    <row r="989" spans="2:5" x14ac:dyDescent="0.35">
      <c r="B989" s="2">
        <v>40332</v>
      </c>
      <c r="C989" s="4">
        <v>103.77</v>
      </c>
      <c r="D989">
        <f t="shared" si="18"/>
        <v>0.14777126424068143</v>
      </c>
      <c r="E989">
        <v>1.8251398292611132E-2</v>
      </c>
    </row>
    <row r="990" spans="2:5" x14ac:dyDescent="0.35">
      <c r="B990" s="2">
        <v>39052</v>
      </c>
      <c r="C990" s="4">
        <v>90.41</v>
      </c>
      <c r="D990">
        <f t="shared" si="18"/>
        <v>-0.11992601966319483</v>
      </c>
      <c r="E990">
        <v>1.8245297893906942E-2</v>
      </c>
    </row>
    <row r="991" spans="2:5" x14ac:dyDescent="0.35">
      <c r="B991" s="2">
        <v>41276</v>
      </c>
      <c r="C991" s="4">
        <v>102.73</v>
      </c>
      <c r="D991">
        <f t="shared" si="18"/>
        <v>-0.10824652777777777</v>
      </c>
      <c r="E991">
        <v>1.8237684606997817E-2</v>
      </c>
    </row>
    <row r="992" spans="2:5" x14ac:dyDescent="0.35">
      <c r="B992" s="2">
        <v>40462</v>
      </c>
      <c r="C992" s="4">
        <v>115.2</v>
      </c>
      <c r="D992">
        <f t="shared" si="18"/>
        <v>0.1570912012856569</v>
      </c>
      <c r="E992">
        <v>1.8207530493194346E-2</v>
      </c>
    </row>
    <row r="993" spans="2:5" x14ac:dyDescent="0.35">
      <c r="B993" s="2">
        <v>40616</v>
      </c>
      <c r="C993" s="4">
        <v>99.56</v>
      </c>
      <c r="D993">
        <f t="shared" si="18"/>
        <v>0.91094049904030716</v>
      </c>
      <c r="E993">
        <v>1.8204131724278927E-2</v>
      </c>
    </row>
    <row r="994" spans="2:5" x14ac:dyDescent="0.35">
      <c r="B994" s="2">
        <v>38264</v>
      </c>
      <c r="C994" s="4">
        <v>52.1</v>
      </c>
      <c r="D994">
        <f t="shared" si="18"/>
        <v>-0.99154046369949644</v>
      </c>
      <c r="E994">
        <v>1.8174711745163163E-2</v>
      </c>
    </row>
    <row r="995" spans="2:5" x14ac:dyDescent="0.35">
      <c r="B995" s="2">
        <v>44503</v>
      </c>
      <c r="C995" s="4">
        <v>6158.73</v>
      </c>
      <c r="D995">
        <f t="shared" si="18"/>
        <v>117.14176098215997</v>
      </c>
      <c r="E995">
        <v>1.8167119646080865E-2</v>
      </c>
    </row>
    <row r="996" spans="2:5" x14ac:dyDescent="0.35">
      <c r="B996" s="2">
        <v>38252</v>
      </c>
      <c r="C996" s="4">
        <v>52.13</v>
      </c>
      <c r="D996">
        <f t="shared" si="18"/>
        <v>-0.9218909199880132</v>
      </c>
      <c r="E996">
        <v>1.8164062499999911E-2</v>
      </c>
    </row>
    <row r="997" spans="2:5" x14ac:dyDescent="0.35">
      <c r="B997" s="2">
        <v>43741</v>
      </c>
      <c r="C997" s="4">
        <v>667.4</v>
      </c>
      <c r="D997">
        <f t="shared" si="18"/>
        <v>0.14243653605847406</v>
      </c>
      <c r="E997">
        <v>1.8154080854309695E-2</v>
      </c>
    </row>
    <row r="998" spans="2:5" x14ac:dyDescent="0.35">
      <c r="B998" s="2">
        <v>42100</v>
      </c>
      <c r="C998" s="4">
        <v>584.19000000000005</v>
      </c>
      <c r="D998">
        <f t="shared" si="18"/>
        <v>8.8931414055884854</v>
      </c>
      <c r="E998">
        <v>1.8142842204329268E-2</v>
      </c>
    </row>
    <row r="999" spans="2:5" x14ac:dyDescent="0.35">
      <c r="B999" s="2">
        <v>38887</v>
      </c>
      <c r="C999" s="4">
        <v>59.05</v>
      </c>
      <c r="D999">
        <f t="shared" si="18"/>
        <v>-0.36763760976654525</v>
      </c>
      <c r="E999">
        <v>1.8103448275861966E-2</v>
      </c>
    </row>
    <row r="1000" spans="2:5" x14ac:dyDescent="0.35">
      <c r="B1000" s="2">
        <v>41158</v>
      </c>
      <c r="C1000" s="4">
        <v>93.38</v>
      </c>
      <c r="D1000">
        <f t="shared" si="18"/>
        <v>1.5142703284868064</v>
      </c>
      <c r="E1000">
        <v>1.8098560837330968E-2</v>
      </c>
    </row>
    <row r="1001" spans="2:5" x14ac:dyDescent="0.35">
      <c r="B1001" s="2">
        <v>39759</v>
      </c>
      <c r="C1001" s="4">
        <v>37.14</v>
      </c>
      <c r="D1001">
        <f t="shared" si="18"/>
        <v>-0.86648932345963048</v>
      </c>
      <c r="E1001">
        <v>1.8092105263157965E-2</v>
      </c>
    </row>
    <row r="1002" spans="2:5" x14ac:dyDescent="0.35">
      <c r="B1002" s="2">
        <v>42009</v>
      </c>
      <c r="C1002" s="4">
        <v>278.18</v>
      </c>
      <c r="D1002">
        <f t="shared" si="18"/>
        <v>-0.95164063382791386</v>
      </c>
      <c r="E1002">
        <v>1.8079344166300748E-2</v>
      </c>
    </row>
    <row r="1003" spans="2:5" x14ac:dyDescent="0.35">
      <c r="B1003" s="2">
        <v>44530</v>
      </c>
      <c r="C1003" s="4">
        <v>5752.35</v>
      </c>
      <c r="D1003">
        <f t="shared" si="18"/>
        <v>187.29296235679215</v>
      </c>
      <c r="E1003">
        <v>1.8012342117698088E-2</v>
      </c>
    </row>
    <row r="1004" spans="2:5" x14ac:dyDescent="0.35">
      <c r="B1004" s="2">
        <v>37621</v>
      </c>
      <c r="C1004" s="4">
        <v>30.55</v>
      </c>
      <c r="D1004">
        <f t="shared" si="18"/>
        <v>-0.71012430021823703</v>
      </c>
      <c r="E1004">
        <v>1.7994001999333431E-2</v>
      </c>
    </row>
    <row r="1005" spans="2:5" x14ac:dyDescent="0.35">
      <c r="B1005" s="2">
        <v>41109</v>
      </c>
      <c r="C1005" s="4">
        <v>105.39</v>
      </c>
      <c r="D1005">
        <f t="shared" si="18"/>
        <v>-0.97129120130754565</v>
      </c>
      <c r="E1005">
        <v>1.79658070124602E-2</v>
      </c>
    </row>
    <row r="1006" spans="2:5" x14ac:dyDescent="0.35">
      <c r="B1006" s="2">
        <v>44369</v>
      </c>
      <c r="C1006" s="4">
        <v>3671</v>
      </c>
      <c r="D1006">
        <f t="shared" si="18"/>
        <v>0.40113969030652541</v>
      </c>
      <c r="E1006">
        <v>1.7960584876727248E-2</v>
      </c>
    </row>
    <row r="1007" spans="2:5" x14ac:dyDescent="0.35">
      <c r="B1007" s="2">
        <v>44281</v>
      </c>
      <c r="C1007" s="4">
        <v>2620.0100000000002</v>
      </c>
      <c r="D1007">
        <f t="shared" si="18"/>
        <v>-0.64532967293293642</v>
      </c>
      <c r="E1007">
        <v>1.7957953057553322E-2</v>
      </c>
    </row>
    <row r="1008" spans="2:5" x14ac:dyDescent="0.35">
      <c r="B1008" s="2">
        <v>44596</v>
      </c>
      <c r="C1008" s="4">
        <v>7387.17</v>
      </c>
      <c r="D1008">
        <f t="shared" si="18"/>
        <v>61.629673590504453</v>
      </c>
      <c r="E1008">
        <v>1.7952594017547341E-2</v>
      </c>
    </row>
    <row r="1009" spans="2:5" x14ac:dyDescent="0.35">
      <c r="B1009" s="2">
        <v>39255</v>
      </c>
      <c r="C1009" s="4">
        <v>117.95</v>
      </c>
      <c r="D1009">
        <f t="shared" si="18"/>
        <v>-0.85501634830493889</v>
      </c>
      <c r="E1009">
        <v>1.7951152153275141E-2</v>
      </c>
    </row>
    <row r="1010" spans="2:5" x14ac:dyDescent="0.35">
      <c r="B1010" s="2">
        <v>43987</v>
      </c>
      <c r="C1010" s="4">
        <v>813.54</v>
      </c>
      <c r="D1010">
        <f t="shared" si="18"/>
        <v>0.25144597587989148</v>
      </c>
      <c r="E1010">
        <v>1.7930206078502486E-2</v>
      </c>
    </row>
    <row r="1011" spans="2:5" x14ac:dyDescent="0.35">
      <c r="B1011" s="2">
        <v>42734</v>
      </c>
      <c r="C1011" s="4">
        <v>650.08000000000004</v>
      </c>
      <c r="D1011">
        <f t="shared" si="18"/>
        <v>2.9463364293085661</v>
      </c>
      <c r="E1011">
        <v>1.7929004274775728E-2</v>
      </c>
    </row>
    <row r="1012" spans="2:5" x14ac:dyDescent="0.35">
      <c r="B1012" s="2">
        <v>41632</v>
      </c>
      <c r="C1012" s="4">
        <v>164.73</v>
      </c>
      <c r="D1012">
        <f t="shared" si="18"/>
        <v>1.7345617529880477</v>
      </c>
      <c r="E1012">
        <v>1.7920039547673294E-2</v>
      </c>
    </row>
    <row r="1013" spans="2:5" x14ac:dyDescent="0.35">
      <c r="B1013" s="2">
        <v>39541</v>
      </c>
      <c r="C1013" s="4">
        <v>60.24</v>
      </c>
      <c r="D1013">
        <f t="shared" si="18"/>
        <v>-0.92849427265713103</v>
      </c>
      <c r="E1013">
        <v>1.7911456573166618E-2</v>
      </c>
    </row>
    <row r="1014" spans="2:5" x14ac:dyDescent="0.35">
      <c r="B1014" s="2">
        <v>42989</v>
      </c>
      <c r="C1014" s="4">
        <v>842.45</v>
      </c>
      <c r="D1014">
        <f t="shared" si="18"/>
        <v>-0.87573200772941162</v>
      </c>
      <c r="E1014">
        <v>1.78942535401867E-2</v>
      </c>
    </row>
    <row r="1015" spans="2:5" x14ac:dyDescent="0.35">
      <c r="B1015" s="2">
        <v>45054</v>
      </c>
      <c r="C1015" s="4">
        <v>6779.3</v>
      </c>
      <c r="D1015">
        <f t="shared" si="18"/>
        <v>22.840554227036151</v>
      </c>
      <c r="E1015">
        <v>1.7874704402987884E-2</v>
      </c>
    </row>
    <row r="1016" spans="2:5" x14ac:dyDescent="0.35">
      <c r="B1016" s="2">
        <v>41843</v>
      </c>
      <c r="C1016" s="4">
        <v>284.36</v>
      </c>
      <c r="D1016">
        <f t="shared" si="18"/>
        <v>10.338118022328549</v>
      </c>
      <c r="E1016">
        <v>1.7861617210151337E-2</v>
      </c>
    </row>
    <row r="1017" spans="2:5" x14ac:dyDescent="0.35">
      <c r="B1017" s="2">
        <v>37827</v>
      </c>
      <c r="C1017" s="4">
        <v>25.08</v>
      </c>
      <c r="D1017">
        <f t="shared" si="18"/>
        <v>-0.97821138776432159</v>
      </c>
      <c r="E1017">
        <v>1.7857142857142794E-2</v>
      </c>
    </row>
    <row r="1018" spans="2:5" x14ac:dyDescent="0.35">
      <c r="B1018" s="2">
        <v>43259</v>
      </c>
      <c r="C1018" s="4">
        <v>1151.06</v>
      </c>
      <c r="D1018">
        <f t="shared" si="18"/>
        <v>10.775549872122761</v>
      </c>
      <c r="E1018">
        <v>1.7835510084977191E-2</v>
      </c>
    </row>
    <row r="1019" spans="2:5" x14ac:dyDescent="0.35">
      <c r="B1019" s="2">
        <v>41162</v>
      </c>
      <c r="C1019" s="4">
        <v>97.75</v>
      </c>
      <c r="D1019">
        <f t="shared" si="18"/>
        <v>-0.89184913092063778</v>
      </c>
      <c r="E1019">
        <v>1.7805081216159868E-2</v>
      </c>
    </row>
    <row r="1020" spans="2:5" x14ac:dyDescent="0.35">
      <c r="B1020" s="2">
        <v>44028</v>
      </c>
      <c r="C1020" s="4">
        <v>903.83</v>
      </c>
      <c r="D1020">
        <f t="shared" si="18"/>
        <v>-0.5105622553027882</v>
      </c>
      <c r="E1020">
        <v>1.7803653070876946E-2</v>
      </c>
    </row>
    <row r="1021" spans="2:5" x14ac:dyDescent="0.35">
      <c r="B1021" s="2">
        <v>44197</v>
      </c>
      <c r="C1021" s="4">
        <v>1846.67</v>
      </c>
      <c r="D1021">
        <f t="shared" si="18"/>
        <v>2.0200994341412355</v>
      </c>
      <c r="E1021">
        <v>1.779110334602807E-2</v>
      </c>
    </row>
    <row r="1022" spans="2:5" x14ac:dyDescent="0.35">
      <c r="B1022" s="2">
        <v>43714</v>
      </c>
      <c r="C1022" s="4">
        <v>611.46</v>
      </c>
      <c r="D1022">
        <f t="shared" si="18"/>
        <v>5.4979808714133904</v>
      </c>
      <c r="E1022">
        <v>1.7776890042944249E-2</v>
      </c>
    </row>
    <row r="1023" spans="2:5" x14ac:dyDescent="0.35">
      <c r="B1023" s="2">
        <v>39461</v>
      </c>
      <c r="C1023" s="4">
        <v>94.1</v>
      </c>
      <c r="D1023">
        <f t="shared" si="18"/>
        <v>9.2154131847725029E-2</v>
      </c>
      <c r="E1023">
        <v>1.7737399956738065E-2</v>
      </c>
    </row>
    <row r="1024" spans="2:5" x14ac:dyDescent="0.35">
      <c r="B1024" s="2">
        <v>39045</v>
      </c>
      <c r="C1024" s="4">
        <v>86.16</v>
      </c>
      <c r="D1024">
        <f t="shared" si="18"/>
        <v>1.5850585058505851</v>
      </c>
      <c r="E1024">
        <v>1.7717930545712246E-2</v>
      </c>
    </row>
    <row r="1025" spans="2:5" x14ac:dyDescent="0.35">
      <c r="B1025" s="2">
        <v>39857</v>
      </c>
      <c r="C1025" s="4">
        <v>33.33</v>
      </c>
      <c r="D1025">
        <f t="shared" si="18"/>
        <v>-0.99580248375083902</v>
      </c>
      <c r="E1025">
        <v>1.7709923664122051E-2</v>
      </c>
    </row>
    <row r="1026" spans="2:5" x14ac:dyDescent="0.35">
      <c r="B1026" s="2">
        <v>44678</v>
      </c>
      <c r="C1026" s="4">
        <v>7940.41</v>
      </c>
      <c r="D1026">
        <f t="shared" si="18"/>
        <v>8.3705421416601755</v>
      </c>
      <c r="E1026">
        <v>1.7660757105635083E-2</v>
      </c>
    </row>
    <row r="1027" spans="2:5" x14ac:dyDescent="0.35">
      <c r="B1027" s="2">
        <v>42517</v>
      </c>
      <c r="C1027" s="4">
        <v>847.38</v>
      </c>
      <c r="D1027">
        <f t="shared" si="18"/>
        <v>-0.85991032991449601</v>
      </c>
      <c r="E1027">
        <v>1.765384061103914E-2</v>
      </c>
    </row>
    <row r="1028" spans="2:5" x14ac:dyDescent="0.35">
      <c r="B1028" s="2">
        <v>44502</v>
      </c>
      <c r="C1028" s="4">
        <v>6048.84</v>
      </c>
      <c r="D1028">
        <f t="shared" ref="D1028:D1091" si="19">C1028/C1029-1</f>
        <v>23.969411764705882</v>
      </c>
      <c r="E1028">
        <v>1.7649938676935983E-2</v>
      </c>
    </row>
    <row r="1029" spans="2:5" x14ac:dyDescent="0.35">
      <c r="B1029" s="2">
        <v>41725</v>
      </c>
      <c r="C1029" s="4">
        <v>242.25</v>
      </c>
      <c r="D1029">
        <f t="shared" si="19"/>
        <v>-0.9586154939490642</v>
      </c>
      <c r="E1029">
        <v>1.7643352236925036E-2</v>
      </c>
    </row>
    <row r="1030" spans="2:5" x14ac:dyDescent="0.35">
      <c r="B1030" s="2">
        <v>44531</v>
      </c>
      <c r="C1030" s="4">
        <v>5853.64</v>
      </c>
      <c r="D1030">
        <f t="shared" si="19"/>
        <v>5.9931784242279438</v>
      </c>
      <c r="E1030">
        <v>1.7608455674637424E-2</v>
      </c>
    </row>
    <row r="1031" spans="2:5" x14ac:dyDescent="0.35">
      <c r="B1031" s="2">
        <v>43497</v>
      </c>
      <c r="C1031" s="4">
        <v>837.05</v>
      </c>
      <c r="D1031">
        <f t="shared" si="19"/>
        <v>-0.88035049350686478</v>
      </c>
      <c r="E1031">
        <v>1.7504406491217317E-2</v>
      </c>
    </row>
    <row r="1032" spans="2:5" x14ac:dyDescent="0.35">
      <c r="B1032" s="2">
        <v>44865</v>
      </c>
      <c r="C1032" s="4">
        <v>6995.85</v>
      </c>
      <c r="D1032">
        <f t="shared" si="19"/>
        <v>78.084897128645721</v>
      </c>
      <c r="E1032">
        <v>1.7489382744778625E-2</v>
      </c>
    </row>
    <row r="1033" spans="2:5" x14ac:dyDescent="0.35">
      <c r="B1033" s="2">
        <v>39436</v>
      </c>
      <c r="C1033" s="4">
        <v>88.46</v>
      </c>
      <c r="D1033">
        <f t="shared" si="19"/>
        <v>-0.67110350981558597</v>
      </c>
      <c r="E1033">
        <v>1.7483321831147869E-2</v>
      </c>
    </row>
    <row r="1034" spans="2:5" x14ac:dyDescent="0.35">
      <c r="B1034" s="2">
        <v>41899</v>
      </c>
      <c r="C1034" s="4">
        <v>268.95999999999998</v>
      </c>
      <c r="D1034">
        <f t="shared" si="19"/>
        <v>1.639191443430478</v>
      </c>
      <c r="E1034">
        <v>1.747749110993424E-2</v>
      </c>
    </row>
    <row r="1035" spans="2:5" x14ac:dyDescent="0.35">
      <c r="B1035" s="2">
        <v>40331</v>
      </c>
      <c r="C1035" s="4">
        <v>101.91</v>
      </c>
      <c r="D1035">
        <f t="shared" si="19"/>
        <v>-0.87446724643393858</v>
      </c>
      <c r="E1035">
        <v>1.7472044728434444E-2</v>
      </c>
    </row>
    <row r="1036" spans="2:5" x14ac:dyDescent="0.35">
      <c r="B1036" s="2">
        <v>43609</v>
      </c>
      <c r="C1036" s="4">
        <v>811.82</v>
      </c>
      <c r="D1036">
        <f t="shared" si="19"/>
        <v>23.415639097744361</v>
      </c>
      <c r="E1036">
        <v>1.7458546917495044E-2</v>
      </c>
    </row>
    <row r="1037" spans="2:5" x14ac:dyDescent="0.35">
      <c r="B1037" s="2">
        <v>39827</v>
      </c>
      <c r="C1037" s="4">
        <v>33.25</v>
      </c>
      <c r="D1037">
        <f t="shared" si="19"/>
        <v>-0.55554070311455694</v>
      </c>
      <c r="E1037">
        <v>1.744186046511631E-2</v>
      </c>
    </row>
    <row r="1038" spans="2:5" x14ac:dyDescent="0.35">
      <c r="B1038" s="2">
        <v>39625</v>
      </c>
      <c r="C1038" s="4">
        <v>74.81</v>
      </c>
      <c r="D1038">
        <f t="shared" si="19"/>
        <v>7.2544802867383629E-2</v>
      </c>
      <c r="E1038">
        <v>1.74078607371142E-2</v>
      </c>
    </row>
    <row r="1039" spans="2:5" x14ac:dyDescent="0.35">
      <c r="B1039" s="2">
        <v>38688</v>
      </c>
      <c r="C1039" s="4">
        <v>69.75</v>
      </c>
      <c r="D1039">
        <f t="shared" si="19"/>
        <v>-0.98826533959854845</v>
      </c>
      <c r="E1039">
        <v>1.7357059509918393E-2</v>
      </c>
    </row>
    <row r="1040" spans="2:5" x14ac:dyDescent="0.35">
      <c r="B1040" s="2">
        <v>44501</v>
      </c>
      <c r="C1040" s="4">
        <v>5943.93</v>
      </c>
      <c r="D1040">
        <f t="shared" si="19"/>
        <v>90.290585163569347</v>
      </c>
      <c r="E1040">
        <v>1.7353753675627415E-2</v>
      </c>
    </row>
    <row r="1041" spans="2:5" x14ac:dyDescent="0.35">
      <c r="B1041" s="2">
        <v>38803</v>
      </c>
      <c r="C1041" s="4">
        <v>65.11</v>
      </c>
      <c r="D1041">
        <f t="shared" si="19"/>
        <v>-0.95780489543572234</v>
      </c>
      <c r="E1041">
        <v>1.7343749999999991E-2</v>
      </c>
    </row>
    <row r="1042" spans="2:5" x14ac:dyDescent="0.35">
      <c r="B1042" s="2">
        <v>44158</v>
      </c>
      <c r="C1042" s="4">
        <v>1543.07</v>
      </c>
      <c r="D1042">
        <f t="shared" si="19"/>
        <v>24.287938380858733</v>
      </c>
      <c r="E1042">
        <v>1.7339477969632755E-2</v>
      </c>
    </row>
    <row r="1043" spans="2:5" x14ac:dyDescent="0.35">
      <c r="B1043" s="2">
        <v>38926</v>
      </c>
      <c r="C1043" s="4">
        <v>61.02</v>
      </c>
      <c r="D1043">
        <f t="shared" si="19"/>
        <v>-0.48825897349882585</v>
      </c>
      <c r="E1043">
        <v>1.7339113037679432E-2</v>
      </c>
    </row>
    <row r="1044" spans="2:5" x14ac:dyDescent="0.35">
      <c r="B1044" s="2">
        <v>39259</v>
      </c>
      <c r="C1044" s="4">
        <v>119.24</v>
      </c>
      <c r="D1044">
        <f t="shared" si="19"/>
        <v>0.30817334064728463</v>
      </c>
      <c r="E1044">
        <v>1.731934135312696E-2</v>
      </c>
    </row>
    <row r="1045" spans="2:5" x14ac:dyDescent="0.35">
      <c r="B1045" s="2">
        <v>41082</v>
      </c>
      <c r="C1045" s="4">
        <v>91.15</v>
      </c>
      <c r="D1045">
        <f t="shared" si="19"/>
        <v>-0.84943590082426201</v>
      </c>
      <c r="E1045">
        <v>1.7299107142857206E-2</v>
      </c>
    </row>
    <row r="1046" spans="2:5" x14ac:dyDescent="0.35">
      <c r="B1046" s="2">
        <v>43693</v>
      </c>
      <c r="C1046" s="4">
        <v>605.39</v>
      </c>
      <c r="D1046">
        <f t="shared" si="19"/>
        <v>19.563519021739129</v>
      </c>
      <c r="E1046">
        <v>1.7291211561082154E-2</v>
      </c>
    </row>
    <row r="1047" spans="2:5" x14ac:dyDescent="0.35">
      <c r="B1047" s="2">
        <v>38047</v>
      </c>
      <c r="C1047" s="4">
        <v>29.44</v>
      </c>
      <c r="D1047">
        <f t="shared" si="19"/>
        <v>-0.73553719008264462</v>
      </c>
      <c r="E1047">
        <v>1.7277125086385681E-2</v>
      </c>
    </row>
    <row r="1048" spans="2:5" x14ac:dyDescent="0.35">
      <c r="B1048" s="2">
        <v>40253</v>
      </c>
      <c r="C1048" s="4">
        <v>111.32</v>
      </c>
      <c r="D1048">
        <f t="shared" si="19"/>
        <v>-0.97459334981159551</v>
      </c>
      <c r="E1048">
        <v>1.7271314995887632E-2</v>
      </c>
    </row>
    <row r="1049" spans="2:5" x14ac:dyDescent="0.35">
      <c r="B1049" s="2">
        <v>44424</v>
      </c>
      <c r="C1049" s="4">
        <v>4381.53</v>
      </c>
      <c r="D1049">
        <f t="shared" si="19"/>
        <v>199.98761467889906</v>
      </c>
      <c r="E1049">
        <v>1.7266597943888851E-2</v>
      </c>
    </row>
    <row r="1050" spans="2:5" x14ac:dyDescent="0.35">
      <c r="B1050" s="2">
        <v>37769</v>
      </c>
      <c r="C1050" s="4">
        <v>21.8</v>
      </c>
      <c r="D1050">
        <f t="shared" si="19"/>
        <v>-0.6542974944497304</v>
      </c>
      <c r="E1050">
        <v>1.7265515632291173E-2</v>
      </c>
    </row>
    <row r="1051" spans="2:5" x14ac:dyDescent="0.35">
      <c r="B1051" s="2">
        <v>38523</v>
      </c>
      <c r="C1051" s="4">
        <v>63.06</v>
      </c>
      <c r="D1051">
        <f t="shared" si="19"/>
        <v>-0.88684932981643971</v>
      </c>
      <c r="E1051">
        <v>1.7260848523955374E-2</v>
      </c>
    </row>
    <row r="1052" spans="2:5" x14ac:dyDescent="0.35">
      <c r="B1052" s="2">
        <v>42192</v>
      </c>
      <c r="C1052" s="4">
        <v>557.30999999999995</v>
      </c>
      <c r="D1052">
        <f t="shared" si="19"/>
        <v>4.5124629080118694</v>
      </c>
      <c r="E1052">
        <v>1.7248932208958401E-2</v>
      </c>
    </row>
    <row r="1053" spans="2:5" x14ac:dyDescent="0.35">
      <c r="B1053" s="2">
        <v>39176</v>
      </c>
      <c r="C1053" s="4">
        <v>101.1</v>
      </c>
      <c r="D1053">
        <f t="shared" si="19"/>
        <v>-0.85399246133183138</v>
      </c>
      <c r="E1053">
        <v>1.7204950196196833E-2</v>
      </c>
    </row>
    <row r="1054" spans="2:5" x14ac:dyDescent="0.35">
      <c r="B1054" s="2">
        <v>42787</v>
      </c>
      <c r="C1054" s="4">
        <v>692.43</v>
      </c>
      <c r="D1054">
        <f t="shared" si="19"/>
        <v>9.6135806253832001</v>
      </c>
      <c r="E1054">
        <v>1.7157546823356462E-2</v>
      </c>
    </row>
    <row r="1055" spans="2:5" x14ac:dyDescent="0.35">
      <c r="B1055" s="2">
        <v>38756</v>
      </c>
      <c r="C1055" s="4">
        <v>65.239999999999995</v>
      </c>
      <c r="D1055">
        <f t="shared" si="19"/>
        <v>-0.41859014348097323</v>
      </c>
      <c r="E1055">
        <v>1.7149984409104979E-2</v>
      </c>
    </row>
    <row r="1056" spans="2:5" x14ac:dyDescent="0.35">
      <c r="B1056" s="2">
        <v>40375</v>
      </c>
      <c r="C1056" s="4">
        <v>112.21</v>
      </c>
      <c r="D1056">
        <f t="shared" si="19"/>
        <v>2.2571843251088528</v>
      </c>
      <c r="E1056">
        <v>1.7131979695431454E-2</v>
      </c>
    </row>
    <row r="1057" spans="2:5" x14ac:dyDescent="0.35">
      <c r="B1057" s="2">
        <v>39924</v>
      </c>
      <c r="C1057" s="4">
        <v>34.450000000000003</v>
      </c>
      <c r="D1057">
        <f t="shared" si="19"/>
        <v>-0.99596102891176397</v>
      </c>
      <c r="E1057">
        <v>1.712429878948929E-2</v>
      </c>
    </row>
    <row r="1058" spans="2:5" x14ac:dyDescent="0.35">
      <c r="B1058" s="2">
        <v>44767</v>
      </c>
      <c r="C1058" s="4">
        <v>8529.4</v>
      </c>
      <c r="D1058">
        <f t="shared" si="19"/>
        <v>36.056957900682107</v>
      </c>
      <c r="E1058">
        <v>1.7063544113613993E-2</v>
      </c>
    </row>
    <row r="1059" spans="2:5" x14ac:dyDescent="0.35">
      <c r="B1059" s="2">
        <v>41696</v>
      </c>
      <c r="C1059" s="4">
        <v>230.17</v>
      </c>
      <c r="D1059">
        <f t="shared" si="19"/>
        <v>-0.66605246358307701</v>
      </c>
      <c r="E1059">
        <v>1.7056250276169749E-2</v>
      </c>
    </row>
    <row r="1060" spans="2:5" x14ac:dyDescent="0.35">
      <c r="B1060" s="2">
        <v>42828</v>
      </c>
      <c r="C1060" s="4">
        <v>689.24</v>
      </c>
      <c r="D1060">
        <f t="shared" si="19"/>
        <v>2.1496595530777314</v>
      </c>
      <c r="E1060">
        <v>1.7028183562048049E-2</v>
      </c>
    </row>
    <row r="1061" spans="2:5" x14ac:dyDescent="0.35">
      <c r="B1061" s="2">
        <v>41778</v>
      </c>
      <c r="C1061" s="4">
        <v>218.83</v>
      </c>
      <c r="D1061">
        <f t="shared" si="19"/>
        <v>-0.77515078655610692</v>
      </c>
      <c r="E1061">
        <v>1.7009806199749233E-2</v>
      </c>
    </row>
    <row r="1062" spans="2:5" x14ac:dyDescent="0.35">
      <c r="B1062" s="2">
        <v>43199</v>
      </c>
      <c r="C1062" s="4">
        <v>973.23</v>
      </c>
      <c r="D1062">
        <f t="shared" si="19"/>
        <v>12.20887622149837</v>
      </c>
      <c r="E1062">
        <v>1.6980501159898909E-2</v>
      </c>
    </row>
    <row r="1063" spans="2:5" x14ac:dyDescent="0.35">
      <c r="B1063" s="2">
        <v>38581</v>
      </c>
      <c r="C1063" s="4">
        <v>73.680000000000007</v>
      </c>
      <c r="D1063">
        <f t="shared" si="19"/>
        <v>-4.7077082255561176E-2</v>
      </c>
      <c r="E1063">
        <v>1.697722567287796E-2</v>
      </c>
    </row>
    <row r="1064" spans="2:5" x14ac:dyDescent="0.35">
      <c r="B1064" s="2">
        <v>41499</v>
      </c>
      <c r="C1064" s="4">
        <v>77.319999999999993</v>
      </c>
      <c r="D1064">
        <f t="shared" si="19"/>
        <v>-0.93842772504300187</v>
      </c>
      <c r="E1064">
        <v>1.6966986715770016E-2</v>
      </c>
    </row>
    <row r="1065" spans="2:5" x14ac:dyDescent="0.35">
      <c r="B1065" s="2">
        <v>43355</v>
      </c>
      <c r="C1065" s="4">
        <v>1255.76</v>
      </c>
      <c r="D1065">
        <f t="shared" si="19"/>
        <v>4.6428507234654441</v>
      </c>
      <c r="E1065">
        <v>1.6957937189226113E-2</v>
      </c>
    </row>
    <row r="1066" spans="2:5" x14ac:dyDescent="0.35">
      <c r="B1066" s="2">
        <v>41779</v>
      </c>
      <c r="C1066" s="4">
        <v>222.54</v>
      </c>
      <c r="D1066">
        <f t="shared" si="19"/>
        <v>-0.63946537059538278</v>
      </c>
      <c r="E1066">
        <v>1.6953799753232968E-2</v>
      </c>
    </row>
    <row r="1067" spans="2:5" x14ac:dyDescent="0.35">
      <c r="B1067" s="2">
        <v>42886</v>
      </c>
      <c r="C1067" s="4">
        <v>617.25</v>
      </c>
      <c r="D1067">
        <f t="shared" si="19"/>
        <v>-0.34048850329087954</v>
      </c>
      <c r="E1067">
        <v>1.6953341241597419E-2</v>
      </c>
    </row>
    <row r="1068" spans="2:5" x14ac:dyDescent="0.35">
      <c r="B1068" s="2">
        <v>43192</v>
      </c>
      <c r="C1068" s="4">
        <v>935.92</v>
      </c>
      <c r="D1068">
        <f t="shared" si="19"/>
        <v>-0.44249326884128759</v>
      </c>
      <c r="E1068">
        <v>1.6950625869262659E-2</v>
      </c>
    </row>
    <row r="1069" spans="2:5" x14ac:dyDescent="0.35">
      <c r="B1069" s="2">
        <v>44172</v>
      </c>
      <c r="C1069" s="4">
        <v>1678.76</v>
      </c>
      <c r="D1069">
        <f t="shared" si="19"/>
        <v>0.7616269308260577</v>
      </c>
      <c r="E1069">
        <v>1.694956323677288E-2</v>
      </c>
    </row>
    <row r="1070" spans="2:5" x14ac:dyDescent="0.35">
      <c r="B1070" s="2">
        <v>43195</v>
      </c>
      <c r="C1070" s="4">
        <v>952.96</v>
      </c>
      <c r="D1070">
        <f t="shared" si="19"/>
        <v>-0.25334754095791767</v>
      </c>
      <c r="E1070">
        <v>1.6946258590515129E-2</v>
      </c>
    </row>
    <row r="1071" spans="2:5" x14ac:dyDescent="0.35">
      <c r="B1071" s="2">
        <v>43284</v>
      </c>
      <c r="C1071" s="4">
        <v>1276.31</v>
      </c>
      <c r="D1071">
        <f t="shared" si="19"/>
        <v>22.3371731577985</v>
      </c>
      <c r="E1071">
        <v>1.6931461444074314E-2</v>
      </c>
    </row>
    <row r="1072" spans="2:5" x14ac:dyDescent="0.35">
      <c r="B1072" s="2">
        <v>38294</v>
      </c>
      <c r="C1072" s="4">
        <v>54.69</v>
      </c>
      <c r="D1072">
        <f t="shared" si="19"/>
        <v>-0.27954156237649852</v>
      </c>
      <c r="E1072">
        <v>1.6920788397173592E-2</v>
      </c>
    </row>
    <row r="1073" spans="2:5" x14ac:dyDescent="0.35">
      <c r="B1073" s="2">
        <v>39638</v>
      </c>
      <c r="C1073" s="4">
        <v>75.91</v>
      </c>
      <c r="D1073">
        <f t="shared" si="19"/>
        <v>0.2855207451312447</v>
      </c>
      <c r="E1073">
        <v>1.6878767582049425E-2</v>
      </c>
    </row>
    <row r="1074" spans="2:5" x14ac:dyDescent="0.35">
      <c r="B1074" s="2">
        <v>38897</v>
      </c>
      <c r="C1074" s="4">
        <v>59.05</v>
      </c>
      <c r="D1074">
        <f t="shared" si="19"/>
        <v>-0.99281315417944593</v>
      </c>
      <c r="E1074">
        <v>1.6876183915963461E-2</v>
      </c>
    </row>
    <row r="1075" spans="2:5" x14ac:dyDescent="0.35">
      <c r="B1075" s="2">
        <v>44707</v>
      </c>
      <c r="C1075" s="4">
        <v>8216.4</v>
      </c>
      <c r="D1075">
        <f t="shared" si="19"/>
        <v>82.094660194174764</v>
      </c>
      <c r="E1075">
        <v>1.687489557614108E-2</v>
      </c>
    </row>
    <row r="1076" spans="2:5" x14ac:dyDescent="0.35">
      <c r="B1076" s="2">
        <v>39423</v>
      </c>
      <c r="C1076" s="4">
        <v>98.88</v>
      </c>
      <c r="D1076">
        <f t="shared" si="19"/>
        <v>0.31769722814498924</v>
      </c>
      <c r="E1076">
        <v>1.6865487453722849E-2</v>
      </c>
    </row>
    <row r="1077" spans="2:5" x14ac:dyDescent="0.35">
      <c r="B1077" s="2">
        <v>38608</v>
      </c>
      <c r="C1077" s="4">
        <v>75.040000000000006</v>
      </c>
      <c r="D1077">
        <f t="shared" si="19"/>
        <v>-0.22551346888223756</v>
      </c>
      <c r="E1077">
        <v>1.680216802168033E-2</v>
      </c>
    </row>
    <row r="1078" spans="2:5" x14ac:dyDescent="0.35">
      <c r="B1078" s="2">
        <v>41095</v>
      </c>
      <c r="C1078" s="4">
        <v>96.89</v>
      </c>
      <c r="D1078">
        <f t="shared" si="19"/>
        <v>-0.93611451780933919</v>
      </c>
      <c r="E1078">
        <v>1.6790848987301876E-2</v>
      </c>
    </row>
    <row r="1079" spans="2:5" x14ac:dyDescent="0.35">
      <c r="B1079" s="2">
        <v>44134</v>
      </c>
      <c r="C1079" s="4">
        <v>1516.62</v>
      </c>
      <c r="D1079">
        <f t="shared" si="19"/>
        <v>45.309007633587782</v>
      </c>
      <c r="E1079">
        <v>1.6767117410046772E-2</v>
      </c>
    </row>
    <row r="1080" spans="2:5" x14ac:dyDescent="0.35">
      <c r="B1080" s="2">
        <v>39856</v>
      </c>
      <c r="C1080" s="4">
        <v>32.75</v>
      </c>
      <c r="D1080">
        <f t="shared" si="19"/>
        <v>-0.99636887767829918</v>
      </c>
      <c r="E1080">
        <v>1.6764979819931636E-2</v>
      </c>
    </row>
    <row r="1081" spans="2:5" x14ac:dyDescent="0.35">
      <c r="B1081" s="2">
        <v>44803</v>
      </c>
      <c r="C1081" s="4">
        <v>9019.25</v>
      </c>
      <c r="D1081">
        <f t="shared" si="19"/>
        <v>86.226789168278529</v>
      </c>
      <c r="E1081">
        <v>1.6728949311509034E-2</v>
      </c>
    </row>
    <row r="1082" spans="2:5" x14ac:dyDescent="0.35">
      <c r="B1082" s="2">
        <v>40595</v>
      </c>
      <c r="C1082" s="4">
        <v>103.4</v>
      </c>
      <c r="D1082">
        <f t="shared" si="19"/>
        <v>0.40470044830865382</v>
      </c>
      <c r="E1082">
        <v>1.6715830875122961E-2</v>
      </c>
    </row>
    <row r="1083" spans="2:5" x14ac:dyDescent="0.35">
      <c r="B1083" s="2">
        <v>38692</v>
      </c>
      <c r="C1083" s="4">
        <v>73.61</v>
      </c>
      <c r="D1083">
        <f t="shared" si="19"/>
        <v>-0.53823474060598464</v>
      </c>
      <c r="E1083">
        <v>1.6712707182320319E-2</v>
      </c>
    </row>
    <row r="1084" spans="2:5" x14ac:dyDescent="0.35">
      <c r="B1084" s="2">
        <v>41627</v>
      </c>
      <c r="C1084" s="4">
        <v>159.41</v>
      </c>
      <c r="D1084">
        <f t="shared" si="19"/>
        <v>-0.77664597665718571</v>
      </c>
      <c r="E1084">
        <v>1.6710249378149244E-2</v>
      </c>
    </row>
    <row r="1085" spans="2:5" x14ac:dyDescent="0.35">
      <c r="B1085" s="2">
        <v>42628</v>
      </c>
      <c r="C1085" s="4">
        <v>713.71</v>
      </c>
      <c r="D1085">
        <f t="shared" si="19"/>
        <v>0.14084079283887463</v>
      </c>
      <c r="E1085">
        <v>1.6709877774295556E-2</v>
      </c>
    </row>
    <row r="1086" spans="2:5" x14ac:dyDescent="0.35">
      <c r="B1086" s="2">
        <v>42732</v>
      </c>
      <c r="C1086" s="4">
        <v>625.6</v>
      </c>
      <c r="D1086">
        <f t="shared" si="19"/>
        <v>-0.30077120822622105</v>
      </c>
      <c r="E1086">
        <v>1.6690231258024157E-2</v>
      </c>
    </row>
    <row r="1087" spans="2:5" x14ac:dyDescent="0.35">
      <c r="B1087" s="2">
        <v>42450</v>
      </c>
      <c r="C1087" s="4">
        <v>894.7</v>
      </c>
      <c r="D1087">
        <f t="shared" si="19"/>
        <v>0.37059958944820637</v>
      </c>
      <c r="E1087">
        <v>1.6681439058203296E-2</v>
      </c>
    </row>
    <row r="1088" spans="2:5" x14ac:dyDescent="0.35">
      <c r="B1088" s="2">
        <v>42745</v>
      </c>
      <c r="C1088" s="4">
        <v>652.78</v>
      </c>
      <c r="D1088">
        <f t="shared" si="19"/>
        <v>1.6162478457777243</v>
      </c>
      <c r="E1088">
        <v>1.6680424252807136E-2</v>
      </c>
    </row>
    <row r="1089" spans="2:5" x14ac:dyDescent="0.35">
      <c r="B1089" s="2">
        <v>41731</v>
      </c>
      <c r="C1089" s="4">
        <v>249.51</v>
      </c>
      <c r="D1089">
        <f t="shared" si="19"/>
        <v>3.5439810599162263</v>
      </c>
      <c r="E1089">
        <v>1.6665308450819039E-2</v>
      </c>
    </row>
    <row r="1090" spans="2:5" x14ac:dyDescent="0.35">
      <c r="B1090" s="2">
        <v>38384</v>
      </c>
      <c r="C1090" s="4">
        <v>54.91</v>
      </c>
      <c r="D1090">
        <f t="shared" si="19"/>
        <v>1.2994137353433834</v>
      </c>
      <c r="E1090">
        <v>1.6663580818367052E-2</v>
      </c>
    </row>
    <row r="1091" spans="2:5" x14ac:dyDescent="0.35">
      <c r="B1091" s="2">
        <v>37789</v>
      </c>
      <c r="C1091" s="4">
        <v>23.88</v>
      </c>
      <c r="D1091">
        <f t="shared" si="19"/>
        <v>-0.97122856901890386</v>
      </c>
      <c r="E1091">
        <v>1.6602809706258048E-2</v>
      </c>
    </row>
    <row r="1092" spans="2:5" x14ac:dyDescent="0.35">
      <c r="B1092" s="2">
        <v>42515</v>
      </c>
      <c r="C1092" s="4">
        <v>829.99</v>
      </c>
      <c r="D1092">
        <f t="shared" ref="D1092:D1155" si="20">C1092/C1093-1</f>
        <v>9.4217729784028119</v>
      </c>
      <c r="E1092">
        <v>1.6596443094409885E-2</v>
      </c>
    </row>
    <row r="1093" spans="2:5" x14ac:dyDescent="0.35">
      <c r="B1093" s="2">
        <v>41429</v>
      </c>
      <c r="C1093" s="4">
        <v>79.64</v>
      </c>
      <c r="D1093">
        <f t="shared" si="20"/>
        <v>0.28638345986108882</v>
      </c>
      <c r="E1093">
        <v>1.6594332397242839E-2</v>
      </c>
    </row>
    <row r="1094" spans="2:5" x14ac:dyDescent="0.35">
      <c r="B1094" s="2">
        <v>38937</v>
      </c>
      <c r="C1094" s="4">
        <v>61.91</v>
      </c>
      <c r="D1094">
        <f t="shared" si="20"/>
        <v>-0.78004760720503075</v>
      </c>
      <c r="E1094">
        <v>1.6584564860426809E-2</v>
      </c>
    </row>
    <row r="1095" spans="2:5" x14ac:dyDescent="0.35">
      <c r="B1095" s="2">
        <v>41827</v>
      </c>
      <c r="C1095" s="4">
        <v>281.47000000000003</v>
      </c>
      <c r="D1095">
        <f t="shared" si="20"/>
        <v>4.3973154362416116</v>
      </c>
      <c r="E1095">
        <v>1.6577578734469967E-2</v>
      </c>
    </row>
    <row r="1096" spans="2:5" x14ac:dyDescent="0.35">
      <c r="B1096" s="2">
        <v>38355</v>
      </c>
      <c r="C1096" s="4">
        <v>52.15</v>
      </c>
      <c r="D1096">
        <f t="shared" si="20"/>
        <v>-0.94383051139545904</v>
      </c>
      <c r="E1096">
        <v>1.6569200779727122E-2</v>
      </c>
    </row>
    <row r="1097" spans="2:5" x14ac:dyDescent="0.35">
      <c r="B1097" s="2">
        <v>43103</v>
      </c>
      <c r="C1097" s="4">
        <v>928.44</v>
      </c>
      <c r="D1097">
        <f t="shared" si="20"/>
        <v>0.16459697448634003</v>
      </c>
      <c r="E1097">
        <v>1.6566116652615426E-2</v>
      </c>
    </row>
    <row r="1098" spans="2:5" x14ac:dyDescent="0.35">
      <c r="B1098" s="2">
        <v>43040</v>
      </c>
      <c r="C1098" s="4">
        <v>797.22</v>
      </c>
      <c r="D1098">
        <f t="shared" si="20"/>
        <v>33.171453064723536</v>
      </c>
      <c r="E1098">
        <v>1.6564018208943709E-2</v>
      </c>
    </row>
    <row r="1099" spans="2:5" x14ac:dyDescent="0.35">
      <c r="B1099" s="2">
        <v>37701</v>
      </c>
      <c r="C1099" s="4">
        <v>23.33</v>
      </c>
      <c r="D1099">
        <f t="shared" si="20"/>
        <v>-0.63835064331111457</v>
      </c>
      <c r="E1099">
        <v>1.6557734204792895E-2</v>
      </c>
    </row>
    <row r="1100" spans="2:5" x14ac:dyDescent="0.35">
      <c r="B1100" s="2">
        <v>38775</v>
      </c>
      <c r="C1100" s="4">
        <v>64.510000000000005</v>
      </c>
      <c r="D1100">
        <f t="shared" si="20"/>
        <v>-0.91644756440311359</v>
      </c>
      <c r="E1100">
        <v>1.6545855657106978E-2</v>
      </c>
    </row>
    <row r="1101" spans="2:5" x14ac:dyDescent="0.35">
      <c r="B1101" s="2">
        <v>43004</v>
      </c>
      <c r="C1101" s="4">
        <v>772.09</v>
      </c>
      <c r="D1101">
        <f t="shared" si="20"/>
        <v>6.6527901675091687</v>
      </c>
      <c r="E1101">
        <v>1.6536542335391813E-2</v>
      </c>
    </row>
    <row r="1102" spans="2:5" x14ac:dyDescent="0.35">
      <c r="B1102" s="2">
        <v>41275</v>
      </c>
      <c r="C1102" s="4">
        <v>100.89</v>
      </c>
      <c r="D1102">
        <f t="shared" si="20"/>
        <v>-0.88385693071016613</v>
      </c>
      <c r="E1102">
        <v>1.652392947103265E-2</v>
      </c>
    </row>
    <row r="1103" spans="2:5" x14ac:dyDescent="0.35">
      <c r="B1103" s="2">
        <v>43503</v>
      </c>
      <c r="C1103" s="4">
        <v>868.67</v>
      </c>
      <c r="D1103">
        <f t="shared" si="20"/>
        <v>27.811608623548921</v>
      </c>
      <c r="E1103">
        <v>1.6523316365338436E-2</v>
      </c>
    </row>
    <row r="1104" spans="2:5" x14ac:dyDescent="0.35">
      <c r="B1104" s="2">
        <v>37932</v>
      </c>
      <c r="C1104" s="4">
        <v>30.15</v>
      </c>
      <c r="D1104">
        <f t="shared" si="20"/>
        <v>-0.64765688909664598</v>
      </c>
      <c r="E1104">
        <v>1.6520566419420124E-2</v>
      </c>
    </row>
    <row r="1105" spans="2:5" x14ac:dyDescent="0.35">
      <c r="B1105" s="2">
        <v>41558</v>
      </c>
      <c r="C1105" s="4">
        <v>85.57</v>
      </c>
      <c r="D1105">
        <f t="shared" si="20"/>
        <v>1.1371128871128868</v>
      </c>
      <c r="E1105">
        <v>1.6512235685435916E-2</v>
      </c>
    </row>
    <row r="1106" spans="2:5" x14ac:dyDescent="0.35">
      <c r="B1106" s="2">
        <v>38209</v>
      </c>
      <c r="C1106" s="4">
        <v>40.04</v>
      </c>
      <c r="D1106">
        <f t="shared" si="20"/>
        <v>-0.51230207064555411</v>
      </c>
      <c r="E1106">
        <v>1.6501650165016368E-2</v>
      </c>
    </row>
    <row r="1107" spans="2:5" x14ac:dyDescent="0.35">
      <c r="B1107" s="2">
        <v>40869</v>
      </c>
      <c r="C1107" s="4">
        <v>82.1</v>
      </c>
      <c r="D1107">
        <f t="shared" si="20"/>
        <v>1.2524005486968446</v>
      </c>
      <c r="E1107">
        <v>1.6466509842763433E-2</v>
      </c>
    </row>
    <row r="1108" spans="2:5" x14ac:dyDescent="0.35">
      <c r="B1108" s="2">
        <v>38174</v>
      </c>
      <c r="C1108" s="4">
        <v>36.450000000000003</v>
      </c>
      <c r="D1108">
        <f t="shared" si="20"/>
        <v>-0.50428396572827416</v>
      </c>
      <c r="E1108">
        <v>1.6452872281093267E-2</v>
      </c>
    </row>
    <row r="1109" spans="2:5" x14ac:dyDescent="0.35">
      <c r="B1109" s="2">
        <v>39624</v>
      </c>
      <c r="C1109" s="4">
        <v>73.53</v>
      </c>
      <c r="D1109">
        <f t="shared" si="20"/>
        <v>-0.98840257405129173</v>
      </c>
      <c r="E1109">
        <v>1.645009676527498E-2</v>
      </c>
    </row>
    <row r="1110" spans="2:5" x14ac:dyDescent="0.35">
      <c r="B1110" s="2">
        <v>44993</v>
      </c>
      <c r="C1110" s="4">
        <v>6340.2</v>
      </c>
      <c r="D1110">
        <f t="shared" si="20"/>
        <v>97.373933281613645</v>
      </c>
      <c r="E1110">
        <v>1.6440486401128718E-2</v>
      </c>
    </row>
    <row r="1111" spans="2:5" x14ac:dyDescent="0.35">
      <c r="B1111" s="2">
        <v>38538</v>
      </c>
      <c r="C1111" s="4">
        <v>64.45</v>
      </c>
      <c r="D1111">
        <f t="shared" si="20"/>
        <v>-0.989167065863231</v>
      </c>
      <c r="E1111">
        <v>1.6401198549124807E-2</v>
      </c>
    </row>
    <row r="1112" spans="2:5" x14ac:dyDescent="0.35">
      <c r="B1112" s="2">
        <v>44532</v>
      </c>
      <c r="C1112" s="4">
        <v>5949.45</v>
      </c>
      <c r="D1112">
        <f t="shared" si="20"/>
        <v>226.94827586206895</v>
      </c>
      <c r="E1112">
        <v>1.6367593497379263E-2</v>
      </c>
    </row>
    <row r="1113" spans="2:5" x14ac:dyDescent="0.35">
      <c r="B1113" s="2">
        <v>37860</v>
      </c>
      <c r="C1113" s="4">
        <v>26.1</v>
      </c>
      <c r="D1113">
        <f t="shared" si="20"/>
        <v>-0.73926073926073921</v>
      </c>
      <c r="E1113">
        <v>1.6355140186915973E-2</v>
      </c>
    </row>
    <row r="1114" spans="2:5" x14ac:dyDescent="0.35">
      <c r="B1114" s="2">
        <v>40189</v>
      </c>
      <c r="C1114" s="4">
        <v>100.1</v>
      </c>
      <c r="D1114">
        <f t="shared" si="20"/>
        <v>-0.97991540795197352</v>
      </c>
      <c r="E1114">
        <v>1.6346837242359635E-2</v>
      </c>
    </row>
    <row r="1115" spans="2:5" x14ac:dyDescent="0.35">
      <c r="B1115" s="2">
        <v>44452</v>
      </c>
      <c r="C1115" s="4">
        <v>4983.92</v>
      </c>
      <c r="D1115">
        <f t="shared" si="20"/>
        <v>5.0888666267577243</v>
      </c>
      <c r="E1115">
        <v>1.6344567547009747E-2</v>
      </c>
    </row>
    <row r="1116" spans="2:5" x14ac:dyDescent="0.35">
      <c r="B1116" s="2">
        <v>42233</v>
      </c>
      <c r="C1116" s="4">
        <v>818.53</v>
      </c>
      <c r="D1116">
        <f t="shared" si="20"/>
        <v>5.8358944379488893</v>
      </c>
      <c r="E1116">
        <v>1.6302458405761167E-2</v>
      </c>
    </row>
    <row r="1117" spans="2:5" x14ac:dyDescent="0.35">
      <c r="B1117" s="2">
        <v>40533</v>
      </c>
      <c r="C1117" s="4">
        <v>119.74</v>
      </c>
      <c r="D1117">
        <f t="shared" si="20"/>
        <v>-0.78234631184789327</v>
      </c>
      <c r="E1117">
        <v>1.6296044814123167E-2</v>
      </c>
    </row>
    <row r="1118" spans="2:5" x14ac:dyDescent="0.35">
      <c r="B1118" s="2">
        <v>42177</v>
      </c>
      <c r="C1118" s="4">
        <v>550.14</v>
      </c>
      <c r="D1118">
        <f t="shared" si="20"/>
        <v>-0.88595605657627707</v>
      </c>
      <c r="E1118">
        <v>1.6274730755731159E-2</v>
      </c>
    </row>
    <row r="1119" spans="2:5" x14ac:dyDescent="0.35">
      <c r="B1119" s="2">
        <v>44440</v>
      </c>
      <c r="C1119" s="4">
        <v>4823.93</v>
      </c>
      <c r="D1119">
        <f t="shared" si="20"/>
        <v>64.347195881874839</v>
      </c>
      <c r="E1119">
        <v>1.6255264105907719E-2</v>
      </c>
    </row>
    <row r="1120" spans="2:5" x14ac:dyDescent="0.35">
      <c r="B1120" s="2">
        <v>39493</v>
      </c>
      <c r="C1120" s="4">
        <v>73.819999999999993</v>
      </c>
      <c r="D1120">
        <f t="shared" si="20"/>
        <v>-0.92241234339527456</v>
      </c>
      <c r="E1120">
        <v>1.6244493392070458E-2</v>
      </c>
    </row>
    <row r="1121" spans="2:5" x14ac:dyDescent="0.35">
      <c r="B1121" s="2">
        <v>44042</v>
      </c>
      <c r="C1121" s="4">
        <v>951.44</v>
      </c>
      <c r="D1121">
        <f t="shared" si="20"/>
        <v>6.3949945593035915</v>
      </c>
      <c r="E1121">
        <v>1.6213444983231184E-2</v>
      </c>
    </row>
    <row r="1122" spans="2:5" x14ac:dyDescent="0.35">
      <c r="B1122" s="2">
        <v>40542</v>
      </c>
      <c r="C1122" s="4">
        <v>128.66</v>
      </c>
      <c r="D1122">
        <f t="shared" si="20"/>
        <v>-0.90290763925048867</v>
      </c>
      <c r="E1122">
        <v>1.6191454071558198E-2</v>
      </c>
    </row>
    <row r="1123" spans="2:5" x14ac:dyDescent="0.35">
      <c r="B1123" s="2">
        <v>43320</v>
      </c>
      <c r="C1123" s="4">
        <v>1325.13</v>
      </c>
      <c r="D1123">
        <f t="shared" si="20"/>
        <v>4.0960658385570907</v>
      </c>
      <c r="E1123">
        <v>1.6172816784761235E-2</v>
      </c>
    </row>
    <row r="1124" spans="2:5" x14ac:dyDescent="0.35">
      <c r="B1124" s="2">
        <v>41719</v>
      </c>
      <c r="C1124" s="4">
        <v>260.02999999999997</v>
      </c>
      <c r="D1124">
        <f t="shared" si="20"/>
        <v>1.3820996702088677</v>
      </c>
      <c r="E1124">
        <v>1.6139116842516454E-2</v>
      </c>
    </row>
    <row r="1125" spans="2:5" x14ac:dyDescent="0.35">
      <c r="B1125" s="2">
        <v>40347</v>
      </c>
      <c r="C1125" s="4">
        <v>109.16</v>
      </c>
      <c r="D1125">
        <f t="shared" si="20"/>
        <v>-0.89101655318384221</v>
      </c>
      <c r="E1125">
        <v>1.6103509261844895E-2</v>
      </c>
    </row>
    <row r="1126" spans="2:5" x14ac:dyDescent="0.35">
      <c r="B1126" s="2">
        <v>43409</v>
      </c>
      <c r="C1126" s="4">
        <v>1001.62</v>
      </c>
      <c r="D1126">
        <f t="shared" si="20"/>
        <v>1.969170569751586</v>
      </c>
      <c r="E1126">
        <v>1.6089108910890992E-2</v>
      </c>
    </row>
    <row r="1127" spans="2:5" x14ac:dyDescent="0.35">
      <c r="B1127" s="2">
        <v>42019</v>
      </c>
      <c r="C1127" s="4">
        <v>337.34</v>
      </c>
      <c r="D1127">
        <f t="shared" si="20"/>
        <v>-0.61298242393648761</v>
      </c>
      <c r="E1127">
        <v>1.6084337349397515E-2</v>
      </c>
    </row>
    <row r="1128" spans="2:5" x14ac:dyDescent="0.35">
      <c r="B1128" s="2">
        <v>43529</v>
      </c>
      <c r="C1128" s="4">
        <v>871.64</v>
      </c>
      <c r="D1128">
        <f t="shared" si="20"/>
        <v>-0.71074341769043403</v>
      </c>
      <c r="E1128">
        <v>1.6075071399428653E-2</v>
      </c>
    </row>
    <row r="1129" spans="2:5" x14ac:dyDescent="0.35">
      <c r="B1129" s="2">
        <v>44308</v>
      </c>
      <c r="C1129" s="4">
        <v>3013.38</v>
      </c>
      <c r="D1129">
        <f t="shared" si="20"/>
        <v>98.189598420013169</v>
      </c>
      <c r="E1129">
        <v>1.6070296589024036E-2</v>
      </c>
    </row>
    <row r="1130" spans="2:5" x14ac:dyDescent="0.35">
      <c r="B1130" s="2">
        <v>38140</v>
      </c>
      <c r="C1130" s="4">
        <v>30.38</v>
      </c>
      <c r="D1130">
        <f t="shared" si="20"/>
        <v>0.41105434277751951</v>
      </c>
      <c r="E1130">
        <v>1.6053511705685697E-2</v>
      </c>
    </row>
    <row r="1131" spans="2:5" x14ac:dyDescent="0.35">
      <c r="B1131" s="2">
        <v>37756</v>
      </c>
      <c r="C1131" s="4">
        <v>21.53</v>
      </c>
      <c r="D1131">
        <f t="shared" si="20"/>
        <v>-0.63446519524617995</v>
      </c>
      <c r="E1131">
        <v>1.6045304388862647E-2</v>
      </c>
    </row>
    <row r="1132" spans="2:5" x14ac:dyDescent="0.35">
      <c r="B1132" s="2">
        <v>38478</v>
      </c>
      <c r="C1132" s="4">
        <v>58.9</v>
      </c>
      <c r="D1132">
        <f t="shared" si="20"/>
        <v>-0.35908596300326445</v>
      </c>
      <c r="E1132">
        <v>1.6042780748663166E-2</v>
      </c>
    </row>
    <row r="1133" spans="2:5" x14ac:dyDescent="0.35">
      <c r="B1133" s="2">
        <v>39069</v>
      </c>
      <c r="C1133" s="4">
        <v>91.9</v>
      </c>
      <c r="D1133">
        <f t="shared" si="20"/>
        <v>0.83469754442004396</v>
      </c>
      <c r="E1133">
        <v>1.603095632946383E-2</v>
      </c>
    </row>
    <row r="1134" spans="2:5" x14ac:dyDescent="0.35">
      <c r="B1134" s="2">
        <v>38286</v>
      </c>
      <c r="C1134" s="4">
        <v>50.09</v>
      </c>
      <c r="D1134">
        <f t="shared" si="20"/>
        <v>-0.42800045677743515</v>
      </c>
      <c r="E1134">
        <v>1.6024340770791179E-2</v>
      </c>
    </row>
    <row r="1135" spans="2:5" x14ac:dyDescent="0.35">
      <c r="B1135" s="2">
        <v>39409</v>
      </c>
      <c r="C1135" s="4">
        <v>87.57</v>
      </c>
      <c r="D1135">
        <f t="shared" si="20"/>
        <v>0.43580914904082624</v>
      </c>
      <c r="E1135">
        <v>1.6011138183083862E-2</v>
      </c>
    </row>
    <row r="1136" spans="2:5" x14ac:dyDescent="0.35">
      <c r="B1136" s="2">
        <v>39689</v>
      </c>
      <c r="C1136" s="4">
        <v>60.99</v>
      </c>
      <c r="D1136">
        <f t="shared" si="20"/>
        <v>-0.2001311475409836</v>
      </c>
      <c r="E1136">
        <v>1.5992003998001048E-2</v>
      </c>
    </row>
    <row r="1137" spans="2:5" x14ac:dyDescent="0.35">
      <c r="B1137" s="2">
        <v>41536</v>
      </c>
      <c r="C1137" s="4">
        <v>76.25</v>
      </c>
      <c r="D1137">
        <f t="shared" si="20"/>
        <v>-0.91885621854015687</v>
      </c>
      <c r="E1137">
        <v>1.5989340439706901E-2</v>
      </c>
    </row>
    <row r="1138" spans="2:5" x14ac:dyDescent="0.35">
      <c r="B1138" s="2">
        <v>43395</v>
      </c>
      <c r="C1138" s="4">
        <v>939.69</v>
      </c>
      <c r="D1138">
        <f t="shared" si="20"/>
        <v>7.7169758812615967</v>
      </c>
      <c r="E1138">
        <v>1.59799331826882E-2</v>
      </c>
    </row>
    <row r="1139" spans="2:5" x14ac:dyDescent="0.35">
      <c r="B1139" s="2">
        <v>39451</v>
      </c>
      <c r="C1139" s="4">
        <v>107.8</v>
      </c>
      <c r="D1139">
        <f t="shared" si="20"/>
        <v>-0.89453809053288591</v>
      </c>
      <c r="E1139">
        <v>1.5926868344171119E-2</v>
      </c>
    </row>
    <row r="1140" spans="2:5" x14ac:dyDescent="0.35">
      <c r="B1140" s="2">
        <v>43124</v>
      </c>
      <c r="C1140" s="4">
        <v>1022.17</v>
      </c>
      <c r="D1140">
        <f t="shared" si="20"/>
        <v>-0.61656594756604888</v>
      </c>
      <c r="E1140">
        <v>1.5922079212840945E-2</v>
      </c>
    </row>
    <row r="1141" spans="2:5" x14ac:dyDescent="0.35">
      <c r="B1141" s="2">
        <v>44265</v>
      </c>
      <c r="C1141" s="4">
        <v>2665.83</v>
      </c>
      <c r="D1141">
        <f t="shared" si="20"/>
        <v>8.7538692327393797</v>
      </c>
      <c r="E1141">
        <v>1.5918081141437224E-2</v>
      </c>
    </row>
    <row r="1142" spans="2:5" x14ac:dyDescent="0.35">
      <c r="B1142" s="2">
        <v>41872</v>
      </c>
      <c r="C1142" s="4">
        <v>273.31</v>
      </c>
      <c r="D1142">
        <f t="shared" si="20"/>
        <v>-0.92180351742547573</v>
      </c>
      <c r="E1142">
        <v>1.5909006430509631E-2</v>
      </c>
    </row>
    <row r="1143" spans="2:5" x14ac:dyDescent="0.35">
      <c r="B1143" s="2">
        <v>44319</v>
      </c>
      <c r="C1143" s="4">
        <v>3495.17</v>
      </c>
      <c r="D1143">
        <f t="shared" si="20"/>
        <v>41.381108281799442</v>
      </c>
      <c r="E1143">
        <v>1.5904896161839321E-2</v>
      </c>
    </row>
    <row r="1144" spans="2:5" x14ac:dyDescent="0.35">
      <c r="B1144" s="2">
        <v>38848</v>
      </c>
      <c r="C1144" s="4">
        <v>82.47</v>
      </c>
      <c r="D1144">
        <f t="shared" si="20"/>
        <v>1.8655316191799858</v>
      </c>
      <c r="E1144">
        <v>1.5890613451589042E-2</v>
      </c>
    </row>
    <row r="1145" spans="2:5" x14ac:dyDescent="0.35">
      <c r="B1145" s="2">
        <v>37862</v>
      </c>
      <c r="C1145" s="4">
        <v>28.78</v>
      </c>
      <c r="D1145">
        <f t="shared" si="20"/>
        <v>-0.71703863926850842</v>
      </c>
      <c r="E1145">
        <v>1.5884221673138077E-2</v>
      </c>
    </row>
    <row r="1146" spans="2:5" x14ac:dyDescent="0.35">
      <c r="B1146" s="2">
        <v>39448</v>
      </c>
      <c r="C1146" s="4">
        <v>101.71</v>
      </c>
      <c r="D1146">
        <f t="shared" si="20"/>
        <v>-0.98564454186314676</v>
      </c>
      <c r="E1146">
        <v>1.5880942868557568E-2</v>
      </c>
    </row>
    <row r="1147" spans="2:5" x14ac:dyDescent="0.35">
      <c r="B1147" s="2">
        <v>44631</v>
      </c>
      <c r="C1147" s="4">
        <v>7085.11</v>
      </c>
      <c r="D1147">
        <f t="shared" si="20"/>
        <v>177.15212471712343</v>
      </c>
      <c r="E1147">
        <v>1.5854831795117263E-2</v>
      </c>
    </row>
    <row r="1148" spans="2:5" x14ac:dyDescent="0.35">
      <c r="B1148" s="2">
        <v>37979</v>
      </c>
      <c r="C1148" s="4">
        <v>39.770000000000003</v>
      </c>
      <c r="D1148">
        <f t="shared" si="20"/>
        <v>-0.95299498865355525</v>
      </c>
      <c r="E1148">
        <v>1.5836526181353783E-2</v>
      </c>
    </row>
    <row r="1149" spans="2:5" x14ac:dyDescent="0.35">
      <c r="B1149" s="2">
        <v>43647</v>
      </c>
      <c r="C1149" s="4">
        <v>846.08</v>
      </c>
      <c r="D1149">
        <f t="shared" si="20"/>
        <v>-0.26196146163173095</v>
      </c>
      <c r="E1149">
        <v>1.5824228598871448E-2</v>
      </c>
    </row>
    <row r="1150" spans="2:5" x14ac:dyDescent="0.35">
      <c r="B1150" s="2">
        <v>43249</v>
      </c>
      <c r="C1150" s="4">
        <v>1146.3900000000001</v>
      </c>
      <c r="D1150">
        <f t="shared" si="20"/>
        <v>28.237184391736804</v>
      </c>
      <c r="E1150">
        <v>1.580789508661562E-2</v>
      </c>
    </row>
    <row r="1151" spans="2:5" x14ac:dyDescent="0.35">
      <c r="B1151" s="2">
        <v>37987</v>
      </c>
      <c r="C1151" s="4">
        <v>39.21</v>
      </c>
      <c r="D1151">
        <f t="shared" si="20"/>
        <v>-0.95183224205496109</v>
      </c>
      <c r="E1151">
        <v>1.5803108808290167E-2</v>
      </c>
    </row>
    <row r="1152" spans="2:5" x14ac:dyDescent="0.35">
      <c r="B1152" s="2">
        <v>43602</v>
      </c>
      <c r="C1152" s="4">
        <v>814.03</v>
      </c>
      <c r="D1152">
        <f t="shared" si="20"/>
        <v>7.1985094168597037</v>
      </c>
      <c r="E1152">
        <v>1.5797946017445108E-2</v>
      </c>
    </row>
    <row r="1153" spans="2:5" x14ac:dyDescent="0.35">
      <c r="B1153" s="2">
        <v>41173</v>
      </c>
      <c r="C1153" s="4">
        <v>99.29</v>
      </c>
      <c r="D1153">
        <f t="shared" si="20"/>
        <v>0.37463657759933544</v>
      </c>
      <c r="E1153">
        <v>1.5754475703324777E-2</v>
      </c>
    </row>
    <row r="1154" spans="2:5" x14ac:dyDescent="0.35">
      <c r="B1154" s="2">
        <v>38566</v>
      </c>
      <c r="C1154" s="4">
        <v>72.23</v>
      </c>
      <c r="D1154">
        <f t="shared" si="20"/>
        <v>-0.91273408239700371</v>
      </c>
      <c r="E1154">
        <v>1.5750246097595344E-2</v>
      </c>
    </row>
    <row r="1155" spans="2:5" x14ac:dyDescent="0.35">
      <c r="B1155" s="2">
        <v>42528</v>
      </c>
      <c r="C1155" s="4">
        <v>827.7</v>
      </c>
      <c r="D1155">
        <f t="shared" si="20"/>
        <v>8.3462059620596207</v>
      </c>
      <c r="E1155">
        <v>1.573237777341463E-2</v>
      </c>
    </row>
    <row r="1156" spans="2:5" x14ac:dyDescent="0.35">
      <c r="B1156" s="2">
        <v>41332</v>
      </c>
      <c r="C1156" s="4">
        <v>88.56</v>
      </c>
      <c r="D1156">
        <f t="shared" ref="D1156:D1219" si="21">C1156/C1157-1</f>
        <v>-0.21822033898305082</v>
      </c>
      <c r="E1156">
        <v>1.5712811102190694E-2</v>
      </c>
    </row>
    <row r="1157" spans="2:5" x14ac:dyDescent="0.35">
      <c r="B1157" s="2">
        <v>40303</v>
      </c>
      <c r="C1157" s="4">
        <v>113.28</v>
      </c>
      <c r="D1157">
        <f t="shared" si="21"/>
        <v>6.3661971830985875E-2</v>
      </c>
      <c r="E1157">
        <v>1.5690845512418283E-2</v>
      </c>
    </row>
    <row r="1158" spans="2:5" x14ac:dyDescent="0.35">
      <c r="B1158" s="2">
        <v>40226</v>
      </c>
      <c r="C1158" s="4">
        <v>106.5</v>
      </c>
      <c r="D1158">
        <f t="shared" si="21"/>
        <v>-0.98064016520392361</v>
      </c>
      <c r="E1158">
        <v>1.5639900820141106E-2</v>
      </c>
    </row>
    <row r="1159" spans="2:5" x14ac:dyDescent="0.35">
      <c r="B1159" s="2">
        <v>44558</v>
      </c>
      <c r="C1159" s="4">
        <v>5501.08</v>
      </c>
      <c r="D1159">
        <f t="shared" si="21"/>
        <v>40.59292303039468</v>
      </c>
      <c r="E1159">
        <v>1.5613374663759449E-2</v>
      </c>
    </row>
    <row r="1160" spans="2:5" x14ac:dyDescent="0.35">
      <c r="B1160" s="2">
        <v>40493</v>
      </c>
      <c r="C1160" s="4">
        <v>132.26</v>
      </c>
      <c r="D1160">
        <f t="shared" si="21"/>
        <v>0.61096224116930564</v>
      </c>
      <c r="E1160">
        <v>1.5587806189050202E-2</v>
      </c>
    </row>
    <row r="1161" spans="2:5" x14ac:dyDescent="0.35">
      <c r="B1161" s="2">
        <v>40878</v>
      </c>
      <c r="C1161" s="4">
        <v>82.1</v>
      </c>
      <c r="D1161">
        <f t="shared" si="21"/>
        <v>0.25958883092973273</v>
      </c>
      <c r="E1161">
        <v>1.5586343394359048E-2</v>
      </c>
    </row>
    <row r="1162" spans="2:5" x14ac:dyDescent="0.35">
      <c r="B1162" s="2">
        <v>40045</v>
      </c>
      <c r="C1162" s="4">
        <v>65.180000000000007</v>
      </c>
      <c r="D1162">
        <f t="shared" si="21"/>
        <v>-4.8328223098262346E-2</v>
      </c>
      <c r="E1162">
        <v>1.5581177937052049E-2</v>
      </c>
    </row>
    <row r="1163" spans="2:5" x14ac:dyDescent="0.35">
      <c r="B1163" s="2">
        <v>38642</v>
      </c>
      <c r="C1163" s="4">
        <v>68.489999999999995</v>
      </c>
      <c r="D1163">
        <f t="shared" si="21"/>
        <v>-0.75764331210191083</v>
      </c>
      <c r="E1163">
        <v>1.556939501779353E-2</v>
      </c>
    </row>
    <row r="1164" spans="2:5" x14ac:dyDescent="0.35">
      <c r="B1164" s="2">
        <v>41911</v>
      </c>
      <c r="C1164" s="4">
        <v>282.60000000000002</v>
      </c>
      <c r="D1164">
        <f t="shared" si="21"/>
        <v>1.7254315748866818</v>
      </c>
      <c r="E1164">
        <v>1.5560426923491688E-2</v>
      </c>
    </row>
    <row r="1165" spans="2:5" x14ac:dyDescent="0.35">
      <c r="B1165" s="2">
        <v>40441</v>
      </c>
      <c r="C1165" s="4">
        <v>103.69</v>
      </c>
      <c r="D1165">
        <f t="shared" si="21"/>
        <v>0.23249732556757396</v>
      </c>
      <c r="E1165">
        <v>1.5473508960924587E-2</v>
      </c>
    </row>
    <row r="1166" spans="2:5" x14ac:dyDescent="0.35">
      <c r="B1166" s="2">
        <v>40918</v>
      </c>
      <c r="C1166" s="4">
        <v>84.13</v>
      </c>
      <c r="D1166">
        <f t="shared" si="21"/>
        <v>1.8441514536849222</v>
      </c>
      <c r="E1166">
        <v>1.544960772480386E-2</v>
      </c>
    </row>
    <row r="1167" spans="2:5" x14ac:dyDescent="0.35">
      <c r="B1167" s="2">
        <v>38041</v>
      </c>
      <c r="C1167" s="4">
        <v>29.58</v>
      </c>
      <c r="D1167">
        <f t="shared" si="21"/>
        <v>-0.97820095214232028</v>
      </c>
      <c r="E1167">
        <v>1.5447991761071034E-2</v>
      </c>
    </row>
    <row r="1168" spans="2:5" x14ac:dyDescent="0.35">
      <c r="B1168" s="2">
        <v>43333</v>
      </c>
      <c r="C1168" s="4">
        <v>1356.94</v>
      </c>
      <c r="D1168">
        <f t="shared" si="21"/>
        <v>0.45893408164801253</v>
      </c>
      <c r="E1168">
        <v>1.542283717345283E-2</v>
      </c>
    </row>
    <row r="1169" spans="2:5" x14ac:dyDescent="0.35">
      <c r="B1169" s="2">
        <v>43388</v>
      </c>
      <c r="C1169" s="4">
        <v>930.09</v>
      </c>
      <c r="D1169">
        <f t="shared" si="21"/>
        <v>-0.89055781871068407</v>
      </c>
      <c r="E1169">
        <v>1.5415352031180163E-2</v>
      </c>
    </row>
    <row r="1170" spans="2:5" x14ac:dyDescent="0.35">
      <c r="B1170" s="2">
        <v>44704</v>
      </c>
      <c r="C1170" s="4">
        <v>8498.4599999999991</v>
      </c>
      <c r="D1170">
        <f t="shared" si="21"/>
        <v>108.03849114703617</v>
      </c>
      <c r="E1170">
        <v>1.5375571849644443E-2</v>
      </c>
    </row>
    <row r="1171" spans="2:5" x14ac:dyDescent="0.35">
      <c r="B1171" s="2">
        <v>38964</v>
      </c>
      <c r="C1171" s="4">
        <v>77.94</v>
      </c>
      <c r="D1171">
        <f t="shared" si="21"/>
        <v>-0.98408722016353778</v>
      </c>
      <c r="E1171">
        <v>1.5372589890567889E-2</v>
      </c>
    </row>
    <row r="1172" spans="2:5" x14ac:dyDescent="0.35">
      <c r="B1172" s="2">
        <v>44441</v>
      </c>
      <c r="C1172" s="4">
        <v>4897.95</v>
      </c>
      <c r="D1172">
        <f t="shared" si="21"/>
        <v>3.3310578394008257</v>
      </c>
      <c r="E1172">
        <v>1.5344335427752709E-2</v>
      </c>
    </row>
    <row r="1173" spans="2:5" x14ac:dyDescent="0.35">
      <c r="B1173" s="2">
        <v>43258</v>
      </c>
      <c r="C1173" s="4">
        <v>1130.8900000000001</v>
      </c>
      <c r="D1173">
        <f t="shared" si="21"/>
        <v>49.217140319715817</v>
      </c>
      <c r="E1173">
        <v>1.5343867839827663E-2</v>
      </c>
    </row>
    <row r="1174" spans="2:5" x14ac:dyDescent="0.35">
      <c r="B1174" s="2">
        <v>37760</v>
      </c>
      <c r="C1174" s="4">
        <v>22.52</v>
      </c>
      <c r="D1174">
        <f t="shared" si="21"/>
        <v>-0.69385535617183258</v>
      </c>
      <c r="E1174">
        <v>1.5329125338142457E-2</v>
      </c>
    </row>
    <row r="1175" spans="2:5" x14ac:dyDescent="0.35">
      <c r="B1175" s="2">
        <v>40900</v>
      </c>
      <c r="C1175" s="4">
        <v>73.56</v>
      </c>
      <c r="D1175">
        <f t="shared" si="21"/>
        <v>-0.98067673458880267</v>
      </c>
      <c r="E1175">
        <v>1.5320910973084967E-2</v>
      </c>
    </row>
    <row r="1176" spans="2:5" x14ac:dyDescent="0.35">
      <c r="B1176" s="2">
        <v>44375</v>
      </c>
      <c r="C1176" s="4">
        <v>3806.81</v>
      </c>
      <c r="D1176">
        <f t="shared" si="21"/>
        <v>40.136913767019664</v>
      </c>
      <c r="E1176">
        <v>1.5271165873238068E-2</v>
      </c>
    </row>
    <row r="1177" spans="2:5" x14ac:dyDescent="0.35">
      <c r="B1177" s="2">
        <v>41085</v>
      </c>
      <c r="C1177" s="4">
        <v>92.54</v>
      </c>
      <c r="D1177">
        <f t="shared" si="21"/>
        <v>2.0836387870709765</v>
      </c>
      <c r="E1177">
        <v>1.5249588590235952E-2</v>
      </c>
    </row>
    <row r="1178" spans="2:5" x14ac:dyDescent="0.35">
      <c r="B1178" s="2">
        <v>37609</v>
      </c>
      <c r="C1178" s="4">
        <v>30.01</v>
      </c>
      <c r="D1178">
        <f t="shared" si="21"/>
        <v>-0.99589702223072929</v>
      </c>
      <c r="E1178">
        <v>1.5223274695534528E-2</v>
      </c>
    </row>
    <row r="1179" spans="2:5" x14ac:dyDescent="0.35">
      <c r="B1179" s="2">
        <v>44853</v>
      </c>
      <c r="C1179" s="4">
        <v>7314.2</v>
      </c>
      <c r="D1179">
        <f t="shared" si="21"/>
        <v>60.15551839464883</v>
      </c>
      <c r="E1179">
        <v>1.5205457586420001E-2</v>
      </c>
    </row>
    <row r="1180" spans="2:5" x14ac:dyDescent="0.35">
      <c r="B1180" s="2">
        <v>39281</v>
      </c>
      <c r="C1180" s="4">
        <v>119.6</v>
      </c>
      <c r="D1180">
        <f t="shared" si="21"/>
        <v>-0.98623713327311124</v>
      </c>
      <c r="E1180">
        <v>1.5193956370426864E-2</v>
      </c>
    </row>
    <row r="1181" spans="2:5" x14ac:dyDescent="0.35">
      <c r="B1181" s="2">
        <v>44771</v>
      </c>
      <c r="C1181" s="4">
        <v>8690.0499999999993</v>
      </c>
      <c r="D1181">
        <f t="shared" si="21"/>
        <v>405.26694717157545</v>
      </c>
      <c r="E1181">
        <v>1.5192757009345748E-2</v>
      </c>
    </row>
    <row r="1182" spans="2:5" x14ac:dyDescent="0.35">
      <c r="B1182" s="2">
        <v>37712</v>
      </c>
      <c r="C1182" s="4">
        <v>21.39</v>
      </c>
      <c r="D1182">
        <f t="shared" si="21"/>
        <v>-0.99750013147976091</v>
      </c>
      <c r="E1182">
        <v>1.5187470336972098E-2</v>
      </c>
    </row>
    <row r="1183" spans="2:5" x14ac:dyDescent="0.35">
      <c r="B1183" s="2">
        <v>44834</v>
      </c>
      <c r="C1183" s="4">
        <v>8556.4500000000007</v>
      </c>
      <c r="D1183">
        <f t="shared" si="21"/>
        <v>9.7777427887643285</v>
      </c>
      <c r="E1183">
        <v>1.5168592648838519E-2</v>
      </c>
    </row>
    <row r="1184" spans="2:5" x14ac:dyDescent="0.35">
      <c r="B1184" s="2">
        <v>43031</v>
      </c>
      <c r="C1184" s="4">
        <v>793.9</v>
      </c>
      <c r="D1184">
        <f t="shared" si="21"/>
        <v>1.8099670831416135</v>
      </c>
      <c r="E1184">
        <v>1.516546468211355E-2</v>
      </c>
    </row>
    <row r="1185" spans="2:5" x14ac:dyDescent="0.35">
      <c r="B1185" s="2">
        <v>41941</v>
      </c>
      <c r="C1185" s="4">
        <v>282.52999999999997</v>
      </c>
      <c r="D1185">
        <f t="shared" si="21"/>
        <v>1.2492635936629246</v>
      </c>
      <c r="E1185">
        <v>1.5126473124460915E-2</v>
      </c>
    </row>
    <row r="1186" spans="2:5" x14ac:dyDescent="0.35">
      <c r="B1186" s="2">
        <v>40267</v>
      </c>
      <c r="C1186" s="4">
        <v>125.61</v>
      </c>
      <c r="D1186">
        <f t="shared" si="21"/>
        <v>3.1455445544554452</v>
      </c>
      <c r="E1186">
        <v>1.5112332309681564E-2</v>
      </c>
    </row>
    <row r="1187" spans="2:5" x14ac:dyDescent="0.35">
      <c r="B1187" s="2">
        <v>37546</v>
      </c>
      <c r="C1187" s="4">
        <v>30.3</v>
      </c>
      <c r="D1187">
        <f t="shared" si="21"/>
        <v>-0.70979791207738718</v>
      </c>
      <c r="E1187">
        <v>1.5075376884422065E-2</v>
      </c>
    </row>
    <row r="1188" spans="2:5" x14ac:dyDescent="0.35">
      <c r="B1188" s="2">
        <v>40742</v>
      </c>
      <c r="C1188" s="4">
        <v>104.41</v>
      </c>
      <c r="D1188">
        <f t="shared" si="21"/>
        <v>2.6003448275862069</v>
      </c>
      <c r="E1188">
        <v>1.5069025860392715E-2</v>
      </c>
    </row>
    <row r="1189" spans="2:5" x14ac:dyDescent="0.35">
      <c r="B1189" s="2">
        <v>39884</v>
      </c>
      <c r="C1189" s="4">
        <v>29</v>
      </c>
      <c r="D1189">
        <f t="shared" si="21"/>
        <v>0</v>
      </c>
      <c r="E1189">
        <v>1.5050752537626888E-2</v>
      </c>
    </row>
    <row r="1190" spans="2:5" x14ac:dyDescent="0.35">
      <c r="B1190" s="2">
        <v>38092</v>
      </c>
      <c r="C1190" s="4">
        <v>29</v>
      </c>
      <c r="D1190">
        <f t="shared" si="21"/>
        <v>-0.79147192061551741</v>
      </c>
      <c r="E1190">
        <v>1.5050752537626888E-2</v>
      </c>
    </row>
    <row r="1191" spans="2:5" x14ac:dyDescent="0.35">
      <c r="B1191" s="2">
        <v>41614</v>
      </c>
      <c r="C1191" s="4">
        <v>139.07</v>
      </c>
      <c r="D1191">
        <f t="shared" si="21"/>
        <v>3.5776826859776172</v>
      </c>
      <c r="E1191">
        <v>1.5035398875994366E-2</v>
      </c>
    </row>
    <row r="1192" spans="2:5" x14ac:dyDescent="0.35">
      <c r="B1192" s="2">
        <v>37540</v>
      </c>
      <c r="C1192" s="4">
        <v>30.38</v>
      </c>
      <c r="D1192">
        <f t="shared" si="21"/>
        <v>-0.59552656104380242</v>
      </c>
      <c r="E1192">
        <v>1.5035081857667887E-2</v>
      </c>
    </row>
    <row r="1193" spans="2:5" x14ac:dyDescent="0.35">
      <c r="B1193" s="2">
        <v>38695</v>
      </c>
      <c r="C1193" s="4">
        <v>75.11</v>
      </c>
      <c r="D1193">
        <f t="shared" si="21"/>
        <v>-0.97203752652544584</v>
      </c>
      <c r="E1193">
        <v>1.4999999999999902E-2</v>
      </c>
    </row>
    <row r="1194" spans="2:5" x14ac:dyDescent="0.35">
      <c r="B1194" s="2">
        <v>44260</v>
      </c>
      <c r="C1194" s="4">
        <v>2686.1</v>
      </c>
      <c r="D1194">
        <f t="shared" si="21"/>
        <v>39.871880706025564</v>
      </c>
      <c r="E1194">
        <v>1.4982334825898835E-2</v>
      </c>
    </row>
    <row r="1195" spans="2:5" x14ac:dyDescent="0.35">
      <c r="B1195" s="2">
        <v>38824</v>
      </c>
      <c r="C1195" s="4">
        <v>65.72</v>
      </c>
      <c r="D1195">
        <f t="shared" si="21"/>
        <v>-0.91421149503309096</v>
      </c>
      <c r="E1195">
        <v>1.4980694980694986E-2</v>
      </c>
    </row>
    <row r="1196" spans="2:5" x14ac:dyDescent="0.35">
      <c r="B1196" s="2">
        <v>42970</v>
      </c>
      <c r="C1196" s="4">
        <v>766.07</v>
      </c>
      <c r="D1196">
        <f t="shared" si="21"/>
        <v>6.782891394899929</v>
      </c>
      <c r="E1196">
        <v>1.4971448255760134E-2</v>
      </c>
    </row>
    <row r="1197" spans="2:5" x14ac:dyDescent="0.35">
      <c r="B1197" s="2">
        <v>41592</v>
      </c>
      <c r="C1197" s="4">
        <v>98.43</v>
      </c>
      <c r="D1197">
        <f t="shared" si="21"/>
        <v>-1.5109065439263492E-2</v>
      </c>
      <c r="E1197">
        <v>1.4951536399257614E-2</v>
      </c>
    </row>
    <row r="1198" spans="2:5" x14ac:dyDescent="0.35">
      <c r="B1198" s="2">
        <v>40177</v>
      </c>
      <c r="C1198" s="4">
        <v>99.94</v>
      </c>
      <c r="D1198">
        <f t="shared" si="21"/>
        <v>2.2660130718954248</v>
      </c>
      <c r="E1198">
        <v>1.4928404590230482E-2</v>
      </c>
    </row>
    <row r="1199" spans="2:5" x14ac:dyDescent="0.35">
      <c r="B1199" s="2">
        <v>37526</v>
      </c>
      <c r="C1199" s="4">
        <v>30.6</v>
      </c>
      <c r="D1199">
        <f t="shared" si="21"/>
        <v>-0.99541174353745576</v>
      </c>
      <c r="E1199">
        <v>1.4925373134328401E-2</v>
      </c>
    </row>
    <row r="1200" spans="2:5" x14ac:dyDescent="0.35">
      <c r="B1200" s="2">
        <v>44963</v>
      </c>
      <c r="C1200" s="4">
        <v>6669.2</v>
      </c>
      <c r="D1200">
        <f t="shared" si="21"/>
        <v>6.3528698374898021</v>
      </c>
      <c r="E1200">
        <v>1.492128470663423E-2</v>
      </c>
    </row>
    <row r="1201" spans="2:5" x14ac:dyDescent="0.35">
      <c r="B1201" s="2">
        <v>42480</v>
      </c>
      <c r="C1201" s="4">
        <v>907.02</v>
      </c>
      <c r="D1201">
        <f t="shared" si="21"/>
        <v>-0.18045792146303563</v>
      </c>
      <c r="E1201">
        <v>1.4915686647495097E-2</v>
      </c>
    </row>
    <row r="1202" spans="2:5" x14ac:dyDescent="0.35">
      <c r="B1202" s="2">
        <v>43237</v>
      </c>
      <c r="C1202" s="4">
        <v>1106.74</v>
      </c>
      <c r="D1202">
        <f t="shared" si="21"/>
        <v>-0.74555653903187613</v>
      </c>
      <c r="E1202">
        <v>1.4901558015204097E-2</v>
      </c>
    </row>
    <row r="1203" spans="2:5" x14ac:dyDescent="0.35">
      <c r="B1203" s="2">
        <v>44391</v>
      </c>
      <c r="C1203" s="4">
        <v>4349.6499999999996</v>
      </c>
      <c r="D1203">
        <f t="shared" si="21"/>
        <v>-0.44006472600226831</v>
      </c>
      <c r="E1203">
        <v>1.4893299298617269E-2</v>
      </c>
    </row>
    <row r="1204" spans="2:5" x14ac:dyDescent="0.35">
      <c r="B1204" s="2">
        <v>44671</v>
      </c>
      <c r="C1204" s="4">
        <v>7768.13</v>
      </c>
      <c r="D1204">
        <f t="shared" si="21"/>
        <v>222.09391154508904</v>
      </c>
      <c r="E1204">
        <v>1.4889942201365081E-2</v>
      </c>
    </row>
    <row r="1205" spans="2:5" x14ac:dyDescent="0.35">
      <c r="B1205" s="2">
        <v>37966</v>
      </c>
      <c r="C1205" s="4">
        <v>34.82</v>
      </c>
      <c r="D1205">
        <f t="shared" si="21"/>
        <v>-0.63588831956499003</v>
      </c>
      <c r="E1205">
        <v>1.4864470999708557E-2</v>
      </c>
    </row>
    <row r="1206" spans="2:5" x14ac:dyDescent="0.35">
      <c r="B1206" s="2">
        <v>41214</v>
      </c>
      <c r="C1206" s="4">
        <v>95.63</v>
      </c>
      <c r="D1206">
        <f t="shared" si="21"/>
        <v>1.1957671957671945E-2</v>
      </c>
      <c r="E1206">
        <v>1.4857264140931692E-2</v>
      </c>
    </row>
    <row r="1207" spans="2:5" x14ac:dyDescent="0.35">
      <c r="B1207" s="2">
        <v>40169</v>
      </c>
      <c r="C1207" s="4">
        <v>94.5</v>
      </c>
      <c r="D1207">
        <f t="shared" si="21"/>
        <v>2.0542986425339365</v>
      </c>
      <c r="E1207">
        <v>1.4819587628865927E-2</v>
      </c>
    </row>
    <row r="1208" spans="2:5" x14ac:dyDescent="0.35">
      <c r="B1208" s="2">
        <v>37596</v>
      </c>
      <c r="C1208" s="4">
        <v>30.94</v>
      </c>
      <c r="D1208">
        <f t="shared" si="21"/>
        <v>-0.74321520458129298</v>
      </c>
      <c r="E1208">
        <v>1.475893735651046E-2</v>
      </c>
    </row>
    <row r="1209" spans="2:5" x14ac:dyDescent="0.35">
      <c r="B1209" s="2">
        <v>39273</v>
      </c>
      <c r="C1209" s="4">
        <v>120.49</v>
      </c>
      <c r="D1209">
        <f t="shared" si="21"/>
        <v>-0.91303375003608855</v>
      </c>
      <c r="E1209">
        <v>1.473808320700698E-2</v>
      </c>
    </row>
    <row r="1210" spans="2:5" x14ac:dyDescent="0.35">
      <c r="B1210" s="2">
        <v>44112</v>
      </c>
      <c r="C1210" s="4">
        <v>1385.48</v>
      </c>
      <c r="D1210">
        <f t="shared" si="21"/>
        <v>-0.81463985026483265</v>
      </c>
      <c r="E1210">
        <v>1.4728608362568396E-2</v>
      </c>
    </row>
    <row r="1211" spans="2:5" x14ac:dyDescent="0.35">
      <c r="B1211" s="2">
        <v>44642</v>
      </c>
      <c r="C1211" s="4">
        <v>7474.53</v>
      </c>
      <c r="D1211">
        <f t="shared" si="21"/>
        <v>8.2399065443667006</v>
      </c>
      <c r="E1211">
        <v>1.4702228955653096E-2</v>
      </c>
    </row>
    <row r="1212" spans="2:5" x14ac:dyDescent="0.35">
      <c r="B1212" s="2">
        <v>43041</v>
      </c>
      <c r="C1212" s="4">
        <v>808.94</v>
      </c>
      <c r="D1212">
        <f t="shared" si="21"/>
        <v>3.1679632699910698E-2</v>
      </c>
      <c r="E1212">
        <v>1.4701086274804931E-2</v>
      </c>
    </row>
    <row r="1213" spans="2:5" x14ac:dyDescent="0.35">
      <c r="B1213" s="2">
        <v>42921</v>
      </c>
      <c r="C1213" s="4">
        <v>784.1</v>
      </c>
      <c r="D1213">
        <f t="shared" si="21"/>
        <v>-5.0542477961832755E-2</v>
      </c>
      <c r="E1213">
        <v>1.4635282547652118E-2</v>
      </c>
    </row>
    <row r="1214" spans="2:5" x14ac:dyDescent="0.35">
      <c r="B1214" s="2">
        <v>43047</v>
      </c>
      <c r="C1214" s="4">
        <v>825.84</v>
      </c>
      <c r="D1214">
        <f t="shared" si="21"/>
        <v>-0.86459863588667363</v>
      </c>
      <c r="E1214">
        <v>1.4632707972430214E-2</v>
      </c>
    </row>
    <row r="1215" spans="2:5" x14ac:dyDescent="0.35">
      <c r="B1215" s="2">
        <v>45021</v>
      </c>
      <c r="C1215" s="4">
        <v>6099.2</v>
      </c>
      <c r="D1215">
        <f t="shared" si="21"/>
        <v>5.3735161344256808</v>
      </c>
      <c r="E1215">
        <v>1.4622461031723599E-2</v>
      </c>
    </row>
    <row r="1216" spans="2:5" x14ac:dyDescent="0.35">
      <c r="B1216" s="2">
        <v>43432</v>
      </c>
      <c r="C1216" s="4">
        <v>956.96</v>
      </c>
      <c r="D1216">
        <f t="shared" si="21"/>
        <v>2.4639832042279015</v>
      </c>
      <c r="E1216">
        <v>1.4567121138228556E-2</v>
      </c>
    </row>
    <row r="1217" spans="2:5" x14ac:dyDescent="0.35">
      <c r="B1217" s="2">
        <v>41939</v>
      </c>
      <c r="C1217" s="4">
        <v>276.26</v>
      </c>
      <c r="D1217">
        <f t="shared" si="21"/>
        <v>1.9537046936811717</v>
      </c>
      <c r="E1217">
        <v>1.4542783694454497E-2</v>
      </c>
    </row>
    <row r="1218" spans="2:5" x14ac:dyDescent="0.35">
      <c r="B1218" s="2">
        <v>41235</v>
      </c>
      <c r="C1218" s="4">
        <v>93.53</v>
      </c>
      <c r="D1218">
        <f t="shared" si="21"/>
        <v>-0.96481149147657796</v>
      </c>
      <c r="E1218">
        <v>1.4535199045449643E-2</v>
      </c>
    </row>
    <row r="1219" spans="2:5" x14ac:dyDescent="0.35">
      <c r="B1219" s="2">
        <v>44285</v>
      </c>
      <c r="C1219" s="4">
        <v>2657.97</v>
      </c>
      <c r="D1219">
        <f t="shared" si="21"/>
        <v>4.3429754558063793</v>
      </c>
      <c r="E1219">
        <v>1.4488494318723788E-2</v>
      </c>
    </row>
    <row r="1220" spans="2:5" x14ac:dyDescent="0.35">
      <c r="B1220" s="2">
        <v>42171</v>
      </c>
      <c r="C1220" s="4">
        <v>497.47</v>
      </c>
      <c r="D1220">
        <f t="shared" ref="D1220:D1283" si="22">C1220/C1221-1</f>
        <v>-0.62099256414944837</v>
      </c>
      <c r="E1220">
        <v>1.4478862899443223E-2</v>
      </c>
    </row>
    <row r="1221" spans="2:5" x14ac:dyDescent="0.35">
      <c r="B1221" s="2">
        <v>43301</v>
      </c>
      <c r="C1221" s="4">
        <v>1312.56</v>
      </c>
      <c r="D1221">
        <f t="shared" si="22"/>
        <v>3.7168577281057971</v>
      </c>
      <c r="E1221">
        <v>1.4476399526985873E-2</v>
      </c>
    </row>
    <row r="1222" spans="2:5" x14ac:dyDescent="0.35">
      <c r="B1222" s="2">
        <v>41908</v>
      </c>
      <c r="C1222" s="4">
        <v>278.27</v>
      </c>
      <c r="D1222">
        <f t="shared" si="22"/>
        <v>3.2653280196198651</v>
      </c>
      <c r="E1222">
        <v>1.4473204520597749E-2</v>
      </c>
    </row>
    <row r="1223" spans="2:5" x14ac:dyDescent="0.35">
      <c r="B1223" s="2">
        <v>40134</v>
      </c>
      <c r="C1223" s="4">
        <v>65.239999999999995</v>
      </c>
      <c r="D1223">
        <f t="shared" si="22"/>
        <v>-0.21198212344486056</v>
      </c>
      <c r="E1223">
        <v>1.4461203545327095E-2</v>
      </c>
    </row>
    <row r="1224" spans="2:5" x14ac:dyDescent="0.35">
      <c r="B1224" s="2">
        <v>40823</v>
      </c>
      <c r="C1224" s="4">
        <v>82.79</v>
      </c>
      <c r="D1224">
        <f t="shared" si="22"/>
        <v>-0.18729753607539013</v>
      </c>
      <c r="E1224">
        <v>1.4459012375934499E-2</v>
      </c>
    </row>
    <row r="1225" spans="2:5" x14ac:dyDescent="0.35">
      <c r="B1225" s="2">
        <v>40631</v>
      </c>
      <c r="C1225" s="4">
        <v>101.87</v>
      </c>
      <c r="D1225">
        <f t="shared" si="22"/>
        <v>-0.98462525279966195</v>
      </c>
      <c r="E1225">
        <v>1.4439354710217067E-2</v>
      </c>
    </row>
    <row r="1226" spans="2:5" x14ac:dyDescent="0.35">
      <c r="B1226" s="2">
        <v>44623</v>
      </c>
      <c r="C1226" s="4">
        <v>6625.8</v>
      </c>
      <c r="D1226">
        <f t="shared" si="22"/>
        <v>65.357536304456687</v>
      </c>
      <c r="E1226">
        <v>1.4433065453270499E-2</v>
      </c>
    </row>
    <row r="1227" spans="2:5" x14ac:dyDescent="0.35">
      <c r="B1227" s="2">
        <v>41596</v>
      </c>
      <c r="C1227" s="4">
        <v>99.85</v>
      </c>
      <c r="D1227">
        <f t="shared" si="22"/>
        <v>-0.87464219354190731</v>
      </c>
      <c r="E1227">
        <v>1.4426495986995747E-2</v>
      </c>
    </row>
    <row r="1228" spans="2:5" x14ac:dyDescent="0.35">
      <c r="B1228" s="2">
        <v>43020</v>
      </c>
      <c r="C1228" s="4">
        <v>796.52</v>
      </c>
      <c r="D1228">
        <f t="shared" si="22"/>
        <v>10.185507653419464</v>
      </c>
      <c r="E1228">
        <v>1.4403790068898692E-2</v>
      </c>
    </row>
    <row r="1229" spans="2:5" x14ac:dyDescent="0.35">
      <c r="B1229" s="2">
        <v>39650</v>
      </c>
      <c r="C1229" s="4">
        <v>71.209999999999994</v>
      </c>
      <c r="D1229">
        <f t="shared" si="22"/>
        <v>-0.70984434846385791</v>
      </c>
      <c r="E1229">
        <v>1.4387464387464188E-2</v>
      </c>
    </row>
    <row r="1230" spans="2:5" x14ac:dyDescent="0.35">
      <c r="B1230" s="2">
        <v>41730</v>
      </c>
      <c r="C1230" s="4">
        <v>245.42</v>
      </c>
      <c r="D1230">
        <f t="shared" si="22"/>
        <v>2.4796540479228693</v>
      </c>
      <c r="E1230">
        <v>1.4383731503678554E-2</v>
      </c>
    </row>
    <row r="1231" spans="2:5" x14ac:dyDescent="0.35">
      <c r="B1231" s="2">
        <v>38862</v>
      </c>
      <c r="C1231" s="4">
        <v>70.53</v>
      </c>
      <c r="D1231">
        <f t="shared" si="22"/>
        <v>-0.40491056361795474</v>
      </c>
      <c r="E1231">
        <v>1.4382281029771349E-2</v>
      </c>
    </row>
    <row r="1232" spans="2:5" x14ac:dyDescent="0.35">
      <c r="B1232" s="2">
        <v>39246</v>
      </c>
      <c r="C1232" s="4">
        <v>118.52</v>
      </c>
      <c r="D1232">
        <f t="shared" si="22"/>
        <v>0.17451194133386183</v>
      </c>
      <c r="E1232">
        <v>1.4378637452927112E-2</v>
      </c>
    </row>
    <row r="1233" spans="2:5" x14ac:dyDescent="0.35">
      <c r="B1233" s="2">
        <v>39163</v>
      </c>
      <c r="C1233" s="4">
        <v>100.91</v>
      </c>
      <c r="D1233">
        <f t="shared" si="22"/>
        <v>-0.98810220010847261</v>
      </c>
      <c r="E1233">
        <v>1.4374748693204653E-2</v>
      </c>
    </row>
    <row r="1234" spans="2:5" x14ac:dyDescent="0.35">
      <c r="B1234" s="2">
        <v>44769</v>
      </c>
      <c r="C1234" s="4">
        <v>8481.4</v>
      </c>
      <c r="D1234">
        <f t="shared" si="22"/>
        <v>10.284910254533841</v>
      </c>
      <c r="E1234">
        <v>1.4363795103632171E-2</v>
      </c>
    </row>
    <row r="1235" spans="2:5" x14ac:dyDescent="0.35">
      <c r="B1235" s="2">
        <v>42214</v>
      </c>
      <c r="C1235" s="4">
        <v>751.57</v>
      </c>
      <c r="D1235">
        <f t="shared" si="22"/>
        <v>-0.17709211549200155</v>
      </c>
      <c r="E1235">
        <v>1.4332950941359002E-2</v>
      </c>
    </row>
    <row r="1236" spans="2:5" x14ac:dyDescent="0.35">
      <c r="B1236" s="2">
        <v>43102</v>
      </c>
      <c r="C1236" s="4">
        <v>913.31</v>
      </c>
      <c r="D1236">
        <f t="shared" si="22"/>
        <v>7.2051028658700922</v>
      </c>
      <c r="E1236">
        <v>1.4315541636125362E-2</v>
      </c>
    </row>
    <row r="1237" spans="2:5" x14ac:dyDescent="0.35">
      <c r="B1237" s="2">
        <v>40381</v>
      </c>
      <c r="C1237" s="4">
        <v>111.31</v>
      </c>
      <c r="D1237">
        <f t="shared" si="22"/>
        <v>-0.98128444747841936</v>
      </c>
      <c r="E1237">
        <v>1.4306542737379413E-2</v>
      </c>
    </row>
    <row r="1238" spans="2:5" x14ac:dyDescent="0.35">
      <c r="B1238" s="2">
        <v>44565</v>
      </c>
      <c r="C1238" s="4">
        <v>5947.46</v>
      </c>
      <c r="D1238">
        <f t="shared" si="22"/>
        <v>6.0534392789373808</v>
      </c>
      <c r="E1238">
        <v>1.4270658176125384E-2</v>
      </c>
    </row>
    <row r="1239" spans="2:5" x14ac:dyDescent="0.35">
      <c r="B1239" s="2">
        <v>43817</v>
      </c>
      <c r="C1239" s="4">
        <v>843.2</v>
      </c>
      <c r="D1239">
        <f t="shared" si="22"/>
        <v>24.730851388465059</v>
      </c>
      <c r="E1239">
        <v>1.4241724403387224E-2</v>
      </c>
    </row>
    <row r="1240" spans="2:5" x14ac:dyDescent="0.35">
      <c r="B1240" s="2">
        <v>37510</v>
      </c>
      <c r="C1240" s="4">
        <v>32.770000000000003</v>
      </c>
      <c r="D1240">
        <f t="shared" si="22"/>
        <v>-0.96010858450601355</v>
      </c>
      <c r="E1240">
        <v>1.4237078303930728E-2</v>
      </c>
    </row>
    <row r="1241" spans="2:5" x14ac:dyDescent="0.35">
      <c r="B1241" s="2">
        <v>42242</v>
      </c>
      <c r="C1241" s="4">
        <v>821.48</v>
      </c>
      <c r="D1241">
        <f t="shared" si="22"/>
        <v>8.1960147766707721</v>
      </c>
      <c r="E1241">
        <v>1.4235446632508086E-2</v>
      </c>
    </row>
    <row r="1242" spans="2:5" x14ac:dyDescent="0.35">
      <c r="B1242" s="2">
        <v>41473</v>
      </c>
      <c r="C1242" s="4">
        <v>89.33</v>
      </c>
      <c r="D1242">
        <f t="shared" si="22"/>
        <v>-0.19933673926682793</v>
      </c>
      <c r="E1242">
        <v>1.4191643960036249E-2</v>
      </c>
    </row>
    <row r="1243" spans="2:5" x14ac:dyDescent="0.35">
      <c r="B1243" s="2">
        <v>40192</v>
      </c>
      <c r="C1243" s="4">
        <v>111.57</v>
      </c>
      <c r="D1243">
        <f t="shared" si="22"/>
        <v>-0.80072159608480542</v>
      </c>
      <c r="E1243">
        <v>1.4180529042814083E-2</v>
      </c>
    </row>
    <row r="1244" spans="2:5" x14ac:dyDescent="0.35">
      <c r="B1244" s="2">
        <v>42684</v>
      </c>
      <c r="C1244" s="4">
        <v>559.87</v>
      </c>
      <c r="D1244">
        <f t="shared" si="22"/>
        <v>-0.5642356787048568</v>
      </c>
      <c r="E1244">
        <v>1.4165383570328816E-2</v>
      </c>
    </row>
    <row r="1245" spans="2:5" x14ac:dyDescent="0.35">
      <c r="B1245" s="2">
        <v>43360</v>
      </c>
      <c r="C1245" s="4">
        <v>1284.8</v>
      </c>
      <c r="D1245">
        <f t="shared" si="22"/>
        <v>12.470329209477878</v>
      </c>
      <c r="E1245">
        <v>1.4160996479484655E-2</v>
      </c>
    </row>
    <row r="1246" spans="2:5" x14ac:dyDescent="0.35">
      <c r="B1246" s="2">
        <v>40946</v>
      </c>
      <c r="C1246" s="4">
        <v>95.38</v>
      </c>
      <c r="D1246">
        <f t="shared" si="22"/>
        <v>2.4052124241342376</v>
      </c>
      <c r="E1246">
        <v>1.4141414141414232E-2</v>
      </c>
    </row>
    <row r="1247" spans="2:5" x14ac:dyDescent="0.35">
      <c r="B1247" s="2">
        <v>37580</v>
      </c>
      <c r="C1247" s="4">
        <v>28.01</v>
      </c>
      <c r="D1247">
        <f t="shared" si="22"/>
        <v>-0.67300957272939521</v>
      </c>
      <c r="E1247">
        <v>1.4120202751629174E-2</v>
      </c>
    </row>
    <row r="1248" spans="2:5" x14ac:dyDescent="0.35">
      <c r="B1248" s="2">
        <v>41410</v>
      </c>
      <c r="C1248" s="4">
        <v>85.66</v>
      </c>
      <c r="D1248">
        <f t="shared" si="22"/>
        <v>-0.24859649122807026</v>
      </c>
      <c r="E1248">
        <v>1.4087841837338688E-2</v>
      </c>
    </row>
    <row r="1249" spans="2:5" x14ac:dyDescent="0.35">
      <c r="B1249" s="2">
        <v>40472</v>
      </c>
      <c r="C1249" s="4">
        <v>114</v>
      </c>
      <c r="D1249">
        <f t="shared" si="22"/>
        <v>0.94009530292716148</v>
      </c>
      <c r="E1249">
        <v>1.4054438711972983E-2</v>
      </c>
    </row>
    <row r="1250" spans="2:5" x14ac:dyDescent="0.35">
      <c r="B1250" s="2">
        <v>38439</v>
      </c>
      <c r="C1250" s="4">
        <v>58.76</v>
      </c>
      <c r="D1250">
        <f t="shared" si="22"/>
        <v>-0.33709386281588449</v>
      </c>
      <c r="E1250">
        <v>1.3977566867989566E-2</v>
      </c>
    </row>
    <row r="1251" spans="2:5" x14ac:dyDescent="0.35">
      <c r="B1251" s="2">
        <v>41569</v>
      </c>
      <c r="C1251" s="4">
        <v>88.64</v>
      </c>
      <c r="D1251">
        <f t="shared" si="22"/>
        <v>0.19589854290339992</v>
      </c>
      <c r="E1251">
        <v>1.3955616563715356E-2</v>
      </c>
    </row>
    <row r="1252" spans="2:5" x14ac:dyDescent="0.35">
      <c r="B1252" s="2">
        <v>39636</v>
      </c>
      <c r="C1252" s="4">
        <v>74.12</v>
      </c>
      <c r="D1252">
        <f t="shared" si="22"/>
        <v>-0.42489137181874603</v>
      </c>
      <c r="E1252">
        <v>1.3953488372093092E-2</v>
      </c>
    </row>
    <row r="1253" spans="2:5" x14ac:dyDescent="0.35">
      <c r="B1253" s="2">
        <v>40497</v>
      </c>
      <c r="C1253" s="4">
        <v>128.88</v>
      </c>
      <c r="D1253">
        <f t="shared" si="22"/>
        <v>4.0442270058708409</v>
      </c>
      <c r="E1253">
        <v>1.3924946896388901E-2</v>
      </c>
    </row>
    <row r="1254" spans="2:5" x14ac:dyDescent="0.35">
      <c r="B1254" s="2">
        <v>37799</v>
      </c>
      <c r="C1254" s="4">
        <v>25.55</v>
      </c>
      <c r="D1254">
        <f t="shared" si="22"/>
        <v>-0.76668797370103192</v>
      </c>
      <c r="E1254">
        <v>1.388888888888884E-2</v>
      </c>
    </row>
    <row r="1255" spans="2:5" x14ac:dyDescent="0.35">
      <c r="B1255" s="2">
        <v>40212</v>
      </c>
      <c r="C1255" s="4">
        <v>109.51</v>
      </c>
      <c r="D1255">
        <f t="shared" si="22"/>
        <v>-0.88523610907337935</v>
      </c>
      <c r="E1255">
        <v>1.3887602999722137E-2</v>
      </c>
    </row>
    <row r="1256" spans="2:5" x14ac:dyDescent="0.35">
      <c r="B1256" s="2">
        <v>43145</v>
      </c>
      <c r="C1256" s="4">
        <v>954.22</v>
      </c>
      <c r="D1256">
        <f t="shared" si="22"/>
        <v>8.1321657574887549</v>
      </c>
      <c r="E1256">
        <v>1.3887265579344499E-2</v>
      </c>
    </row>
    <row r="1257" spans="2:5" x14ac:dyDescent="0.35">
      <c r="B1257" s="2">
        <v>39381</v>
      </c>
      <c r="C1257" s="4">
        <v>104.49</v>
      </c>
      <c r="D1257">
        <f t="shared" si="22"/>
        <v>4.2294264339152177E-2</v>
      </c>
      <c r="E1257">
        <v>1.3875412381137098E-2</v>
      </c>
    </row>
    <row r="1258" spans="2:5" x14ac:dyDescent="0.35">
      <c r="B1258" s="2">
        <v>39378</v>
      </c>
      <c r="C1258" s="4">
        <v>100.25</v>
      </c>
      <c r="D1258">
        <f t="shared" si="22"/>
        <v>-0.83313359299577217</v>
      </c>
      <c r="E1258">
        <v>1.3855177993527645E-2</v>
      </c>
    </row>
    <row r="1259" spans="2:5" x14ac:dyDescent="0.35">
      <c r="B1259" s="2">
        <v>43713</v>
      </c>
      <c r="C1259" s="4">
        <v>600.78</v>
      </c>
      <c r="D1259">
        <f t="shared" si="22"/>
        <v>-0.1646784016017353</v>
      </c>
      <c r="E1259">
        <v>1.3837794053123575E-2</v>
      </c>
    </row>
    <row r="1260" spans="2:5" x14ac:dyDescent="0.35">
      <c r="B1260" s="2">
        <v>42859</v>
      </c>
      <c r="C1260" s="4">
        <v>719.22</v>
      </c>
      <c r="D1260">
        <f t="shared" si="22"/>
        <v>-0.26889218695996908</v>
      </c>
      <c r="E1260">
        <v>1.3828392607941886E-2</v>
      </c>
    </row>
    <row r="1261" spans="2:5" x14ac:dyDescent="0.35">
      <c r="B1261" s="2">
        <v>43159</v>
      </c>
      <c r="C1261" s="4">
        <v>983.74</v>
      </c>
      <c r="D1261">
        <f t="shared" si="22"/>
        <v>-0.84230462807559192</v>
      </c>
      <c r="E1261">
        <v>1.3820040604742623E-2</v>
      </c>
    </row>
    <row r="1262" spans="2:5" x14ac:dyDescent="0.35">
      <c r="B1262" s="2">
        <v>44509</v>
      </c>
      <c r="C1262" s="4">
        <v>6238.23</v>
      </c>
      <c r="D1262">
        <f t="shared" si="22"/>
        <v>9.9404244124868448</v>
      </c>
      <c r="E1262">
        <v>1.3817178350811865E-2</v>
      </c>
    </row>
    <row r="1263" spans="2:5" x14ac:dyDescent="0.35">
      <c r="B1263" s="2">
        <v>42153</v>
      </c>
      <c r="C1263" s="4">
        <v>570.20000000000005</v>
      </c>
      <c r="D1263">
        <f t="shared" si="22"/>
        <v>6.9073637498266542</v>
      </c>
      <c r="E1263">
        <v>1.3779002578006905E-2</v>
      </c>
    </row>
    <row r="1264" spans="2:5" x14ac:dyDescent="0.35">
      <c r="B1264" s="2">
        <v>38551</v>
      </c>
      <c r="C1264" s="4">
        <v>72.11</v>
      </c>
      <c r="D1264">
        <f t="shared" si="22"/>
        <v>-0.94584791457022277</v>
      </c>
      <c r="E1264">
        <v>1.37775903275692E-2</v>
      </c>
    </row>
    <row r="1265" spans="2:5" x14ac:dyDescent="0.35">
      <c r="B1265" s="2">
        <v>43325</v>
      </c>
      <c r="C1265" s="4">
        <v>1331.62</v>
      </c>
      <c r="D1265">
        <f t="shared" si="22"/>
        <v>0.74318628092682282</v>
      </c>
      <c r="E1265">
        <v>1.3756613756613634E-2</v>
      </c>
    </row>
    <row r="1266" spans="2:5" x14ac:dyDescent="0.35">
      <c r="B1266" s="2">
        <v>42569</v>
      </c>
      <c r="C1266" s="4">
        <v>763.9</v>
      </c>
      <c r="D1266">
        <f t="shared" si="22"/>
        <v>6.8388917393535138</v>
      </c>
      <c r="E1266">
        <v>1.3748440693261088E-2</v>
      </c>
    </row>
    <row r="1267" spans="2:5" x14ac:dyDescent="0.35">
      <c r="B1267" s="2">
        <v>41129</v>
      </c>
      <c r="C1267" s="4">
        <v>97.45</v>
      </c>
      <c r="D1267">
        <f t="shared" si="22"/>
        <v>-0.85672278173932215</v>
      </c>
      <c r="E1267">
        <v>1.3731405388536455E-2</v>
      </c>
    </row>
    <row r="1268" spans="2:5" x14ac:dyDescent="0.35">
      <c r="B1268" s="2">
        <v>42768</v>
      </c>
      <c r="C1268" s="4">
        <v>680.15</v>
      </c>
      <c r="D1268">
        <f t="shared" si="22"/>
        <v>-0.54454444399801782</v>
      </c>
      <c r="E1268">
        <v>1.3727009866753903E-2</v>
      </c>
    </row>
    <row r="1269" spans="2:5" x14ac:dyDescent="0.35">
      <c r="B1269" s="2">
        <v>44124</v>
      </c>
      <c r="C1269" s="4">
        <v>1493.34</v>
      </c>
      <c r="D1269">
        <f t="shared" si="22"/>
        <v>49.518944519621108</v>
      </c>
      <c r="E1269">
        <v>1.3725969371130686E-2</v>
      </c>
    </row>
    <row r="1270" spans="2:5" x14ac:dyDescent="0.35">
      <c r="B1270" s="2">
        <v>37532</v>
      </c>
      <c r="C1270" s="4">
        <v>29.56</v>
      </c>
      <c r="D1270">
        <f t="shared" si="22"/>
        <v>-0.95975877043712643</v>
      </c>
      <c r="E1270">
        <v>1.3717421124828544E-2</v>
      </c>
    </row>
    <row r="1271" spans="2:5" x14ac:dyDescent="0.35">
      <c r="B1271" s="2">
        <v>42612</v>
      </c>
      <c r="C1271" s="4">
        <v>734.57</v>
      </c>
      <c r="D1271">
        <f t="shared" si="22"/>
        <v>8.6463558765594222</v>
      </c>
      <c r="E1271">
        <v>1.371734540386127E-2</v>
      </c>
    </row>
    <row r="1272" spans="2:5" x14ac:dyDescent="0.35">
      <c r="B1272" s="2">
        <v>40777</v>
      </c>
      <c r="C1272" s="4">
        <v>76.150000000000006</v>
      </c>
      <c r="D1272">
        <f t="shared" si="22"/>
        <v>-0.29063809967396359</v>
      </c>
      <c r="E1272">
        <v>1.3711395101171364E-2</v>
      </c>
    </row>
    <row r="1273" spans="2:5" x14ac:dyDescent="0.35">
      <c r="B1273" s="2">
        <v>40637</v>
      </c>
      <c r="C1273" s="4">
        <v>107.35</v>
      </c>
      <c r="D1273">
        <f t="shared" si="22"/>
        <v>0.15058949624866025</v>
      </c>
      <c r="E1273">
        <v>1.3692162417374698E-2</v>
      </c>
    </row>
    <row r="1274" spans="2:5" x14ac:dyDescent="0.35">
      <c r="B1274" s="2">
        <v>41240</v>
      </c>
      <c r="C1274" s="4">
        <v>93.3</v>
      </c>
      <c r="D1274">
        <f t="shared" si="22"/>
        <v>-0.98845711316482943</v>
      </c>
      <c r="E1274">
        <v>1.3689700130377958E-2</v>
      </c>
    </row>
    <row r="1275" spans="2:5" x14ac:dyDescent="0.35">
      <c r="B1275" s="2">
        <v>44749</v>
      </c>
      <c r="C1275" s="4">
        <v>8082.9</v>
      </c>
      <c r="D1275">
        <f t="shared" si="22"/>
        <v>4.988087388782291</v>
      </c>
      <c r="E1275">
        <v>1.3675953272258567E-2</v>
      </c>
    </row>
    <row r="1276" spans="2:5" x14ac:dyDescent="0.35">
      <c r="B1276" s="2">
        <v>43326</v>
      </c>
      <c r="C1276" s="4">
        <v>1349.83</v>
      </c>
      <c r="D1276">
        <f t="shared" si="22"/>
        <v>32.703620474406989</v>
      </c>
      <c r="E1276">
        <v>1.3675072468121607E-2</v>
      </c>
    </row>
    <row r="1277" spans="2:5" x14ac:dyDescent="0.35">
      <c r="B1277" s="2">
        <v>38190</v>
      </c>
      <c r="C1277" s="4">
        <v>40.049999999999997</v>
      </c>
      <c r="D1277">
        <f t="shared" si="22"/>
        <v>-0.49104079298513159</v>
      </c>
      <c r="E1277">
        <v>1.3667425968109326E-2</v>
      </c>
    </row>
    <row r="1278" spans="2:5" x14ac:dyDescent="0.35">
      <c r="B1278" s="2">
        <v>38994</v>
      </c>
      <c r="C1278" s="4">
        <v>78.69</v>
      </c>
      <c r="D1278">
        <f t="shared" si="22"/>
        <v>-0.9876383984114816</v>
      </c>
      <c r="E1278">
        <v>1.3654515007084811E-2</v>
      </c>
    </row>
    <row r="1279" spans="2:5" x14ac:dyDescent="0.35">
      <c r="B1279" s="2">
        <v>44578</v>
      </c>
      <c r="C1279" s="4">
        <v>6365.68</v>
      </c>
      <c r="D1279">
        <f t="shared" si="22"/>
        <v>61.013443740867025</v>
      </c>
      <c r="E1279">
        <v>1.3641698022773818E-2</v>
      </c>
    </row>
    <row r="1280" spans="2:5" x14ac:dyDescent="0.35">
      <c r="B1280" s="2">
        <v>40183</v>
      </c>
      <c r="C1280" s="4">
        <v>102.65</v>
      </c>
      <c r="D1280">
        <f t="shared" si="22"/>
        <v>0.68251106376003956</v>
      </c>
      <c r="E1280">
        <v>1.3626937888812085E-2</v>
      </c>
    </row>
    <row r="1281" spans="2:5" x14ac:dyDescent="0.35">
      <c r="B1281" s="2">
        <v>39547</v>
      </c>
      <c r="C1281" s="4">
        <v>61.01</v>
      </c>
      <c r="D1281">
        <f t="shared" si="22"/>
        <v>-0.9239400097241095</v>
      </c>
      <c r="E1281">
        <v>1.3623525502575173E-2</v>
      </c>
    </row>
    <row r="1282" spans="2:5" x14ac:dyDescent="0.35">
      <c r="B1282" s="2">
        <v>43826</v>
      </c>
      <c r="C1282" s="4">
        <v>802.13</v>
      </c>
      <c r="D1282">
        <f t="shared" si="22"/>
        <v>7.2898925175692426</v>
      </c>
      <c r="E1282">
        <v>1.3622291021671895E-2</v>
      </c>
    </row>
    <row r="1283" spans="2:5" x14ac:dyDescent="0.35">
      <c r="B1283" s="2">
        <v>40849</v>
      </c>
      <c r="C1283" s="4">
        <v>96.76</v>
      </c>
      <c r="D1283">
        <f t="shared" si="22"/>
        <v>-0.89450041432247374</v>
      </c>
      <c r="E1283">
        <v>1.3618269432223107E-2</v>
      </c>
    </row>
    <row r="1284" spans="2:5" x14ac:dyDescent="0.35">
      <c r="B1284" s="2">
        <v>42261</v>
      </c>
      <c r="C1284" s="4">
        <v>917.16</v>
      </c>
      <c r="D1284">
        <f t="shared" ref="D1284:D1347" si="23">C1284/C1285-1</f>
        <v>0.13660416640848649</v>
      </c>
      <c r="E1284">
        <v>1.3615666858229014E-2</v>
      </c>
    </row>
    <row r="1285" spans="2:5" x14ac:dyDescent="0.35">
      <c r="B1285" s="2">
        <v>43033</v>
      </c>
      <c r="C1285" s="4">
        <v>806.93</v>
      </c>
      <c r="D1285">
        <f t="shared" si="23"/>
        <v>-5.4674320524836117E-2</v>
      </c>
      <c r="E1285">
        <v>1.3603818615751662E-2</v>
      </c>
    </row>
    <row r="1286" spans="2:5" x14ac:dyDescent="0.35">
      <c r="B1286" s="2">
        <v>42499</v>
      </c>
      <c r="C1286" s="4">
        <v>853.6</v>
      </c>
      <c r="D1286">
        <f t="shared" si="23"/>
        <v>7.118698877686894</v>
      </c>
      <c r="E1286">
        <v>1.3596152704387743E-2</v>
      </c>
    </row>
    <row r="1287" spans="2:5" x14ac:dyDescent="0.35">
      <c r="B1287" s="2">
        <v>40591</v>
      </c>
      <c r="C1287" s="4">
        <v>105.14</v>
      </c>
      <c r="D1287">
        <f t="shared" si="23"/>
        <v>-0.98641091159596184</v>
      </c>
      <c r="E1287">
        <v>1.3592981779620095E-2</v>
      </c>
    </row>
    <row r="1288" spans="2:5" x14ac:dyDescent="0.35">
      <c r="B1288" s="2">
        <v>44685</v>
      </c>
      <c r="C1288" s="4">
        <v>7737.09</v>
      </c>
      <c r="D1288">
        <f t="shared" si="23"/>
        <v>41.474143610013179</v>
      </c>
      <c r="E1288">
        <v>1.3587707657299442E-2</v>
      </c>
    </row>
    <row r="1289" spans="2:5" x14ac:dyDescent="0.35">
      <c r="B1289" s="2">
        <v>41674</v>
      </c>
      <c r="C1289" s="4">
        <v>182.16</v>
      </c>
      <c r="D1289">
        <f t="shared" si="23"/>
        <v>0.81996203416924751</v>
      </c>
      <c r="E1289">
        <v>1.3576674827509461E-2</v>
      </c>
    </row>
    <row r="1290" spans="2:5" x14ac:dyDescent="0.35">
      <c r="B1290" s="2">
        <v>41270</v>
      </c>
      <c r="C1290" s="4">
        <v>100.09</v>
      </c>
      <c r="D1290">
        <f t="shared" si="23"/>
        <v>-0.8907385979084339</v>
      </c>
      <c r="E1290">
        <v>1.3569620253164549E-2</v>
      </c>
    </row>
    <row r="1291" spans="2:5" x14ac:dyDescent="0.35">
      <c r="B1291" s="2">
        <v>42341</v>
      </c>
      <c r="C1291" s="4">
        <v>916.06</v>
      </c>
      <c r="D1291">
        <f t="shared" si="23"/>
        <v>14.096572181938035</v>
      </c>
      <c r="E1291">
        <v>1.3531305665888338E-2</v>
      </c>
    </row>
    <row r="1292" spans="2:5" x14ac:dyDescent="0.35">
      <c r="B1292" s="2">
        <v>38498</v>
      </c>
      <c r="C1292" s="4">
        <v>60.68</v>
      </c>
      <c r="D1292">
        <f t="shared" si="23"/>
        <v>-0.92720467387262018</v>
      </c>
      <c r="E1292">
        <v>1.3529313512610663E-2</v>
      </c>
    </row>
    <row r="1293" spans="2:5" x14ac:dyDescent="0.35">
      <c r="B1293" s="2">
        <v>42431</v>
      </c>
      <c r="C1293" s="4">
        <v>833.57</v>
      </c>
      <c r="D1293">
        <f t="shared" si="23"/>
        <v>-0.82581958221105922</v>
      </c>
      <c r="E1293">
        <v>1.3520578758587254E-2</v>
      </c>
    </row>
    <row r="1294" spans="2:5" x14ac:dyDescent="0.35">
      <c r="B1294" s="2">
        <v>44433</v>
      </c>
      <c r="C1294" s="4">
        <v>4785.67</v>
      </c>
      <c r="D1294">
        <f t="shared" si="23"/>
        <v>4.5874070355278986</v>
      </c>
      <c r="E1294">
        <v>1.3515888899477968E-2</v>
      </c>
    </row>
    <row r="1295" spans="2:5" x14ac:dyDescent="0.35">
      <c r="B1295" s="2">
        <v>42297</v>
      </c>
      <c r="C1295" s="4">
        <v>856.51</v>
      </c>
      <c r="D1295">
        <f t="shared" si="23"/>
        <v>4.0982510725701582E-2</v>
      </c>
      <c r="E1295">
        <v>1.3513353607307987E-2</v>
      </c>
    </row>
    <row r="1296" spans="2:5" x14ac:dyDescent="0.35">
      <c r="B1296" s="2">
        <v>43612</v>
      </c>
      <c r="C1296" s="4">
        <v>822.79</v>
      </c>
      <c r="D1296">
        <f t="shared" si="23"/>
        <v>6.6645551932929674</v>
      </c>
      <c r="E1296">
        <v>1.351284767559302E-2</v>
      </c>
    </row>
    <row r="1297" spans="2:5" x14ac:dyDescent="0.35">
      <c r="B1297" s="2">
        <v>40654</v>
      </c>
      <c r="C1297" s="4">
        <v>107.35</v>
      </c>
      <c r="D1297">
        <f t="shared" si="23"/>
        <v>0.473980502540162</v>
      </c>
      <c r="E1297">
        <v>1.3500755287009003E-2</v>
      </c>
    </row>
    <row r="1298" spans="2:5" x14ac:dyDescent="0.35">
      <c r="B1298" s="2">
        <v>40898</v>
      </c>
      <c r="C1298" s="4">
        <v>72.83</v>
      </c>
      <c r="D1298">
        <f t="shared" si="23"/>
        <v>-4.9092570831701376E-2</v>
      </c>
      <c r="E1298">
        <v>1.3498469245755595E-2</v>
      </c>
    </row>
    <row r="1299" spans="2:5" x14ac:dyDescent="0.35">
      <c r="B1299" s="2">
        <v>39476</v>
      </c>
      <c r="C1299" s="4">
        <v>76.59</v>
      </c>
      <c r="D1299">
        <f t="shared" si="23"/>
        <v>-0.91852301014872029</v>
      </c>
      <c r="E1299">
        <v>1.3497419610956962E-2</v>
      </c>
    </row>
    <row r="1300" spans="2:5" x14ac:dyDescent="0.35">
      <c r="B1300" s="2">
        <v>43136</v>
      </c>
      <c r="C1300" s="4">
        <v>940.02</v>
      </c>
      <c r="D1300">
        <f t="shared" si="23"/>
        <v>7.7378694924707201</v>
      </c>
      <c r="E1300">
        <v>1.3487725199728295E-2</v>
      </c>
    </row>
    <row r="1301" spans="2:5" x14ac:dyDescent="0.35">
      <c r="B1301" s="2">
        <v>40219</v>
      </c>
      <c r="C1301" s="4">
        <v>107.58</v>
      </c>
      <c r="D1301">
        <f t="shared" si="23"/>
        <v>0.25238649592549467</v>
      </c>
      <c r="E1301">
        <v>1.3471502590673534E-2</v>
      </c>
    </row>
    <row r="1302" spans="2:5" x14ac:dyDescent="0.35">
      <c r="B1302" s="2">
        <v>41016</v>
      </c>
      <c r="C1302" s="4">
        <v>85.9</v>
      </c>
      <c r="D1302">
        <f t="shared" si="23"/>
        <v>-0.8613778301353946</v>
      </c>
      <c r="E1302">
        <v>1.3449740443605585E-2</v>
      </c>
    </row>
    <row r="1303" spans="2:5" x14ac:dyDescent="0.35">
      <c r="B1303" s="2">
        <v>43717</v>
      </c>
      <c r="C1303" s="4">
        <v>619.66999999999996</v>
      </c>
      <c r="D1303">
        <f t="shared" si="23"/>
        <v>-0.85333532146136881</v>
      </c>
      <c r="E1303">
        <v>1.3426879926732527E-2</v>
      </c>
    </row>
    <row r="1304" spans="2:5" x14ac:dyDescent="0.35">
      <c r="B1304" s="2">
        <v>44399</v>
      </c>
      <c r="C1304" s="4">
        <v>4225.08</v>
      </c>
      <c r="D1304">
        <f t="shared" si="23"/>
        <v>54.90948789202065</v>
      </c>
      <c r="E1304">
        <v>1.3422496833864317E-2</v>
      </c>
    </row>
    <row r="1305" spans="2:5" x14ac:dyDescent="0.35">
      <c r="B1305" s="2">
        <v>39475</v>
      </c>
      <c r="C1305" s="4">
        <v>75.569999999999993</v>
      </c>
      <c r="D1305">
        <f t="shared" si="23"/>
        <v>-0.93797857934260742</v>
      </c>
      <c r="E1305">
        <v>1.3410218586562994E-2</v>
      </c>
    </row>
    <row r="1306" spans="2:5" x14ac:dyDescent="0.35">
      <c r="B1306" s="2">
        <v>43266</v>
      </c>
      <c r="C1306" s="4">
        <v>1218.45</v>
      </c>
      <c r="D1306">
        <f t="shared" si="23"/>
        <v>37.352219074598679</v>
      </c>
      <c r="E1306">
        <v>1.3398872199211542E-2</v>
      </c>
    </row>
    <row r="1307" spans="2:5" x14ac:dyDescent="0.35">
      <c r="B1307" s="2">
        <v>38162</v>
      </c>
      <c r="C1307" s="4">
        <v>31.77</v>
      </c>
      <c r="D1307">
        <f t="shared" si="23"/>
        <v>-0.7142728662649519</v>
      </c>
      <c r="E1307">
        <v>1.3397129186602852E-2</v>
      </c>
    </row>
    <row r="1308" spans="2:5" x14ac:dyDescent="0.35">
      <c r="B1308" s="2">
        <v>39289</v>
      </c>
      <c r="C1308" s="4">
        <v>111.19</v>
      </c>
      <c r="D1308">
        <f t="shared" si="23"/>
        <v>0.11435157346161562</v>
      </c>
      <c r="E1308">
        <v>1.330538594732511E-2</v>
      </c>
    </row>
    <row r="1309" spans="2:5" x14ac:dyDescent="0.35">
      <c r="B1309" s="2">
        <v>40723</v>
      </c>
      <c r="C1309" s="4">
        <v>99.78</v>
      </c>
      <c r="D1309">
        <f t="shared" si="23"/>
        <v>-0.62891888876492241</v>
      </c>
      <c r="E1309">
        <v>1.3303544226668018E-2</v>
      </c>
    </row>
    <row r="1310" spans="2:5" x14ac:dyDescent="0.35">
      <c r="B1310" s="2">
        <v>42004</v>
      </c>
      <c r="C1310" s="4">
        <v>268.89</v>
      </c>
      <c r="D1310">
        <f t="shared" si="23"/>
        <v>1.8755213346166184</v>
      </c>
      <c r="E1310">
        <v>1.3226316979425778E-2</v>
      </c>
    </row>
    <row r="1311" spans="2:5" x14ac:dyDescent="0.35">
      <c r="B1311" s="2">
        <v>39147</v>
      </c>
      <c r="C1311" s="4">
        <v>93.51</v>
      </c>
      <c r="D1311">
        <f t="shared" si="23"/>
        <v>2.0459283387622151</v>
      </c>
      <c r="E1311">
        <v>1.3219200346733073E-2</v>
      </c>
    </row>
    <row r="1312" spans="2:5" x14ac:dyDescent="0.35">
      <c r="B1312" s="2">
        <v>37547</v>
      </c>
      <c r="C1312" s="4">
        <v>30.7</v>
      </c>
      <c r="D1312">
        <f t="shared" si="23"/>
        <v>-0.73688721288995551</v>
      </c>
      <c r="E1312">
        <v>1.3201320132013139E-2</v>
      </c>
    </row>
    <row r="1313" spans="2:5" x14ac:dyDescent="0.35">
      <c r="B1313" s="2">
        <v>39190</v>
      </c>
      <c r="C1313" s="4">
        <v>116.68</v>
      </c>
      <c r="D1313">
        <f t="shared" si="23"/>
        <v>0.38066501005798137</v>
      </c>
      <c r="E1313">
        <v>1.3199027440083499E-2</v>
      </c>
    </row>
    <row r="1314" spans="2:5" x14ac:dyDescent="0.35">
      <c r="B1314" s="2">
        <v>41381</v>
      </c>
      <c r="C1314" s="4">
        <v>84.51</v>
      </c>
      <c r="D1314">
        <f t="shared" si="23"/>
        <v>-0.98276632060639058</v>
      </c>
      <c r="E1314">
        <v>1.3187867162210765E-2</v>
      </c>
    </row>
    <row r="1315" spans="2:5" x14ac:dyDescent="0.35">
      <c r="B1315" s="2">
        <v>44448</v>
      </c>
      <c r="C1315" s="4">
        <v>4903.7700000000004</v>
      </c>
      <c r="D1315">
        <f t="shared" si="23"/>
        <v>-0.45250259582212193</v>
      </c>
      <c r="E1315">
        <v>1.3186086633126592E-2</v>
      </c>
    </row>
    <row r="1316" spans="2:5" x14ac:dyDescent="0.35">
      <c r="B1316" s="2">
        <v>44777</v>
      </c>
      <c r="C1316" s="4">
        <v>8956.7000000000007</v>
      </c>
      <c r="D1316">
        <f t="shared" si="23"/>
        <v>175.24360487996853</v>
      </c>
      <c r="E1316">
        <v>1.3166973971471707E-2</v>
      </c>
    </row>
    <row r="1317" spans="2:5" x14ac:dyDescent="0.35">
      <c r="B1317" s="2">
        <v>38238</v>
      </c>
      <c r="C1317" s="4">
        <v>50.82</v>
      </c>
      <c r="D1317">
        <f t="shared" si="23"/>
        <v>-0.46358454718176056</v>
      </c>
      <c r="E1317">
        <v>1.3157894736842257E-2</v>
      </c>
    </row>
    <row r="1318" spans="2:5" x14ac:dyDescent="0.35">
      <c r="B1318" s="2">
        <v>39148</v>
      </c>
      <c r="C1318" s="4">
        <v>94.74</v>
      </c>
      <c r="D1318">
        <f t="shared" si="23"/>
        <v>-0.97347585558143701</v>
      </c>
      <c r="E1318">
        <v>1.3153673403913935E-2</v>
      </c>
    </row>
    <row r="1319" spans="2:5" x14ac:dyDescent="0.35">
      <c r="B1319" s="2">
        <v>44354</v>
      </c>
      <c r="C1319" s="4">
        <v>3571.84</v>
      </c>
      <c r="D1319">
        <f t="shared" si="23"/>
        <v>28.839933166248958</v>
      </c>
      <c r="E1319">
        <v>1.313848737207568E-2</v>
      </c>
    </row>
    <row r="1320" spans="2:5" x14ac:dyDescent="0.35">
      <c r="B1320" s="2">
        <v>40536</v>
      </c>
      <c r="C1320" s="4">
        <v>119.7</v>
      </c>
      <c r="D1320">
        <f t="shared" si="23"/>
        <v>-3.0815357708002811E-3</v>
      </c>
      <c r="E1320">
        <v>1.3118916631400745E-2</v>
      </c>
    </row>
    <row r="1321" spans="2:5" x14ac:dyDescent="0.35">
      <c r="B1321" s="2">
        <v>39247</v>
      </c>
      <c r="C1321" s="4">
        <v>120.07</v>
      </c>
      <c r="D1321">
        <f t="shared" si="23"/>
        <v>2.1614007372301214</v>
      </c>
      <c r="E1321">
        <v>1.3077961525481019E-2</v>
      </c>
    </row>
    <row r="1322" spans="2:5" x14ac:dyDescent="0.35">
      <c r="B1322" s="2">
        <v>39755</v>
      </c>
      <c r="C1322" s="4">
        <v>37.979999999999997</v>
      </c>
      <c r="D1322">
        <f t="shared" si="23"/>
        <v>0.39735099337748325</v>
      </c>
      <c r="E1322">
        <v>1.307015204054407E-2</v>
      </c>
    </row>
    <row r="1323" spans="2:5" x14ac:dyDescent="0.35">
      <c r="B1323" s="2">
        <v>37816</v>
      </c>
      <c r="C1323" s="4">
        <v>27.18</v>
      </c>
      <c r="D1323">
        <f t="shared" si="23"/>
        <v>-0.92199741713301764</v>
      </c>
      <c r="E1323">
        <v>1.3045098770033681E-2</v>
      </c>
    </row>
    <row r="1324" spans="2:5" x14ac:dyDescent="0.35">
      <c r="B1324" s="2">
        <v>42044</v>
      </c>
      <c r="C1324" s="4">
        <v>348.45</v>
      </c>
      <c r="D1324">
        <f t="shared" si="23"/>
        <v>5.2953929539295386</v>
      </c>
      <c r="E1324">
        <v>1.3024391662063373E-2</v>
      </c>
    </row>
    <row r="1325" spans="2:5" x14ac:dyDescent="0.35">
      <c r="B1325" s="2">
        <v>38391</v>
      </c>
      <c r="C1325" s="4">
        <v>55.35</v>
      </c>
      <c r="D1325">
        <f t="shared" si="23"/>
        <v>1.4107731769879228E-2</v>
      </c>
      <c r="E1325">
        <v>1.2994143484626575E-2</v>
      </c>
    </row>
    <row r="1326" spans="2:5" x14ac:dyDescent="0.35">
      <c r="B1326" s="2">
        <v>40016</v>
      </c>
      <c r="C1326" s="4">
        <v>54.58</v>
      </c>
      <c r="D1326">
        <f t="shared" si="23"/>
        <v>-0.90631651218674902</v>
      </c>
      <c r="E1326">
        <v>1.2991833704528499E-2</v>
      </c>
    </row>
    <row r="1327" spans="2:5" x14ac:dyDescent="0.35">
      <c r="B1327" s="2">
        <v>42702</v>
      </c>
      <c r="C1327" s="4">
        <v>582.6</v>
      </c>
      <c r="D1327">
        <f t="shared" si="23"/>
        <v>-0.87661615680294802</v>
      </c>
      <c r="E1327">
        <v>1.2935530982683074E-2</v>
      </c>
    </row>
    <row r="1328" spans="2:5" x14ac:dyDescent="0.35">
      <c r="B1328" s="2">
        <v>44432</v>
      </c>
      <c r="C1328" s="4">
        <v>4721.8500000000004</v>
      </c>
      <c r="D1328">
        <f t="shared" si="23"/>
        <v>63.762721163077771</v>
      </c>
      <c r="E1328">
        <v>1.2933438591372859E-2</v>
      </c>
    </row>
    <row r="1329" spans="2:5" x14ac:dyDescent="0.35">
      <c r="B1329" s="2">
        <v>38812</v>
      </c>
      <c r="C1329" s="4">
        <v>72.91</v>
      </c>
      <c r="D1329">
        <f t="shared" si="23"/>
        <v>3.3158565962873698E-2</v>
      </c>
      <c r="E1329">
        <v>1.2920255626562849E-2</v>
      </c>
    </row>
    <row r="1330" spans="2:5" x14ac:dyDescent="0.35">
      <c r="B1330" s="2">
        <v>38866</v>
      </c>
      <c r="C1330" s="4">
        <v>70.569999999999993</v>
      </c>
      <c r="D1330">
        <f t="shared" si="23"/>
        <v>-0.2981601193436102</v>
      </c>
      <c r="E1330">
        <v>1.2918042198937663E-2</v>
      </c>
    </row>
    <row r="1331" spans="2:5" x14ac:dyDescent="0.35">
      <c r="B1331" s="2">
        <v>41200</v>
      </c>
      <c r="C1331" s="4">
        <v>100.55</v>
      </c>
      <c r="D1331">
        <f t="shared" si="23"/>
        <v>1.6116883116883116</v>
      </c>
      <c r="E1331">
        <v>1.2894127128034727E-2</v>
      </c>
    </row>
    <row r="1332" spans="2:5" x14ac:dyDescent="0.35">
      <c r="B1332" s="2">
        <v>39737</v>
      </c>
      <c r="C1332" s="4">
        <v>38.5</v>
      </c>
      <c r="D1332">
        <f t="shared" si="23"/>
        <v>-0.95220241346774592</v>
      </c>
      <c r="E1332">
        <v>1.2891344383057168E-2</v>
      </c>
    </row>
    <row r="1333" spans="2:5" x14ac:dyDescent="0.35">
      <c r="B1333" s="2">
        <v>43770</v>
      </c>
      <c r="C1333" s="4">
        <v>805.48</v>
      </c>
      <c r="D1333">
        <f t="shared" si="23"/>
        <v>20.297726070861977</v>
      </c>
      <c r="E1333">
        <v>1.2889352765866446E-2</v>
      </c>
    </row>
    <row r="1334" spans="2:5" x14ac:dyDescent="0.35">
      <c r="B1334" s="2">
        <v>38215</v>
      </c>
      <c r="C1334" s="4">
        <v>37.82</v>
      </c>
      <c r="D1334">
        <f t="shared" si="23"/>
        <v>-0.55306074214133782</v>
      </c>
      <c r="E1334">
        <v>1.2854847348687581E-2</v>
      </c>
    </row>
    <row r="1335" spans="2:5" x14ac:dyDescent="0.35">
      <c r="B1335" s="2">
        <v>40884</v>
      </c>
      <c r="C1335" s="4">
        <v>84.62</v>
      </c>
      <c r="D1335">
        <f t="shared" si="23"/>
        <v>0.40634867874355995</v>
      </c>
      <c r="E1335">
        <v>1.2806702573309403E-2</v>
      </c>
    </row>
    <row r="1336" spans="2:5" x14ac:dyDescent="0.35">
      <c r="B1336" s="2">
        <v>38422</v>
      </c>
      <c r="C1336" s="4">
        <v>60.17</v>
      </c>
      <c r="D1336">
        <f t="shared" si="23"/>
        <v>-0.28403141361256545</v>
      </c>
      <c r="E1336">
        <v>1.2792459181955929E-2</v>
      </c>
    </row>
    <row r="1337" spans="2:5" x14ac:dyDescent="0.35">
      <c r="B1337" s="2">
        <v>41556</v>
      </c>
      <c r="C1337" s="4">
        <v>84.04</v>
      </c>
      <c r="D1337">
        <f t="shared" si="23"/>
        <v>1.7162249515190693</v>
      </c>
      <c r="E1337">
        <v>1.2774162448782933E-2</v>
      </c>
    </row>
    <row r="1338" spans="2:5" x14ac:dyDescent="0.35">
      <c r="B1338" s="2">
        <v>37907</v>
      </c>
      <c r="C1338" s="4">
        <v>30.94</v>
      </c>
      <c r="D1338">
        <f t="shared" si="23"/>
        <v>0.39181286549707606</v>
      </c>
      <c r="E1338">
        <v>1.2765957446808418E-2</v>
      </c>
    </row>
    <row r="1339" spans="2:5" x14ac:dyDescent="0.35">
      <c r="B1339" s="2">
        <v>37776</v>
      </c>
      <c r="C1339" s="4">
        <v>22.23</v>
      </c>
      <c r="D1339">
        <f t="shared" si="23"/>
        <v>-0.97332229262672809</v>
      </c>
      <c r="E1339">
        <v>1.2756264236902126E-2</v>
      </c>
    </row>
    <row r="1340" spans="2:5" x14ac:dyDescent="0.35">
      <c r="B1340" s="2">
        <v>43613</v>
      </c>
      <c r="C1340" s="4">
        <v>833.28</v>
      </c>
      <c r="D1340">
        <f t="shared" si="23"/>
        <v>0.65398967844382683</v>
      </c>
      <c r="E1340">
        <v>1.274930419669662E-2</v>
      </c>
    </row>
    <row r="1341" spans="2:5" x14ac:dyDescent="0.35">
      <c r="B1341" s="2">
        <v>42172</v>
      </c>
      <c r="C1341" s="4">
        <v>503.8</v>
      </c>
      <c r="D1341">
        <f t="shared" si="23"/>
        <v>-0.1695239351180271</v>
      </c>
      <c r="E1341">
        <v>1.2724385390073811E-2</v>
      </c>
    </row>
    <row r="1342" spans="2:5" x14ac:dyDescent="0.35">
      <c r="B1342" s="2">
        <v>42675</v>
      </c>
      <c r="C1342" s="4">
        <v>606.64</v>
      </c>
      <c r="D1342">
        <f t="shared" si="23"/>
        <v>-0.21742047008436749</v>
      </c>
      <c r="E1342">
        <v>1.270387125853456E-2</v>
      </c>
    </row>
    <row r="1343" spans="2:5" x14ac:dyDescent="0.35">
      <c r="B1343" s="2">
        <v>43794</v>
      </c>
      <c r="C1343" s="4">
        <v>775.18</v>
      </c>
      <c r="D1343">
        <f t="shared" si="23"/>
        <v>12.098681987157823</v>
      </c>
      <c r="E1343">
        <v>1.2685017048349234E-2</v>
      </c>
    </row>
    <row r="1344" spans="2:5" x14ac:dyDescent="0.35">
      <c r="B1344" s="2">
        <v>39540</v>
      </c>
      <c r="C1344" s="4">
        <v>59.18</v>
      </c>
      <c r="D1344">
        <f t="shared" si="23"/>
        <v>-0.93294734814579816</v>
      </c>
      <c r="E1344">
        <v>1.2662559890485925E-2</v>
      </c>
    </row>
    <row r="1345" spans="2:5" x14ac:dyDescent="0.35">
      <c r="B1345" s="2">
        <v>42507</v>
      </c>
      <c r="C1345" s="4">
        <v>882.59</v>
      </c>
      <c r="D1345">
        <f t="shared" si="23"/>
        <v>27.270019218449715</v>
      </c>
      <c r="E1345">
        <v>1.2655468355592392E-2</v>
      </c>
    </row>
    <row r="1346" spans="2:5" x14ac:dyDescent="0.35">
      <c r="B1346" s="2">
        <v>37600</v>
      </c>
      <c r="C1346" s="4">
        <v>31.22</v>
      </c>
      <c r="D1346">
        <f t="shared" si="23"/>
        <v>-0.9583994030407611</v>
      </c>
      <c r="E1346">
        <v>1.2650016217969462E-2</v>
      </c>
    </row>
    <row r="1347" spans="2:5" x14ac:dyDescent="0.35">
      <c r="B1347" s="2">
        <v>43970</v>
      </c>
      <c r="C1347" s="4">
        <v>750.47</v>
      </c>
      <c r="D1347">
        <f t="shared" si="23"/>
        <v>-0.1133597977363483</v>
      </c>
      <c r="E1347">
        <v>1.2643367966536312E-2</v>
      </c>
    </row>
    <row r="1348" spans="2:5" x14ac:dyDescent="0.35">
      <c r="B1348" s="2">
        <v>42293</v>
      </c>
      <c r="C1348" s="4">
        <v>846.42</v>
      </c>
      <c r="D1348">
        <f t="shared" ref="D1348:D1411" si="24">C1348/C1349-1</f>
        <v>2.7722490759167773E-3</v>
      </c>
      <c r="E1348">
        <v>1.2621579910751635E-2</v>
      </c>
    </row>
    <row r="1349" spans="2:5" x14ac:dyDescent="0.35">
      <c r="B1349" s="2">
        <v>42432</v>
      </c>
      <c r="C1349" s="4">
        <v>844.08</v>
      </c>
      <c r="D1349">
        <f t="shared" si="24"/>
        <v>-0.11104558092509897</v>
      </c>
      <c r="E1349">
        <v>1.2608419208944621E-2</v>
      </c>
    </row>
    <row r="1350" spans="2:5" x14ac:dyDescent="0.35">
      <c r="B1350" s="2">
        <v>43417</v>
      </c>
      <c r="C1350" s="4">
        <v>949.52</v>
      </c>
      <c r="D1350">
        <f t="shared" si="24"/>
        <v>18.028456913827654</v>
      </c>
      <c r="E1350">
        <v>1.2594512162608762E-2</v>
      </c>
    </row>
    <row r="1351" spans="2:5" x14ac:dyDescent="0.35">
      <c r="B1351" s="2">
        <v>38334</v>
      </c>
      <c r="C1351" s="4">
        <v>49.9</v>
      </c>
      <c r="D1351">
        <f t="shared" si="24"/>
        <v>-1.6167192429022093E-2</v>
      </c>
      <c r="E1351">
        <v>1.2581168831168776E-2</v>
      </c>
    </row>
    <row r="1352" spans="2:5" x14ac:dyDescent="0.35">
      <c r="B1352" s="2">
        <v>38287</v>
      </c>
      <c r="C1352" s="4">
        <v>50.72</v>
      </c>
      <c r="D1352">
        <f t="shared" si="24"/>
        <v>-0.58473882429998358</v>
      </c>
      <c r="E1352">
        <v>1.2577360750648747E-2</v>
      </c>
    </row>
    <row r="1353" spans="2:5" x14ac:dyDescent="0.35">
      <c r="B1353" s="2">
        <v>39233</v>
      </c>
      <c r="C1353" s="4">
        <v>122.14</v>
      </c>
      <c r="D1353">
        <f t="shared" si="24"/>
        <v>-0.85351051836215786</v>
      </c>
      <c r="E1353">
        <v>1.2517615850120345E-2</v>
      </c>
    </row>
    <row r="1354" spans="2:5" x14ac:dyDescent="0.35">
      <c r="B1354" s="2">
        <v>43812</v>
      </c>
      <c r="C1354" s="4">
        <v>833.78</v>
      </c>
      <c r="D1354">
        <f t="shared" si="24"/>
        <v>0.17723967525591244</v>
      </c>
      <c r="E1354">
        <v>1.2495598003618769E-2</v>
      </c>
    </row>
    <row r="1355" spans="2:5" x14ac:dyDescent="0.35">
      <c r="B1355" s="2">
        <v>42857</v>
      </c>
      <c r="C1355" s="4">
        <v>708.25</v>
      </c>
      <c r="D1355">
        <f t="shared" si="24"/>
        <v>18.414747807017545</v>
      </c>
      <c r="E1355">
        <v>1.2494460407999952E-2</v>
      </c>
    </row>
    <row r="1356" spans="2:5" x14ac:dyDescent="0.35">
      <c r="B1356" s="2">
        <v>38170</v>
      </c>
      <c r="C1356" s="4">
        <v>36.479999999999997</v>
      </c>
      <c r="D1356">
        <f t="shared" si="24"/>
        <v>-0.95820683492387182</v>
      </c>
      <c r="E1356">
        <v>1.2489592006660999E-2</v>
      </c>
    </row>
    <row r="1357" spans="2:5" x14ac:dyDescent="0.35">
      <c r="B1357" s="2">
        <v>43074</v>
      </c>
      <c r="C1357" s="4">
        <v>872.87</v>
      </c>
      <c r="D1357">
        <f t="shared" si="24"/>
        <v>5.2703305715353865E-2</v>
      </c>
      <c r="E1357">
        <v>1.2457518007725099E-2</v>
      </c>
    </row>
    <row r="1358" spans="2:5" x14ac:dyDescent="0.35">
      <c r="B1358" s="2">
        <v>43655</v>
      </c>
      <c r="C1358" s="4">
        <v>829.17</v>
      </c>
      <c r="D1358">
        <f t="shared" si="24"/>
        <v>3.7370198924058462E-2</v>
      </c>
      <c r="E1358">
        <v>1.245466866918199E-2</v>
      </c>
    </row>
    <row r="1359" spans="2:5" x14ac:dyDescent="0.35">
      <c r="B1359" s="2">
        <v>43600</v>
      </c>
      <c r="C1359" s="4">
        <v>799.3</v>
      </c>
      <c r="D1359">
        <f t="shared" si="24"/>
        <v>-5.7129038726953185E-2</v>
      </c>
      <c r="E1359">
        <v>1.2451391439826542E-2</v>
      </c>
    </row>
    <row r="1360" spans="2:5" x14ac:dyDescent="0.35">
      <c r="B1360" s="2">
        <v>43517</v>
      </c>
      <c r="C1360" s="4">
        <v>847.73</v>
      </c>
      <c r="D1360">
        <f t="shared" si="24"/>
        <v>7.3184182121479733</v>
      </c>
      <c r="E1360">
        <v>1.2420431609998506E-2</v>
      </c>
    </row>
    <row r="1361" spans="2:5" x14ac:dyDescent="0.35">
      <c r="B1361" s="2">
        <v>40156</v>
      </c>
      <c r="C1361" s="4">
        <v>101.91</v>
      </c>
      <c r="D1361">
        <f t="shared" si="24"/>
        <v>0.43272880641079725</v>
      </c>
      <c r="E1361">
        <v>1.2418040929862872E-2</v>
      </c>
    </row>
    <row r="1362" spans="2:5" x14ac:dyDescent="0.35">
      <c r="B1362" s="2">
        <v>38548</v>
      </c>
      <c r="C1362" s="4">
        <v>71.13</v>
      </c>
      <c r="D1362">
        <f t="shared" si="24"/>
        <v>-0.9888288599563394</v>
      </c>
      <c r="E1362">
        <v>1.2382578992314208E-2</v>
      </c>
    </row>
    <row r="1363" spans="2:5" x14ac:dyDescent="0.35">
      <c r="B1363" s="2">
        <v>45034</v>
      </c>
      <c r="C1363" s="4">
        <v>6367.3</v>
      </c>
      <c r="D1363">
        <f t="shared" si="24"/>
        <v>8.1257363163401308</v>
      </c>
      <c r="E1363">
        <v>1.2329583846734771E-2</v>
      </c>
    </row>
    <row r="1364" spans="2:5" x14ac:dyDescent="0.35">
      <c r="B1364" s="2">
        <v>42830</v>
      </c>
      <c r="C1364" s="4">
        <v>697.73</v>
      </c>
      <c r="D1364">
        <f t="shared" si="24"/>
        <v>-0.91127317581830669</v>
      </c>
      <c r="E1364">
        <v>1.2317915385061884E-2</v>
      </c>
    </row>
    <row r="1365" spans="2:5" x14ac:dyDescent="0.35">
      <c r="B1365" s="2">
        <v>44672</v>
      </c>
      <c r="C1365" s="4">
        <v>7863.8</v>
      </c>
      <c r="D1365">
        <f t="shared" si="24"/>
        <v>155.77432216905902</v>
      </c>
      <c r="E1365">
        <v>1.2315705324190018E-2</v>
      </c>
    </row>
    <row r="1366" spans="2:5" x14ac:dyDescent="0.35">
      <c r="B1366" s="2">
        <v>38237</v>
      </c>
      <c r="C1366" s="4">
        <v>50.16</v>
      </c>
      <c r="D1366">
        <f t="shared" si="24"/>
        <v>-0.94489547057466461</v>
      </c>
      <c r="E1366">
        <v>1.2310797174571064E-2</v>
      </c>
    </row>
    <row r="1367" spans="2:5" x14ac:dyDescent="0.35">
      <c r="B1367" s="2">
        <v>43399</v>
      </c>
      <c r="C1367" s="4">
        <v>910.27</v>
      </c>
      <c r="D1367">
        <f t="shared" si="24"/>
        <v>15.992159790927758</v>
      </c>
      <c r="E1367">
        <v>1.2288427748493147E-2</v>
      </c>
    </row>
    <row r="1368" spans="2:5" x14ac:dyDescent="0.35">
      <c r="B1368" s="2">
        <v>38344</v>
      </c>
      <c r="C1368" s="4">
        <v>53.57</v>
      </c>
      <c r="D1368">
        <f t="shared" si="24"/>
        <v>-0.98171697314712425</v>
      </c>
      <c r="E1368">
        <v>1.2282690854119371E-2</v>
      </c>
    </row>
    <row r="1369" spans="2:5" x14ac:dyDescent="0.35">
      <c r="B1369" s="2">
        <v>44302</v>
      </c>
      <c r="C1369" s="4">
        <v>2930.04</v>
      </c>
      <c r="D1369">
        <f t="shared" si="24"/>
        <v>2.7797213622291017</v>
      </c>
      <c r="E1369">
        <v>1.2278459146657372E-2</v>
      </c>
    </row>
    <row r="1370" spans="2:5" x14ac:dyDescent="0.35">
      <c r="B1370" s="2">
        <v>42979</v>
      </c>
      <c r="C1370" s="4">
        <v>775.2</v>
      </c>
      <c r="D1370">
        <f t="shared" si="24"/>
        <v>10.310183834257368</v>
      </c>
      <c r="E1370">
        <v>1.2261527010616335E-2</v>
      </c>
    </row>
    <row r="1371" spans="2:5" x14ac:dyDescent="0.35">
      <c r="B1371" s="2">
        <v>38681</v>
      </c>
      <c r="C1371" s="4">
        <v>68.540000000000006</v>
      </c>
      <c r="D1371">
        <f t="shared" si="24"/>
        <v>1.127910586774294</v>
      </c>
      <c r="E1371">
        <v>1.2258159799143575E-2</v>
      </c>
    </row>
    <row r="1372" spans="2:5" x14ac:dyDescent="0.35">
      <c r="B1372" s="2">
        <v>39855</v>
      </c>
      <c r="C1372" s="4">
        <v>32.21</v>
      </c>
      <c r="D1372">
        <f t="shared" si="24"/>
        <v>-0.59129552087298565</v>
      </c>
      <c r="E1372">
        <v>1.2256442489000596E-2</v>
      </c>
    </row>
    <row r="1373" spans="2:5" x14ac:dyDescent="0.35">
      <c r="B1373" s="2">
        <v>38972</v>
      </c>
      <c r="C1373" s="4">
        <v>78.81</v>
      </c>
      <c r="D1373">
        <f t="shared" si="24"/>
        <v>-0.17588622817107591</v>
      </c>
      <c r="E1373">
        <v>1.2201387105060357E-2</v>
      </c>
    </row>
    <row r="1374" spans="2:5" x14ac:dyDescent="0.35">
      <c r="B1374" s="2">
        <v>39419</v>
      </c>
      <c r="C1374" s="4">
        <v>95.63</v>
      </c>
      <c r="D1374">
        <f t="shared" si="24"/>
        <v>-0.92588947356184659</v>
      </c>
      <c r="E1374">
        <v>1.2171888230313233E-2</v>
      </c>
    </row>
    <row r="1375" spans="2:5" x14ac:dyDescent="0.35">
      <c r="B1375" s="2">
        <v>43290</v>
      </c>
      <c r="C1375" s="4">
        <v>1290.3699999999999</v>
      </c>
      <c r="D1375">
        <f t="shared" si="24"/>
        <v>-0.79769374284684003</v>
      </c>
      <c r="E1375">
        <v>1.2166041761448421E-2</v>
      </c>
    </row>
    <row r="1376" spans="2:5" x14ac:dyDescent="0.35">
      <c r="B1376" s="2">
        <v>44946</v>
      </c>
      <c r="C1376" s="4">
        <v>6378.3</v>
      </c>
      <c r="D1376">
        <f t="shared" si="24"/>
        <v>79.432534678436326</v>
      </c>
      <c r="E1376">
        <v>1.2163480993073295E-2</v>
      </c>
    </row>
    <row r="1377" spans="2:5" x14ac:dyDescent="0.35">
      <c r="B1377" s="2">
        <v>38999</v>
      </c>
      <c r="C1377" s="4">
        <v>79.3</v>
      </c>
      <c r="D1377">
        <f t="shared" si="24"/>
        <v>-0.20301507537688446</v>
      </c>
      <c r="E1377">
        <v>1.2125079770261671E-2</v>
      </c>
    </row>
    <row r="1378" spans="2:5" x14ac:dyDescent="0.35">
      <c r="B1378" s="2">
        <v>40322</v>
      </c>
      <c r="C1378" s="4">
        <v>99.5</v>
      </c>
      <c r="D1378">
        <f t="shared" si="24"/>
        <v>-0.80026898448320849</v>
      </c>
      <c r="E1378">
        <v>1.2104567185433845E-2</v>
      </c>
    </row>
    <row r="1379" spans="2:5" x14ac:dyDescent="0.35">
      <c r="B1379" s="2">
        <v>42086</v>
      </c>
      <c r="C1379" s="4">
        <v>498.17</v>
      </c>
      <c r="D1379">
        <f t="shared" si="24"/>
        <v>0.83056515029029199</v>
      </c>
      <c r="E1379">
        <v>1.2088090691154241E-2</v>
      </c>
    </row>
    <row r="1380" spans="2:5" x14ac:dyDescent="0.35">
      <c r="B1380" s="2">
        <v>42005</v>
      </c>
      <c r="C1380" s="4">
        <v>272.14</v>
      </c>
      <c r="D1380">
        <f t="shared" si="24"/>
        <v>-0.5855315260432532</v>
      </c>
      <c r="E1380">
        <v>1.2086726914351642E-2</v>
      </c>
    </row>
    <row r="1381" spans="2:5" x14ac:dyDescent="0.35">
      <c r="B1381" s="2">
        <v>42739</v>
      </c>
      <c r="C1381" s="4">
        <v>656.6</v>
      </c>
      <c r="D1381">
        <f t="shared" si="24"/>
        <v>0.29437971888737757</v>
      </c>
      <c r="E1381">
        <v>1.2084592145015227E-2</v>
      </c>
    </row>
    <row r="1382" spans="2:5" x14ac:dyDescent="0.35">
      <c r="B1382" s="2">
        <v>42165</v>
      </c>
      <c r="C1382" s="4">
        <v>507.27</v>
      </c>
      <c r="D1382">
        <f t="shared" si="24"/>
        <v>-0.31703803433187483</v>
      </c>
      <c r="E1382">
        <v>1.2050356123935124E-2</v>
      </c>
    </row>
    <row r="1383" spans="2:5" x14ac:dyDescent="0.35">
      <c r="B1383" s="2">
        <v>43980</v>
      </c>
      <c r="C1383" s="4">
        <v>742.75</v>
      </c>
      <c r="D1383">
        <f t="shared" si="24"/>
        <v>-9.0357978273915229E-2</v>
      </c>
      <c r="E1383">
        <v>1.2045073646632432E-2</v>
      </c>
    </row>
    <row r="1384" spans="2:5" x14ac:dyDescent="0.35">
      <c r="B1384" s="2">
        <v>43627</v>
      </c>
      <c r="C1384" s="4">
        <v>816.53</v>
      </c>
      <c r="D1384">
        <f t="shared" si="24"/>
        <v>-0.77084298058761958</v>
      </c>
      <c r="E1384">
        <v>1.2022359109105984E-2</v>
      </c>
    </row>
    <row r="1385" spans="2:5" x14ac:dyDescent="0.35">
      <c r="B1385" s="2">
        <v>44343</v>
      </c>
      <c r="C1385" s="4">
        <v>3563.19</v>
      </c>
      <c r="D1385">
        <f t="shared" si="24"/>
        <v>29.645824374301196</v>
      </c>
      <c r="E1385">
        <v>1.2016882143100593E-2</v>
      </c>
    </row>
    <row r="1386" spans="2:5" x14ac:dyDescent="0.35">
      <c r="B1386" s="2">
        <v>39230</v>
      </c>
      <c r="C1386" s="4">
        <v>116.27</v>
      </c>
      <c r="D1386">
        <f t="shared" si="24"/>
        <v>0.12806830309498407</v>
      </c>
      <c r="E1386">
        <v>1.201148925058737E-2</v>
      </c>
    </row>
    <row r="1387" spans="2:5" x14ac:dyDescent="0.35">
      <c r="B1387" s="2">
        <v>40409</v>
      </c>
      <c r="C1387" s="4">
        <v>103.07</v>
      </c>
      <c r="D1387">
        <f t="shared" si="24"/>
        <v>-7.7556955889490631E-4</v>
      </c>
      <c r="E1387">
        <v>1.1978399607265544E-2</v>
      </c>
    </row>
    <row r="1388" spans="2:5" x14ac:dyDescent="0.35">
      <c r="B1388" s="2">
        <v>39135</v>
      </c>
      <c r="C1388" s="4">
        <v>103.15</v>
      </c>
      <c r="D1388">
        <f t="shared" si="24"/>
        <v>0.33926252921319144</v>
      </c>
      <c r="E1388">
        <v>1.1968998332188674E-2</v>
      </c>
    </row>
    <row r="1389" spans="2:5" x14ac:dyDescent="0.35">
      <c r="B1389" s="2">
        <v>41452</v>
      </c>
      <c r="C1389" s="4">
        <v>77.02</v>
      </c>
      <c r="D1389">
        <f t="shared" si="24"/>
        <v>-0.77144044156923264</v>
      </c>
      <c r="E1389">
        <v>1.1956378925239708E-2</v>
      </c>
    </row>
    <row r="1390" spans="2:5" x14ac:dyDescent="0.35">
      <c r="B1390" s="2">
        <v>42023</v>
      </c>
      <c r="C1390" s="4">
        <v>336.98</v>
      </c>
      <c r="D1390">
        <f t="shared" si="24"/>
        <v>2.3328058550093957</v>
      </c>
      <c r="E1390">
        <v>1.1921563916999611E-2</v>
      </c>
    </row>
    <row r="1391" spans="2:5" x14ac:dyDescent="0.35">
      <c r="B1391" s="2">
        <v>41262</v>
      </c>
      <c r="C1391" s="4">
        <v>101.11</v>
      </c>
      <c r="D1391">
        <f t="shared" si="24"/>
        <v>-3.2717880034439872E-2</v>
      </c>
      <c r="E1391">
        <v>1.1909527622097738E-2</v>
      </c>
    </row>
    <row r="1392" spans="2:5" x14ac:dyDescent="0.35">
      <c r="B1392" s="2">
        <v>40729</v>
      </c>
      <c r="C1392" s="4">
        <v>104.53</v>
      </c>
      <c r="D1392">
        <f t="shared" si="24"/>
        <v>-0.87155794207635506</v>
      </c>
      <c r="E1392">
        <v>1.1907066795740606E-2</v>
      </c>
    </row>
    <row r="1393" spans="2:5" x14ac:dyDescent="0.35">
      <c r="B1393" s="2">
        <v>43833</v>
      </c>
      <c r="C1393" s="4">
        <v>813.83</v>
      </c>
      <c r="D1393">
        <f t="shared" si="24"/>
        <v>6.4024922685100973</v>
      </c>
      <c r="E1393">
        <v>1.1899137094969259E-2</v>
      </c>
    </row>
    <row r="1394" spans="2:5" x14ac:dyDescent="0.35">
      <c r="B1394" s="2">
        <v>40245</v>
      </c>
      <c r="C1394" s="4">
        <v>109.94</v>
      </c>
      <c r="D1394">
        <f t="shared" si="24"/>
        <v>-0.87956400284822256</v>
      </c>
      <c r="E1394">
        <v>1.1872986654394735E-2</v>
      </c>
    </row>
    <row r="1395" spans="2:5" x14ac:dyDescent="0.35">
      <c r="B1395" s="2">
        <v>43185</v>
      </c>
      <c r="C1395" s="4">
        <v>912.85</v>
      </c>
      <c r="D1395">
        <f t="shared" si="24"/>
        <v>-0.28067106372583783</v>
      </c>
      <c r="E1395">
        <v>1.1860555340021062E-2</v>
      </c>
    </row>
    <row r="1396" spans="2:5" x14ac:dyDescent="0.35">
      <c r="B1396" s="2">
        <v>44091</v>
      </c>
      <c r="C1396" s="4">
        <v>1269.03</v>
      </c>
      <c r="D1396">
        <f t="shared" si="24"/>
        <v>16.024818889187014</v>
      </c>
      <c r="E1396">
        <v>1.1824270451283647E-2</v>
      </c>
    </row>
    <row r="1397" spans="2:5" x14ac:dyDescent="0.35">
      <c r="B1397" s="2">
        <v>39497</v>
      </c>
      <c r="C1397" s="4">
        <v>74.540000000000006</v>
      </c>
      <c r="D1397">
        <f t="shared" si="24"/>
        <v>-0.87303047336774153</v>
      </c>
      <c r="E1397">
        <v>1.1809420388217751E-2</v>
      </c>
    </row>
    <row r="1398" spans="2:5" x14ac:dyDescent="0.35">
      <c r="B1398" s="2">
        <v>42704</v>
      </c>
      <c r="C1398" s="4">
        <v>587.07000000000005</v>
      </c>
      <c r="D1398">
        <f t="shared" si="24"/>
        <v>8.5133689839572195</v>
      </c>
      <c r="E1398">
        <v>1.180586674020212E-2</v>
      </c>
    </row>
    <row r="1399" spans="2:5" x14ac:dyDescent="0.35">
      <c r="B1399" s="2">
        <v>39692</v>
      </c>
      <c r="C1399" s="4">
        <v>61.71</v>
      </c>
      <c r="D1399">
        <f t="shared" si="24"/>
        <v>0.94546027742749073</v>
      </c>
      <c r="E1399">
        <v>1.180521396950307E-2</v>
      </c>
    </row>
    <row r="1400" spans="2:5" x14ac:dyDescent="0.35">
      <c r="B1400" s="2">
        <v>39841</v>
      </c>
      <c r="C1400" s="4">
        <v>31.72</v>
      </c>
      <c r="D1400">
        <f t="shared" si="24"/>
        <v>-0.97511883657813403</v>
      </c>
      <c r="E1400">
        <v>1.180223285486437E-2</v>
      </c>
    </row>
    <row r="1401" spans="2:5" x14ac:dyDescent="0.35">
      <c r="B1401" s="2">
        <v>43287</v>
      </c>
      <c r="C1401" s="4">
        <v>1274.8599999999999</v>
      </c>
      <c r="D1401">
        <f t="shared" si="24"/>
        <v>-0.14261695316493161</v>
      </c>
      <c r="E1401">
        <v>1.1785620749041659E-2</v>
      </c>
    </row>
    <row r="1402" spans="2:5" x14ac:dyDescent="0.35">
      <c r="B1402" s="2">
        <v>44149</v>
      </c>
      <c r="C1402" s="4">
        <v>1486.92</v>
      </c>
      <c r="D1402">
        <f t="shared" si="24"/>
        <v>49.678936605316977</v>
      </c>
      <c r="E1402">
        <v>1.1771750520542801E-2</v>
      </c>
    </row>
    <row r="1403" spans="2:5" x14ac:dyDescent="0.35">
      <c r="B1403" s="2">
        <v>38093</v>
      </c>
      <c r="C1403" s="4">
        <v>29.34</v>
      </c>
      <c r="D1403">
        <f t="shared" si="24"/>
        <v>-0.69383282896796405</v>
      </c>
      <c r="E1403">
        <v>1.172413793103444E-2</v>
      </c>
    </row>
    <row r="1404" spans="2:5" x14ac:dyDescent="0.35">
      <c r="B1404" s="2">
        <v>41302</v>
      </c>
      <c r="C1404" s="4">
        <v>95.83</v>
      </c>
      <c r="D1404">
        <f t="shared" si="24"/>
        <v>-0.90918223258370534</v>
      </c>
      <c r="E1404">
        <v>1.171875E-2</v>
      </c>
    </row>
    <row r="1405" spans="2:5" x14ac:dyDescent="0.35">
      <c r="B1405" s="2">
        <v>44063</v>
      </c>
      <c r="C1405" s="4">
        <v>1055.19</v>
      </c>
      <c r="D1405">
        <f t="shared" si="24"/>
        <v>0.23479024047744446</v>
      </c>
      <c r="E1405">
        <v>1.1706840016107778E-2</v>
      </c>
    </row>
    <row r="1406" spans="2:5" x14ac:dyDescent="0.35">
      <c r="B1406" s="2">
        <v>43502</v>
      </c>
      <c r="C1406" s="4">
        <v>854.55</v>
      </c>
      <c r="D1406">
        <f t="shared" si="24"/>
        <v>9.355671352399419</v>
      </c>
      <c r="E1406">
        <v>1.1696875702937204E-2</v>
      </c>
    </row>
    <row r="1407" spans="2:5" x14ac:dyDescent="0.35">
      <c r="B1407" s="2">
        <v>40785</v>
      </c>
      <c r="C1407" s="4">
        <v>82.52</v>
      </c>
      <c r="D1407">
        <f t="shared" si="24"/>
        <v>-0.1208182399318134</v>
      </c>
      <c r="E1407">
        <v>1.1646438641657486E-2</v>
      </c>
    </row>
    <row r="1408" spans="2:5" x14ac:dyDescent="0.35">
      <c r="B1408" s="2">
        <v>41121</v>
      </c>
      <c r="C1408" s="4">
        <v>93.86</v>
      </c>
      <c r="D1408">
        <f t="shared" si="24"/>
        <v>0.26837837837837841</v>
      </c>
      <c r="E1408">
        <v>1.1640439749946108E-2</v>
      </c>
    </row>
    <row r="1409" spans="2:5" x14ac:dyDescent="0.35">
      <c r="B1409" s="2">
        <v>38694</v>
      </c>
      <c r="C1409" s="4">
        <v>74</v>
      </c>
      <c r="D1409">
        <f t="shared" si="24"/>
        <v>0.17590974098204359</v>
      </c>
      <c r="E1409">
        <v>1.1619958988379864E-2</v>
      </c>
    </row>
    <row r="1410" spans="2:5" x14ac:dyDescent="0.35">
      <c r="B1410" s="2">
        <v>39549</v>
      </c>
      <c r="C1410" s="4">
        <v>62.93</v>
      </c>
      <c r="D1410">
        <f t="shared" si="24"/>
        <v>-0.8941605839416058</v>
      </c>
      <c r="E1410">
        <v>1.1573701977174E-2</v>
      </c>
    </row>
    <row r="1411" spans="2:5" x14ac:dyDescent="0.35">
      <c r="B1411" s="2">
        <v>42110</v>
      </c>
      <c r="C1411" s="4">
        <v>594.58000000000004</v>
      </c>
      <c r="D1411">
        <f t="shared" si="24"/>
        <v>4.9097505218169175</v>
      </c>
      <c r="E1411">
        <v>1.1568954370682949E-2</v>
      </c>
    </row>
    <row r="1412" spans="2:5" x14ac:dyDescent="0.35">
      <c r="B1412" s="2">
        <v>41288</v>
      </c>
      <c r="C1412" s="4">
        <v>100.61</v>
      </c>
      <c r="D1412">
        <f t="shared" ref="D1412:D1475" si="25">C1412/C1413-1</f>
        <v>-0.87260848095014998</v>
      </c>
      <c r="E1412">
        <v>1.1562437160667738E-2</v>
      </c>
    </row>
    <row r="1413" spans="2:5" x14ac:dyDescent="0.35">
      <c r="B1413" s="2">
        <v>42936</v>
      </c>
      <c r="C1413" s="4">
        <v>789.77</v>
      </c>
      <c r="D1413">
        <f t="shared" si="25"/>
        <v>-0.86491391312974431</v>
      </c>
      <c r="E1413">
        <v>1.1552993916106313E-2</v>
      </c>
    </row>
    <row r="1414" spans="2:5" x14ac:dyDescent="0.35">
      <c r="B1414" s="2">
        <v>44495</v>
      </c>
      <c r="C1414" s="4">
        <v>5846.42</v>
      </c>
      <c r="D1414">
        <f t="shared" si="25"/>
        <v>24.128599673343075</v>
      </c>
      <c r="E1414">
        <v>1.1533350865779779E-2</v>
      </c>
    </row>
    <row r="1415" spans="2:5" x14ac:dyDescent="0.35">
      <c r="B1415" s="2">
        <v>41787</v>
      </c>
      <c r="C1415" s="4">
        <v>232.66</v>
      </c>
      <c r="D1415">
        <f t="shared" si="25"/>
        <v>1.9006358309437728</v>
      </c>
      <c r="E1415">
        <v>1.1477262846709024E-2</v>
      </c>
    </row>
    <row r="1416" spans="2:5" x14ac:dyDescent="0.35">
      <c r="B1416" s="2">
        <v>39000</v>
      </c>
      <c r="C1416" s="4">
        <v>80.209999999999994</v>
      </c>
      <c r="D1416">
        <f t="shared" si="25"/>
        <v>-0.69269376652235548</v>
      </c>
      <c r="E1416">
        <v>1.1475409836065431E-2</v>
      </c>
    </row>
    <row r="1417" spans="2:5" x14ac:dyDescent="0.35">
      <c r="B1417" s="2">
        <v>41865</v>
      </c>
      <c r="C1417" s="4">
        <v>261.01</v>
      </c>
      <c r="D1417">
        <f t="shared" si="25"/>
        <v>-0.56789285477782925</v>
      </c>
      <c r="E1417">
        <v>1.1470645223793818E-2</v>
      </c>
    </row>
    <row r="1418" spans="2:5" x14ac:dyDescent="0.35">
      <c r="B1418" s="2">
        <v>43679</v>
      </c>
      <c r="C1418" s="4">
        <v>604.04</v>
      </c>
      <c r="D1418">
        <f t="shared" si="25"/>
        <v>-0.77597697611197447</v>
      </c>
      <c r="E1418">
        <v>1.1470386309214708E-2</v>
      </c>
    </row>
    <row r="1419" spans="2:5" x14ac:dyDescent="0.35">
      <c r="B1419" s="2">
        <v>44267</v>
      </c>
      <c r="C1419" s="4">
        <v>2696.33</v>
      </c>
      <c r="D1419">
        <f t="shared" si="25"/>
        <v>-0.65429672224679636</v>
      </c>
      <c r="E1419">
        <v>1.1441089641875068E-2</v>
      </c>
    </row>
    <row r="1420" spans="2:5" x14ac:dyDescent="0.35">
      <c r="B1420" s="2">
        <v>44756</v>
      </c>
      <c r="C1420" s="4">
        <v>7799.55</v>
      </c>
      <c r="D1420">
        <f t="shared" si="25"/>
        <v>266.01643272851766</v>
      </c>
      <c r="E1420">
        <v>1.1431127940451979E-2</v>
      </c>
    </row>
    <row r="1421" spans="2:5" x14ac:dyDescent="0.35">
      <c r="B1421" s="2">
        <v>37635</v>
      </c>
      <c r="C1421" s="4">
        <v>29.21</v>
      </c>
      <c r="D1421">
        <f t="shared" si="25"/>
        <v>-0.42124034079651274</v>
      </c>
      <c r="E1421">
        <v>1.1426592797783908E-2</v>
      </c>
    </row>
    <row r="1422" spans="2:5" x14ac:dyDescent="0.35">
      <c r="B1422" s="2">
        <v>38335</v>
      </c>
      <c r="C1422" s="4">
        <v>50.47</v>
      </c>
      <c r="D1422">
        <f t="shared" si="25"/>
        <v>-0.234375</v>
      </c>
      <c r="E1422">
        <v>1.1422845691382744E-2</v>
      </c>
    </row>
    <row r="1423" spans="2:5" x14ac:dyDescent="0.35">
      <c r="B1423" s="2">
        <v>38651</v>
      </c>
      <c r="C1423" s="4">
        <v>65.92</v>
      </c>
      <c r="D1423">
        <f t="shared" si="25"/>
        <v>-0.75168568953177384</v>
      </c>
      <c r="E1423">
        <v>1.1353175820803862E-2</v>
      </c>
    </row>
    <row r="1424" spans="2:5" x14ac:dyDescent="0.35">
      <c r="B1424" s="2">
        <v>41862</v>
      </c>
      <c r="C1424" s="4">
        <v>265.47000000000003</v>
      </c>
      <c r="D1424">
        <f t="shared" si="25"/>
        <v>0.16787646825920555</v>
      </c>
      <c r="E1424">
        <v>1.1352813440512088E-2</v>
      </c>
    </row>
    <row r="1425" spans="2:5" x14ac:dyDescent="0.35">
      <c r="B1425" s="2">
        <v>41772</v>
      </c>
      <c r="C1425" s="4">
        <v>227.31</v>
      </c>
      <c r="D1425">
        <f t="shared" si="25"/>
        <v>-0.72141333921611883</v>
      </c>
      <c r="E1425">
        <v>1.1345435130806214E-2</v>
      </c>
    </row>
    <row r="1426" spans="2:5" x14ac:dyDescent="0.35">
      <c r="B1426" s="2">
        <v>42983</v>
      </c>
      <c r="C1426" s="4">
        <v>815.94</v>
      </c>
      <c r="D1426">
        <f t="shared" si="25"/>
        <v>8.8317869622846139</v>
      </c>
      <c r="E1426">
        <v>1.1341241215186315E-2</v>
      </c>
    </row>
    <row r="1427" spans="2:5" x14ac:dyDescent="0.35">
      <c r="B1427" s="2">
        <v>41374</v>
      </c>
      <c r="C1427" s="4">
        <v>82.99</v>
      </c>
      <c r="D1427">
        <f t="shared" si="25"/>
        <v>1.6548304542546384</v>
      </c>
      <c r="E1427">
        <v>1.1333170850597041E-2</v>
      </c>
    </row>
    <row r="1428" spans="2:5" x14ac:dyDescent="0.35">
      <c r="B1428" s="2">
        <v>37484</v>
      </c>
      <c r="C1428" s="4">
        <v>31.26</v>
      </c>
      <c r="D1428">
        <f t="shared" si="25"/>
        <v>-0.97193265993265998</v>
      </c>
      <c r="E1428">
        <v>1.1323196376577194E-2</v>
      </c>
    </row>
    <row r="1429" spans="2:5" x14ac:dyDescent="0.35">
      <c r="B1429" s="2">
        <v>43229</v>
      </c>
      <c r="C1429" s="4">
        <v>1113.75</v>
      </c>
      <c r="D1429">
        <f t="shared" si="25"/>
        <v>0.40140171628457111</v>
      </c>
      <c r="E1429">
        <v>1.1323187563562431E-2</v>
      </c>
    </row>
    <row r="1430" spans="2:5" x14ac:dyDescent="0.35">
      <c r="B1430" s="2">
        <v>42559</v>
      </c>
      <c r="C1430" s="4">
        <v>794.74</v>
      </c>
      <c r="D1430">
        <f t="shared" si="25"/>
        <v>-7.1706975814511686E-3</v>
      </c>
      <c r="E1430">
        <v>1.1299722596900263E-2</v>
      </c>
    </row>
    <row r="1431" spans="2:5" x14ac:dyDescent="0.35">
      <c r="B1431" s="2">
        <v>43607</v>
      </c>
      <c r="C1431" s="4">
        <v>800.48</v>
      </c>
      <c r="D1431">
        <f t="shared" si="25"/>
        <v>-0.14017486949236291</v>
      </c>
      <c r="E1431">
        <v>1.1294438689137598E-2</v>
      </c>
    </row>
    <row r="1432" spans="2:5" x14ac:dyDescent="0.35">
      <c r="B1432" s="2">
        <v>43846</v>
      </c>
      <c r="C1432" s="4">
        <v>930.98</v>
      </c>
      <c r="D1432">
        <f t="shared" si="25"/>
        <v>27.787260358688929</v>
      </c>
      <c r="E1432">
        <v>1.1286240345865117E-2</v>
      </c>
    </row>
    <row r="1433" spans="2:5" x14ac:dyDescent="0.35">
      <c r="B1433" s="2">
        <v>38117</v>
      </c>
      <c r="C1433" s="4">
        <v>32.340000000000003</v>
      </c>
      <c r="D1433">
        <f t="shared" si="25"/>
        <v>-0.96117414010444802</v>
      </c>
      <c r="E1433">
        <v>1.1257035647279645E-2</v>
      </c>
    </row>
    <row r="1434" spans="2:5" x14ac:dyDescent="0.35">
      <c r="B1434" s="2">
        <v>43494</v>
      </c>
      <c r="C1434" s="4">
        <v>832.95</v>
      </c>
      <c r="D1434">
        <f t="shared" si="25"/>
        <v>3.4103888364701795E-2</v>
      </c>
      <c r="E1434">
        <v>1.1254370629370847E-2</v>
      </c>
    </row>
    <row r="1435" spans="2:5" x14ac:dyDescent="0.35">
      <c r="B1435" s="2">
        <v>43021</v>
      </c>
      <c r="C1435" s="4">
        <v>805.48</v>
      </c>
      <c r="D1435">
        <f t="shared" si="25"/>
        <v>-0.10927789450403624</v>
      </c>
      <c r="E1435">
        <v>1.1248932857932159E-2</v>
      </c>
    </row>
    <row r="1436" spans="2:5" x14ac:dyDescent="0.35">
      <c r="B1436" s="2">
        <v>43531</v>
      </c>
      <c r="C1436" s="4">
        <v>904.3</v>
      </c>
      <c r="D1436">
        <f t="shared" si="25"/>
        <v>-4.474679399150705E-2</v>
      </c>
      <c r="E1436">
        <v>1.1215852035738605E-2</v>
      </c>
    </row>
    <row r="1437" spans="2:5" x14ac:dyDescent="0.35">
      <c r="B1437" s="2">
        <v>43171</v>
      </c>
      <c r="C1437" s="4">
        <v>946.66</v>
      </c>
      <c r="D1437">
        <f t="shared" si="25"/>
        <v>9.2463470072518668</v>
      </c>
      <c r="E1437">
        <v>1.1172826319162388E-2</v>
      </c>
    </row>
    <row r="1438" spans="2:5" x14ac:dyDescent="0.35">
      <c r="B1438" s="2">
        <v>41330</v>
      </c>
      <c r="C1438" s="4">
        <v>92.39</v>
      </c>
      <c r="D1438">
        <f t="shared" si="25"/>
        <v>2.1792842395044736</v>
      </c>
      <c r="E1438">
        <v>1.1163401554120655E-2</v>
      </c>
    </row>
    <row r="1439" spans="2:5" x14ac:dyDescent="0.35">
      <c r="B1439" s="2">
        <v>39899</v>
      </c>
      <c r="C1439" s="4">
        <v>29.06</v>
      </c>
      <c r="D1439">
        <f t="shared" si="25"/>
        <v>-5.924247329232768E-2</v>
      </c>
      <c r="E1439">
        <v>1.1134307585247027E-2</v>
      </c>
    </row>
    <row r="1440" spans="2:5" x14ac:dyDescent="0.35">
      <c r="B1440" s="2">
        <v>37622</v>
      </c>
      <c r="C1440" s="4">
        <v>30.89</v>
      </c>
      <c r="D1440">
        <f t="shared" si="25"/>
        <v>-0.68826319507518419</v>
      </c>
      <c r="E1440">
        <v>1.1129296235679265E-2</v>
      </c>
    </row>
    <row r="1441" spans="2:5" x14ac:dyDescent="0.35">
      <c r="B1441" s="2">
        <v>40683</v>
      </c>
      <c r="C1441" s="4">
        <v>99.09</v>
      </c>
      <c r="D1441">
        <f t="shared" si="25"/>
        <v>0.60184287099903022</v>
      </c>
      <c r="E1441">
        <v>1.1122448979591804E-2</v>
      </c>
    </row>
    <row r="1442" spans="2:5" x14ac:dyDescent="0.35">
      <c r="B1442" s="2">
        <v>40129</v>
      </c>
      <c r="C1442" s="4">
        <v>61.86</v>
      </c>
      <c r="D1442">
        <f t="shared" si="25"/>
        <v>-0.88753340726869445</v>
      </c>
      <c r="E1442">
        <v>1.1114743380189696E-2</v>
      </c>
    </row>
    <row r="1443" spans="2:5" x14ac:dyDescent="0.35">
      <c r="B1443" s="2">
        <v>42188</v>
      </c>
      <c r="C1443" s="4">
        <v>550.03</v>
      </c>
      <c r="D1443">
        <f t="shared" si="25"/>
        <v>4.3025161476911205</v>
      </c>
      <c r="E1443">
        <v>1.1028803558627231E-2</v>
      </c>
    </row>
    <row r="1444" spans="2:5" x14ac:dyDescent="0.35">
      <c r="B1444" s="2">
        <v>40590</v>
      </c>
      <c r="C1444" s="4">
        <v>103.73</v>
      </c>
      <c r="D1444">
        <f t="shared" si="25"/>
        <v>0.85232142857142867</v>
      </c>
      <c r="E1444">
        <v>1.1013645224171587E-2</v>
      </c>
    </row>
    <row r="1445" spans="2:5" x14ac:dyDescent="0.35">
      <c r="B1445" s="2">
        <v>39980</v>
      </c>
      <c r="C1445" s="4">
        <v>56</v>
      </c>
      <c r="D1445">
        <f t="shared" si="25"/>
        <v>-0.92139688956262988</v>
      </c>
      <c r="E1445">
        <v>1.1012818198230745E-2</v>
      </c>
    </row>
    <row r="1446" spans="2:5" x14ac:dyDescent="0.35">
      <c r="B1446" s="2">
        <v>42895</v>
      </c>
      <c r="C1446" s="4">
        <v>712.44</v>
      </c>
      <c r="D1446">
        <f t="shared" si="25"/>
        <v>7.2439250173570944</v>
      </c>
      <c r="E1446">
        <v>1.099774368871409E-2</v>
      </c>
    </row>
    <row r="1447" spans="2:5" x14ac:dyDescent="0.35">
      <c r="B1447" s="2">
        <v>40921</v>
      </c>
      <c r="C1447" s="4">
        <v>86.42</v>
      </c>
      <c r="D1447">
        <f t="shared" si="25"/>
        <v>-0.90109185798979097</v>
      </c>
      <c r="E1447">
        <v>1.099672437997179E-2</v>
      </c>
    </row>
    <row r="1448" spans="2:5" x14ac:dyDescent="0.35">
      <c r="B1448" s="2">
        <v>42461</v>
      </c>
      <c r="C1448" s="4">
        <v>873.74</v>
      </c>
      <c r="D1448">
        <f t="shared" si="25"/>
        <v>-0.10548030754425297</v>
      </c>
      <c r="E1448">
        <v>1.0992316948995606E-2</v>
      </c>
    </row>
    <row r="1449" spans="2:5" x14ac:dyDescent="0.35">
      <c r="B1449" s="2">
        <v>43448</v>
      </c>
      <c r="C1449" s="4">
        <v>976.77</v>
      </c>
      <c r="D1449">
        <f t="shared" si="25"/>
        <v>8.6195587945637175</v>
      </c>
      <c r="E1449">
        <v>1.0960690554555175E-2</v>
      </c>
    </row>
    <row r="1450" spans="2:5" x14ac:dyDescent="0.35">
      <c r="B1450" s="2">
        <v>41198</v>
      </c>
      <c r="C1450" s="4">
        <v>101.54</v>
      </c>
      <c r="D1450">
        <f t="shared" si="25"/>
        <v>-0.19800963588974008</v>
      </c>
      <c r="E1450">
        <v>1.0951812027080843E-2</v>
      </c>
    </row>
    <row r="1451" spans="2:5" x14ac:dyDescent="0.35">
      <c r="B1451" s="2">
        <v>40541</v>
      </c>
      <c r="C1451" s="4">
        <v>126.61</v>
      </c>
      <c r="D1451">
        <f t="shared" si="25"/>
        <v>0.32868086892643511</v>
      </c>
      <c r="E1451">
        <v>1.0938997125518934E-2</v>
      </c>
    </row>
    <row r="1452" spans="2:5" x14ac:dyDescent="0.35">
      <c r="B1452" s="2">
        <v>41094</v>
      </c>
      <c r="C1452" s="4">
        <v>95.29</v>
      </c>
      <c r="D1452">
        <f t="shared" si="25"/>
        <v>-0.64046936311500158</v>
      </c>
      <c r="E1452">
        <v>1.0927222575854101E-2</v>
      </c>
    </row>
    <row r="1453" spans="2:5" x14ac:dyDescent="0.35">
      <c r="B1453" s="2">
        <v>41995</v>
      </c>
      <c r="C1453" s="4">
        <v>265.04000000000002</v>
      </c>
      <c r="D1453">
        <f t="shared" si="25"/>
        <v>2.4036214203159112</v>
      </c>
      <c r="E1453">
        <v>1.09085361202228E-2</v>
      </c>
    </row>
    <row r="1454" spans="2:5" x14ac:dyDescent="0.35">
      <c r="B1454" s="2">
        <v>38982</v>
      </c>
      <c r="C1454" s="4">
        <v>77.87</v>
      </c>
      <c r="D1454">
        <f t="shared" si="25"/>
        <v>-0.88104004033058858</v>
      </c>
      <c r="E1454">
        <v>1.0904842269245707E-2</v>
      </c>
    </row>
    <row r="1455" spans="2:5" x14ac:dyDescent="0.35">
      <c r="B1455" s="2">
        <v>42751</v>
      </c>
      <c r="C1455" s="4">
        <v>654.59</v>
      </c>
      <c r="D1455">
        <f t="shared" si="25"/>
        <v>8.0487973458667401</v>
      </c>
      <c r="E1455">
        <v>1.0902969746575453E-2</v>
      </c>
    </row>
    <row r="1456" spans="2:5" x14ac:dyDescent="0.35">
      <c r="B1456" s="2">
        <v>39623</v>
      </c>
      <c r="C1456" s="4">
        <v>72.34</v>
      </c>
      <c r="D1456">
        <f t="shared" si="25"/>
        <v>-0.99192997800099059</v>
      </c>
      <c r="E1456">
        <v>1.0899944102850778E-2</v>
      </c>
    </row>
    <row r="1457" spans="2:5" x14ac:dyDescent="0.35">
      <c r="B1457" s="2">
        <v>44655</v>
      </c>
      <c r="C1457" s="4">
        <v>8964.0400000000009</v>
      </c>
      <c r="D1457">
        <f t="shared" si="25"/>
        <v>98.269545957918069</v>
      </c>
      <c r="E1457">
        <v>1.0872127050858271E-2</v>
      </c>
    </row>
    <row r="1458" spans="2:5" x14ac:dyDescent="0.35">
      <c r="B1458" s="2">
        <v>41474</v>
      </c>
      <c r="C1458" s="4">
        <v>90.3</v>
      </c>
      <c r="D1458">
        <f t="shared" si="25"/>
        <v>0.3269654665686994</v>
      </c>
      <c r="E1458">
        <v>1.0858614127392752E-2</v>
      </c>
    </row>
    <row r="1459" spans="2:5" x14ac:dyDescent="0.35">
      <c r="B1459" s="2">
        <v>38645</v>
      </c>
      <c r="C1459" s="4">
        <v>68.05</v>
      </c>
      <c r="D1459">
        <f t="shared" si="25"/>
        <v>-0.91745812258166248</v>
      </c>
      <c r="E1459">
        <v>1.0843731431966708E-2</v>
      </c>
    </row>
    <row r="1460" spans="2:5" x14ac:dyDescent="0.35">
      <c r="B1460" s="2">
        <v>43643</v>
      </c>
      <c r="C1460" s="4">
        <v>824.43</v>
      </c>
      <c r="D1460">
        <f t="shared" si="25"/>
        <v>7.5663965087281788</v>
      </c>
      <c r="E1460">
        <v>1.0838779288613098E-2</v>
      </c>
    </row>
    <row r="1461" spans="2:5" x14ac:dyDescent="0.35">
      <c r="B1461" s="2">
        <v>40851</v>
      </c>
      <c r="C1461" s="4">
        <v>96.24</v>
      </c>
      <c r="D1461">
        <f t="shared" si="25"/>
        <v>2.0264150943396224</v>
      </c>
      <c r="E1461">
        <v>1.0818191366453123E-2</v>
      </c>
    </row>
    <row r="1462" spans="2:5" x14ac:dyDescent="0.35">
      <c r="B1462" s="2">
        <v>39868</v>
      </c>
      <c r="C1462" s="4">
        <v>31.8</v>
      </c>
      <c r="D1462">
        <f t="shared" si="25"/>
        <v>-0.95829015883842028</v>
      </c>
      <c r="E1462">
        <v>1.0807374443738027E-2</v>
      </c>
    </row>
    <row r="1463" spans="2:5" x14ac:dyDescent="0.35">
      <c r="B1463" s="2">
        <v>43963</v>
      </c>
      <c r="C1463" s="4">
        <v>762.41</v>
      </c>
      <c r="D1463">
        <f t="shared" si="25"/>
        <v>9.0356719757799127</v>
      </c>
      <c r="E1463">
        <v>1.0805292604672001E-2</v>
      </c>
    </row>
    <row r="1464" spans="2:5" x14ac:dyDescent="0.35">
      <c r="B1464" s="2">
        <v>38615</v>
      </c>
      <c r="C1464" s="4">
        <v>75.97</v>
      </c>
      <c r="D1464">
        <f t="shared" si="25"/>
        <v>1.9968441814595659</v>
      </c>
      <c r="E1464">
        <v>1.077700904736556E-2</v>
      </c>
    </row>
    <row r="1465" spans="2:5" x14ac:dyDescent="0.35">
      <c r="B1465" s="2">
        <v>37830</v>
      </c>
      <c r="C1465" s="4">
        <v>25.35</v>
      </c>
      <c r="D1465">
        <f t="shared" si="25"/>
        <v>-0.50068938349418945</v>
      </c>
      <c r="E1465">
        <v>1.0765550239234534E-2</v>
      </c>
    </row>
    <row r="1466" spans="2:5" x14ac:dyDescent="0.35">
      <c r="B1466" s="2">
        <v>38329</v>
      </c>
      <c r="C1466" s="4">
        <v>50.77</v>
      </c>
      <c r="D1466">
        <f t="shared" si="25"/>
        <v>-0.99294699479741888</v>
      </c>
      <c r="E1466">
        <v>1.0750547481584771E-2</v>
      </c>
    </row>
    <row r="1467" spans="2:5" x14ac:dyDescent="0.35">
      <c r="B1467" s="2">
        <v>45057</v>
      </c>
      <c r="C1467" s="4">
        <v>7198.35</v>
      </c>
      <c r="D1467">
        <f t="shared" si="25"/>
        <v>83.02416248395005</v>
      </c>
      <c r="E1467">
        <v>1.074159101918748E-2</v>
      </c>
    </row>
    <row r="1468" spans="2:5" x14ac:dyDescent="0.35">
      <c r="B1468" s="2">
        <v>41036</v>
      </c>
      <c r="C1468" s="4">
        <v>85.67</v>
      </c>
      <c r="D1468">
        <f t="shared" si="25"/>
        <v>0.2464717008584314</v>
      </c>
      <c r="E1468">
        <v>1.0736196319018454E-2</v>
      </c>
    </row>
    <row r="1469" spans="2:5" x14ac:dyDescent="0.35">
      <c r="B1469" s="2">
        <v>38636</v>
      </c>
      <c r="C1469" s="4">
        <v>68.73</v>
      </c>
      <c r="D1469">
        <f t="shared" si="25"/>
        <v>4.1679296756592876E-2</v>
      </c>
      <c r="E1469">
        <v>1.0735294117647065E-2</v>
      </c>
    </row>
    <row r="1470" spans="2:5" x14ac:dyDescent="0.35">
      <c r="B1470" s="2">
        <v>40148</v>
      </c>
      <c r="C1470" s="4">
        <v>65.98</v>
      </c>
      <c r="D1470">
        <f t="shared" si="25"/>
        <v>-0.44470627840430899</v>
      </c>
      <c r="E1470">
        <v>1.0723039215686292E-2</v>
      </c>
    </row>
    <row r="1471" spans="2:5" x14ac:dyDescent="0.35">
      <c r="B1471" s="2">
        <v>40199</v>
      </c>
      <c r="C1471" s="4">
        <v>118.82</v>
      </c>
      <c r="D1471">
        <f t="shared" si="25"/>
        <v>-0.97543498395686545</v>
      </c>
      <c r="E1471">
        <v>1.0717931269139003E-2</v>
      </c>
    </row>
    <row r="1472" spans="2:5" x14ac:dyDescent="0.35">
      <c r="B1472" s="2">
        <v>44434</v>
      </c>
      <c r="C1472" s="4">
        <v>4836.96</v>
      </c>
      <c r="D1472">
        <f t="shared" si="25"/>
        <v>33.412066021627773</v>
      </c>
      <c r="E1472">
        <v>1.0717412608892696E-2</v>
      </c>
    </row>
    <row r="1473" spans="2:5" x14ac:dyDescent="0.35">
      <c r="B1473" s="2">
        <v>41617</v>
      </c>
      <c r="C1473" s="4">
        <v>140.56</v>
      </c>
      <c r="D1473">
        <f t="shared" si="25"/>
        <v>-0.8850892324294275</v>
      </c>
      <c r="E1473">
        <v>1.071402890630635E-2</v>
      </c>
    </row>
    <row r="1474" spans="2:5" x14ac:dyDescent="0.35">
      <c r="B1474" s="2">
        <v>43270</v>
      </c>
      <c r="C1474" s="4">
        <v>1223.21</v>
      </c>
      <c r="D1474">
        <f t="shared" si="25"/>
        <v>45.141456054319121</v>
      </c>
      <c r="E1474">
        <v>1.0683478203391106E-2</v>
      </c>
    </row>
    <row r="1475" spans="2:5" x14ac:dyDescent="0.35">
      <c r="B1475" s="2">
        <v>37841</v>
      </c>
      <c r="C1475" s="4">
        <v>26.51</v>
      </c>
      <c r="D1475">
        <f t="shared" si="25"/>
        <v>-0.95038089355569277</v>
      </c>
      <c r="E1475">
        <v>1.0674799847502969E-2</v>
      </c>
    </row>
    <row r="1476" spans="2:5" x14ac:dyDescent="0.35">
      <c r="B1476" s="2">
        <v>43914</v>
      </c>
      <c r="C1476" s="4">
        <v>534.27</v>
      </c>
      <c r="D1476">
        <f t="shared" ref="D1476:D1539" si="26">C1476/C1477-1</f>
        <v>-0.9137523003906628</v>
      </c>
      <c r="E1476">
        <v>1.0669088019976236E-2</v>
      </c>
    </row>
    <row r="1477" spans="2:5" x14ac:dyDescent="0.35">
      <c r="B1477" s="2">
        <v>44986</v>
      </c>
      <c r="C1477" s="4">
        <v>6194.6</v>
      </c>
      <c r="D1477">
        <f t="shared" si="26"/>
        <v>97.923666560204424</v>
      </c>
      <c r="E1477">
        <v>1.0661989639841885E-2</v>
      </c>
    </row>
    <row r="1478" spans="2:5" x14ac:dyDescent="0.35">
      <c r="B1478" s="2">
        <v>38454</v>
      </c>
      <c r="C1478" s="4">
        <v>62.62</v>
      </c>
      <c r="D1478">
        <f t="shared" si="26"/>
        <v>0.24394119984108054</v>
      </c>
      <c r="E1478">
        <v>1.0652033570045072E-2</v>
      </c>
    </row>
    <row r="1479" spans="2:5" x14ac:dyDescent="0.35">
      <c r="B1479" s="2">
        <v>38240</v>
      </c>
      <c r="C1479" s="4">
        <v>50.34</v>
      </c>
      <c r="D1479">
        <f t="shared" si="26"/>
        <v>-0.39777485345136976</v>
      </c>
      <c r="E1479">
        <v>1.0640433647861824E-2</v>
      </c>
    </row>
    <row r="1480" spans="2:5" x14ac:dyDescent="0.35">
      <c r="B1480" s="2">
        <v>40933</v>
      </c>
      <c r="C1480" s="4">
        <v>83.59</v>
      </c>
      <c r="D1480">
        <f t="shared" si="26"/>
        <v>-0.87523694383498263</v>
      </c>
      <c r="E1480">
        <v>1.0639584088985687E-2</v>
      </c>
    </row>
    <row r="1481" spans="2:5" x14ac:dyDescent="0.35">
      <c r="B1481" s="2">
        <v>42808</v>
      </c>
      <c r="C1481" s="4">
        <v>669.99</v>
      </c>
      <c r="D1481">
        <f t="shared" si="26"/>
        <v>9.34893419833179</v>
      </c>
      <c r="E1481">
        <v>1.0634446556249344E-2</v>
      </c>
    </row>
    <row r="1482" spans="2:5" x14ac:dyDescent="0.35">
      <c r="B1482" s="2">
        <v>38512</v>
      </c>
      <c r="C1482" s="4">
        <v>64.739999999999995</v>
      </c>
      <c r="D1482">
        <f t="shared" si="26"/>
        <v>-0.97719884620667552</v>
      </c>
      <c r="E1482">
        <v>1.0615048392132342E-2</v>
      </c>
    </row>
    <row r="1483" spans="2:5" x14ac:dyDescent="0.35">
      <c r="B1483" s="2">
        <v>44236</v>
      </c>
      <c r="C1483" s="4">
        <v>2839.33</v>
      </c>
      <c r="D1483">
        <f t="shared" si="26"/>
        <v>3.5340774807575608</v>
      </c>
      <c r="E1483">
        <v>1.0610353369970627E-2</v>
      </c>
    </row>
    <row r="1484" spans="2:5" x14ac:dyDescent="0.35">
      <c r="B1484" s="2">
        <v>43719</v>
      </c>
      <c r="C1484" s="4">
        <v>626.22</v>
      </c>
      <c r="D1484">
        <f t="shared" si="26"/>
        <v>-0.32055204739274779</v>
      </c>
      <c r="E1484">
        <v>1.0570142172446673E-2</v>
      </c>
    </row>
    <row r="1485" spans="2:5" x14ac:dyDescent="0.35">
      <c r="B1485" s="2">
        <v>43480</v>
      </c>
      <c r="C1485" s="4">
        <v>921.66</v>
      </c>
      <c r="D1485">
        <f t="shared" si="26"/>
        <v>0.13283103282980369</v>
      </c>
      <c r="E1485">
        <v>1.0569943641586699E-2</v>
      </c>
    </row>
    <row r="1486" spans="2:5" x14ac:dyDescent="0.35">
      <c r="B1486" s="2">
        <v>43991</v>
      </c>
      <c r="C1486" s="4">
        <v>813.59</v>
      </c>
      <c r="D1486">
        <f t="shared" si="26"/>
        <v>-0.23220150239704052</v>
      </c>
      <c r="E1486">
        <v>1.0557825833136691E-2</v>
      </c>
    </row>
    <row r="1487" spans="2:5" x14ac:dyDescent="0.35">
      <c r="B1487" s="2">
        <v>44067</v>
      </c>
      <c r="C1487" s="4">
        <v>1059.6400000000001</v>
      </c>
      <c r="D1487">
        <f t="shared" si="26"/>
        <v>0.93414375935457983</v>
      </c>
      <c r="E1487">
        <v>1.0557235091601003E-2</v>
      </c>
    </row>
    <row r="1488" spans="2:5" x14ac:dyDescent="0.35">
      <c r="B1488" s="2">
        <v>42186</v>
      </c>
      <c r="C1488" s="4">
        <v>547.86</v>
      </c>
      <c r="D1488">
        <f t="shared" si="26"/>
        <v>6.0400925212027765</v>
      </c>
      <c r="E1488">
        <v>1.05507802412661E-2</v>
      </c>
    </row>
    <row r="1489" spans="2:5" x14ac:dyDescent="0.35">
      <c r="B1489" s="2">
        <v>38986</v>
      </c>
      <c r="C1489" s="4">
        <v>77.819999999999993</v>
      </c>
      <c r="D1489">
        <f t="shared" si="26"/>
        <v>-0.25108266769319609</v>
      </c>
      <c r="E1489">
        <v>1.051811453058038E-2</v>
      </c>
    </row>
    <row r="1490" spans="2:5" x14ac:dyDescent="0.35">
      <c r="B1490" s="2">
        <v>40581</v>
      </c>
      <c r="C1490" s="4">
        <v>103.91</v>
      </c>
      <c r="D1490">
        <f t="shared" si="26"/>
        <v>0.63612029601637543</v>
      </c>
      <c r="E1490">
        <v>1.0502771564718349E-2</v>
      </c>
    </row>
    <row r="1491" spans="2:5" x14ac:dyDescent="0.35">
      <c r="B1491" s="2">
        <v>40060</v>
      </c>
      <c r="C1491" s="4">
        <v>63.51</v>
      </c>
      <c r="D1491">
        <f t="shared" si="26"/>
        <v>-0.89852687416118104</v>
      </c>
      <c r="E1491">
        <v>1.0501193317422386E-2</v>
      </c>
    </row>
    <row r="1492" spans="2:5" x14ac:dyDescent="0.35">
      <c r="B1492" s="2">
        <v>42662</v>
      </c>
      <c r="C1492" s="4">
        <v>625.88</v>
      </c>
      <c r="D1492">
        <f t="shared" si="26"/>
        <v>7.8689244721553084</v>
      </c>
      <c r="E1492">
        <v>1.046173716499843E-2</v>
      </c>
    </row>
    <row r="1493" spans="2:5" x14ac:dyDescent="0.35">
      <c r="B1493" s="2">
        <v>38573</v>
      </c>
      <c r="C1493" s="4">
        <v>70.569999999999993</v>
      </c>
      <c r="D1493">
        <f t="shared" si="26"/>
        <v>-0.91414528510772897</v>
      </c>
      <c r="E1493">
        <v>1.0452462772050364E-2</v>
      </c>
    </row>
    <row r="1494" spans="2:5" x14ac:dyDescent="0.35">
      <c r="B1494" s="2">
        <v>42541</v>
      </c>
      <c r="C1494" s="4">
        <v>821.97</v>
      </c>
      <c r="D1494">
        <f t="shared" si="26"/>
        <v>7.5390608767920213</v>
      </c>
      <c r="E1494">
        <v>1.0411800860479437E-2</v>
      </c>
    </row>
    <row r="1495" spans="2:5" x14ac:dyDescent="0.35">
      <c r="B1495" s="2">
        <v>41220</v>
      </c>
      <c r="C1495" s="4">
        <v>96.26</v>
      </c>
      <c r="D1495">
        <f t="shared" si="26"/>
        <v>-0.63737050291957043</v>
      </c>
      <c r="E1495">
        <v>1.0391518841188274E-2</v>
      </c>
    </row>
    <row r="1496" spans="2:5" x14ac:dyDescent="0.35">
      <c r="B1496" s="2">
        <v>41712</v>
      </c>
      <c r="C1496" s="4">
        <v>265.45</v>
      </c>
      <c r="D1496">
        <f t="shared" si="26"/>
        <v>-5.0845639503700912E-2</v>
      </c>
      <c r="E1496">
        <v>1.039129110840431E-2</v>
      </c>
    </row>
    <row r="1497" spans="2:5" x14ac:dyDescent="0.35">
      <c r="B1497" s="2">
        <v>41885</v>
      </c>
      <c r="C1497" s="4">
        <v>279.67</v>
      </c>
      <c r="D1497">
        <f t="shared" si="26"/>
        <v>-0.96679469750488278</v>
      </c>
      <c r="E1497">
        <v>1.0331996676420596E-2</v>
      </c>
    </row>
    <row r="1498" spans="2:5" x14ac:dyDescent="0.35">
      <c r="B1498" s="2">
        <v>44832</v>
      </c>
      <c r="C1498" s="4">
        <v>8422.4500000000007</v>
      </c>
      <c r="D1498">
        <f t="shared" si="26"/>
        <v>36.216428792364461</v>
      </c>
      <c r="E1498">
        <v>1.031614176298068E-2</v>
      </c>
    </row>
    <row r="1499" spans="2:5" x14ac:dyDescent="0.35">
      <c r="B1499" s="2">
        <v>41695</v>
      </c>
      <c r="C1499" s="4">
        <v>226.31</v>
      </c>
      <c r="D1499">
        <f t="shared" si="26"/>
        <v>2.4978361669242659</v>
      </c>
      <c r="E1499">
        <v>1.0312499999999947E-2</v>
      </c>
    </row>
    <row r="1500" spans="2:5" x14ac:dyDescent="0.35">
      <c r="B1500" s="2">
        <v>38940</v>
      </c>
      <c r="C1500" s="4">
        <v>64.7</v>
      </c>
      <c r="D1500">
        <f t="shared" si="26"/>
        <v>-0.13177670424047228</v>
      </c>
      <c r="E1500">
        <v>1.0306058713304145E-2</v>
      </c>
    </row>
    <row r="1501" spans="2:5" x14ac:dyDescent="0.35">
      <c r="B1501" s="2">
        <v>39499</v>
      </c>
      <c r="C1501" s="4">
        <v>74.52</v>
      </c>
      <c r="D1501">
        <f t="shared" si="26"/>
        <v>2.1656754460492778</v>
      </c>
      <c r="E1501">
        <v>1.0303687635574654E-2</v>
      </c>
    </row>
    <row r="1502" spans="2:5" x14ac:dyDescent="0.35">
      <c r="B1502" s="2">
        <v>37679</v>
      </c>
      <c r="C1502" s="4">
        <v>23.54</v>
      </c>
      <c r="D1502">
        <f t="shared" si="26"/>
        <v>-0.29520958083832338</v>
      </c>
      <c r="E1502">
        <v>1.0300429184549209E-2</v>
      </c>
    </row>
    <row r="1503" spans="2:5" x14ac:dyDescent="0.35">
      <c r="B1503" s="2">
        <v>37504</v>
      </c>
      <c r="C1503" s="4">
        <v>33.4</v>
      </c>
      <c r="D1503">
        <f t="shared" si="26"/>
        <v>-0.4520098441345366</v>
      </c>
      <c r="E1503">
        <v>1.0284331518451095E-2</v>
      </c>
    </row>
    <row r="1504" spans="2:5" x14ac:dyDescent="0.35">
      <c r="B1504" s="2">
        <v>38420</v>
      </c>
      <c r="C1504" s="4">
        <v>60.95</v>
      </c>
      <c r="D1504">
        <f t="shared" si="26"/>
        <v>-0.92682194741265456</v>
      </c>
      <c r="E1504">
        <v>1.0276810873528941E-2</v>
      </c>
    </row>
    <row r="1505" spans="2:5" x14ac:dyDescent="0.35">
      <c r="B1505" s="2">
        <v>43644</v>
      </c>
      <c r="C1505" s="4">
        <v>832.9</v>
      </c>
      <c r="D1505">
        <f t="shared" si="26"/>
        <v>14.10518679724338</v>
      </c>
      <c r="E1505">
        <v>1.0273764904236815E-2</v>
      </c>
    </row>
    <row r="1506" spans="2:5" x14ac:dyDescent="0.35">
      <c r="B1506" s="2">
        <v>40017</v>
      </c>
      <c r="C1506" s="4">
        <v>55.14</v>
      </c>
      <c r="D1506">
        <f t="shared" si="26"/>
        <v>-0.26450580232092835</v>
      </c>
      <c r="E1506">
        <v>1.0260168559912186E-2</v>
      </c>
    </row>
    <row r="1507" spans="2:5" x14ac:dyDescent="0.35">
      <c r="B1507" s="2">
        <v>38705</v>
      </c>
      <c r="C1507" s="4">
        <v>74.97</v>
      </c>
      <c r="D1507">
        <f t="shared" si="26"/>
        <v>-0.3281656062371181</v>
      </c>
      <c r="E1507">
        <v>1.0241207384449558E-2</v>
      </c>
    </row>
    <row r="1508" spans="2:5" x14ac:dyDescent="0.35">
      <c r="B1508" s="2">
        <v>40367</v>
      </c>
      <c r="C1508" s="4">
        <v>111.59</v>
      </c>
      <c r="D1508">
        <f t="shared" si="26"/>
        <v>0.12831142568250753</v>
      </c>
      <c r="E1508">
        <v>1.0229947492305103E-2</v>
      </c>
    </row>
    <row r="1509" spans="2:5" x14ac:dyDescent="0.35">
      <c r="B1509" s="2">
        <v>40428</v>
      </c>
      <c r="C1509" s="4">
        <v>98.9</v>
      </c>
      <c r="D1509">
        <f t="shared" si="26"/>
        <v>-0.98846774992857933</v>
      </c>
      <c r="E1509">
        <v>1.0214504596527174E-2</v>
      </c>
    </row>
    <row r="1510" spans="2:5" x14ac:dyDescent="0.35">
      <c r="B1510" s="2">
        <v>44840</v>
      </c>
      <c r="C1510" s="4">
        <v>8575.9500000000007</v>
      </c>
      <c r="D1510">
        <f t="shared" si="26"/>
        <v>0.28683967678768374</v>
      </c>
      <c r="E1510">
        <v>1.0206966416548058E-2</v>
      </c>
    </row>
    <row r="1511" spans="2:5" x14ac:dyDescent="0.35">
      <c r="B1511" s="2">
        <v>44953</v>
      </c>
      <c r="C1511" s="4">
        <v>6664.35</v>
      </c>
      <c r="D1511">
        <f t="shared" si="26"/>
        <v>-0.18690750704586201</v>
      </c>
      <c r="E1511">
        <v>1.0178560601467268E-2</v>
      </c>
    </row>
    <row r="1512" spans="2:5" x14ac:dyDescent="0.35">
      <c r="B1512" s="2">
        <v>44763</v>
      </c>
      <c r="C1512" s="4">
        <v>8196.2999999999993</v>
      </c>
      <c r="D1512">
        <f t="shared" si="26"/>
        <v>0.24454884478025307</v>
      </c>
      <c r="E1512">
        <v>1.0167862160763042E-2</v>
      </c>
    </row>
    <row r="1513" spans="2:5" x14ac:dyDescent="0.35">
      <c r="B1513" s="2">
        <v>44515</v>
      </c>
      <c r="C1513" s="4">
        <v>6585.76</v>
      </c>
      <c r="D1513">
        <f t="shared" si="26"/>
        <v>37.705612694681164</v>
      </c>
      <c r="E1513">
        <v>1.0157158327121385E-2</v>
      </c>
    </row>
    <row r="1514" spans="2:5" x14ac:dyDescent="0.35">
      <c r="B1514" s="2">
        <v>41660</v>
      </c>
      <c r="C1514" s="4">
        <v>170.15</v>
      </c>
      <c r="D1514">
        <f t="shared" si="26"/>
        <v>1.7417015791169836</v>
      </c>
      <c r="E1514">
        <v>1.0151982901923651E-2</v>
      </c>
    </row>
    <row r="1515" spans="2:5" x14ac:dyDescent="0.35">
      <c r="B1515" s="2">
        <v>38901</v>
      </c>
      <c r="C1515" s="4">
        <v>62.06</v>
      </c>
      <c r="D1515">
        <f t="shared" si="26"/>
        <v>-0.38700118530225203</v>
      </c>
      <c r="E1515">
        <v>1.0091145833333481E-2</v>
      </c>
    </row>
    <row r="1516" spans="2:5" x14ac:dyDescent="0.35">
      <c r="B1516" s="2">
        <v>41102</v>
      </c>
      <c r="C1516" s="4">
        <v>101.24</v>
      </c>
      <c r="D1516">
        <f t="shared" si="26"/>
        <v>-0.64126005456929236</v>
      </c>
      <c r="E1516">
        <v>1.0076823306395255E-2</v>
      </c>
    </row>
    <row r="1517" spans="2:5" x14ac:dyDescent="0.35">
      <c r="B1517" s="2">
        <v>41890</v>
      </c>
      <c r="C1517" s="4">
        <v>282.20999999999998</v>
      </c>
      <c r="D1517">
        <f t="shared" si="26"/>
        <v>0.16078479763079945</v>
      </c>
      <c r="E1517">
        <v>1.0057265569076712E-2</v>
      </c>
    </row>
    <row r="1518" spans="2:5" x14ac:dyDescent="0.35">
      <c r="B1518" s="2">
        <v>41740</v>
      </c>
      <c r="C1518" s="4">
        <v>243.12</v>
      </c>
      <c r="D1518">
        <f t="shared" si="26"/>
        <v>2.1838658983761134</v>
      </c>
      <c r="E1518">
        <v>1.0054009140008313E-2</v>
      </c>
    </row>
    <row r="1519" spans="2:5" x14ac:dyDescent="0.35">
      <c r="B1519" s="2">
        <v>40912</v>
      </c>
      <c r="C1519" s="4">
        <v>76.36</v>
      </c>
      <c r="D1519">
        <f t="shared" si="26"/>
        <v>-0.91080272871694234</v>
      </c>
      <c r="E1519">
        <v>1.0052910052910091E-2</v>
      </c>
    </row>
    <row r="1520" spans="2:5" x14ac:dyDescent="0.35">
      <c r="B1520" s="2">
        <v>42332</v>
      </c>
      <c r="C1520" s="4">
        <v>856.08</v>
      </c>
      <c r="D1520">
        <f t="shared" si="26"/>
        <v>-0.91987945605480625</v>
      </c>
      <c r="E1520">
        <v>1.0040468633859101E-2</v>
      </c>
    </row>
    <row r="1521" spans="2:5" x14ac:dyDescent="0.35">
      <c r="B1521" s="2">
        <v>44790</v>
      </c>
      <c r="C1521" s="4">
        <v>10684.9</v>
      </c>
      <c r="D1521">
        <f t="shared" si="26"/>
        <v>92.530287114845933</v>
      </c>
      <c r="E1521">
        <v>1.0000850733994371E-2</v>
      </c>
    </row>
    <row r="1522" spans="2:5" x14ac:dyDescent="0.35">
      <c r="B1522" s="2">
        <v>39219</v>
      </c>
      <c r="C1522" s="4">
        <v>114.24</v>
      </c>
      <c r="D1522">
        <f t="shared" si="26"/>
        <v>0.48344370860927133</v>
      </c>
      <c r="E1522">
        <v>9.9902749535849544E-3</v>
      </c>
    </row>
    <row r="1523" spans="2:5" x14ac:dyDescent="0.35">
      <c r="B1523" s="2">
        <v>41537</v>
      </c>
      <c r="C1523" s="4">
        <v>77.010000000000005</v>
      </c>
      <c r="D1523">
        <f t="shared" si="26"/>
        <v>-0.98840839303991812</v>
      </c>
      <c r="E1523">
        <v>9.9672131147541254E-3</v>
      </c>
    </row>
    <row r="1524" spans="2:5" x14ac:dyDescent="0.35">
      <c r="B1524" s="2">
        <v>45044</v>
      </c>
      <c r="C1524" s="4">
        <v>6643.6</v>
      </c>
      <c r="D1524">
        <f t="shared" si="26"/>
        <v>67.111543981956117</v>
      </c>
      <c r="E1524">
        <v>9.941929403180394E-3</v>
      </c>
    </row>
    <row r="1525" spans="2:5" x14ac:dyDescent="0.35">
      <c r="B1525" s="2">
        <v>41579</v>
      </c>
      <c r="C1525" s="4">
        <v>97.54</v>
      </c>
      <c r="D1525">
        <f t="shared" si="26"/>
        <v>-0.22129969663100746</v>
      </c>
      <c r="E1525">
        <v>9.9399461586251459E-3</v>
      </c>
    </row>
    <row r="1526" spans="2:5" x14ac:dyDescent="0.35">
      <c r="B1526" s="2">
        <v>40288</v>
      </c>
      <c r="C1526" s="4">
        <v>125.26</v>
      </c>
      <c r="D1526">
        <f t="shared" si="26"/>
        <v>-0.97991871938951369</v>
      </c>
      <c r="E1526">
        <v>9.9169555752640637E-3</v>
      </c>
    </row>
    <row r="1527" spans="2:5" x14ac:dyDescent="0.35">
      <c r="B1527" s="2">
        <v>44991</v>
      </c>
      <c r="C1527" s="4">
        <v>6237.65</v>
      </c>
      <c r="D1527">
        <f t="shared" si="26"/>
        <v>6.2834006678965926</v>
      </c>
      <c r="E1527">
        <v>9.9086044572529453E-3</v>
      </c>
    </row>
    <row r="1528" spans="2:5" x14ac:dyDescent="0.35">
      <c r="B1528" s="2">
        <v>42250</v>
      </c>
      <c r="C1528" s="4">
        <v>856.42</v>
      </c>
      <c r="D1528">
        <f t="shared" si="26"/>
        <v>-0.87724129034107601</v>
      </c>
      <c r="E1528">
        <v>9.9054267588027933E-3</v>
      </c>
    </row>
    <row r="1529" spans="2:5" x14ac:dyDescent="0.35">
      <c r="B1529" s="2">
        <v>44872</v>
      </c>
      <c r="C1529" s="4">
        <v>6976.45</v>
      </c>
      <c r="D1529">
        <f t="shared" si="26"/>
        <v>7.5713144865037538</v>
      </c>
      <c r="E1529">
        <v>9.9014917378998923E-3</v>
      </c>
    </row>
    <row r="1530" spans="2:5" x14ac:dyDescent="0.35">
      <c r="B1530" s="2">
        <v>43046</v>
      </c>
      <c r="C1530" s="4">
        <v>813.93</v>
      </c>
      <c r="D1530">
        <f t="shared" si="26"/>
        <v>-0.2012541584479054</v>
      </c>
      <c r="E1530">
        <v>9.9013586450771296E-3</v>
      </c>
    </row>
    <row r="1531" spans="2:5" x14ac:dyDescent="0.35">
      <c r="B1531" s="2">
        <v>44060</v>
      </c>
      <c r="C1531" s="4">
        <v>1019.01</v>
      </c>
      <c r="D1531">
        <f t="shared" si="26"/>
        <v>9.4023070641078004</v>
      </c>
      <c r="E1531">
        <v>9.9006957245644234E-3</v>
      </c>
    </row>
    <row r="1532" spans="2:5" x14ac:dyDescent="0.35">
      <c r="B1532" s="2">
        <v>40605</v>
      </c>
      <c r="C1532" s="4">
        <v>97.96</v>
      </c>
      <c r="D1532">
        <f t="shared" si="26"/>
        <v>-0.1112320812919616</v>
      </c>
      <c r="E1532">
        <v>9.8969072164947214E-3</v>
      </c>
    </row>
    <row r="1533" spans="2:5" x14ac:dyDescent="0.35">
      <c r="B1533" s="2">
        <v>39303</v>
      </c>
      <c r="C1533" s="4">
        <v>110.22</v>
      </c>
      <c r="D1533">
        <f t="shared" si="26"/>
        <v>2.8417567096549319</v>
      </c>
      <c r="E1533">
        <v>9.8955470038482041E-3</v>
      </c>
    </row>
    <row r="1534" spans="2:5" x14ac:dyDescent="0.35">
      <c r="B1534" s="2">
        <v>37586</v>
      </c>
      <c r="C1534" s="4">
        <v>28.69</v>
      </c>
      <c r="D1534">
        <f t="shared" si="26"/>
        <v>-0.96603407247800921</v>
      </c>
      <c r="E1534">
        <v>9.8556846180921642E-3</v>
      </c>
    </row>
    <row r="1535" spans="2:5" x14ac:dyDescent="0.35">
      <c r="B1535" s="2">
        <v>43501</v>
      </c>
      <c r="C1535" s="4">
        <v>844.67</v>
      </c>
      <c r="D1535">
        <f t="shared" si="26"/>
        <v>-0.2227273145549411</v>
      </c>
      <c r="E1535">
        <v>9.8513922264864551E-3</v>
      </c>
    </row>
    <row r="1536" spans="2:5" x14ac:dyDescent="0.35">
      <c r="B1536" s="2">
        <v>43241</v>
      </c>
      <c r="C1536" s="4">
        <v>1086.71</v>
      </c>
      <c r="D1536">
        <f t="shared" si="26"/>
        <v>-0.87436210480557353</v>
      </c>
      <c r="E1536">
        <v>9.8502941149141154E-3</v>
      </c>
    </row>
    <row r="1537" spans="2:5" x14ac:dyDescent="0.35">
      <c r="B1537" s="2">
        <v>44721</v>
      </c>
      <c r="C1537" s="4">
        <v>8649.5400000000009</v>
      </c>
      <c r="D1537">
        <f t="shared" si="26"/>
        <v>8.7771372376140278</v>
      </c>
      <c r="E1537">
        <v>9.8326740857319628E-3</v>
      </c>
    </row>
    <row r="1538" spans="2:5" x14ac:dyDescent="0.35">
      <c r="B1538" s="2">
        <v>44014</v>
      </c>
      <c r="C1538" s="4">
        <v>884.67</v>
      </c>
      <c r="D1538">
        <f t="shared" si="26"/>
        <v>10.465396578538103</v>
      </c>
      <c r="E1538">
        <v>9.8165671692900247E-3</v>
      </c>
    </row>
    <row r="1539" spans="2:5" x14ac:dyDescent="0.35">
      <c r="B1539" s="2">
        <v>41494</v>
      </c>
      <c r="C1539" s="4">
        <v>77.16</v>
      </c>
      <c r="D1539">
        <f t="shared" si="26"/>
        <v>1.7735442127965491</v>
      </c>
      <c r="E1539">
        <v>9.8154691794267723E-3</v>
      </c>
    </row>
    <row r="1540" spans="2:5" x14ac:dyDescent="0.35">
      <c r="B1540" s="2">
        <v>37946</v>
      </c>
      <c r="C1540" s="4">
        <v>27.82</v>
      </c>
      <c r="D1540">
        <f t="shared" ref="D1540:D1603" si="27">C1540/C1541-1</f>
        <v>-0.96641840590031747</v>
      </c>
      <c r="E1540">
        <v>9.8003629764065181E-3</v>
      </c>
    </row>
    <row r="1541" spans="2:5" x14ac:dyDescent="0.35">
      <c r="B1541" s="2">
        <v>43619</v>
      </c>
      <c r="C1541" s="4">
        <v>828.43</v>
      </c>
      <c r="D1541">
        <f t="shared" si="27"/>
        <v>1.5743204306085001E-2</v>
      </c>
      <c r="E1541">
        <v>9.800216969977571E-3</v>
      </c>
    </row>
    <row r="1542" spans="2:5" x14ac:dyDescent="0.35">
      <c r="B1542" s="2">
        <v>43642</v>
      </c>
      <c r="C1542" s="4">
        <v>815.59</v>
      </c>
      <c r="D1542">
        <f t="shared" si="27"/>
        <v>11.553332307218717</v>
      </c>
      <c r="E1542">
        <v>9.793482567353573E-3</v>
      </c>
    </row>
    <row r="1543" spans="2:5" x14ac:dyDescent="0.35">
      <c r="B1543" s="2">
        <v>38789</v>
      </c>
      <c r="C1543" s="4">
        <v>64.97</v>
      </c>
      <c r="D1543">
        <f t="shared" si="27"/>
        <v>-0.98494486116228364</v>
      </c>
      <c r="E1543">
        <v>9.791731426795014E-3</v>
      </c>
    </row>
    <row r="1544" spans="2:5" x14ac:dyDescent="0.35">
      <c r="B1544" s="2">
        <v>44389</v>
      </c>
      <c r="C1544" s="4">
        <v>4315.47</v>
      </c>
      <c r="D1544">
        <f t="shared" si="27"/>
        <v>3.996376140415876</v>
      </c>
      <c r="E1544">
        <v>9.7902719701987717E-3</v>
      </c>
    </row>
    <row r="1545" spans="2:5" x14ac:dyDescent="0.35">
      <c r="B1545" s="2">
        <v>43084</v>
      </c>
      <c r="C1545" s="4">
        <v>863.72</v>
      </c>
      <c r="D1545">
        <f t="shared" si="27"/>
        <v>20.416315397966777</v>
      </c>
      <c r="E1545">
        <v>9.7736625514404096E-3</v>
      </c>
    </row>
    <row r="1546" spans="2:5" x14ac:dyDescent="0.35">
      <c r="B1546" s="2">
        <v>38218</v>
      </c>
      <c r="C1546" s="4">
        <v>40.33</v>
      </c>
      <c r="D1546">
        <f t="shared" si="27"/>
        <v>-0.60312930525487118</v>
      </c>
      <c r="E1546">
        <v>9.7646469704557592E-3</v>
      </c>
    </row>
    <row r="1547" spans="2:5" x14ac:dyDescent="0.35">
      <c r="B1547" s="2">
        <v>40695</v>
      </c>
      <c r="C1547" s="4">
        <v>101.62</v>
      </c>
      <c r="D1547">
        <f t="shared" si="27"/>
        <v>-0.90298991904689174</v>
      </c>
      <c r="E1547">
        <v>9.7376788553260596E-3</v>
      </c>
    </row>
    <row r="1548" spans="2:5" x14ac:dyDescent="0.35">
      <c r="B1548" s="2">
        <v>42361</v>
      </c>
      <c r="C1548" s="4">
        <v>1047.52</v>
      </c>
      <c r="D1548">
        <f t="shared" si="27"/>
        <v>0.5800174967570666</v>
      </c>
      <c r="E1548">
        <v>9.7356904628789209E-3</v>
      </c>
    </row>
    <row r="1549" spans="2:5" x14ac:dyDescent="0.35">
      <c r="B1549" s="2">
        <v>42740</v>
      </c>
      <c r="C1549" s="4">
        <v>662.98</v>
      </c>
      <c r="D1549">
        <f t="shared" si="27"/>
        <v>8.4594369100397637E-2</v>
      </c>
      <c r="E1549">
        <v>9.7167225098995225E-3</v>
      </c>
    </row>
    <row r="1550" spans="2:5" x14ac:dyDescent="0.35">
      <c r="B1550" s="2">
        <v>43696</v>
      </c>
      <c r="C1550" s="4">
        <v>611.27</v>
      </c>
      <c r="D1550">
        <f t="shared" si="27"/>
        <v>1.2314010367233701</v>
      </c>
      <c r="E1550">
        <v>9.7127471547266975E-3</v>
      </c>
    </row>
    <row r="1551" spans="2:5" x14ac:dyDescent="0.35">
      <c r="B1551" s="2">
        <v>41983</v>
      </c>
      <c r="C1551" s="4">
        <v>273.94</v>
      </c>
      <c r="D1551">
        <f t="shared" si="27"/>
        <v>7.7604732970898631</v>
      </c>
      <c r="E1551">
        <v>9.6937083041539474E-3</v>
      </c>
    </row>
    <row r="1552" spans="2:5" x14ac:dyDescent="0.35">
      <c r="B1552" s="2">
        <v>37603</v>
      </c>
      <c r="C1552" s="4">
        <v>31.27</v>
      </c>
      <c r="D1552">
        <f t="shared" si="27"/>
        <v>-0.625643481383934</v>
      </c>
      <c r="E1552">
        <v>9.6867936712947689E-3</v>
      </c>
    </row>
    <row r="1553" spans="2:5" x14ac:dyDescent="0.35">
      <c r="B1553" s="2">
        <v>41551</v>
      </c>
      <c r="C1553" s="4">
        <v>83.53</v>
      </c>
      <c r="D1553">
        <f t="shared" si="27"/>
        <v>-2.3937761819270431E-4</v>
      </c>
      <c r="E1553">
        <v>9.6700108787621808E-3</v>
      </c>
    </row>
    <row r="1554" spans="2:5" x14ac:dyDescent="0.35">
      <c r="B1554" s="2">
        <v>40882</v>
      </c>
      <c r="C1554" s="4">
        <v>83.55</v>
      </c>
      <c r="D1554">
        <f t="shared" si="27"/>
        <v>0.35545100584036327</v>
      </c>
      <c r="E1554">
        <v>9.6676737160119597E-3</v>
      </c>
    </row>
    <row r="1555" spans="2:5" x14ac:dyDescent="0.35">
      <c r="B1555" s="2">
        <v>38532</v>
      </c>
      <c r="C1555" s="4">
        <v>61.64</v>
      </c>
      <c r="D1555">
        <f t="shared" si="27"/>
        <v>-9.2862398822663783E-2</v>
      </c>
      <c r="E1555">
        <v>9.6642096642096664E-3</v>
      </c>
    </row>
    <row r="1556" spans="2:5" x14ac:dyDescent="0.35">
      <c r="B1556" s="2">
        <v>38670</v>
      </c>
      <c r="C1556" s="4">
        <v>67.95</v>
      </c>
      <c r="D1556">
        <f t="shared" si="27"/>
        <v>-0.22669853192215772</v>
      </c>
      <c r="E1556">
        <v>9.6582466567609604E-3</v>
      </c>
    </row>
    <row r="1557" spans="2:5" x14ac:dyDescent="0.35">
      <c r="B1557" s="2">
        <v>41053</v>
      </c>
      <c r="C1557" s="4">
        <v>87.87</v>
      </c>
      <c r="D1557">
        <f t="shared" si="27"/>
        <v>2.4245250029140797E-2</v>
      </c>
      <c r="E1557">
        <v>9.6518441916579878E-3</v>
      </c>
    </row>
    <row r="1558" spans="2:5" x14ac:dyDescent="0.35">
      <c r="B1558" s="2">
        <v>40940</v>
      </c>
      <c r="C1558" s="4">
        <v>85.79</v>
      </c>
      <c r="D1558">
        <f t="shared" si="27"/>
        <v>2.0261022927689596</v>
      </c>
      <c r="E1558">
        <v>9.650464869954245E-3</v>
      </c>
    </row>
    <row r="1559" spans="2:5" x14ac:dyDescent="0.35">
      <c r="B1559" s="2">
        <v>37950</v>
      </c>
      <c r="C1559" s="4">
        <v>28.35</v>
      </c>
      <c r="D1559">
        <f t="shared" si="27"/>
        <v>-0.67889908256880727</v>
      </c>
      <c r="E1559">
        <v>9.6153846153848033E-3</v>
      </c>
    </row>
    <row r="1560" spans="2:5" x14ac:dyDescent="0.35">
      <c r="B1560" s="2">
        <v>41079</v>
      </c>
      <c r="C1560" s="4">
        <v>88.29</v>
      </c>
      <c r="D1560">
        <f t="shared" si="27"/>
        <v>2.2822057460611722E-2</v>
      </c>
      <c r="E1560">
        <v>9.6054888507719483E-3</v>
      </c>
    </row>
    <row r="1561" spans="2:5" x14ac:dyDescent="0.35">
      <c r="B1561" s="2">
        <v>41029</v>
      </c>
      <c r="C1561" s="4">
        <v>86.32</v>
      </c>
      <c r="D1561">
        <f t="shared" si="27"/>
        <v>-0.96974699204772064</v>
      </c>
      <c r="E1561">
        <v>9.5906432748538162E-3</v>
      </c>
    </row>
    <row r="1562" spans="2:5" x14ac:dyDescent="0.35">
      <c r="B1562" s="2">
        <v>44243</v>
      </c>
      <c r="C1562" s="4">
        <v>2853.27</v>
      </c>
      <c r="D1562">
        <f t="shared" si="27"/>
        <v>41.195652173913039</v>
      </c>
      <c r="E1562">
        <v>9.5853767275970725E-3</v>
      </c>
    </row>
    <row r="1563" spans="2:5" x14ac:dyDescent="0.35">
      <c r="B1563" s="2">
        <v>38779</v>
      </c>
      <c r="C1563" s="4">
        <v>67.62</v>
      </c>
      <c r="D1563">
        <f t="shared" si="27"/>
        <v>-0.32676224611708482</v>
      </c>
      <c r="E1563">
        <v>9.5550910719617299E-3</v>
      </c>
    </row>
    <row r="1564" spans="2:5" x14ac:dyDescent="0.35">
      <c r="B1564" s="2">
        <v>41197</v>
      </c>
      <c r="C1564" s="4">
        <v>100.44</v>
      </c>
      <c r="D1564">
        <f t="shared" si="27"/>
        <v>-0.88556845499185399</v>
      </c>
      <c r="E1564">
        <v>9.5486983616444032E-3</v>
      </c>
    </row>
    <row r="1565" spans="2:5" x14ac:dyDescent="0.35">
      <c r="B1565" s="2">
        <v>42422</v>
      </c>
      <c r="C1565" s="4">
        <v>877.73</v>
      </c>
      <c r="D1565">
        <f t="shared" si="27"/>
        <v>8.7634037819799779</v>
      </c>
      <c r="E1565">
        <v>9.5464844783363922E-3</v>
      </c>
    </row>
    <row r="1566" spans="2:5" x14ac:dyDescent="0.35">
      <c r="B1566" s="2">
        <v>39393</v>
      </c>
      <c r="C1566" s="4">
        <v>89.9</v>
      </c>
      <c r="D1566">
        <f t="shared" si="27"/>
        <v>-0.87072002761040568</v>
      </c>
      <c r="E1566">
        <v>9.5451993262212209E-3</v>
      </c>
    </row>
    <row r="1567" spans="2:5" x14ac:dyDescent="0.35">
      <c r="B1567" s="2">
        <v>42759</v>
      </c>
      <c r="C1567" s="4">
        <v>695.39</v>
      </c>
      <c r="D1567">
        <f t="shared" si="27"/>
        <v>5.6316040434865533</v>
      </c>
      <c r="E1567">
        <v>9.5380505792512782E-3</v>
      </c>
    </row>
    <row r="1568" spans="2:5" x14ac:dyDescent="0.35">
      <c r="B1568" s="2">
        <v>39104</v>
      </c>
      <c r="C1568" s="4">
        <v>104.86</v>
      </c>
      <c r="D1568">
        <f t="shared" si="27"/>
        <v>-0.9873581163762184</v>
      </c>
      <c r="E1568">
        <v>9.5311447001058536E-3</v>
      </c>
    </row>
    <row r="1569" spans="2:5" x14ac:dyDescent="0.35">
      <c r="B1569" s="2">
        <v>44708</v>
      </c>
      <c r="C1569" s="4">
        <v>8294.65</v>
      </c>
      <c r="D1569">
        <f t="shared" si="27"/>
        <v>8.3030024337995307</v>
      </c>
      <c r="E1569">
        <v>9.52363565551817E-3</v>
      </c>
    </row>
    <row r="1570" spans="2:5" x14ac:dyDescent="0.35">
      <c r="B1570" s="2">
        <v>42472</v>
      </c>
      <c r="C1570" s="4">
        <v>891.61</v>
      </c>
      <c r="D1570">
        <f t="shared" si="27"/>
        <v>16.49970559371933</v>
      </c>
      <c r="E1570">
        <v>9.5107618799605831E-3</v>
      </c>
    </row>
    <row r="1571" spans="2:5" x14ac:dyDescent="0.35">
      <c r="B1571" s="2">
        <v>38336</v>
      </c>
      <c r="C1571" s="4">
        <v>50.95</v>
      </c>
      <c r="D1571">
        <f t="shared" si="27"/>
        <v>-0.93497792184588679</v>
      </c>
      <c r="E1571">
        <v>9.510600356647636E-3</v>
      </c>
    </row>
    <row r="1572" spans="2:5" x14ac:dyDescent="0.35">
      <c r="B1572" s="2">
        <v>43798</v>
      </c>
      <c r="C1572" s="4">
        <v>783.58</v>
      </c>
      <c r="D1572">
        <f t="shared" si="27"/>
        <v>23.594475831763969</v>
      </c>
      <c r="E1572">
        <v>9.5078587992785124E-3</v>
      </c>
    </row>
    <row r="1573" spans="2:5" x14ac:dyDescent="0.35">
      <c r="B1573" s="2">
        <v>39850</v>
      </c>
      <c r="C1573" s="4">
        <v>31.86</v>
      </c>
      <c r="D1573">
        <f t="shared" si="27"/>
        <v>-0.60015060240963858</v>
      </c>
      <c r="E1573">
        <v>9.5057034220531467E-3</v>
      </c>
    </row>
    <row r="1574" spans="2:5" x14ac:dyDescent="0.35">
      <c r="B1574" s="2">
        <v>41432</v>
      </c>
      <c r="C1574" s="4">
        <v>79.680000000000007</v>
      </c>
      <c r="D1574">
        <f t="shared" si="27"/>
        <v>-0.86890208789219958</v>
      </c>
      <c r="E1574">
        <v>9.5020904599012468E-3</v>
      </c>
    </row>
    <row r="1575" spans="2:5" x14ac:dyDescent="0.35">
      <c r="B1575" s="2">
        <v>42706</v>
      </c>
      <c r="C1575" s="4">
        <v>607.79</v>
      </c>
      <c r="D1575">
        <f t="shared" si="27"/>
        <v>5.0099871452585782</v>
      </c>
      <c r="E1575">
        <v>9.4837895296304708E-3</v>
      </c>
    </row>
    <row r="1576" spans="2:5" x14ac:dyDescent="0.35">
      <c r="B1576" s="2">
        <v>41185</v>
      </c>
      <c r="C1576" s="4">
        <v>101.13</v>
      </c>
      <c r="D1576">
        <f t="shared" si="27"/>
        <v>0.50446295745313896</v>
      </c>
      <c r="E1576">
        <v>9.4829307246955263E-3</v>
      </c>
    </row>
    <row r="1577" spans="2:5" x14ac:dyDescent="0.35">
      <c r="B1577" s="2">
        <v>38540</v>
      </c>
      <c r="C1577" s="4">
        <v>67.22</v>
      </c>
      <c r="D1577">
        <f t="shared" si="27"/>
        <v>-0.96334727394668396</v>
      </c>
      <c r="E1577">
        <v>9.4608800120137282E-3</v>
      </c>
    </row>
    <row r="1578" spans="2:5" x14ac:dyDescent="0.35">
      <c r="B1578" s="2">
        <v>44194</v>
      </c>
      <c r="C1578" s="4">
        <v>1833.97</v>
      </c>
      <c r="D1578">
        <f t="shared" si="27"/>
        <v>13.164118010503554</v>
      </c>
      <c r="E1578">
        <v>9.4451263478294578E-3</v>
      </c>
    </row>
    <row r="1579" spans="2:5" x14ac:dyDescent="0.35">
      <c r="B1579" s="2">
        <v>40546</v>
      </c>
      <c r="C1579" s="4">
        <v>129.47999999999999</v>
      </c>
      <c r="D1579">
        <f t="shared" si="27"/>
        <v>-0.89941504113356174</v>
      </c>
      <c r="E1579">
        <v>9.4332267872454523E-3</v>
      </c>
    </row>
    <row r="1580" spans="2:5" x14ac:dyDescent="0.35">
      <c r="B1580" s="2">
        <v>44088</v>
      </c>
      <c r="C1580" s="4">
        <v>1287.27</v>
      </c>
      <c r="D1580">
        <f t="shared" si="27"/>
        <v>17.76760460708558</v>
      </c>
      <c r="E1580">
        <v>9.425602822975776E-3</v>
      </c>
    </row>
    <row r="1581" spans="2:5" x14ac:dyDescent="0.35">
      <c r="B1581" s="2">
        <v>38672</v>
      </c>
      <c r="C1581" s="4">
        <v>68.59</v>
      </c>
      <c r="D1581">
        <f t="shared" si="27"/>
        <v>-0.92712107528024224</v>
      </c>
      <c r="E1581">
        <v>9.4186902133921446E-3</v>
      </c>
    </row>
    <row r="1582" spans="2:5" x14ac:dyDescent="0.35">
      <c r="B1582" s="2">
        <v>43143</v>
      </c>
      <c r="C1582" s="4">
        <v>941.15</v>
      </c>
      <c r="D1582">
        <f t="shared" si="27"/>
        <v>-0.88460656620087519</v>
      </c>
      <c r="E1582">
        <v>9.4168624044101978E-3</v>
      </c>
    </row>
    <row r="1583" spans="2:5" x14ac:dyDescent="0.35">
      <c r="B1583" s="2">
        <v>44698</v>
      </c>
      <c r="C1583" s="4">
        <v>8156.01</v>
      </c>
      <c r="D1583">
        <f t="shared" si="27"/>
        <v>9.408650042114397</v>
      </c>
      <c r="E1583">
        <v>9.4071782178217767E-3</v>
      </c>
    </row>
    <row r="1584" spans="2:5" x14ac:dyDescent="0.35">
      <c r="B1584" s="2">
        <v>42942</v>
      </c>
      <c r="C1584" s="4">
        <v>783.58</v>
      </c>
      <c r="D1584">
        <f t="shared" si="27"/>
        <v>1.8791152263374484</v>
      </c>
      <c r="E1584">
        <v>9.351813685078314E-3</v>
      </c>
    </row>
    <row r="1585" spans="2:5" x14ac:dyDescent="0.35">
      <c r="B1585" s="2">
        <v>41876</v>
      </c>
      <c r="C1585" s="4">
        <v>272.16000000000003</v>
      </c>
      <c r="D1585">
        <f t="shared" si="27"/>
        <v>8.6923076923076934</v>
      </c>
      <c r="E1585">
        <v>9.3457943925234765E-3</v>
      </c>
    </row>
    <row r="1586" spans="2:5" x14ac:dyDescent="0.35">
      <c r="B1586" s="2">
        <v>37949</v>
      </c>
      <c r="C1586" s="4">
        <v>28.08</v>
      </c>
      <c r="D1586">
        <f t="shared" si="27"/>
        <v>-0.55987460815047019</v>
      </c>
      <c r="E1586">
        <v>9.3457943925232545E-3</v>
      </c>
    </row>
    <row r="1587" spans="2:5" x14ac:dyDescent="0.35">
      <c r="B1587" s="2">
        <v>39664</v>
      </c>
      <c r="C1587" s="4">
        <v>63.8</v>
      </c>
      <c r="D1587">
        <f t="shared" si="27"/>
        <v>-1.7857142857142794E-2</v>
      </c>
      <c r="E1587">
        <v>9.3339661445972499E-3</v>
      </c>
    </row>
    <row r="1588" spans="2:5" x14ac:dyDescent="0.35">
      <c r="B1588" s="2">
        <v>38796</v>
      </c>
      <c r="C1588" s="4">
        <v>64.959999999999994</v>
      </c>
      <c r="D1588">
        <f t="shared" si="27"/>
        <v>-0.98966638457084322</v>
      </c>
      <c r="E1588">
        <v>9.3225605966438252E-3</v>
      </c>
    </row>
    <row r="1589" spans="2:5" x14ac:dyDescent="0.35">
      <c r="B1589" s="2">
        <v>44487</v>
      </c>
      <c r="C1589" s="4">
        <v>6286.28</v>
      </c>
      <c r="D1589">
        <f t="shared" si="27"/>
        <v>70.630355515041018</v>
      </c>
      <c r="E1589">
        <v>9.3204650438407644E-3</v>
      </c>
    </row>
    <row r="1590" spans="2:5" x14ac:dyDescent="0.35">
      <c r="B1590" s="2">
        <v>39043</v>
      </c>
      <c r="C1590" s="4">
        <v>87.76</v>
      </c>
      <c r="D1590">
        <f t="shared" si="27"/>
        <v>-0.13134712461645048</v>
      </c>
      <c r="E1590">
        <v>9.3156986774007855E-3</v>
      </c>
    </row>
    <row r="1591" spans="2:5" x14ac:dyDescent="0.35">
      <c r="B1591" s="2">
        <v>40190</v>
      </c>
      <c r="C1591" s="4">
        <v>101.03</v>
      </c>
      <c r="D1591">
        <f t="shared" si="27"/>
        <v>0.10584500875656744</v>
      </c>
      <c r="E1591">
        <v>9.2907092907092981E-3</v>
      </c>
    </row>
    <row r="1592" spans="2:5" x14ac:dyDescent="0.35">
      <c r="B1592" s="2">
        <v>40794</v>
      </c>
      <c r="C1592" s="4">
        <v>91.36</v>
      </c>
      <c r="D1592">
        <f t="shared" si="27"/>
        <v>-0.98932710280373837</v>
      </c>
      <c r="E1592">
        <v>9.2797171895713237E-3</v>
      </c>
    </row>
    <row r="1593" spans="2:5" x14ac:dyDescent="0.35">
      <c r="B1593" s="2">
        <v>44770</v>
      </c>
      <c r="C1593" s="4">
        <v>8560</v>
      </c>
      <c r="D1593">
        <f t="shared" si="27"/>
        <v>237.17473567056206</v>
      </c>
      <c r="E1593">
        <v>9.2673379394911937E-3</v>
      </c>
    </row>
    <row r="1594" spans="2:5" x14ac:dyDescent="0.35">
      <c r="B1594" s="2">
        <v>39918</v>
      </c>
      <c r="C1594" s="4">
        <v>35.94</v>
      </c>
      <c r="D1594">
        <f t="shared" si="27"/>
        <v>-0.99384405627704142</v>
      </c>
      <c r="E1594">
        <v>9.2670598146586958E-3</v>
      </c>
    </row>
    <row r="1595" spans="2:5" x14ac:dyDescent="0.35">
      <c r="B1595" s="2">
        <v>44561</v>
      </c>
      <c r="C1595" s="4">
        <v>5838.26</v>
      </c>
      <c r="D1595">
        <f t="shared" si="27"/>
        <v>197.10858500169667</v>
      </c>
      <c r="E1595">
        <v>9.2606518240390123E-3</v>
      </c>
    </row>
    <row r="1596" spans="2:5" x14ac:dyDescent="0.35">
      <c r="B1596" s="2">
        <v>37873</v>
      </c>
      <c r="C1596" s="4">
        <v>29.47</v>
      </c>
      <c r="D1596">
        <f t="shared" si="27"/>
        <v>-0.69349973998959968</v>
      </c>
      <c r="E1596">
        <v>9.2465753424657571E-3</v>
      </c>
    </row>
    <row r="1597" spans="2:5" x14ac:dyDescent="0.35">
      <c r="B1597" s="2">
        <v>40960</v>
      </c>
      <c r="C1597" s="4">
        <v>96.15</v>
      </c>
      <c r="D1597">
        <f t="shared" si="27"/>
        <v>-2.6968156830203815E-3</v>
      </c>
      <c r="E1597">
        <v>9.2369056366119473E-3</v>
      </c>
    </row>
    <row r="1598" spans="2:5" x14ac:dyDescent="0.35">
      <c r="B1598" s="2">
        <v>40688</v>
      </c>
      <c r="C1598" s="4">
        <v>96.41</v>
      </c>
      <c r="D1598">
        <f t="shared" si="27"/>
        <v>-0.97729750604591359</v>
      </c>
      <c r="E1598">
        <v>9.2117659374018057E-3</v>
      </c>
    </row>
    <row r="1599" spans="2:5" x14ac:dyDescent="0.35">
      <c r="B1599" s="2">
        <v>44417</v>
      </c>
      <c r="C1599" s="4">
        <v>4246.67</v>
      </c>
      <c r="D1599">
        <f t="shared" si="27"/>
        <v>54.950856389986825</v>
      </c>
      <c r="E1599">
        <v>9.1848422773654903E-3</v>
      </c>
    </row>
    <row r="1600" spans="2:5" x14ac:dyDescent="0.35">
      <c r="B1600" s="2">
        <v>41508</v>
      </c>
      <c r="C1600" s="4">
        <v>75.900000000000006</v>
      </c>
      <c r="D1600">
        <f t="shared" si="27"/>
        <v>1.7549909255898366</v>
      </c>
      <c r="E1600">
        <v>9.1743119266056716E-3</v>
      </c>
    </row>
    <row r="1601" spans="2:5" x14ac:dyDescent="0.35">
      <c r="B1601" s="2">
        <v>37923</v>
      </c>
      <c r="C1601" s="4">
        <v>27.55</v>
      </c>
      <c r="D1601">
        <f t="shared" si="27"/>
        <v>-0.89925768822905616</v>
      </c>
      <c r="E1601">
        <v>9.157509157509125E-3</v>
      </c>
    </row>
    <row r="1602" spans="2:5" x14ac:dyDescent="0.35">
      <c r="B1602" s="2">
        <v>41836</v>
      </c>
      <c r="C1602" s="4">
        <v>273.47000000000003</v>
      </c>
      <c r="D1602">
        <f t="shared" si="27"/>
        <v>1.9173245146148927</v>
      </c>
      <c r="E1602">
        <v>9.1516292114099951E-3</v>
      </c>
    </row>
    <row r="1603" spans="2:5" x14ac:dyDescent="0.35">
      <c r="B1603" s="2">
        <v>40163</v>
      </c>
      <c r="C1603" s="4">
        <v>93.74</v>
      </c>
      <c r="D1603">
        <f t="shared" si="27"/>
        <v>0.97222806648432547</v>
      </c>
      <c r="E1603">
        <v>9.1506082463128635E-3</v>
      </c>
    </row>
    <row r="1604" spans="2:5" x14ac:dyDescent="0.35">
      <c r="B1604" s="2">
        <v>38231</v>
      </c>
      <c r="C1604" s="4">
        <v>47.53</v>
      </c>
      <c r="D1604">
        <f t="shared" ref="D1604:D1667" si="28">C1604/C1605-1</f>
        <v>-0.2208196721311475</v>
      </c>
      <c r="E1604">
        <v>9.1295116772822649E-3</v>
      </c>
    </row>
    <row r="1605" spans="2:5" x14ac:dyDescent="0.35">
      <c r="B1605" s="2">
        <v>38503</v>
      </c>
      <c r="C1605" s="4">
        <v>61</v>
      </c>
      <c r="D1605">
        <f t="shared" si="28"/>
        <v>-0.98968423615996537</v>
      </c>
      <c r="E1605">
        <v>9.0984284532671378E-3</v>
      </c>
    </row>
    <row r="1606" spans="2:5" x14ac:dyDescent="0.35">
      <c r="B1606" s="2">
        <v>44539</v>
      </c>
      <c r="C1606" s="4">
        <v>5913.28</v>
      </c>
      <c r="D1606">
        <f t="shared" si="28"/>
        <v>63.895522388059689</v>
      </c>
      <c r="E1606">
        <v>9.0835402428306455E-3</v>
      </c>
    </row>
    <row r="1607" spans="2:5" x14ac:dyDescent="0.35">
      <c r="B1607" s="2">
        <v>41477</v>
      </c>
      <c r="C1607" s="4">
        <v>91.12</v>
      </c>
      <c r="D1607">
        <f t="shared" si="28"/>
        <v>-0.11986863711001638</v>
      </c>
      <c r="E1607">
        <v>9.0808416389811519E-3</v>
      </c>
    </row>
    <row r="1608" spans="2:5" x14ac:dyDescent="0.35">
      <c r="B1608" s="2">
        <v>41108</v>
      </c>
      <c r="C1608" s="4">
        <v>103.53</v>
      </c>
      <c r="D1608">
        <f t="shared" si="28"/>
        <v>0.2565845369583688</v>
      </c>
      <c r="E1608">
        <v>9.0643274853801081E-3</v>
      </c>
    </row>
    <row r="1609" spans="2:5" x14ac:dyDescent="0.35">
      <c r="B1609" s="2">
        <v>40998</v>
      </c>
      <c r="C1609" s="4">
        <v>82.39</v>
      </c>
      <c r="D1609">
        <f t="shared" si="28"/>
        <v>-0.16878531073446335</v>
      </c>
      <c r="E1609">
        <v>9.0630740967543311E-3</v>
      </c>
    </row>
    <row r="1610" spans="2:5" x14ac:dyDescent="0.35">
      <c r="B1610" s="2">
        <v>41191</v>
      </c>
      <c r="C1610" s="4">
        <v>99.12</v>
      </c>
      <c r="D1610">
        <f t="shared" si="28"/>
        <v>0.81505218824391146</v>
      </c>
      <c r="E1610">
        <v>9.0603685228545228E-3</v>
      </c>
    </row>
    <row r="1611" spans="2:5" x14ac:dyDescent="0.35">
      <c r="B1611" s="2">
        <v>38918</v>
      </c>
      <c r="C1611" s="4">
        <v>54.61</v>
      </c>
      <c r="D1611">
        <f t="shared" si="28"/>
        <v>-0.12805364841130451</v>
      </c>
      <c r="E1611">
        <v>9.0539541759053765E-3</v>
      </c>
    </row>
    <row r="1612" spans="2:5" x14ac:dyDescent="0.35">
      <c r="B1612" s="2">
        <v>39695</v>
      </c>
      <c r="C1612" s="4">
        <v>62.63</v>
      </c>
      <c r="D1612">
        <f t="shared" si="28"/>
        <v>-0.92627167527988041</v>
      </c>
      <c r="E1612">
        <v>9.0220718543581047E-3</v>
      </c>
    </row>
    <row r="1613" spans="2:5" x14ac:dyDescent="0.35">
      <c r="B1613" s="2">
        <v>44000</v>
      </c>
      <c r="C1613" s="4">
        <v>849.47</v>
      </c>
      <c r="D1613">
        <f t="shared" si="28"/>
        <v>-0.12766612924757903</v>
      </c>
      <c r="E1613">
        <v>9.0035515328605875E-3</v>
      </c>
    </row>
    <row r="1614" spans="2:5" x14ac:dyDescent="0.35">
      <c r="B1614" s="2">
        <v>43201</v>
      </c>
      <c r="C1614" s="4">
        <v>973.79</v>
      </c>
      <c r="D1614">
        <f t="shared" si="28"/>
        <v>10.48879188296366</v>
      </c>
      <c r="E1614">
        <v>8.951976376728954E-3</v>
      </c>
    </row>
    <row r="1615" spans="2:5" x14ac:dyDescent="0.35">
      <c r="B1615" s="2">
        <v>41015</v>
      </c>
      <c r="C1615" s="4">
        <v>84.76</v>
      </c>
      <c r="D1615">
        <f t="shared" si="28"/>
        <v>-2.4714605154759761E-3</v>
      </c>
      <c r="E1615">
        <v>8.927508629924974E-3</v>
      </c>
    </row>
    <row r="1616" spans="2:5" x14ac:dyDescent="0.35">
      <c r="B1616" s="2">
        <v>40939</v>
      </c>
      <c r="C1616" s="4">
        <v>84.97</v>
      </c>
      <c r="D1616">
        <f t="shared" si="28"/>
        <v>0.66054328708227472</v>
      </c>
      <c r="E1616">
        <v>8.9052481595821575E-3</v>
      </c>
    </row>
    <row r="1617" spans="2:5" x14ac:dyDescent="0.35">
      <c r="B1617" s="2">
        <v>38288</v>
      </c>
      <c r="C1617" s="4">
        <v>51.17</v>
      </c>
      <c r="D1617">
        <f t="shared" si="28"/>
        <v>-0.98954555762814711</v>
      </c>
      <c r="E1617">
        <v>8.8722397476341808E-3</v>
      </c>
    </row>
    <row r="1618" spans="2:5" x14ac:dyDescent="0.35">
      <c r="B1618" s="2">
        <v>44446</v>
      </c>
      <c r="C1618" s="4">
        <v>4894.57</v>
      </c>
      <c r="D1618">
        <f t="shared" si="28"/>
        <v>3.2321167630757524</v>
      </c>
      <c r="E1618">
        <v>8.8589513953156729E-3</v>
      </c>
    </row>
    <row r="1619" spans="2:5" x14ac:dyDescent="0.35">
      <c r="B1619" s="2">
        <v>43250</v>
      </c>
      <c r="C1619" s="4">
        <v>1156.53</v>
      </c>
      <c r="D1619">
        <f t="shared" si="28"/>
        <v>12.339446366782006</v>
      </c>
      <c r="E1619">
        <v>8.8451574071650718E-3</v>
      </c>
    </row>
    <row r="1620" spans="2:5" x14ac:dyDescent="0.35">
      <c r="B1620" s="2">
        <v>40800</v>
      </c>
      <c r="C1620" s="4">
        <v>86.7</v>
      </c>
      <c r="D1620">
        <f t="shared" si="28"/>
        <v>-0.93156307721453047</v>
      </c>
      <c r="E1620">
        <v>8.8433791016988561E-3</v>
      </c>
    </row>
    <row r="1621" spans="2:5" x14ac:dyDescent="0.35">
      <c r="B1621" s="2">
        <v>43357</v>
      </c>
      <c r="C1621" s="4">
        <v>1266.8599999999999</v>
      </c>
      <c r="D1621">
        <f t="shared" si="28"/>
        <v>30.711138923654563</v>
      </c>
      <c r="E1621">
        <v>8.8392686500604611E-3</v>
      </c>
    </row>
    <row r="1622" spans="2:5" x14ac:dyDescent="0.35">
      <c r="B1622" s="2">
        <v>39927</v>
      </c>
      <c r="C1622" s="4">
        <v>39.950000000000003</v>
      </c>
      <c r="D1622">
        <f t="shared" si="28"/>
        <v>-0.95696666128076691</v>
      </c>
      <c r="E1622">
        <v>8.8383838383838675E-3</v>
      </c>
    </row>
    <row r="1623" spans="2:5" x14ac:dyDescent="0.35">
      <c r="B1623" s="2">
        <v>43180</v>
      </c>
      <c r="C1623" s="4">
        <v>928.35</v>
      </c>
      <c r="D1623">
        <f t="shared" si="28"/>
        <v>13.503202624589907</v>
      </c>
      <c r="E1623">
        <v>8.8348438416900876E-3</v>
      </c>
    </row>
    <row r="1624" spans="2:5" x14ac:dyDescent="0.35">
      <c r="B1624" s="2">
        <v>39521</v>
      </c>
      <c r="C1624" s="4">
        <v>64.010000000000005</v>
      </c>
      <c r="D1624">
        <f t="shared" si="28"/>
        <v>-0.98231782609536389</v>
      </c>
      <c r="E1624">
        <v>8.8258471237194769E-3</v>
      </c>
    </row>
    <row r="1625" spans="2:5" x14ac:dyDescent="0.35">
      <c r="B1625" s="2">
        <v>44334</v>
      </c>
      <c r="C1625" s="4">
        <v>3620.03</v>
      </c>
      <c r="D1625">
        <f t="shared" si="28"/>
        <v>53.24078513635002</v>
      </c>
      <c r="E1625">
        <v>8.7723453762662551E-3</v>
      </c>
    </row>
    <row r="1626" spans="2:5" x14ac:dyDescent="0.35">
      <c r="B1626" s="2">
        <v>40143</v>
      </c>
      <c r="C1626" s="4">
        <v>66.739999999999995</v>
      </c>
      <c r="D1626">
        <f t="shared" si="28"/>
        <v>-0.98889757623143082</v>
      </c>
      <c r="E1626">
        <v>8.7666263603385364E-3</v>
      </c>
    </row>
    <row r="1627" spans="2:5" x14ac:dyDescent="0.35">
      <c r="B1627" s="2">
        <v>45019</v>
      </c>
      <c r="C1627" s="4">
        <v>6011.3</v>
      </c>
      <c r="D1627">
        <f t="shared" si="28"/>
        <v>-0.1499437896389102</v>
      </c>
      <c r="E1627">
        <v>8.7597120370526138E-3</v>
      </c>
    </row>
    <row r="1628" spans="2:5" x14ac:dyDescent="0.35">
      <c r="B1628" s="2">
        <v>44896</v>
      </c>
      <c r="C1628" s="4">
        <v>7071.65</v>
      </c>
      <c r="D1628">
        <f t="shared" si="28"/>
        <v>85.35547685920136</v>
      </c>
      <c r="E1628">
        <v>8.7586034734852269E-3</v>
      </c>
    </row>
    <row r="1629" spans="2:5" x14ac:dyDescent="0.35">
      <c r="B1629" s="2">
        <v>38842</v>
      </c>
      <c r="C1629" s="4">
        <v>81.89</v>
      </c>
      <c r="D1629">
        <f t="shared" si="28"/>
        <v>-0.24684999540145314</v>
      </c>
      <c r="E1629">
        <v>8.7459965508744908E-3</v>
      </c>
    </row>
    <row r="1630" spans="2:5" x14ac:dyDescent="0.35">
      <c r="B1630" s="2">
        <v>39106</v>
      </c>
      <c r="C1630" s="4">
        <v>108.73</v>
      </c>
      <c r="D1630">
        <f t="shared" si="28"/>
        <v>0.3608260325406758</v>
      </c>
      <c r="E1630">
        <v>8.7206605436496165E-3</v>
      </c>
    </row>
    <row r="1631" spans="2:5" x14ac:dyDescent="0.35">
      <c r="B1631" s="2">
        <v>41449</v>
      </c>
      <c r="C1631" s="4">
        <v>79.900000000000006</v>
      </c>
      <c r="D1631">
        <f t="shared" si="28"/>
        <v>1.6509621765096218</v>
      </c>
      <c r="E1631">
        <v>8.7110213356900168E-3</v>
      </c>
    </row>
    <row r="1632" spans="2:5" x14ac:dyDescent="0.35">
      <c r="B1632" s="2">
        <v>38145</v>
      </c>
      <c r="C1632" s="4">
        <v>30.14</v>
      </c>
      <c r="D1632">
        <f t="shared" si="28"/>
        <v>-0.53573629081947005</v>
      </c>
      <c r="E1632">
        <v>8.7014725568943518E-3</v>
      </c>
    </row>
    <row r="1633" spans="2:5" x14ac:dyDescent="0.35">
      <c r="B1633" s="2">
        <v>39657</v>
      </c>
      <c r="C1633" s="4">
        <v>64.92</v>
      </c>
      <c r="D1633">
        <f t="shared" si="28"/>
        <v>-0.44446346055108676</v>
      </c>
      <c r="E1633">
        <v>8.7010565568677034E-3</v>
      </c>
    </row>
    <row r="1634" spans="2:5" x14ac:dyDescent="0.35">
      <c r="B1634" s="2">
        <v>40506</v>
      </c>
      <c r="C1634" s="4">
        <v>116.86</v>
      </c>
      <c r="D1634">
        <f t="shared" si="28"/>
        <v>0.81713574871715133</v>
      </c>
      <c r="E1634">
        <v>8.6311065078543692E-3</v>
      </c>
    </row>
    <row r="1635" spans="2:5" x14ac:dyDescent="0.35">
      <c r="B1635" s="2">
        <v>38770</v>
      </c>
      <c r="C1635" s="4">
        <v>64.31</v>
      </c>
      <c r="D1635">
        <f t="shared" si="28"/>
        <v>-0.92656412364541585</v>
      </c>
      <c r="E1635">
        <v>8.6260978670014143E-3</v>
      </c>
    </row>
    <row r="1636" spans="2:5" x14ac:dyDescent="0.35">
      <c r="B1636" s="2">
        <v>43585</v>
      </c>
      <c r="C1636" s="4">
        <v>875.73</v>
      </c>
      <c r="D1636">
        <f t="shared" si="28"/>
        <v>6.6210077451918901</v>
      </c>
      <c r="E1636">
        <v>8.6150302332277384E-3</v>
      </c>
    </row>
    <row r="1637" spans="2:5" x14ac:dyDescent="0.35">
      <c r="B1637" s="2">
        <v>39336</v>
      </c>
      <c r="C1637" s="4">
        <v>114.91</v>
      </c>
      <c r="D1637">
        <f t="shared" si="28"/>
        <v>0.2876512774540565</v>
      </c>
      <c r="E1637">
        <v>8.6017730185199426E-3</v>
      </c>
    </row>
    <row r="1638" spans="2:5" x14ac:dyDescent="0.35">
      <c r="B1638" s="2">
        <v>40970</v>
      </c>
      <c r="C1638" s="4">
        <v>89.24</v>
      </c>
      <c r="D1638">
        <f t="shared" si="28"/>
        <v>-0.84854039375424306</v>
      </c>
      <c r="E1638">
        <v>8.589511754068635E-3</v>
      </c>
    </row>
    <row r="1639" spans="2:5" x14ac:dyDescent="0.35">
      <c r="B1639" s="2">
        <v>42101</v>
      </c>
      <c r="C1639" s="4">
        <v>589.20000000000005</v>
      </c>
      <c r="D1639">
        <f t="shared" si="28"/>
        <v>-0.90324646534312036</v>
      </c>
      <c r="E1639">
        <v>8.5759769937863162E-3</v>
      </c>
    </row>
    <row r="1640" spans="2:5" x14ac:dyDescent="0.35">
      <c r="B1640" s="2">
        <v>45006</v>
      </c>
      <c r="C1640" s="4">
        <v>6089.7</v>
      </c>
      <c r="D1640">
        <f t="shared" si="28"/>
        <v>1.167523277997665</v>
      </c>
      <c r="E1640">
        <v>8.570789754800856E-3</v>
      </c>
    </row>
    <row r="1641" spans="2:5" x14ac:dyDescent="0.35">
      <c r="B1641" s="2">
        <v>44235</v>
      </c>
      <c r="C1641" s="4">
        <v>2809.52</v>
      </c>
      <c r="D1641">
        <f t="shared" si="28"/>
        <v>1.2128825947921427</v>
      </c>
      <c r="E1641">
        <v>8.5689156929262822E-3</v>
      </c>
    </row>
    <row r="1642" spans="2:5" x14ac:dyDescent="0.35">
      <c r="B1642" s="2">
        <v>44095</v>
      </c>
      <c r="C1642" s="4">
        <v>1269.6199999999999</v>
      </c>
      <c r="D1642">
        <f t="shared" si="28"/>
        <v>10.655375011475257</v>
      </c>
      <c r="E1642">
        <v>8.5233817092833508E-3</v>
      </c>
    </row>
    <row r="1643" spans="2:5" x14ac:dyDescent="0.35">
      <c r="B1643" s="2">
        <v>40240</v>
      </c>
      <c r="C1643" s="4">
        <v>108.93</v>
      </c>
      <c r="D1643">
        <f t="shared" si="28"/>
        <v>4.104498594189316</v>
      </c>
      <c r="E1643">
        <v>8.5177298398295687E-3</v>
      </c>
    </row>
    <row r="1644" spans="2:5" x14ac:dyDescent="0.35">
      <c r="B1644" s="2">
        <v>37747</v>
      </c>
      <c r="C1644" s="4">
        <v>21.34</v>
      </c>
      <c r="D1644">
        <f t="shared" si="28"/>
        <v>-0.78052041550961637</v>
      </c>
      <c r="E1644">
        <v>8.5066162570888171E-3</v>
      </c>
    </row>
    <row r="1645" spans="2:5" x14ac:dyDescent="0.35">
      <c r="B1645" s="2">
        <v>40689</v>
      </c>
      <c r="C1645" s="4">
        <v>97.23</v>
      </c>
      <c r="D1645">
        <f t="shared" si="28"/>
        <v>-0.8571722365038561</v>
      </c>
      <c r="E1645">
        <v>8.5053417695259981E-3</v>
      </c>
    </row>
    <row r="1646" spans="2:5" x14ac:dyDescent="0.35">
      <c r="B1646" s="2">
        <v>42786</v>
      </c>
      <c r="C1646" s="4">
        <v>680.75</v>
      </c>
      <c r="D1646">
        <f t="shared" si="28"/>
        <v>8.8903094580851381</v>
      </c>
      <c r="E1646">
        <v>8.5035777247743916E-3</v>
      </c>
    </row>
    <row r="1647" spans="2:5" x14ac:dyDescent="0.35">
      <c r="B1647" s="2">
        <v>38623</v>
      </c>
      <c r="C1647" s="4">
        <v>68.83</v>
      </c>
      <c r="D1647">
        <f t="shared" si="28"/>
        <v>-0.92945939021265689</v>
      </c>
      <c r="E1647">
        <v>8.4981684981684236E-3</v>
      </c>
    </row>
    <row r="1648" spans="2:5" x14ac:dyDescent="0.35">
      <c r="B1648" s="2">
        <v>43885</v>
      </c>
      <c r="C1648" s="4">
        <v>975.75</v>
      </c>
      <c r="D1648">
        <f t="shared" si="28"/>
        <v>-0.20900954944146299</v>
      </c>
      <c r="E1648">
        <v>8.4854372945821765E-3</v>
      </c>
    </row>
    <row r="1649" spans="2:5" x14ac:dyDescent="0.35">
      <c r="B1649" s="2">
        <v>43271</v>
      </c>
      <c r="C1649" s="4">
        <v>1233.58</v>
      </c>
      <c r="D1649">
        <f t="shared" si="28"/>
        <v>0.36725668621083307</v>
      </c>
      <c r="E1649">
        <v>8.4776939364459292E-3</v>
      </c>
    </row>
    <row r="1650" spans="2:5" x14ac:dyDescent="0.35">
      <c r="B1650" s="2">
        <v>43552</v>
      </c>
      <c r="C1650" s="4">
        <v>902.23</v>
      </c>
      <c r="D1650">
        <f t="shared" si="28"/>
        <v>-0.84870492908384176</v>
      </c>
      <c r="E1650">
        <v>8.4725870452133645E-3</v>
      </c>
    </row>
    <row r="1651" spans="2:5" x14ac:dyDescent="0.35">
      <c r="B1651" s="2">
        <v>44540</v>
      </c>
      <c r="C1651" s="4">
        <v>5963.38</v>
      </c>
      <c r="D1651">
        <f t="shared" si="28"/>
        <v>20.402505114309299</v>
      </c>
      <c r="E1651">
        <v>8.4724552194384017E-3</v>
      </c>
    </row>
    <row r="1652" spans="2:5" x14ac:dyDescent="0.35">
      <c r="B1652" s="2">
        <v>41974</v>
      </c>
      <c r="C1652" s="4">
        <v>278.63</v>
      </c>
      <c r="D1652">
        <f t="shared" si="28"/>
        <v>9.6063951275218873</v>
      </c>
      <c r="E1652">
        <v>8.4693619023488154E-3</v>
      </c>
    </row>
    <row r="1653" spans="2:5" x14ac:dyDescent="0.35">
      <c r="B1653" s="2">
        <v>37846</v>
      </c>
      <c r="C1653" s="4">
        <v>26.27</v>
      </c>
      <c r="D1653">
        <f t="shared" si="28"/>
        <v>-4.4379774463441213E-2</v>
      </c>
      <c r="E1653">
        <v>8.445297504798388E-3</v>
      </c>
    </row>
    <row r="1654" spans="2:5" x14ac:dyDescent="0.35">
      <c r="B1654" s="2">
        <v>38058</v>
      </c>
      <c r="C1654" s="4">
        <v>27.49</v>
      </c>
      <c r="D1654">
        <f t="shared" si="28"/>
        <v>4.3263757115749479E-2</v>
      </c>
      <c r="E1654">
        <v>8.4372707263389302E-3</v>
      </c>
    </row>
    <row r="1655" spans="2:5" x14ac:dyDescent="0.35">
      <c r="B1655" s="2">
        <v>37854</v>
      </c>
      <c r="C1655" s="4">
        <v>26.35</v>
      </c>
      <c r="D1655">
        <f t="shared" si="28"/>
        <v>-0.70403234864652364</v>
      </c>
      <c r="E1655">
        <v>8.4194412552622833E-3</v>
      </c>
    </row>
    <row r="1656" spans="2:5" x14ac:dyDescent="0.35">
      <c r="B1656" s="2">
        <v>41080</v>
      </c>
      <c r="C1656" s="4">
        <v>89.03</v>
      </c>
      <c r="D1656">
        <f t="shared" si="28"/>
        <v>-0.89849156851790624</v>
      </c>
      <c r="E1656">
        <v>8.381470155170323E-3</v>
      </c>
    </row>
    <row r="1657" spans="2:5" x14ac:dyDescent="0.35">
      <c r="B1657" s="2">
        <v>43088</v>
      </c>
      <c r="C1657" s="4">
        <v>877.07</v>
      </c>
      <c r="D1657">
        <f t="shared" si="28"/>
        <v>5.9153197193093119</v>
      </c>
      <c r="E1657">
        <v>8.3698363972914969E-3</v>
      </c>
    </row>
    <row r="1658" spans="2:5" x14ac:dyDescent="0.35">
      <c r="B1658" s="2">
        <v>40290</v>
      </c>
      <c r="C1658" s="4">
        <v>126.83</v>
      </c>
      <c r="D1658">
        <f t="shared" si="28"/>
        <v>-0.98145128384376545</v>
      </c>
      <c r="E1658">
        <v>8.3479090475433448E-3</v>
      </c>
    </row>
    <row r="1659" spans="2:5" x14ac:dyDescent="0.35">
      <c r="B1659" s="2">
        <v>44692</v>
      </c>
      <c r="C1659" s="4">
        <v>6837.67</v>
      </c>
      <c r="D1659">
        <f t="shared" si="28"/>
        <v>6.3572381587725149</v>
      </c>
      <c r="E1659">
        <v>8.3333824891316244E-3</v>
      </c>
    </row>
    <row r="1660" spans="2:5" x14ac:dyDescent="0.35">
      <c r="B1660" s="2">
        <v>43864</v>
      </c>
      <c r="C1660" s="4">
        <v>929.38</v>
      </c>
      <c r="D1660">
        <f t="shared" si="28"/>
        <v>0.69233570661179611</v>
      </c>
      <c r="E1660">
        <v>8.321489405561433E-3</v>
      </c>
    </row>
    <row r="1661" spans="2:5" x14ac:dyDescent="0.35">
      <c r="B1661" s="2">
        <v>42198</v>
      </c>
      <c r="C1661" s="4">
        <v>549.16999999999996</v>
      </c>
      <c r="D1661">
        <f t="shared" si="28"/>
        <v>3.8168581703359346</v>
      </c>
      <c r="E1661">
        <v>8.3174206815510576E-3</v>
      </c>
    </row>
    <row r="1662" spans="2:5" x14ac:dyDescent="0.35">
      <c r="B1662" s="2">
        <v>39329</v>
      </c>
      <c r="C1662" s="4">
        <v>114.01</v>
      </c>
      <c r="D1662">
        <f t="shared" si="28"/>
        <v>-0.88537791808256083</v>
      </c>
      <c r="E1662">
        <v>8.3134341558328551E-3</v>
      </c>
    </row>
    <row r="1663" spans="2:5" x14ac:dyDescent="0.35">
      <c r="B1663" s="2">
        <v>43411</v>
      </c>
      <c r="C1663" s="4">
        <v>994.66</v>
      </c>
      <c r="D1663">
        <f t="shared" si="28"/>
        <v>8.9805338149709009</v>
      </c>
      <c r="E1663">
        <v>8.302330532099278E-3</v>
      </c>
    </row>
    <row r="1664" spans="2:5" x14ac:dyDescent="0.35">
      <c r="B1664" s="2">
        <v>40703</v>
      </c>
      <c r="C1664" s="4">
        <v>99.66</v>
      </c>
      <c r="D1664">
        <f t="shared" si="28"/>
        <v>-0.7163431433938634</v>
      </c>
      <c r="E1664">
        <v>8.2962363415619578E-3</v>
      </c>
    </row>
    <row r="1665" spans="2:5" x14ac:dyDescent="0.35">
      <c r="B1665" s="2">
        <v>42045</v>
      </c>
      <c r="C1665" s="4">
        <v>351.34</v>
      </c>
      <c r="D1665">
        <f t="shared" si="28"/>
        <v>-0.94702911333242867</v>
      </c>
      <c r="E1665">
        <v>8.2938728655472804E-3</v>
      </c>
    </row>
    <row r="1666" spans="2:5" x14ac:dyDescent="0.35">
      <c r="B1666" s="2">
        <v>44957</v>
      </c>
      <c r="C1666" s="4">
        <v>6632.7</v>
      </c>
      <c r="D1666">
        <f t="shared" si="28"/>
        <v>-0.10062036001220387</v>
      </c>
      <c r="E1666">
        <v>8.2926050637337489E-3</v>
      </c>
    </row>
    <row r="1667" spans="2:5" x14ac:dyDescent="0.35">
      <c r="B1667" s="2">
        <v>44854</v>
      </c>
      <c r="C1667" s="4">
        <v>7374.75</v>
      </c>
      <c r="D1667">
        <f t="shared" si="28"/>
        <v>7.5643363140169555</v>
      </c>
      <c r="E1667">
        <v>8.2784173252030691E-3</v>
      </c>
    </row>
    <row r="1668" spans="2:5" x14ac:dyDescent="0.35">
      <c r="B1668" s="2">
        <v>42265</v>
      </c>
      <c r="C1668" s="4">
        <v>861.1</v>
      </c>
      <c r="D1668">
        <f t="shared" ref="D1668:D1731" si="29">C1668/C1669-1</f>
        <v>-0.80007708095357499</v>
      </c>
      <c r="E1668">
        <v>8.2783977143661147E-3</v>
      </c>
    </row>
    <row r="1669" spans="2:5" x14ac:dyDescent="0.35">
      <c r="B1669" s="2">
        <v>44421</v>
      </c>
      <c r="C1669" s="4">
        <v>4307.16</v>
      </c>
      <c r="D1669">
        <f t="shared" si="29"/>
        <v>39.092711533091311</v>
      </c>
      <c r="E1669">
        <v>8.2680999288362589E-3</v>
      </c>
    </row>
    <row r="1670" spans="2:5" x14ac:dyDescent="0.35">
      <c r="B1670" s="2">
        <v>40346</v>
      </c>
      <c r="C1670" s="4">
        <v>107.43</v>
      </c>
      <c r="D1670">
        <f t="shared" si="29"/>
        <v>-4.6520282843320881E-4</v>
      </c>
      <c r="E1670">
        <v>8.2590333176912889E-3</v>
      </c>
    </row>
    <row r="1671" spans="2:5" x14ac:dyDescent="0.35">
      <c r="B1671" s="2">
        <v>39364</v>
      </c>
      <c r="C1671" s="4">
        <v>107.48</v>
      </c>
      <c r="D1671">
        <f t="shared" si="29"/>
        <v>-0.80762484338643281</v>
      </c>
      <c r="E1671">
        <v>8.2551594746718138E-3</v>
      </c>
    </row>
    <row r="1672" spans="2:5" x14ac:dyDescent="0.35">
      <c r="B1672" s="2">
        <v>42180</v>
      </c>
      <c r="C1672" s="4">
        <v>558.70000000000005</v>
      </c>
      <c r="D1672">
        <f t="shared" si="29"/>
        <v>-0.30916375057188428</v>
      </c>
      <c r="E1672">
        <v>8.2471622182520576E-3</v>
      </c>
    </row>
    <row r="1673" spans="2:5" x14ac:dyDescent="0.35">
      <c r="B1673" s="2">
        <v>43829</v>
      </c>
      <c r="C1673" s="4">
        <v>808.73</v>
      </c>
      <c r="D1673">
        <f t="shared" si="29"/>
        <v>-2.8120606155288219E-2</v>
      </c>
      <c r="E1673">
        <v>8.228092703177925E-3</v>
      </c>
    </row>
    <row r="1674" spans="2:5" x14ac:dyDescent="0.35">
      <c r="B1674" s="2">
        <v>43808</v>
      </c>
      <c r="C1674" s="4">
        <v>832.13</v>
      </c>
      <c r="D1674">
        <f t="shared" si="29"/>
        <v>8.5614156038147762</v>
      </c>
      <c r="E1674">
        <v>8.2269125451328584E-3</v>
      </c>
    </row>
    <row r="1675" spans="2:5" x14ac:dyDescent="0.35">
      <c r="B1675" s="2">
        <v>41052</v>
      </c>
      <c r="C1675" s="4">
        <v>87.03</v>
      </c>
      <c r="D1675">
        <f t="shared" si="29"/>
        <v>-0.99018565276178638</v>
      </c>
      <c r="E1675">
        <v>8.2252085264133967E-3</v>
      </c>
    </row>
    <row r="1676" spans="2:5" x14ac:dyDescent="0.35">
      <c r="B1676" s="2">
        <v>44652</v>
      </c>
      <c r="C1676" s="4">
        <v>8867.6299999999992</v>
      </c>
      <c r="D1676">
        <f t="shared" si="29"/>
        <v>146.40076462765958</v>
      </c>
      <c r="E1676">
        <v>8.2179788183527336E-3</v>
      </c>
    </row>
    <row r="1677" spans="2:5" x14ac:dyDescent="0.35">
      <c r="B1677" s="2">
        <v>38895</v>
      </c>
      <c r="C1677" s="4">
        <v>60.16</v>
      </c>
      <c r="D1677">
        <f t="shared" si="29"/>
        <v>-0.46812837061267798</v>
      </c>
      <c r="E1677">
        <v>8.2118317412434028E-3</v>
      </c>
    </row>
    <row r="1678" spans="2:5" x14ac:dyDescent="0.35">
      <c r="B1678" s="2">
        <v>39218</v>
      </c>
      <c r="C1678" s="4">
        <v>113.11</v>
      </c>
      <c r="D1678">
        <f t="shared" si="29"/>
        <v>6.788141993957697E-2</v>
      </c>
      <c r="E1678">
        <v>8.2003743649166072E-3</v>
      </c>
    </row>
    <row r="1679" spans="2:5" x14ac:dyDescent="0.35">
      <c r="B1679" s="2">
        <v>40653</v>
      </c>
      <c r="C1679" s="4">
        <v>105.92</v>
      </c>
      <c r="D1679">
        <f t="shared" si="29"/>
        <v>3.7776274244474513</v>
      </c>
      <c r="E1679">
        <v>8.1857985912812126E-3</v>
      </c>
    </row>
    <row r="1680" spans="2:5" x14ac:dyDescent="0.35">
      <c r="B1680" s="2">
        <v>37726</v>
      </c>
      <c r="C1680" s="4">
        <v>22.17</v>
      </c>
      <c r="D1680">
        <f t="shared" si="29"/>
        <v>-0.38003355704697983</v>
      </c>
      <c r="E1680">
        <v>8.1855388813099061E-3</v>
      </c>
    </row>
    <row r="1681" spans="2:5" x14ac:dyDescent="0.35">
      <c r="B1681" s="2">
        <v>37973</v>
      </c>
      <c r="C1681" s="4">
        <v>35.76</v>
      </c>
      <c r="D1681">
        <f t="shared" si="29"/>
        <v>-0.65890881342998853</v>
      </c>
      <c r="E1681">
        <v>8.1759233154778954E-3</v>
      </c>
    </row>
    <row r="1682" spans="2:5" x14ac:dyDescent="0.35">
      <c r="B1682" s="2">
        <v>40235</v>
      </c>
      <c r="C1682" s="4">
        <v>104.84</v>
      </c>
      <c r="D1682">
        <f t="shared" si="29"/>
        <v>-0.78541457723560593</v>
      </c>
      <c r="E1682">
        <v>8.173862871430071E-3</v>
      </c>
    </row>
    <row r="1683" spans="2:5" x14ac:dyDescent="0.35">
      <c r="B1683" s="2">
        <v>42167</v>
      </c>
      <c r="C1683" s="4">
        <v>488.57</v>
      </c>
      <c r="D1683">
        <f t="shared" si="29"/>
        <v>-0.31521038320298267</v>
      </c>
      <c r="E1683">
        <v>8.1507160249267852E-3</v>
      </c>
    </row>
    <row r="1684" spans="2:5" x14ac:dyDescent="0.35">
      <c r="B1684" s="2">
        <v>42864</v>
      </c>
      <c r="C1684" s="4">
        <v>713.46</v>
      </c>
      <c r="D1684">
        <f t="shared" si="29"/>
        <v>9.4674295774647899</v>
      </c>
      <c r="E1684">
        <v>8.1390419669351566E-3</v>
      </c>
    </row>
    <row r="1685" spans="2:5" x14ac:dyDescent="0.35">
      <c r="B1685" s="2">
        <v>40095</v>
      </c>
      <c r="C1685" s="4">
        <v>68.16</v>
      </c>
      <c r="D1685">
        <f t="shared" si="29"/>
        <v>-0.12827727330860728</v>
      </c>
      <c r="E1685">
        <v>8.1348912882708291E-3</v>
      </c>
    </row>
    <row r="1686" spans="2:5" x14ac:dyDescent="0.35">
      <c r="B1686" s="2">
        <v>38957</v>
      </c>
      <c r="C1686" s="4">
        <v>78.19</v>
      </c>
      <c r="D1686">
        <f t="shared" si="29"/>
        <v>0.30818136188723422</v>
      </c>
      <c r="E1686">
        <v>8.1227436823103627E-3</v>
      </c>
    </row>
    <row r="1687" spans="2:5" x14ac:dyDescent="0.35">
      <c r="B1687" s="2">
        <v>38911</v>
      </c>
      <c r="C1687" s="4">
        <v>59.77</v>
      </c>
      <c r="D1687">
        <f t="shared" si="29"/>
        <v>-0.12808169219547771</v>
      </c>
      <c r="E1687">
        <v>8.0958003035924708E-3</v>
      </c>
    </row>
    <row r="1688" spans="2:5" x14ac:dyDescent="0.35">
      <c r="B1688" s="2">
        <v>40071</v>
      </c>
      <c r="C1688" s="4">
        <v>68.55</v>
      </c>
      <c r="D1688">
        <f t="shared" si="29"/>
        <v>-0.15401703072935957</v>
      </c>
      <c r="E1688">
        <v>8.0882352941176183E-3</v>
      </c>
    </row>
    <row r="1689" spans="2:5" x14ac:dyDescent="0.35">
      <c r="B1689" s="2">
        <v>41422</v>
      </c>
      <c r="C1689" s="4">
        <v>81.03</v>
      </c>
      <c r="D1689">
        <f t="shared" si="29"/>
        <v>0.24795934082858451</v>
      </c>
      <c r="E1689">
        <v>8.0865887036576378E-3</v>
      </c>
    </row>
    <row r="1690" spans="2:5" x14ac:dyDescent="0.35">
      <c r="B1690" s="2">
        <v>40049</v>
      </c>
      <c r="C1690" s="4">
        <v>64.930000000000007</v>
      </c>
      <c r="D1690">
        <f t="shared" si="29"/>
        <v>0.20889964624837098</v>
      </c>
      <c r="E1690">
        <v>8.0732805464991397E-3</v>
      </c>
    </row>
    <row r="1691" spans="2:5" x14ac:dyDescent="0.35">
      <c r="B1691" s="2">
        <v>39993</v>
      </c>
      <c r="C1691" s="4">
        <v>53.71</v>
      </c>
      <c r="D1691">
        <f t="shared" si="29"/>
        <v>-0.37684186100475692</v>
      </c>
      <c r="E1691">
        <v>8.0705705705705899E-3</v>
      </c>
    </row>
    <row r="1692" spans="2:5" x14ac:dyDescent="0.35">
      <c r="B1692" s="2">
        <v>39405</v>
      </c>
      <c r="C1692" s="4">
        <v>86.19</v>
      </c>
      <c r="D1692">
        <f t="shared" si="29"/>
        <v>-0.87979414800145039</v>
      </c>
      <c r="E1692">
        <v>8.0701754385965607E-3</v>
      </c>
    </row>
    <row r="1693" spans="2:5" x14ac:dyDescent="0.35">
      <c r="B1693" s="2">
        <v>42867</v>
      </c>
      <c r="C1693" s="4">
        <v>717.02</v>
      </c>
      <c r="D1693">
        <f t="shared" si="29"/>
        <v>-5.6229762813594153E-2</v>
      </c>
      <c r="E1693">
        <v>8.0699583848835577E-3</v>
      </c>
    </row>
    <row r="1694" spans="2:5" x14ac:dyDescent="0.35">
      <c r="B1694" s="2">
        <v>42587</v>
      </c>
      <c r="C1694" s="4">
        <v>759.74</v>
      </c>
      <c r="D1694">
        <f t="shared" si="29"/>
        <v>19.265137369965323</v>
      </c>
      <c r="E1694">
        <v>8.0672982512008939E-3</v>
      </c>
    </row>
    <row r="1695" spans="2:5" x14ac:dyDescent="0.35">
      <c r="B1695" s="2">
        <v>39752</v>
      </c>
      <c r="C1695" s="4">
        <v>37.49</v>
      </c>
      <c r="D1695">
        <f t="shared" si="29"/>
        <v>-0.96183913193949633</v>
      </c>
      <c r="E1695">
        <v>8.0666845926324893E-3</v>
      </c>
    </row>
    <row r="1696" spans="2:5" x14ac:dyDescent="0.35">
      <c r="B1696" s="2">
        <v>43439</v>
      </c>
      <c r="C1696" s="4">
        <v>982.42</v>
      </c>
      <c r="D1696">
        <f t="shared" si="29"/>
        <v>13.550059241706162</v>
      </c>
      <c r="E1696">
        <v>8.0651781316696258E-3</v>
      </c>
    </row>
    <row r="1697" spans="2:5" x14ac:dyDescent="0.35">
      <c r="B1697" s="2">
        <v>38666</v>
      </c>
      <c r="C1697" s="4">
        <v>67.52</v>
      </c>
      <c r="D1697">
        <f t="shared" si="29"/>
        <v>-0.98984654019955043</v>
      </c>
      <c r="E1697">
        <v>8.0621080919676125E-3</v>
      </c>
    </row>
    <row r="1698" spans="2:5" x14ac:dyDescent="0.35">
      <c r="B1698" s="2">
        <v>44972</v>
      </c>
      <c r="C1698" s="4">
        <v>6649.95</v>
      </c>
      <c r="D1698">
        <f t="shared" si="29"/>
        <v>28.169006053162558</v>
      </c>
      <c r="E1698">
        <v>8.0569366965801414E-3</v>
      </c>
    </row>
    <row r="1699" spans="2:5" x14ac:dyDescent="0.35">
      <c r="B1699" s="2">
        <v>41792</v>
      </c>
      <c r="C1699" s="4">
        <v>227.98</v>
      </c>
      <c r="D1699">
        <f t="shared" si="29"/>
        <v>-0.75829604970208431</v>
      </c>
      <c r="E1699">
        <v>8.0474000707464466E-3</v>
      </c>
    </row>
    <row r="1700" spans="2:5" x14ac:dyDescent="0.35">
      <c r="B1700" s="2">
        <v>43431</v>
      </c>
      <c r="C1700" s="4">
        <v>943.22</v>
      </c>
      <c r="D1700">
        <f t="shared" si="29"/>
        <v>7.4997747138866355</v>
      </c>
      <c r="E1700">
        <v>7.9936734563019751E-3</v>
      </c>
    </row>
    <row r="1701" spans="2:5" x14ac:dyDescent="0.35">
      <c r="B1701" s="2">
        <v>40364</v>
      </c>
      <c r="C1701" s="4">
        <v>110.97</v>
      </c>
      <c r="D1701">
        <f t="shared" si="29"/>
        <v>-0.91622439812473111</v>
      </c>
      <c r="E1701">
        <v>7.9934598964483961E-3</v>
      </c>
    </row>
    <row r="1702" spans="2:5" x14ac:dyDescent="0.35">
      <c r="B1702" s="2">
        <v>43342</v>
      </c>
      <c r="C1702" s="4">
        <v>1324.61</v>
      </c>
      <c r="D1702">
        <f t="shared" si="29"/>
        <v>0.7437797846291565</v>
      </c>
      <c r="E1702">
        <v>7.9901986896073751E-3</v>
      </c>
    </row>
    <row r="1703" spans="2:5" x14ac:dyDescent="0.35">
      <c r="B1703" s="2">
        <v>43007</v>
      </c>
      <c r="C1703" s="4">
        <v>759.62</v>
      </c>
      <c r="D1703">
        <f t="shared" si="29"/>
        <v>8.179697885196374</v>
      </c>
      <c r="E1703">
        <v>7.9214489484509265E-3</v>
      </c>
    </row>
    <row r="1704" spans="2:5" x14ac:dyDescent="0.35">
      <c r="B1704" s="2">
        <v>40879</v>
      </c>
      <c r="C1704" s="4">
        <v>82.75</v>
      </c>
      <c r="D1704">
        <f t="shared" si="29"/>
        <v>-0.9447847439079724</v>
      </c>
      <c r="E1704">
        <v>7.9171741778318871E-3</v>
      </c>
    </row>
    <row r="1705" spans="2:5" x14ac:dyDescent="0.35">
      <c r="B1705" s="2">
        <v>44152</v>
      </c>
      <c r="C1705" s="4">
        <v>1498.68</v>
      </c>
      <c r="D1705">
        <f t="shared" si="29"/>
        <v>8.3276902968818085</v>
      </c>
      <c r="E1705">
        <v>7.9089661851343696E-3</v>
      </c>
    </row>
    <row r="1706" spans="2:5" x14ac:dyDescent="0.35">
      <c r="B1706" s="2">
        <v>41628</v>
      </c>
      <c r="C1706" s="4">
        <v>160.66999999999999</v>
      </c>
      <c r="D1706">
        <f t="shared" si="29"/>
        <v>0.57257511989820875</v>
      </c>
      <c r="E1706">
        <v>7.9041465403675293E-3</v>
      </c>
    </row>
    <row r="1707" spans="2:5" x14ac:dyDescent="0.35">
      <c r="B1707" s="2">
        <v>41255</v>
      </c>
      <c r="C1707" s="4">
        <v>102.17</v>
      </c>
      <c r="D1707">
        <f t="shared" si="29"/>
        <v>-0.92144092883779938</v>
      </c>
      <c r="E1707">
        <v>7.891881227187536E-3</v>
      </c>
    </row>
    <row r="1708" spans="2:5" x14ac:dyDescent="0.35">
      <c r="B1708" s="2">
        <v>43291</v>
      </c>
      <c r="C1708" s="4">
        <v>1300.55</v>
      </c>
      <c r="D1708">
        <f t="shared" si="29"/>
        <v>17.823997684180053</v>
      </c>
      <c r="E1708">
        <v>7.889210071529984E-3</v>
      </c>
    </row>
    <row r="1709" spans="2:5" x14ac:dyDescent="0.35">
      <c r="B1709" s="2">
        <v>40072</v>
      </c>
      <c r="C1709" s="4">
        <v>69.09</v>
      </c>
      <c r="D1709">
        <f t="shared" si="29"/>
        <v>-0.38641207815275302</v>
      </c>
      <c r="E1709">
        <v>7.8774617067833841E-3</v>
      </c>
    </row>
    <row r="1710" spans="2:5" x14ac:dyDescent="0.35">
      <c r="B1710" s="2">
        <v>39213</v>
      </c>
      <c r="C1710" s="4">
        <v>112.6</v>
      </c>
      <c r="D1710">
        <f t="shared" si="29"/>
        <v>-0.49797137634312716</v>
      </c>
      <c r="E1710">
        <v>7.8768349445039743E-3</v>
      </c>
    </row>
    <row r="1711" spans="2:5" x14ac:dyDescent="0.35">
      <c r="B1711" s="2">
        <v>41780</v>
      </c>
      <c r="C1711" s="4">
        <v>224.29</v>
      </c>
      <c r="D1711">
        <f t="shared" si="29"/>
        <v>-0.70451221922139518</v>
      </c>
      <c r="E1711">
        <v>7.8637548305922067E-3</v>
      </c>
    </row>
    <row r="1712" spans="2:5" x14ac:dyDescent="0.35">
      <c r="B1712" s="2">
        <v>42599</v>
      </c>
      <c r="C1712" s="4">
        <v>759.05</v>
      </c>
      <c r="D1712">
        <f t="shared" si="29"/>
        <v>-0.85196431775453052</v>
      </c>
      <c r="E1712">
        <v>7.8605287267801138E-3</v>
      </c>
    </row>
    <row r="1713" spans="2:5" x14ac:dyDescent="0.35">
      <c r="B1713" s="2">
        <v>44455</v>
      </c>
      <c r="C1713" s="4">
        <v>5127.4799999999996</v>
      </c>
      <c r="D1713">
        <f t="shared" si="29"/>
        <v>2.1449022025134776</v>
      </c>
      <c r="E1713">
        <v>7.8604577109733231E-3</v>
      </c>
    </row>
    <row r="1714" spans="2:5" x14ac:dyDescent="0.35">
      <c r="B1714" s="2">
        <v>44181</v>
      </c>
      <c r="C1714" s="4">
        <v>1630.41</v>
      </c>
      <c r="D1714">
        <f t="shared" si="29"/>
        <v>0.27081904346199415</v>
      </c>
      <c r="E1714">
        <v>7.8194540599347828E-3</v>
      </c>
    </row>
    <row r="1715" spans="2:5" x14ac:dyDescent="0.35">
      <c r="B1715" s="2">
        <v>43350</v>
      </c>
      <c r="C1715" s="4">
        <v>1282.96</v>
      </c>
      <c r="D1715">
        <f t="shared" si="29"/>
        <v>0.45559337417744494</v>
      </c>
      <c r="E1715">
        <v>7.8002875030440677E-3</v>
      </c>
    </row>
    <row r="1716" spans="2:5" x14ac:dyDescent="0.35">
      <c r="B1716" s="2">
        <v>42418</v>
      </c>
      <c r="C1716" s="4">
        <v>881.4</v>
      </c>
      <c r="D1716">
        <f t="shared" si="29"/>
        <v>28.606986899563317</v>
      </c>
      <c r="E1716">
        <v>7.7865056769457208E-3</v>
      </c>
    </row>
    <row r="1717" spans="2:5" x14ac:dyDescent="0.35">
      <c r="B1717" s="2">
        <v>39888</v>
      </c>
      <c r="C1717" s="4">
        <v>29.77</v>
      </c>
      <c r="D1717">
        <f t="shared" si="29"/>
        <v>-0.73869920126393396</v>
      </c>
      <c r="E1717">
        <v>7.786052809749533E-3</v>
      </c>
    </row>
    <row r="1718" spans="2:5" x14ac:dyDescent="0.35">
      <c r="B1718" s="2">
        <v>40514</v>
      </c>
      <c r="C1718" s="4">
        <v>113.93</v>
      </c>
      <c r="D1718">
        <f t="shared" si="29"/>
        <v>0.37496982862659922</v>
      </c>
      <c r="E1718">
        <v>7.784166298098194E-3</v>
      </c>
    </row>
    <row r="1719" spans="2:5" x14ac:dyDescent="0.35">
      <c r="B1719" s="2">
        <v>41338</v>
      </c>
      <c r="C1719" s="4">
        <v>82.86</v>
      </c>
      <c r="D1719">
        <f t="shared" si="29"/>
        <v>-0.99067458977648726</v>
      </c>
      <c r="E1719">
        <v>7.7839941620043707E-3</v>
      </c>
    </row>
    <row r="1720" spans="2:5" x14ac:dyDescent="0.35">
      <c r="B1720" s="2">
        <v>44816</v>
      </c>
      <c r="C1720" s="4">
        <v>8885.4</v>
      </c>
      <c r="D1720">
        <f t="shared" si="29"/>
        <v>9.2249738201820506</v>
      </c>
      <c r="E1720">
        <v>7.7806006714453702E-3</v>
      </c>
    </row>
    <row r="1721" spans="2:5" x14ac:dyDescent="0.35">
      <c r="B1721" s="2">
        <v>42270</v>
      </c>
      <c r="C1721" s="4">
        <v>868.99</v>
      </c>
      <c r="D1721">
        <f t="shared" si="29"/>
        <v>0.37847398477157368</v>
      </c>
      <c r="E1721">
        <v>7.770007770007803E-3</v>
      </c>
    </row>
    <row r="1722" spans="2:5" x14ac:dyDescent="0.35">
      <c r="B1722" s="2">
        <v>43731</v>
      </c>
      <c r="C1722" s="4">
        <v>630.4</v>
      </c>
      <c r="D1722">
        <f t="shared" si="29"/>
        <v>7.0913874983955854</v>
      </c>
      <c r="E1722">
        <v>7.7692873357420034E-3</v>
      </c>
    </row>
    <row r="1723" spans="2:5" x14ac:dyDescent="0.35">
      <c r="B1723" s="2">
        <v>38989</v>
      </c>
      <c r="C1723" s="4">
        <v>77.91</v>
      </c>
      <c r="D1723">
        <f t="shared" si="29"/>
        <v>-0.86426356319035502</v>
      </c>
      <c r="E1723">
        <v>7.7609623593324351E-3</v>
      </c>
    </row>
    <row r="1724" spans="2:5" x14ac:dyDescent="0.35">
      <c r="B1724" s="2">
        <v>42682</v>
      </c>
      <c r="C1724" s="4">
        <v>573.98</v>
      </c>
      <c r="D1724">
        <f t="shared" si="29"/>
        <v>-0.38955182609065575</v>
      </c>
      <c r="E1724">
        <v>7.7603764309293055E-3</v>
      </c>
    </row>
    <row r="1725" spans="2:5" x14ac:dyDescent="0.35">
      <c r="B1725" s="2">
        <v>43853</v>
      </c>
      <c r="C1725" s="4">
        <v>940.26</v>
      </c>
      <c r="D1725">
        <f t="shared" si="29"/>
        <v>-0.82744040081484338</v>
      </c>
      <c r="E1725">
        <v>7.7597479153717064E-3</v>
      </c>
    </row>
    <row r="1726" spans="2:5" x14ac:dyDescent="0.35">
      <c r="B1726" s="2">
        <v>44552</v>
      </c>
      <c r="C1726" s="4">
        <v>5448.9</v>
      </c>
      <c r="D1726">
        <f t="shared" si="29"/>
        <v>5.7925304478988755</v>
      </c>
      <c r="E1726">
        <v>7.7566691819432876E-3</v>
      </c>
    </row>
    <row r="1727" spans="2:5" x14ac:dyDescent="0.35">
      <c r="B1727" s="2">
        <v>42929</v>
      </c>
      <c r="C1727" s="4">
        <v>802.19</v>
      </c>
      <c r="D1727">
        <f t="shared" si="29"/>
        <v>-0.7161574988146544</v>
      </c>
      <c r="E1727">
        <v>7.7384018190269632E-3</v>
      </c>
    </row>
    <row r="1728" spans="2:5" x14ac:dyDescent="0.35">
      <c r="B1728" s="2">
        <v>44242</v>
      </c>
      <c r="C1728" s="4">
        <v>2826.18</v>
      </c>
      <c r="D1728">
        <f t="shared" si="29"/>
        <v>1.8108328526246691</v>
      </c>
      <c r="E1728">
        <v>7.7376198083065617E-3</v>
      </c>
    </row>
    <row r="1729" spans="2:5" x14ac:dyDescent="0.35">
      <c r="B1729" s="2">
        <v>43867</v>
      </c>
      <c r="C1729" s="4">
        <v>1005.46</v>
      </c>
      <c r="D1729">
        <f t="shared" si="29"/>
        <v>8.8777876019255331</v>
      </c>
      <c r="E1729">
        <v>7.7374867199873076E-3</v>
      </c>
    </row>
    <row r="1730" spans="2:5" x14ac:dyDescent="0.35">
      <c r="B1730" s="2">
        <v>40674</v>
      </c>
      <c r="C1730" s="4">
        <v>101.79</v>
      </c>
      <c r="D1730">
        <f t="shared" si="29"/>
        <v>-0.10459183673469385</v>
      </c>
      <c r="E1730">
        <v>7.7220077220077066E-3</v>
      </c>
    </row>
    <row r="1731" spans="2:5" x14ac:dyDescent="0.35">
      <c r="B1731" s="2">
        <v>39196</v>
      </c>
      <c r="C1731" s="4">
        <v>113.68</v>
      </c>
      <c r="D1731">
        <f t="shared" si="29"/>
        <v>0.14262739973866734</v>
      </c>
      <c r="E1731">
        <v>7.7120822622107621E-3</v>
      </c>
    </row>
    <row r="1732" spans="2:5" x14ac:dyDescent="0.35">
      <c r="B1732" s="2">
        <v>41194</v>
      </c>
      <c r="C1732" s="4">
        <v>99.49</v>
      </c>
      <c r="D1732">
        <f t="shared" ref="D1732:D1795" si="30">C1732/C1733-1</f>
        <v>-0.91301268656063927</v>
      </c>
      <c r="E1732">
        <v>7.6977615719637793E-3</v>
      </c>
    </row>
    <row r="1733" spans="2:5" x14ac:dyDescent="0.35">
      <c r="B1733" s="2">
        <v>43223</v>
      </c>
      <c r="C1733" s="4">
        <v>1143.73</v>
      </c>
      <c r="D1733">
        <f t="shared" si="30"/>
        <v>0.41382763053797467</v>
      </c>
      <c r="E1733">
        <v>7.6916299559470769E-3</v>
      </c>
    </row>
    <row r="1734" spans="2:5" x14ac:dyDescent="0.35">
      <c r="B1734" s="2">
        <v>42555</v>
      </c>
      <c r="C1734" s="4">
        <v>808.96</v>
      </c>
      <c r="D1734">
        <f t="shared" si="30"/>
        <v>-0.86714599390056646</v>
      </c>
      <c r="E1734">
        <v>7.6605921700030333E-3</v>
      </c>
    </row>
    <row r="1735" spans="2:5" x14ac:dyDescent="0.35">
      <c r="B1735" s="2">
        <v>44482</v>
      </c>
      <c r="C1735" s="4">
        <v>6089.09</v>
      </c>
      <c r="D1735">
        <f t="shared" si="30"/>
        <v>6.381609892108135</v>
      </c>
      <c r="E1735">
        <v>7.6486834897988576E-3</v>
      </c>
    </row>
    <row r="1736" spans="2:5" x14ac:dyDescent="0.35">
      <c r="B1736" s="2">
        <v>43658</v>
      </c>
      <c r="C1736" s="4">
        <v>824.9</v>
      </c>
      <c r="D1736">
        <f t="shared" si="30"/>
        <v>9.2119896202933704E-2</v>
      </c>
      <c r="E1736">
        <v>7.6468288869344647E-3</v>
      </c>
    </row>
    <row r="1737" spans="2:5" x14ac:dyDescent="0.35">
      <c r="B1737" s="2">
        <v>43966</v>
      </c>
      <c r="C1737" s="4">
        <v>755.32</v>
      </c>
      <c r="D1737">
        <f t="shared" si="30"/>
        <v>8.8747548699176377</v>
      </c>
      <c r="E1737">
        <v>7.6441788177536996E-3</v>
      </c>
    </row>
    <row r="1738" spans="2:5" x14ac:dyDescent="0.35">
      <c r="B1738" s="2">
        <v>39639</v>
      </c>
      <c r="C1738" s="4">
        <v>76.489999999999995</v>
      </c>
      <c r="D1738">
        <f t="shared" si="30"/>
        <v>-0.9052966521394612</v>
      </c>
      <c r="E1738">
        <v>7.6406270583586622E-3</v>
      </c>
    </row>
    <row r="1739" spans="2:5" x14ac:dyDescent="0.35">
      <c r="B1739" s="2">
        <v>43641</v>
      </c>
      <c r="C1739" s="4">
        <v>807.68</v>
      </c>
      <c r="D1739">
        <f t="shared" si="30"/>
        <v>4.9303002351473779E-2</v>
      </c>
      <c r="E1739">
        <v>7.6351115325115071E-3</v>
      </c>
    </row>
    <row r="1740" spans="2:5" x14ac:dyDescent="0.35">
      <c r="B1740" s="2">
        <v>42570</v>
      </c>
      <c r="C1740" s="4">
        <v>769.73</v>
      </c>
      <c r="D1740">
        <f t="shared" si="30"/>
        <v>3.1571073666018581</v>
      </c>
      <c r="E1740">
        <v>7.6318889907056597E-3</v>
      </c>
    </row>
    <row r="1741" spans="2:5" x14ac:dyDescent="0.35">
      <c r="B1741" s="2">
        <v>41639</v>
      </c>
      <c r="C1741" s="4">
        <v>185.16</v>
      </c>
      <c r="D1741">
        <f t="shared" si="30"/>
        <v>-0.95061807416890032</v>
      </c>
      <c r="E1741">
        <v>7.6186329995646673E-3</v>
      </c>
    </row>
    <row r="1742" spans="2:5" x14ac:dyDescent="0.35">
      <c r="B1742" s="2">
        <v>44372</v>
      </c>
      <c r="C1742" s="4">
        <v>3749.55</v>
      </c>
      <c r="D1742">
        <f t="shared" si="30"/>
        <v>2.9039919203698306</v>
      </c>
      <c r="E1742">
        <v>7.618510158013736E-3</v>
      </c>
    </row>
    <row r="1743" spans="2:5" x14ac:dyDescent="0.35">
      <c r="B1743" s="2">
        <v>43465</v>
      </c>
      <c r="C1743" s="4">
        <v>960.44</v>
      </c>
      <c r="D1743">
        <f t="shared" si="30"/>
        <v>0.35143805932346495</v>
      </c>
      <c r="E1743">
        <v>7.5954678976080103E-3</v>
      </c>
    </row>
    <row r="1744" spans="2:5" x14ac:dyDescent="0.35">
      <c r="B1744" s="2">
        <v>42844</v>
      </c>
      <c r="C1744" s="4">
        <v>710.68</v>
      </c>
      <c r="D1744">
        <f t="shared" si="30"/>
        <v>5.2073543540920602</v>
      </c>
      <c r="E1744">
        <v>7.57081691099315E-3</v>
      </c>
    </row>
    <row r="1745" spans="2:5" x14ac:dyDescent="0.35">
      <c r="B1745" s="2">
        <v>40247</v>
      </c>
      <c r="C1745" s="4">
        <v>114.49</v>
      </c>
      <c r="D1745">
        <f t="shared" si="30"/>
        <v>0.28021916582802175</v>
      </c>
      <c r="E1745">
        <v>7.5684238317346164E-3</v>
      </c>
    </row>
    <row r="1746" spans="2:5" x14ac:dyDescent="0.35">
      <c r="B1746" s="2">
        <v>39415</v>
      </c>
      <c r="C1746" s="4">
        <v>89.43</v>
      </c>
      <c r="D1746">
        <f t="shared" si="30"/>
        <v>0.36326219512195146</v>
      </c>
      <c r="E1746">
        <v>7.5484452456060502E-3</v>
      </c>
    </row>
    <row r="1747" spans="2:5" x14ac:dyDescent="0.35">
      <c r="B1747" s="2">
        <v>38804</v>
      </c>
      <c r="C1747" s="4">
        <v>65.599999999999994</v>
      </c>
      <c r="D1747">
        <f t="shared" si="30"/>
        <v>-0.92633269323630807</v>
      </c>
      <c r="E1747">
        <v>7.5257256949776696E-3</v>
      </c>
    </row>
    <row r="1748" spans="2:5" x14ac:dyDescent="0.35">
      <c r="B1748" s="2">
        <v>44018</v>
      </c>
      <c r="C1748" s="4">
        <v>890.49</v>
      </c>
      <c r="D1748">
        <f t="shared" si="30"/>
        <v>-0.87084239839874689</v>
      </c>
      <c r="E1748">
        <v>7.5239862418536863E-3</v>
      </c>
    </row>
    <row r="1749" spans="2:5" x14ac:dyDescent="0.35">
      <c r="B1749" s="2">
        <v>44883</v>
      </c>
      <c r="C1749" s="4">
        <v>6894.6</v>
      </c>
      <c r="D1749">
        <f t="shared" si="30"/>
        <v>6.3388968130628234</v>
      </c>
      <c r="E1749">
        <v>7.5111059153614157E-3</v>
      </c>
    </row>
    <row r="1750" spans="2:5" x14ac:dyDescent="0.35">
      <c r="B1750" s="2">
        <v>43105</v>
      </c>
      <c r="C1750" s="4">
        <v>939.46</v>
      </c>
      <c r="D1750">
        <f t="shared" si="30"/>
        <v>8.9963822089806342</v>
      </c>
      <c r="E1750">
        <v>7.5070244300023958E-3</v>
      </c>
    </row>
    <row r="1751" spans="2:5" x14ac:dyDescent="0.35">
      <c r="B1751" s="2">
        <v>40165</v>
      </c>
      <c r="C1751" s="4">
        <v>93.98</v>
      </c>
      <c r="D1751">
        <f t="shared" si="30"/>
        <v>1.9086969978334878</v>
      </c>
      <c r="E1751">
        <v>7.5042881646656401E-3</v>
      </c>
    </row>
    <row r="1752" spans="2:5" x14ac:dyDescent="0.35">
      <c r="B1752" s="2">
        <v>38155</v>
      </c>
      <c r="C1752" s="4">
        <v>32.31</v>
      </c>
      <c r="D1752">
        <f t="shared" si="30"/>
        <v>-0.95052900736476242</v>
      </c>
      <c r="E1752">
        <v>7.4836295603368796E-3</v>
      </c>
    </row>
    <row r="1753" spans="2:5" x14ac:dyDescent="0.35">
      <c r="B1753" s="2">
        <v>42647</v>
      </c>
      <c r="C1753" s="4">
        <v>653.11</v>
      </c>
      <c r="D1753">
        <f t="shared" si="30"/>
        <v>8.303561253561254</v>
      </c>
      <c r="E1753">
        <v>7.4660249587363836E-3</v>
      </c>
    </row>
    <row r="1754" spans="2:5" x14ac:dyDescent="0.35">
      <c r="B1754" s="2">
        <v>39647</v>
      </c>
      <c r="C1754" s="4">
        <v>70.2</v>
      </c>
      <c r="D1754">
        <f t="shared" si="30"/>
        <v>0.3325740318906607</v>
      </c>
      <c r="E1754">
        <v>7.4626865671640896E-3</v>
      </c>
    </row>
    <row r="1755" spans="2:5" x14ac:dyDescent="0.35">
      <c r="B1755" s="2">
        <v>40010</v>
      </c>
      <c r="C1755" s="4">
        <v>52.68</v>
      </c>
      <c r="D1755">
        <f t="shared" si="30"/>
        <v>-0.81072147168726649</v>
      </c>
      <c r="E1755">
        <v>7.4584050487664921E-3</v>
      </c>
    </row>
    <row r="1756" spans="2:5" x14ac:dyDescent="0.35">
      <c r="B1756" s="2">
        <v>41940</v>
      </c>
      <c r="C1756" s="4">
        <v>278.32</v>
      </c>
      <c r="D1756">
        <f t="shared" si="30"/>
        <v>2.2697368421052628</v>
      </c>
      <c r="E1756">
        <v>7.456743647288766E-3</v>
      </c>
    </row>
    <row r="1757" spans="2:5" x14ac:dyDescent="0.35">
      <c r="B1757" s="2">
        <v>41401</v>
      </c>
      <c r="C1757" s="4">
        <v>85.12</v>
      </c>
      <c r="D1757">
        <f t="shared" si="30"/>
        <v>-0.17278911564625854</v>
      </c>
      <c r="E1757">
        <v>7.4565037282519064E-3</v>
      </c>
    </row>
    <row r="1758" spans="2:5" x14ac:dyDescent="0.35">
      <c r="B1758" s="2">
        <v>40737</v>
      </c>
      <c r="C1758" s="4">
        <v>102.9</v>
      </c>
      <c r="D1758">
        <f t="shared" si="30"/>
        <v>0.85105234754452241</v>
      </c>
      <c r="E1758">
        <v>7.4407675739180945E-3</v>
      </c>
    </row>
    <row r="1759" spans="2:5" x14ac:dyDescent="0.35">
      <c r="B1759" s="2">
        <v>40025</v>
      </c>
      <c r="C1759" s="4">
        <v>55.59</v>
      </c>
      <c r="D1759">
        <f t="shared" si="30"/>
        <v>-4.6810699588477278E-2</v>
      </c>
      <c r="E1759">
        <v>7.4302283436027405E-3</v>
      </c>
    </row>
    <row r="1760" spans="2:5" x14ac:dyDescent="0.35">
      <c r="B1760" s="2">
        <v>39966</v>
      </c>
      <c r="C1760" s="4">
        <v>58.32</v>
      </c>
      <c r="D1760">
        <f t="shared" si="30"/>
        <v>-0.31940716536351965</v>
      </c>
      <c r="E1760">
        <v>7.4278804629470674E-3</v>
      </c>
    </row>
    <row r="1761" spans="2:5" x14ac:dyDescent="0.35">
      <c r="B1761" s="2">
        <v>40833</v>
      </c>
      <c r="C1761" s="4">
        <v>85.69</v>
      </c>
      <c r="D1761">
        <f t="shared" si="30"/>
        <v>4.9736616440034354E-2</v>
      </c>
      <c r="E1761">
        <v>7.4065365624265134E-3</v>
      </c>
    </row>
    <row r="1762" spans="2:5" x14ac:dyDescent="0.35">
      <c r="B1762" s="2">
        <v>41423</v>
      </c>
      <c r="C1762" s="4">
        <v>81.63</v>
      </c>
      <c r="D1762">
        <f t="shared" si="30"/>
        <v>-0.18921334922526822</v>
      </c>
      <c r="E1762">
        <v>7.4046649389114538E-3</v>
      </c>
    </row>
    <row r="1763" spans="2:5" x14ac:dyDescent="0.35">
      <c r="B1763" s="2">
        <v>40178</v>
      </c>
      <c r="C1763" s="4">
        <v>100.68</v>
      </c>
      <c r="D1763">
        <f t="shared" si="30"/>
        <v>-0.87402560028027676</v>
      </c>
      <c r="E1763">
        <v>7.4044426655994755E-3</v>
      </c>
    </row>
    <row r="1764" spans="2:5" x14ac:dyDescent="0.35">
      <c r="B1764" s="2">
        <v>43986</v>
      </c>
      <c r="C1764" s="4">
        <v>799.21</v>
      </c>
      <c r="D1764">
        <f t="shared" si="30"/>
        <v>23.410812461820402</v>
      </c>
      <c r="E1764">
        <v>7.3990974865758563E-3</v>
      </c>
    </row>
    <row r="1765" spans="2:5" x14ac:dyDescent="0.35">
      <c r="B1765" s="2">
        <v>38159</v>
      </c>
      <c r="C1765" s="4">
        <v>32.74</v>
      </c>
      <c r="D1765">
        <f t="shared" si="30"/>
        <v>-0.46738246299007646</v>
      </c>
      <c r="E1765">
        <v>7.3846153846155449E-3</v>
      </c>
    </row>
    <row r="1766" spans="2:5" x14ac:dyDescent="0.35">
      <c r="B1766" s="2">
        <v>38929</v>
      </c>
      <c r="C1766" s="4">
        <v>61.47</v>
      </c>
      <c r="D1766">
        <f t="shared" si="30"/>
        <v>1.0428713858424725</v>
      </c>
      <c r="E1766">
        <v>7.3746312684364046E-3</v>
      </c>
    </row>
    <row r="1767" spans="2:5" x14ac:dyDescent="0.35">
      <c r="B1767" s="2">
        <v>37524</v>
      </c>
      <c r="C1767" s="4">
        <v>30.09</v>
      </c>
      <c r="D1767">
        <f t="shared" si="30"/>
        <v>-0.99517962273218796</v>
      </c>
      <c r="E1767">
        <v>7.3652494141278613E-3</v>
      </c>
    </row>
    <row r="1768" spans="2:5" x14ac:dyDescent="0.35">
      <c r="B1768" s="2">
        <v>44939</v>
      </c>
      <c r="C1768" s="4">
        <v>6242.25</v>
      </c>
      <c r="D1768">
        <f t="shared" si="30"/>
        <v>6.0294024909348893</v>
      </c>
      <c r="E1768">
        <v>7.3588148435042022E-3</v>
      </c>
    </row>
    <row r="1769" spans="2:5" x14ac:dyDescent="0.35">
      <c r="B1769" s="2">
        <v>44027</v>
      </c>
      <c r="C1769" s="4">
        <v>888.02</v>
      </c>
      <c r="D1769">
        <f t="shared" si="30"/>
        <v>0.32702710780358046</v>
      </c>
      <c r="E1769">
        <v>7.3507725117407663E-3</v>
      </c>
    </row>
    <row r="1770" spans="2:5" x14ac:dyDescent="0.35">
      <c r="B1770" s="2">
        <v>42810</v>
      </c>
      <c r="C1770" s="4">
        <v>669.18</v>
      </c>
      <c r="D1770">
        <f t="shared" si="30"/>
        <v>-0.76470298665954051</v>
      </c>
      <c r="E1770">
        <v>7.3460785789551952E-3</v>
      </c>
    </row>
    <row r="1771" spans="2:5" x14ac:dyDescent="0.35">
      <c r="B1771" s="2">
        <v>44292</v>
      </c>
      <c r="C1771" s="4">
        <v>2843.98</v>
      </c>
      <c r="D1771">
        <f t="shared" si="30"/>
        <v>25.81229376826624</v>
      </c>
      <c r="E1771">
        <v>7.3354656125699247E-3</v>
      </c>
    </row>
    <row r="1772" spans="2:5" x14ac:dyDescent="0.35">
      <c r="B1772" s="2">
        <v>39350</v>
      </c>
      <c r="C1772" s="4">
        <v>106.07</v>
      </c>
      <c r="D1772">
        <f t="shared" si="30"/>
        <v>-5.1082483449633287E-2</v>
      </c>
      <c r="E1772">
        <v>7.3124406457738544E-3</v>
      </c>
    </row>
    <row r="1773" spans="2:5" x14ac:dyDescent="0.35">
      <c r="B1773" s="2">
        <v>40365</v>
      </c>
      <c r="C1773" s="4">
        <v>111.78</v>
      </c>
      <c r="D1773">
        <f t="shared" si="30"/>
        <v>2.3729631864815932</v>
      </c>
      <c r="E1773">
        <v>7.2992700729928028E-3</v>
      </c>
    </row>
    <row r="1774" spans="2:5" x14ac:dyDescent="0.35">
      <c r="B1774" s="2">
        <v>39780</v>
      </c>
      <c r="C1774" s="4">
        <v>33.14</v>
      </c>
      <c r="D1774">
        <f t="shared" si="30"/>
        <v>8.8699080157687238E-2</v>
      </c>
      <c r="E1774">
        <v>7.2948328267476992E-3</v>
      </c>
    </row>
    <row r="1775" spans="2:5" x14ac:dyDescent="0.35">
      <c r="B1775" s="2">
        <v>38028</v>
      </c>
      <c r="C1775" s="4">
        <v>30.44</v>
      </c>
      <c r="D1775">
        <f t="shared" si="30"/>
        <v>-0.96662353895747899</v>
      </c>
      <c r="E1775">
        <v>7.2799470549305134E-3</v>
      </c>
    </row>
    <row r="1776" spans="2:5" x14ac:dyDescent="0.35">
      <c r="B1776" s="2">
        <v>43479</v>
      </c>
      <c r="C1776" s="4">
        <v>912.02</v>
      </c>
      <c r="D1776">
        <f t="shared" si="30"/>
        <v>6.9257843052055277</v>
      </c>
      <c r="E1776">
        <v>7.2783097533768437E-3</v>
      </c>
    </row>
    <row r="1777" spans="2:5" x14ac:dyDescent="0.35">
      <c r="B1777" s="2">
        <v>39220</v>
      </c>
      <c r="C1777" s="4">
        <v>115.07</v>
      </c>
      <c r="D1777">
        <f t="shared" si="30"/>
        <v>2.4524452445244522</v>
      </c>
      <c r="E1777">
        <v>7.2654061624650712E-3</v>
      </c>
    </row>
    <row r="1778" spans="2:5" x14ac:dyDescent="0.35">
      <c r="B1778" s="2">
        <v>39832</v>
      </c>
      <c r="C1778" s="4">
        <v>33.33</v>
      </c>
      <c r="D1778">
        <f t="shared" si="30"/>
        <v>-0.47856695869837296</v>
      </c>
      <c r="E1778">
        <v>7.2529465095192425E-3</v>
      </c>
    </row>
    <row r="1779" spans="2:5" x14ac:dyDescent="0.35">
      <c r="B1779" s="2">
        <v>38447</v>
      </c>
      <c r="C1779" s="4">
        <v>63.92</v>
      </c>
      <c r="D1779">
        <f t="shared" si="30"/>
        <v>-0.91868201768335345</v>
      </c>
      <c r="E1779">
        <v>7.2486605735897491E-3</v>
      </c>
    </row>
    <row r="1780" spans="2:5" x14ac:dyDescent="0.35">
      <c r="B1780" s="2">
        <v>42390</v>
      </c>
      <c r="C1780" s="4">
        <v>786.05</v>
      </c>
      <c r="D1780">
        <f t="shared" si="30"/>
        <v>2.1732671268822412</v>
      </c>
      <c r="E1780">
        <v>7.2398769861610202E-3</v>
      </c>
    </row>
    <row r="1781" spans="2:5" x14ac:dyDescent="0.35">
      <c r="B1781" s="2">
        <v>41796</v>
      </c>
      <c r="C1781" s="4">
        <v>247.71</v>
      </c>
      <c r="D1781">
        <f t="shared" si="30"/>
        <v>0.53068034357041327</v>
      </c>
      <c r="E1781">
        <v>7.2378319033872263E-3</v>
      </c>
    </row>
    <row r="1782" spans="2:5" x14ac:dyDescent="0.35">
      <c r="B1782" s="2">
        <v>41631</v>
      </c>
      <c r="C1782" s="4">
        <v>161.83000000000001</v>
      </c>
      <c r="D1782">
        <f t="shared" si="30"/>
        <v>0.27324940991345414</v>
      </c>
      <c r="E1782">
        <v>7.2197672247464872E-3</v>
      </c>
    </row>
    <row r="1783" spans="2:5" x14ac:dyDescent="0.35">
      <c r="B1783" s="2">
        <v>40280</v>
      </c>
      <c r="C1783" s="4">
        <v>127.1</v>
      </c>
      <c r="D1783">
        <f t="shared" si="30"/>
        <v>-0.84311159937294011</v>
      </c>
      <c r="E1783">
        <v>7.2113479673507896E-3</v>
      </c>
    </row>
    <row r="1784" spans="2:5" x14ac:dyDescent="0.35">
      <c r="B1784" s="2">
        <v>43637</v>
      </c>
      <c r="C1784" s="4">
        <v>810.13</v>
      </c>
      <c r="D1784">
        <f t="shared" si="30"/>
        <v>35.18267083519428</v>
      </c>
      <c r="E1784">
        <v>7.1984484173359675E-3</v>
      </c>
    </row>
    <row r="1785" spans="2:5" x14ac:dyDescent="0.35">
      <c r="B1785" s="2">
        <v>37777</v>
      </c>
      <c r="C1785" s="4">
        <v>22.39</v>
      </c>
      <c r="D1785">
        <f t="shared" si="30"/>
        <v>-0.74228821362799269</v>
      </c>
      <c r="E1785">
        <v>7.1974808816914759E-3</v>
      </c>
    </row>
    <row r="1786" spans="2:5" x14ac:dyDescent="0.35">
      <c r="B1786" s="2">
        <v>41467</v>
      </c>
      <c r="C1786" s="4">
        <v>86.88</v>
      </c>
      <c r="D1786">
        <f t="shared" si="30"/>
        <v>1.6140350877192899E-2</v>
      </c>
      <c r="E1786">
        <v>7.1875724553673859E-3</v>
      </c>
    </row>
    <row r="1787" spans="2:5" x14ac:dyDescent="0.35">
      <c r="B1787" s="2">
        <v>41026</v>
      </c>
      <c r="C1787" s="4">
        <v>85.5</v>
      </c>
      <c r="D1787">
        <f t="shared" si="30"/>
        <v>-0.98611787627861669</v>
      </c>
      <c r="E1787">
        <v>7.1857698197668185E-3</v>
      </c>
    </row>
    <row r="1788" spans="2:5" x14ac:dyDescent="0.35">
      <c r="B1788" s="2">
        <v>45002</v>
      </c>
      <c r="C1788" s="4">
        <v>6159</v>
      </c>
      <c r="D1788">
        <f t="shared" si="30"/>
        <v>33.804475587703436</v>
      </c>
      <c r="E1788">
        <v>7.1789504668771098E-3</v>
      </c>
    </row>
    <row r="1789" spans="2:5" x14ac:dyDescent="0.35">
      <c r="B1789" s="2">
        <v>41681</v>
      </c>
      <c r="C1789" s="4">
        <v>176.96</v>
      </c>
      <c r="D1789">
        <f t="shared" si="30"/>
        <v>-0.72525578723470319</v>
      </c>
      <c r="E1789">
        <v>7.171314741035939E-3</v>
      </c>
    </row>
    <row r="1790" spans="2:5" x14ac:dyDescent="0.35">
      <c r="B1790" s="2">
        <v>42643</v>
      </c>
      <c r="C1790" s="4">
        <v>644.09</v>
      </c>
      <c r="D1790">
        <f t="shared" si="30"/>
        <v>-0.10072183516468169</v>
      </c>
      <c r="E1790">
        <v>7.1617332019828783E-3</v>
      </c>
    </row>
    <row r="1791" spans="2:5" x14ac:dyDescent="0.35">
      <c r="B1791" s="2">
        <v>42900</v>
      </c>
      <c r="C1791" s="4">
        <v>716.23</v>
      </c>
      <c r="D1791">
        <f t="shared" si="30"/>
        <v>8.594507702612189</v>
      </c>
      <c r="E1791">
        <v>7.1575217256798496E-3</v>
      </c>
    </row>
    <row r="1792" spans="2:5" x14ac:dyDescent="0.35">
      <c r="B1792" s="2">
        <v>39637</v>
      </c>
      <c r="C1792" s="4">
        <v>74.650000000000006</v>
      </c>
      <c r="D1792">
        <f t="shared" si="30"/>
        <v>0.39064828614008951</v>
      </c>
      <c r="E1792">
        <v>7.1505666486777475E-3</v>
      </c>
    </row>
    <row r="1793" spans="2:5" x14ac:dyDescent="0.35">
      <c r="B1793" s="2">
        <v>38380</v>
      </c>
      <c r="C1793" s="4">
        <v>53.68</v>
      </c>
      <c r="D1793">
        <f t="shared" si="30"/>
        <v>-0.80927340557825544</v>
      </c>
      <c r="E1793">
        <v>7.1294559099437382E-3</v>
      </c>
    </row>
    <row r="1794" spans="2:5" x14ac:dyDescent="0.35">
      <c r="B1794" s="2">
        <v>41921</v>
      </c>
      <c r="C1794" s="4">
        <v>281.45</v>
      </c>
      <c r="D1794">
        <f t="shared" si="30"/>
        <v>3.6245481432796582</v>
      </c>
      <c r="E1794">
        <v>7.1208759750949202E-3</v>
      </c>
    </row>
    <row r="1795" spans="2:5" x14ac:dyDescent="0.35">
      <c r="B1795" s="2">
        <v>39687</v>
      </c>
      <c r="C1795" s="4">
        <v>60.86</v>
      </c>
      <c r="D1795">
        <f t="shared" si="30"/>
        <v>-0.9173625538039567</v>
      </c>
      <c r="E1795">
        <v>7.1156710243256427E-3</v>
      </c>
    </row>
    <row r="1796" spans="2:5" x14ac:dyDescent="0.35">
      <c r="B1796" s="2">
        <v>42850</v>
      </c>
      <c r="C1796" s="4">
        <v>736.47</v>
      </c>
      <c r="D1796">
        <f t="shared" ref="D1796:D1859" si="31">C1796/C1797-1</f>
        <v>7.772721858248957</v>
      </c>
      <c r="E1796">
        <v>7.0833732171915464E-3</v>
      </c>
    </row>
    <row r="1797" spans="2:5" x14ac:dyDescent="0.35">
      <c r="B1797" s="2">
        <v>40988</v>
      </c>
      <c r="C1797" s="4">
        <v>83.95</v>
      </c>
      <c r="D1797">
        <f t="shared" si="31"/>
        <v>-0.97660517222160292</v>
      </c>
      <c r="E1797">
        <v>7.0777351247601761E-3</v>
      </c>
    </row>
    <row r="1798" spans="2:5" x14ac:dyDescent="0.35">
      <c r="B1798" s="2">
        <v>44344</v>
      </c>
      <c r="C1798" s="4">
        <v>3588.4</v>
      </c>
      <c r="D1798">
        <f t="shared" si="31"/>
        <v>3.6167305663484548</v>
      </c>
      <c r="E1798">
        <v>7.0751208888664152E-3</v>
      </c>
    </row>
    <row r="1799" spans="2:5" x14ac:dyDescent="0.35">
      <c r="B1799" s="2">
        <v>42429</v>
      </c>
      <c r="C1799" s="4">
        <v>777.26</v>
      </c>
      <c r="D1799">
        <f t="shared" si="31"/>
        <v>-8.4704247577102931E-2</v>
      </c>
      <c r="E1799">
        <v>7.0743715988599298E-3</v>
      </c>
    </row>
    <row r="1800" spans="2:5" x14ac:dyDescent="0.35">
      <c r="B1800" s="2">
        <v>42304</v>
      </c>
      <c r="C1800" s="4">
        <v>849.19</v>
      </c>
      <c r="D1800">
        <f t="shared" si="31"/>
        <v>-0.85555438376855775</v>
      </c>
      <c r="E1800">
        <v>7.0680597227328334E-3</v>
      </c>
    </row>
    <row r="1801" spans="2:5" x14ac:dyDescent="0.35">
      <c r="B1801" s="2">
        <v>44546</v>
      </c>
      <c r="C1801" s="4">
        <v>5878.96</v>
      </c>
      <c r="D1801">
        <f t="shared" si="31"/>
        <v>66.512172714745063</v>
      </c>
      <c r="E1801">
        <v>7.0644018555188204E-3</v>
      </c>
    </row>
    <row r="1802" spans="2:5" x14ac:dyDescent="0.35">
      <c r="B1802" s="2">
        <v>41050</v>
      </c>
      <c r="C1802" s="4">
        <v>87.08</v>
      </c>
      <c r="D1802">
        <f t="shared" si="31"/>
        <v>-0.8622369878183832</v>
      </c>
      <c r="E1802">
        <v>7.0544697582977101E-3</v>
      </c>
    </row>
    <row r="1803" spans="2:5" x14ac:dyDescent="0.35">
      <c r="B1803" s="2">
        <v>43753</v>
      </c>
      <c r="C1803" s="4">
        <v>632.1</v>
      </c>
      <c r="D1803">
        <f t="shared" si="31"/>
        <v>-0.66010098565874586</v>
      </c>
      <c r="E1803">
        <v>7.0418047412694751E-3</v>
      </c>
    </row>
    <row r="1804" spans="2:5" x14ac:dyDescent="0.35">
      <c r="B1804" s="2">
        <v>44200</v>
      </c>
      <c r="C1804" s="4">
        <v>1859.67</v>
      </c>
      <c r="D1804">
        <f t="shared" si="31"/>
        <v>1.9384243458475541</v>
      </c>
      <c r="E1804">
        <v>7.0396984842988619E-3</v>
      </c>
    </row>
    <row r="1805" spans="2:5" x14ac:dyDescent="0.35">
      <c r="B1805" s="2">
        <v>43704</v>
      </c>
      <c r="C1805" s="4">
        <v>632.88</v>
      </c>
      <c r="D1805">
        <f t="shared" si="31"/>
        <v>5.5938737236924352</v>
      </c>
      <c r="E1805">
        <v>7.0330649524232847E-3</v>
      </c>
    </row>
    <row r="1806" spans="2:5" x14ac:dyDescent="0.35">
      <c r="B1806" s="2">
        <v>41305</v>
      </c>
      <c r="C1806" s="4">
        <v>95.98</v>
      </c>
      <c r="D1806">
        <f t="shared" si="31"/>
        <v>-0.65107063656523789</v>
      </c>
      <c r="E1806">
        <v>7.0296925821005107E-3</v>
      </c>
    </row>
    <row r="1807" spans="2:5" x14ac:dyDescent="0.35">
      <c r="B1807" s="2">
        <v>41961</v>
      </c>
      <c r="C1807" s="4">
        <v>275.07</v>
      </c>
      <c r="D1807">
        <f t="shared" si="31"/>
        <v>-0.68375125030179695</v>
      </c>
      <c r="E1807">
        <v>7.0291048874244755E-3</v>
      </c>
    </row>
    <row r="1808" spans="2:5" x14ac:dyDescent="0.35">
      <c r="B1808" s="2">
        <v>43087</v>
      </c>
      <c r="C1808" s="4">
        <v>869.79</v>
      </c>
      <c r="D1808">
        <f t="shared" si="31"/>
        <v>13.071994822844198</v>
      </c>
      <c r="E1808">
        <v>7.02774047144894E-3</v>
      </c>
    </row>
    <row r="1809" spans="2:5" x14ac:dyDescent="0.35">
      <c r="B1809" s="2">
        <v>39699</v>
      </c>
      <c r="C1809" s="4">
        <v>61.81</v>
      </c>
      <c r="D1809">
        <f t="shared" si="31"/>
        <v>-0.92175949367088605</v>
      </c>
      <c r="E1809">
        <v>7.0055392636036995E-3</v>
      </c>
    </row>
    <row r="1810" spans="2:5" x14ac:dyDescent="0.35">
      <c r="B1810" s="2">
        <v>42926</v>
      </c>
      <c r="C1810" s="4">
        <v>790</v>
      </c>
      <c r="D1810">
        <f t="shared" si="31"/>
        <v>0.19894978069842617</v>
      </c>
      <c r="E1810">
        <v>6.9979987508126396E-3</v>
      </c>
    </row>
    <row r="1811" spans="2:5" x14ac:dyDescent="0.35">
      <c r="B1811" s="2">
        <v>42724</v>
      </c>
      <c r="C1811" s="4">
        <v>658.91</v>
      </c>
      <c r="D1811">
        <f t="shared" si="31"/>
        <v>6.5641143381930886</v>
      </c>
      <c r="E1811">
        <v>6.953359007274118E-3</v>
      </c>
    </row>
    <row r="1812" spans="2:5" x14ac:dyDescent="0.35">
      <c r="B1812" s="2">
        <v>41565</v>
      </c>
      <c r="C1812" s="4">
        <v>87.11</v>
      </c>
      <c r="D1812">
        <f t="shared" si="31"/>
        <v>-0.84005948883666282</v>
      </c>
      <c r="E1812">
        <v>6.9356143798404712E-3</v>
      </c>
    </row>
    <row r="1813" spans="2:5" x14ac:dyDescent="0.35">
      <c r="B1813" s="2">
        <v>42195</v>
      </c>
      <c r="C1813" s="4">
        <v>544.64</v>
      </c>
      <c r="D1813">
        <f t="shared" si="31"/>
        <v>-7.937795807978365E-2</v>
      </c>
      <c r="E1813">
        <v>6.9144019227214137E-3</v>
      </c>
    </row>
    <row r="1814" spans="2:5" x14ac:dyDescent="0.35">
      <c r="B1814" s="2">
        <v>42200</v>
      </c>
      <c r="C1814" s="4">
        <v>591.6</v>
      </c>
      <c r="D1814">
        <f t="shared" si="31"/>
        <v>-0.22542126556424047</v>
      </c>
      <c r="E1814">
        <v>6.9101678183614013E-3</v>
      </c>
    </row>
    <row r="1815" spans="2:5" x14ac:dyDescent="0.35">
      <c r="B1815" s="2">
        <v>42580</v>
      </c>
      <c r="C1815" s="4">
        <v>763.77</v>
      </c>
      <c r="D1815">
        <f t="shared" si="31"/>
        <v>26.483627204030228</v>
      </c>
      <c r="E1815">
        <v>6.8948242676720728E-3</v>
      </c>
    </row>
    <row r="1816" spans="2:5" x14ac:dyDescent="0.35">
      <c r="B1816" s="2">
        <v>37881</v>
      </c>
      <c r="C1816" s="4">
        <v>27.79</v>
      </c>
      <c r="D1816">
        <f t="shared" si="31"/>
        <v>0.11115553778488585</v>
      </c>
      <c r="E1816">
        <v>6.8840579710143235E-3</v>
      </c>
    </row>
    <row r="1817" spans="2:5" x14ac:dyDescent="0.35">
      <c r="B1817" s="2">
        <v>37658</v>
      </c>
      <c r="C1817" s="4">
        <v>25.01</v>
      </c>
      <c r="D1817">
        <f t="shared" si="31"/>
        <v>-0.99672165099805476</v>
      </c>
      <c r="E1817">
        <v>6.843800322061222E-3</v>
      </c>
    </row>
    <row r="1818" spans="2:5" x14ac:dyDescent="0.35">
      <c r="B1818" s="2">
        <v>44601</v>
      </c>
      <c r="C1818" s="4">
        <v>7628.84</v>
      </c>
      <c r="D1818">
        <f t="shared" si="31"/>
        <v>9.1143372311934883</v>
      </c>
      <c r="E1818">
        <v>6.8404291402546225E-3</v>
      </c>
    </row>
    <row r="1819" spans="2:5" x14ac:dyDescent="0.35">
      <c r="B1819" s="2">
        <v>43962</v>
      </c>
      <c r="C1819" s="4">
        <v>754.26</v>
      </c>
      <c r="D1819">
        <f t="shared" si="31"/>
        <v>-0.89426241918209193</v>
      </c>
      <c r="E1819">
        <v>6.8076245394843582E-3</v>
      </c>
    </row>
    <row r="1820" spans="2:5" x14ac:dyDescent="0.35">
      <c r="B1820" s="2">
        <v>44634</v>
      </c>
      <c r="C1820" s="4">
        <v>7133.32</v>
      </c>
      <c r="D1820">
        <f t="shared" si="31"/>
        <v>10.098297912063975</v>
      </c>
      <c r="E1820">
        <v>6.8044109406910636E-3</v>
      </c>
    </row>
    <row r="1821" spans="2:5" x14ac:dyDescent="0.35">
      <c r="B1821" s="2">
        <v>42712</v>
      </c>
      <c r="C1821" s="4">
        <v>642.74</v>
      </c>
      <c r="D1821">
        <f t="shared" si="31"/>
        <v>23.108777194298575</v>
      </c>
      <c r="E1821">
        <v>6.7982456140351921E-3</v>
      </c>
    </row>
    <row r="1822" spans="2:5" x14ac:dyDescent="0.35">
      <c r="B1822" s="2">
        <v>37818</v>
      </c>
      <c r="C1822" s="4">
        <v>26.66</v>
      </c>
      <c r="D1822">
        <f t="shared" si="31"/>
        <v>-0.18270999386879205</v>
      </c>
      <c r="E1822">
        <v>6.7975830815709681E-3</v>
      </c>
    </row>
    <row r="1823" spans="2:5" x14ac:dyDescent="0.35">
      <c r="B1823" s="2">
        <v>39843</v>
      </c>
      <c r="C1823" s="4">
        <v>32.619999999999997</v>
      </c>
      <c r="D1823">
        <f t="shared" si="31"/>
        <v>-0.97554154263734449</v>
      </c>
      <c r="E1823">
        <v>6.790123456790198E-3</v>
      </c>
    </row>
    <row r="1824" spans="2:5" x14ac:dyDescent="0.35">
      <c r="B1824" s="2">
        <v>43315</v>
      </c>
      <c r="C1824" s="4">
        <v>1333.69</v>
      </c>
      <c r="D1824">
        <f t="shared" si="31"/>
        <v>6.2650391216356294E-2</v>
      </c>
      <c r="E1824">
        <v>6.7864422133312452E-3</v>
      </c>
    </row>
    <row r="1825" spans="2:5" x14ac:dyDescent="0.35">
      <c r="B1825" s="2">
        <v>43283</v>
      </c>
      <c r="C1825" s="4">
        <v>1255.06</v>
      </c>
      <c r="D1825">
        <f t="shared" si="31"/>
        <v>0.62156644874544553</v>
      </c>
      <c r="E1825">
        <v>6.778382974627295E-3</v>
      </c>
    </row>
    <row r="1826" spans="2:5" x14ac:dyDescent="0.35">
      <c r="B1826" s="2">
        <v>42977</v>
      </c>
      <c r="C1826" s="4">
        <v>773.98</v>
      </c>
      <c r="D1826">
        <f t="shared" si="31"/>
        <v>-0.2023867184682131</v>
      </c>
      <c r="E1826">
        <v>6.7639636827181437E-3</v>
      </c>
    </row>
    <row r="1827" spans="2:5" x14ac:dyDescent="0.35">
      <c r="B1827" s="2">
        <v>43437</v>
      </c>
      <c r="C1827" s="4">
        <v>970.37</v>
      </c>
      <c r="D1827">
        <f t="shared" si="31"/>
        <v>0.86897149460708767</v>
      </c>
      <c r="E1827">
        <v>6.7332033033158378E-3</v>
      </c>
    </row>
    <row r="1828" spans="2:5" x14ac:dyDescent="0.35">
      <c r="B1828" s="2">
        <v>42142</v>
      </c>
      <c r="C1828" s="4">
        <v>519.20000000000005</v>
      </c>
      <c r="D1828">
        <f t="shared" si="31"/>
        <v>14.766778013969027</v>
      </c>
      <c r="E1828">
        <v>6.7283268376865379E-3</v>
      </c>
    </row>
    <row r="1829" spans="2:5" x14ac:dyDescent="0.35">
      <c r="B1829" s="2">
        <v>38035</v>
      </c>
      <c r="C1829" s="4">
        <v>32.93</v>
      </c>
      <c r="D1829">
        <f t="shared" si="31"/>
        <v>-0.95905960166098914</v>
      </c>
      <c r="E1829">
        <v>6.7257719351880851E-3</v>
      </c>
    </row>
    <row r="1830" spans="2:5" x14ac:dyDescent="0.35">
      <c r="B1830" s="2">
        <v>43636</v>
      </c>
      <c r="C1830" s="4">
        <v>804.34</v>
      </c>
      <c r="D1830">
        <f t="shared" si="31"/>
        <v>-4.9782629241092557E-2</v>
      </c>
      <c r="E1830">
        <v>6.7211534851121524E-3</v>
      </c>
    </row>
    <row r="1831" spans="2:5" x14ac:dyDescent="0.35">
      <c r="B1831" s="2">
        <v>43052</v>
      </c>
      <c r="C1831" s="4">
        <v>846.48</v>
      </c>
      <c r="D1831">
        <f t="shared" si="31"/>
        <v>7.0288342976382427</v>
      </c>
      <c r="E1831">
        <v>6.7195509199242665E-3</v>
      </c>
    </row>
    <row r="1832" spans="2:5" x14ac:dyDescent="0.35">
      <c r="B1832" s="2">
        <v>40389</v>
      </c>
      <c r="C1832" s="4">
        <v>105.43</v>
      </c>
      <c r="D1832">
        <f t="shared" si="31"/>
        <v>3.3620190318576748</v>
      </c>
      <c r="E1832">
        <v>6.6838537190871961E-3</v>
      </c>
    </row>
    <row r="1833" spans="2:5" x14ac:dyDescent="0.35">
      <c r="B1833" s="2">
        <v>37670</v>
      </c>
      <c r="C1833" s="4">
        <v>24.17</v>
      </c>
      <c r="D1833">
        <f t="shared" si="31"/>
        <v>-0.97813263367411563</v>
      </c>
      <c r="E1833">
        <v>6.6638900458142469E-3</v>
      </c>
    </row>
    <row r="1834" spans="2:5" x14ac:dyDescent="0.35">
      <c r="B1834" s="2">
        <v>43231</v>
      </c>
      <c r="C1834" s="4">
        <v>1105.3</v>
      </c>
      <c r="D1834">
        <f t="shared" si="31"/>
        <v>0.43238514870731537</v>
      </c>
      <c r="E1834">
        <v>6.6392837952296002E-3</v>
      </c>
    </row>
    <row r="1835" spans="2:5" x14ac:dyDescent="0.35">
      <c r="B1835" s="2">
        <v>42578</v>
      </c>
      <c r="C1835" s="4">
        <v>771.65</v>
      </c>
      <c r="D1835">
        <f t="shared" si="31"/>
        <v>-0.29063899026484408</v>
      </c>
      <c r="E1835">
        <v>6.6269225250139563E-3</v>
      </c>
    </row>
    <row r="1836" spans="2:5" x14ac:dyDescent="0.35">
      <c r="B1836" s="2">
        <v>44069</v>
      </c>
      <c r="C1836" s="4">
        <v>1087.81</v>
      </c>
      <c r="D1836">
        <f t="shared" si="31"/>
        <v>0.47110690377983611</v>
      </c>
      <c r="E1836">
        <v>6.6256419747372508E-3</v>
      </c>
    </row>
    <row r="1837" spans="2:5" x14ac:dyDescent="0.35">
      <c r="B1837" s="2">
        <v>43763</v>
      </c>
      <c r="C1837" s="4">
        <v>739.45</v>
      </c>
      <c r="D1837">
        <f t="shared" si="31"/>
        <v>-0.90809719115088239</v>
      </c>
      <c r="E1837">
        <v>6.6159354197579123E-3</v>
      </c>
    </row>
    <row r="1838" spans="2:5" x14ac:dyDescent="0.35">
      <c r="B1838" s="2">
        <v>44753</v>
      </c>
      <c r="C1838" s="4">
        <v>8046</v>
      </c>
      <c r="D1838">
        <f t="shared" si="31"/>
        <v>0.10078940527820723</v>
      </c>
      <c r="E1838">
        <v>6.611911449178498E-3</v>
      </c>
    </row>
    <row r="1839" spans="2:5" x14ac:dyDescent="0.35">
      <c r="B1839" s="2">
        <v>44858</v>
      </c>
      <c r="C1839" s="4">
        <v>7309.3</v>
      </c>
      <c r="D1839">
        <f t="shared" si="31"/>
        <v>113.10084295972526</v>
      </c>
      <c r="E1839">
        <v>6.6103865698978748E-3</v>
      </c>
    </row>
    <row r="1840" spans="2:5" x14ac:dyDescent="0.35">
      <c r="B1840" s="2">
        <v>38511</v>
      </c>
      <c r="C1840" s="4">
        <v>64.06</v>
      </c>
      <c r="D1840">
        <f t="shared" si="31"/>
        <v>-0.23765321908842074</v>
      </c>
      <c r="E1840">
        <v>6.5996228786926459E-3</v>
      </c>
    </row>
    <row r="1841" spans="2:5" x14ac:dyDescent="0.35">
      <c r="B1841" s="2">
        <v>41044</v>
      </c>
      <c r="C1841" s="4">
        <v>84.03</v>
      </c>
      <c r="D1841">
        <f t="shared" si="31"/>
        <v>-0.98721061018615619</v>
      </c>
      <c r="E1841">
        <v>6.5884044082413773E-3</v>
      </c>
    </row>
    <row r="1842" spans="2:5" x14ac:dyDescent="0.35">
      <c r="B1842" s="2">
        <v>44615</v>
      </c>
      <c r="C1842" s="4">
        <v>6570.29</v>
      </c>
      <c r="D1842">
        <f t="shared" si="31"/>
        <v>10.747975038889981</v>
      </c>
      <c r="E1842">
        <v>6.5399227893865319E-3</v>
      </c>
    </row>
    <row r="1843" spans="2:5" x14ac:dyDescent="0.35">
      <c r="B1843" s="2">
        <v>42150</v>
      </c>
      <c r="C1843" s="4">
        <v>559.27</v>
      </c>
      <c r="D1843">
        <f t="shared" si="31"/>
        <v>-0.91651253573374536</v>
      </c>
      <c r="E1843">
        <v>6.5330069829385717E-3</v>
      </c>
    </row>
    <row r="1844" spans="2:5" x14ac:dyDescent="0.35">
      <c r="B1844" s="2">
        <v>44950</v>
      </c>
      <c r="C1844" s="4">
        <v>6698.85</v>
      </c>
      <c r="D1844">
        <f t="shared" si="31"/>
        <v>3.9246111094774605</v>
      </c>
      <c r="E1844">
        <v>6.5209715346070674E-3</v>
      </c>
    </row>
    <row r="1845" spans="2:5" x14ac:dyDescent="0.35">
      <c r="B1845" s="2">
        <v>43346</v>
      </c>
      <c r="C1845" s="4">
        <v>1360.28</v>
      </c>
      <c r="D1845">
        <f t="shared" si="31"/>
        <v>0.46112698446797995</v>
      </c>
      <c r="E1845">
        <v>6.511380116612786E-3</v>
      </c>
    </row>
    <row r="1846" spans="2:5" x14ac:dyDescent="0.35">
      <c r="B1846" s="2">
        <v>43424</v>
      </c>
      <c r="C1846" s="4">
        <v>930.98</v>
      </c>
      <c r="D1846">
        <f t="shared" si="31"/>
        <v>2.3248098282204208</v>
      </c>
      <c r="E1846">
        <v>6.5083895519806312E-3</v>
      </c>
    </row>
    <row r="1847" spans="2:5" x14ac:dyDescent="0.35">
      <c r="B1847" s="2">
        <v>41893</v>
      </c>
      <c r="C1847" s="4">
        <v>280.01</v>
      </c>
      <c r="D1847">
        <f t="shared" si="31"/>
        <v>-0.5680657750628596</v>
      </c>
      <c r="E1847">
        <v>6.5061107117181383E-3</v>
      </c>
    </row>
    <row r="1848" spans="2:5" x14ac:dyDescent="0.35">
      <c r="B1848" s="2">
        <v>42646</v>
      </c>
      <c r="C1848" s="4">
        <v>648.27</v>
      </c>
      <c r="D1848">
        <f t="shared" si="31"/>
        <v>-0.30727062896710911</v>
      </c>
      <c r="E1848">
        <v>6.4897762735021125E-3</v>
      </c>
    </row>
    <row r="1849" spans="2:5" x14ac:dyDescent="0.35">
      <c r="B1849" s="2">
        <v>43167</v>
      </c>
      <c r="C1849" s="4">
        <v>935.82</v>
      </c>
      <c r="D1849">
        <f t="shared" si="31"/>
        <v>3.0010074810831178E-3</v>
      </c>
      <c r="E1849">
        <v>6.4745106474510816E-3</v>
      </c>
    </row>
    <row r="1850" spans="2:5" x14ac:dyDescent="0.35">
      <c r="B1850" s="2">
        <v>43852</v>
      </c>
      <c r="C1850" s="4">
        <v>933.02</v>
      </c>
      <c r="D1850">
        <f t="shared" si="31"/>
        <v>14.667842149454241</v>
      </c>
      <c r="E1850">
        <v>6.4397821045252268E-3</v>
      </c>
    </row>
    <row r="1851" spans="2:5" x14ac:dyDescent="0.35">
      <c r="B1851" s="2">
        <v>38908</v>
      </c>
      <c r="C1851" s="4">
        <v>59.55</v>
      </c>
      <c r="D1851">
        <f t="shared" si="31"/>
        <v>-0.38740870280835304</v>
      </c>
      <c r="E1851">
        <v>6.4221733986817853E-3</v>
      </c>
    </row>
    <row r="1852" spans="2:5" x14ac:dyDescent="0.35">
      <c r="B1852" s="2">
        <v>41207</v>
      </c>
      <c r="C1852" s="4">
        <v>97.21</v>
      </c>
      <c r="D1852">
        <f t="shared" si="31"/>
        <v>-0.98553702408760213</v>
      </c>
      <c r="E1852">
        <v>6.4188839424370592E-3</v>
      </c>
    </row>
    <row r="1853" spans="2:5" x14ac:dyDescent="0.35">
      <c r="B1853" s="2">
        <v>45050</v>
      </c>
      <c r="C1853" s="4">
        <v>6721.3</v>
      </c>
      <c r="D1853">
        <f t="shared" si="31"/>
        <v>7.1571154639675729</v>
      </c>
      <c r="E1853">
        <v>6.4161594381930698E-3</v>
      </c>
    </row>
    <row r="1854" spans="2:5" x14ac:dyDescent="0.35">
      <c r="B1854" s="2">
        <v>43840</v>
      </c>
      <c r="C1854" s="4">
        <v>823.98</v>
      </c>
      <c r="D1854">
        <f t="shared" si="31"/>
        <v>8.1962053571428584</v>
      </c>
      <c r="E1854">
        <v>6.4123703785130548E-3</v>
      </c>
    </row>
    <row r="1855" spans="2:5" x14ac:dyDescent="0.35">
      <c r="B1855" s="2">
        <v>41081</v>
      </c>
      <c r="C1855" s="4">
        <v>89.6</v>
      </c>
      <c r="D1855">
        <f t="shared" si="31"/>
        <v>-0.89527449536566261</v>
      </c>
      <c r="E1855">
        <v>6.4023362911378445E-3</v>
      </c>
    </row>
    <row r="1856" spans="2:5" x14ac:dyDescent="0.35">
      <c r="B1856" s="2">
        <v>42244</v>
      </c>
      <c r="C1856" s="4">
        <v>855.57</v>
      </c>
      <c r="D1856">
        <f t="shared" si="31"/>
        <v>7.4796176023516736E-2</v>
      </c>
      <c r="E1856">
        <v>6.3990213261502227E-3</v>
      </c>
    </row>
    <row r="1857" spans="2:5" x14ac:dyDescent="0.35">
      <c r="B1857" s="2">
        <v>42928</v>
      </c>
      <c r="C1857" s="4">
        <v>796.03</v>
      </c>
      <c r="D1857">
        <f t="shared" si="31"/>
        <v>5.5700726312314295</v>
      </c>
      <c r="E1857">
        <v>6.3972084908403559E-3</v>
      </c>
    </row>
    <row r="1858" spans="2:5" x14ac:dyDescent="0.35">
      <c r="B1858" s="2">
        <v>39275</v>
      </c>
      <c r="C1858" s="4">
        <v>121.16</v>
      </c>
      <c r="D1858">
        <f t="shared" si="31"/>
        <v>3.052173913043478</v>
      </c>
      <c r="E1858">
        <v>6.3958800564831719E-3</v>
      </c>
    </row>
    <row r="1859" spans="2:5" x14ac:dyDescent="0.35">
      <c r="B1859" s="2">
        <v>38139</v>
      </c>
      <c r="C1859" s="4">
        <v>29.9</v>
      </c>
      <c r="D1859">
        <f t="shared" si="31"/>
        <v>-0.99616004027462779</v>
      </c>
      <c r="E1859">
        <v>6.3951531470884948E-3</v>
      </c>
    </row>
    <row r="1860" spans="2:5" x14ac:dyDescent="0.35">
      <c r="B1860" s="2">
        <v>44686</v>
      </c>
      <c r="C1860" s="4">
        <v>7786.54</v>
      </c>
      <c r="D1860">
        <f t="shared" ref="D1860:D1923" si="32">C1860/C1861-1</f>
        <v>9.609666035344933</v>
      </c>
      <c r="E1860">
        <v>6.3912918164321653E-3</v>
      </c>
    </row>
    <row r="1861" spans="2:5" x14ac:dyDescent="0.35">
      <c r="B1861" s="2">
        <v>43979</v>
      </c>
      <c r="C1861" s="4">
        <v>733.91</v>
      </c>
      <c r="D1861">
        <f t="shared" si="32"/>
        <v>23.520882058135648</v>
      </c>
      <c r="E1861">
        <v>6.3901268426465041E-3</v>
      </c>
    </row>
    <row r="1862" spans="2:5" x14ac:dyDescent="0.35">
      <c r="B1862" s="2">
        <v>37539</v>
      </c>
      <c r="C1862" s="4">
        <v>29.93</v>
      </c>
      <c r="D1862">
        <f t="shared" si="32"/>
        <v>-0.99569358714263101</v>
      </c>
      <c r="E1862">
        <v>6.38870208473441E-3</v>
      </c>
    </row>
    <row r="1863" spans="2:5" x14ac:dyDescent="0.35">
      <c r="B1863" s="2">
        <v>44610</v>
      </c>
      <c r="C1863" s="4">
        <v>6950.1</v>
      </c>
      <c r="D1863">
        <f t="shared" si="32"/>
        <v>68.556645316253011</v>
      </c>
      <c r="E1863">
        <v>6.3740935523481923E-3</v>
      </c>
    </row>
    <row r="1864" spans="2:5" x14ac:dyDescent="0.35">
      <c r="B1864" s="2">
        <v>41261</v>
      </c>
      <c r="C1864" s="4">
        <v>99.92</v>
      </c>
      <c r="D1864">
        <f t="shared" si="32"/>
        <v>2.9369582348305756</v>
      </c>
      <c r="E1864">
        <v>6.3450498539630029E-3</v>
      </c>
    </row>
    <row r="1865" spans="2:5" x14ac:dyDescent="0.35">
      <c r="B1865" s="2">
        <v>37832</v>
      </c>
      <c r="C1865" s="4">
        <v>25.38</v>
      </c>
      <c r="D1865">
        <f t="shared" si="32"/>
        <v>-0.96889400921658986</v>
      </c>
      <c r="E1865">
        <v>6.3441712926248783E-3</v>
      </c>
    </row>
    <row r="1866" spans="2:5" x14ac:dyDescent="0.35">
      <c r="B1866" s="2">
        <v>43633</v>
      </c>
      <c r="C1866" s="4">
        <v>815.92</v>
      </c>
      <c r="D1866">
        <f t="shared" si="32"/>
        <v>9.2245614035087726</v>
      </c>
      <c r="E1866">
        <v>6.327162397168129E-3</v>
      </c>
    </row>
    <row r="1867" spans="2:5" x14ac:dyDescent="0.35">
      <c r="B1867" s="2">
        <v>39002</v>
      </c>
      <c r="C1867" s="4">
        <v>79.8</v>
      </c>
      <c r="D1867">
        <f t="shared" si="32"/>
        <v>-3.9248735853599892E-2</v>
      </c>
      <c r="E1867">
        <v>6.3051702395964249E-3</v>
      </c>
    </row>
    <row r="1868" spans="2:5" x14ac:dyDescent="0.35">
      <c r="B1868" s="2">
        <v>40886</v>
      </c>
      <c r="C1868" s="4">
        <v>83.06</v>
      </c>
      <c r="D1868">
        <f t="shared" si="32"/>
        <v>-0.9716631925135697</v>
      </c>
      <c r="E1868">
        <v>6.2999757693238401E-3</v>
      </c>
    </row>
    <row r="1869" spans="2:5" x14ac:dyDescent="0.35">
      <c r="B1869" s="2">
        <v>44294</v>
      </c>
      <c r="C1869" s="4">
        <v>2931.17</v>
      </c>
      <c r="D1869">
        <f t="shared" si="32"/>
        <v>100.67082899757199</v>
      </c>
      <c r="E1869">
        <v>6.2962823096439635E-3</v>
      </c>
    </row>
    <row r="1870" spans="2:5" x14ac:dyDescent="0.35">
      <c r="B1870" s="2">
        <v>37930</v>
      </c>
      <c r="C1870" s="4">
        <v>28.83</v>
      </c>
      <c r="D1870">
        <f t="shared" si="32"/>
        <v>-0.966623832181433</v>
      </c>
      <c r="E1870">
        <v>6.2827225130890341E-3</v>
      </c>
    </row>
    <row r="1871" spans="2:5" x14ac:dyDescent="0.35">
      <c r="B1871" s="2">
        <v>43993</v>
      </c>
      <c r="C1871" s="4">
        <v>863.79</v>
      </c>
      <c r="D1871">
        <f t="shared" si="32"/>
        <v>7.5396935244686105</v>
      </c>
      <c r="E1871">
        <v>6.279123951537624E-3</v>
      </c>
    </row>
    <row r="1872" spans="2:5" x14ac:dyDescent="0.35">
      <c r="B1872" s="2">
        <v>40416</v>
      </c>
      <c r="C1872" s="4">
        <v>101.15</v>
      </c>
      <c r="D1872">
        <f t="shared" si="32"/>
        <v>-0.89146879258361145</v>
      </c>
      <c r="E1872">
        <v>6.2674094707522165E-3</v>
      </c>
    </row>
    <row r="1873" spans="2:5" x14ac:dyDescent="0.35">
      <c r="B1873" s="2">
        <v>43153</v>
      </c>
      <c r="C1873" s="4">
        <v>931.99</v>
      </c>
      <c r="D1873">
        <f t="shared" si="32"/>
        <v>22.126302729528536</v>
      </c>
      <c r="E1873">
        <v>6.2513496005180968E-3</v>
      </c>
    </row>
    <row r="1874" spans="2:5" x14ac:dyDescent="0.35">
      <c r="B1874" s="2">
        <v>38191</v>
      </c>
      <c r="C1874" s="4">
        <v>40.299999999999997</v>
      </c>
      <c r="D1874">
        <f t="shared" si="32"/>
        <v>-0.95829970406241594</v>
      </c>
      <c r="E1874">
        <v>6.2421972534332237E-3</v>
      </c>
    </row>
    <row r="1875" spans="2:5" x14ac:dyDescent="0.35">
      <c r="B1875" s="2">
        <v>43466</v>
      </c>
      <c r="C1875" s="4">
        <v>966.42</v>
      </c>
      <c r="D1875">
        <f t="shared" si="32"/>
        <v>12.875376884422108</v>
      </c>
      <c r="E1875">
        <v>6.2263129399025008E-3</v>
      </c>
    </row>
    <row r="1876" spans="2:5" x14ac:dyDescent="0.35">
      <c r="B1876" s="2">
        <v>38716</v>
      </c>
      <c r="C1876" s="4">
        <v>69.650000000000006</v>
      </c>
      <c r="D1876">
        <f t="shared" si="32"/>
        <v>-6.5226144141725895E-2</v>
      </c>
      <c r="E1876">
        <v>6.2120774342675489E-3</v>
      </c>
    </row>
    <row r="1877" spans="2:5" x14ac:dyDescent="0.35">
      <c r="B1877" s="2">
        <v>38610</v>
      </c>
      <c r="C1877" s="4">
        <v>74.510000000000005</v>
      </c>
      <c r="D1877">
        <f t="shared" si="32"/>
        <v>0.53281217856408158</v>
      </c>
      <c r="E1877">
        <v>6.2120189061445341E-3</v>
      </c>
    </row>
    <row r="1878" spans="2:5" x14ac:dyDescent="0.35">
      <c r="B1878" s="2">
        <v>38376</v>
      </c>
      <c r="C1878" s="4">
        <v>48.61</v>
      </c>
      <c r="D1878">
        <f t="shared" si="32"/>
        <v>-0.38824565819280132</v>
      </c>
      <c r="E1878">
        <v>6.2098944317945381E-3</v>
      </c>
    </row>
    <row r="1879" spans="2:5" x14ac:dyDescent="0.35">
      <c r="B1879" s="2">
        <v>39007</v>
      </c>
      <c r="C1879" s="4">
        <v>79.459999999999994</v>
      </c>
      <c r="D1879">
        <f t="shared" si="32"/>
        <v>-0.32015742642026013</v>
      </c>
      <c r="E1879">
        <v>6.2048879321261463E-3</v>
      </c>
    </row>
    <row r="1880" spans="2:5" x14ac:dyDescent="0.35">
      <c r="B1880" s="2">
        <v>40560</v>
      </c>
      <c r="C1880" s="4">
        <v>116.88</v>
      </c>
      <c r="D1880">
        <f t="shared" si="32"/>
        <v>2.7862001943634596</v>
      </c>
      <c r="E1880">
        <v>6.1983471074380514E-3</v>
      </c>
    </row>
    <row r="1881" spans="2:5" x14ac:dyDescent="0.35">
      <c r="B1881" s="2">
        <v>39904</v>
      </c>
      <c r="C1881" s="4">
        <v>30.87</v>
      </c>
      <c r="D1881">
        <f t="shared" si="32"/>
        <v>-0.99510128299731027</v>
      </c>
      <c r="E1881">
        <v>6.1929595827900918E-3</v>
      </c>
    </row>
    <row r="1882" spans="2:5" x14ac:dyDescent="0.35">
      <c r="B1882" s="2">
        <v>44945</v>
      </c>
      <c r="C1882" s="4">
        <v>6301.65</v>
      </c>
      <c r="D1882">
        <f t="shared" si="32"/>
        <v>6.3158456876835736</v>
      </c>
      <c r="E1882">
        <v>6.1872295581919534E-3</v>
      </c>
    </row>
    <row r="1883" spans="2:5" x14ac:dyDescent="0.35">
      <c r="B1883" s="2">
        <v>42334</v>
      </c>
      <c r="C1883" s="4">
        <v>861.37</v>
      </c>
      <c r="D1883">
        <f t="shared" si="32"/>
        <v>-6.3952098411249492E-2</v>
      </c>
      <c r="E1883">
        <v>6.1793290346696672E-3</v>
      </c>
    </row>
    <row r="1884" spans="2:5" x14ac:dyDescent="0.35">
      <c r="B1884" s="2">
        <v>43179</v>
      </c>
      <c r="C1884" s="4">
        <v>920.22</v>
      </c>
      <c r="D1884">
        <f t="shared" si="32"/>
        <v>-0.85233953786906291</v>
      </c>
      <c r="E1884">
        <v>6.1777666006974652E-3</v>
      </c>
    </row>
    <row r="1885" spans="2:5" x14ac:dyDescent="0.35">
      <c r="B1885" s="2">
        <v>44935</v>
      </c>
      <c r="C1885" s="4">
        <v>6232</v>
      </c>
      <c r="D1885">
        <f t="shared" si="32"/>
        <v>114.38603962229217</v>
      </c>
      <c r="E1885">
        <v>6.1512132904955052E-3</v>
      </c>
    </row>
    <row r="1886" spans="2:5" x14ac:dyDescent="0.35">
      <c r="B1886" s="2">
        <v>38383</v>
      </c>
      <c r="C1886" s="4">
        <v>54.01</v>
      </c>
      <c r="D1886">
        <f t="shared" si="32"/>
        <v>-0.10977418823141594</v>
      </c>
      <c r="E1886">
        <v>6.1475409836064809E-3</v>
      </c>
    </row>
    <row r="1887" spans="2:5" x14ac:dyDescent="0.35">
      <c r="B1887" s="2">
        <v>39701</v>
      </c>
      <c r="C1887" s="4">
        <v>60.67</v>
      </c>
      <c r="D1887">
        <f t="shared" si="32"/>
        <v>-0.53168660748745666</v>
      </c>
      <c r="E1887">
        <v>6.1359867330017526E-3</v>
      </c>
    </row>
    <row r="1888" spans="2:5" x14ac:dyDescent="0.35">
      <c r="B1888" s="2">
        <v>40263</v>
      </c>
      <c r="C1888" s="4">
        <v>129.55000000000001</v>
      </c>
      <c r="D1888">
        <f t="shared" si="32"/>
        <v>0.7953159645232819</v>
      </c>
      <c r="E1888">
        <v>6.1354457906184212E-3</v>
      </c>
    </row>
    <row r="1889" spans="2:5" x14ac:dyDescent="0.35">
      <c r="B1889" s="2">
        <v>38708</v>
      </c>
      <c r="C1889" s="4">
        <v>72.16</v>
      </c>
      <c r="D1889">
        <f t="shared" si="32"/>
        <v>-0.98089251243866726</v>
      </c>
      <c r="E1889">
        <v>6.1349693251533388E-3</v>
      </c>
    </row>
    <row r="1890" spans="2:5" x14ac:dyDescent="0.35">
      <c r="B1890" s="2">
        <v>44358</v>
      </c>
      <c r="C1890" s="4">
        <v>3776.53</v>
      </c>
      <c r="D1890">
        <f t="shared" si="32"/>
        <v>4.3714086590430679</v>
      </c>
      <c r="E1890">
        <v>6.122204313250057E-3</v>
      </c>
    </row>
    <row r="1891" spans="2:5" x14ac:dyDescent="0.35">
      <c r="B1891" s="2">
        <v>43944</v>
      </c>
      <c r="C1891" s="4">
        <v>703.08</v>
      </c>
      <c r="D1891">
        <f t="shared" si="32"/>
        <v>12.341176470588236</v>
      </c>
      <c r="E1891">
        <v>6.1103876590204997E-3</v>
      </c>
    </row>
    <row r="1892" spans="2:5" x14ac:dyDescent="0.35">
      <c r="B1892" s="2">
        <v>39710</v>
      </c>
      <c r="C1892" s="4">
        <v>52.7</v>
      </c>
      <c r="D1892">
        <f t="shared" si="32"/>
        <v>-0.93342092629557571</v>
      </c>
      <c r="E1892">
        <v>6.1092019854906976E-3</v>
      </c>
    </row>
    <row r="1893" spans="2:5" x14ac:dyDescent="0.35">
      <c r="B1893" s="2">
        <v>43776</v>
      </c>
      <c r="C1893" s="4">
        <v>791.54</v>
      </c>
      <c r="D1893">
        <f t="shared" si="32"/>
        <v>11.298632691112491</v>
      </c>
      <c r="E1893">
        <v>6.1011261662047289E-3</v>
      </c>
    </row>
    <row r="1894" spans="2:5" x14ac:dyDescent="0.35">
      <c r="B1894" s="2">
        <v>38793</v>
      </c>
      <c r="C1894" s="4">
        <v>64.36</v>
      </c>
      <c r="D1894">
        <f t="shared" si="32"/>
        <v>-0.73687653311529022</v>
      </c>
      <c r="E1894">
        <v>6.0966077848991773E-3</v>
      </c>
    </row>
    <row r="1895" spans="2:5" x14ac:dyDescent="0.35">
      <c r="B1895" s="2">
        <v>41744</v>
      </c>
      <c r="C1895" s="4">
        <v>244.6</v>
      </c>
      <c r="D1895">
        <f t="shared" si="32"/>
        <v>1.9448591379725499</v>
      </c>
      <c r="E1895">
        <v>6.0875287923658483E-3</v>
      </c>
    </row>
    <row r="1896" spans="2:5" x14ac:dyDescent="0.35">
      <c r="B1896" s="2">
        <v>40927</v>
      </c>
      <c r="C1896" s="4">
        <v>83.06</v>
      </c>
      <c r="D1896">
        <f t="shared" si="32"/>
        <v>-0.86599119084880849</v>
      </c>
      <c r="E1896">
        <v>6.0562015503875521E-3</v>
      </c>
    </row>
    <row r="1897" spans="2:5" x14ac:dyDescent="0.35">
      <c r="B1897" s="2">
        <v>43726</v>
      </c>
      <c r="C1897" s="4">
        <v>619.80999999999995</v>
      </c>
      <c r="D1897">
        <f t="shared" si="32"/>
        <v>6.4469542232368129</v>
      </c>
      <c r="E1897">
        <v>6.0544085183740215E-3</v>
      </c>
    </row>
    <row r="1898" spans="2:5" x14ac:dyDescent="0.35">
      <c r="B1898" s="2">
        <v>41376</v>
      </c>
      <c r="C1898" s="4">
        <v>83.23</v>
      </c>
      <c r="D1898">
        <f t="shared" si="32"/>
        <v>1.4919161676646708</v>
      </c>
      <c r="E1898">
        <v>6.0437567992264185E-3</v>
      </c>
    </row>
    <row r="1899" spans="2:5" x14ac:dyDescent="0.35">
      <c r="B1899" s="2">
        <v>39784</v>
      </c>
      <c r="C1899" s="4">
        <v>33.4</v>
      </c>
      <c r="D1899">
        <f t="shared" si="32"/>
        <v>-0.60830303741057823</v>
      </c>
      <c r="E1899">
        <v>6.0240963855420215E-3</v>
      </c>
    </row>
    <row r="1900" spans="2:5" x14ac:dyDescent="0.35">
      <c r="B1900" s="2">
        <v>41023</v>
      </c>
      <c r="C1900" s="4">
        <v>85.27</v>
      </c>
      <c r="D1900">
        <f t="shared" si="32"/>
        <v>-3.9644104065773234E-2</v>
      </c>
      <c r="E1900">
        <v>6.0169891458234925E-3</v>
      </c>
    </row>
    <row r="1901" spans="2:5" x14ac:dyDescent="0.35">
      <c r="B1901" s="2">
        <v>39051</v>
      </c>
      <c r="C1901" s="4">
        <v>88.79</v>
      </c>
      <c r="D1901">
        <f t="shared" si="32"/>
        <v>0.28867924528301891</v>
      </c>
      <c r="E1901">
        <v>6.0049852707908524E-3</v>
      </c>
    </row>
    <row r="1902" spans="2:5" x14ac:dyDescent="0.35">
      <c r="B1902" s="2">
        <v>38817</v>
      </c>
      <c r="C1902" s="4">
        <v>68.900000000000006</v>
      </c>
      <c r="D1902">
        <f t="shared" si="32"/>
        <v>-0.25577878591488434</v>
      </c>
      <c r="E1902">
        <v>5.9862753686670267E-3</v>
      </c>
    </row>
    <row r="1903" spans="2:5" x14ac:dyDescent="0.35">
      <c r="B1903" s="2">
        <v>41089</v>
      </c>
      <c r="C1903" s="4">
        <v>92.58</v>
      </c>
      <c r="D1903">
        <f t="shared" si="32"/>
        <v>0.96144067796610155</v>
      </c>
      <c r="E1903">
        <v>5.9763120721503249E-3</v>
      </c>
    </row>
    <row r="1904" spans="2:5" x14ac:dyDescent="0.35">
      <c r="B1904" s="2">
        <v>38233</v>
      </c>
      <c r="C1904" s="4">
        <v>47.2</v>
      </c>
      <c r="D1904">
        <f t="shared" si="32"/>
        <v>-0.52553277040611179</v>
      </c>
      <c r="E1904">
        <v>5.9676044330776445E-3</v>
      </c>
    </row>
    <row r="1905" spans="2:5" x14ac:dyDescent="0.35">
      <c r="B1905" s="2">
        <v>39162</v>
      </c>
      <c r="C1905" s="4">
        <v>99.48</v>
      </c>
      <c r="D1905">
        <f t="shared" si="32"/>
        <v>-0.90186542502293554</v>
      </c>
      <c r="E1905">
        <v>5.9662250985943466E-3</v>
      </c>
    </row>
    <row r="1906" spans="2:5" x14ac:dyDescent="0.35">
      <c r="B1906" s="2">
        <v>42359</v>
      </c>
      <c r="C1906" s="4">
        <v>1013.71</v>
      </c>
      <c r="D1906">
        <f t="shared" si="32"/>
        <v>11.000828696578667</v>
      </c>
      <c r="E1906">
        <v>5.9640766101021203E-3</v>
      </c>
    </row>
    <row r="1907" spans="2:5" x14ac:dyDescent="0.35">
      <c r="B1907" s="2">
        <v>41409</v>
      </c>
      <c r="C1907" s="4">
        <v>84.47</v>
      </c>
      <c r="D1907">
        <f t="shared" si="32"/>
        <v>7.7835906596912086E-2</v>
      </c>
      <c r="E1907">
        <v>5.954507562224709E-3</v>
      </c>
    </row>
    <row r="1908" spans="2:5" x14ac:dyDescent="0.35">
      <c r="B1908" s="2">
        <v>38967</v>
      </c>
      <c r="C1908" s="4">
        <v>78.37</v>
      </c>
      <c r="D1908">
        <f t="shared" si="32"/>
        <v>-0.1484298598283168</v>
      </c>
      <c r="E1908">
        <v>5.9042484918496729E-3</v>
      </c>
    </row>
    <row r="1909" spans="2:5" x14ac:dyDescent="0.35">
      <c r="B1909" s="2">
        <v>41088</v>
      </c>
      <c r="C1909" s="4">
        <v>92.03</v>
      </c>
      <c r="D1909">
        <f t="shared" si="32"/>
        <v>-8.5734154579773403E-2</v>
      </c>
      <c r="E1909">
        <v>5.9022844026670462E-3</v>
      </c>
    </row>
    <row r="1910" spans="2:5" x14ac:dyDescent="0.35">
      <c r="B1910" s="2">
        <v>40626</v>
      </c>
      <c r="C1910" s="4">
        <v>100.66</v>
      </c>
      <c r="D1910">
        <f t="shared" si="32"/>
        <v>2.097230769230769</v>
      </c>
      <c r="E1910">
        <v>5.895872888977749E-3</v>
      </c>
    </row>
    <row r="1911" spans="2:5" x14ac:dyDescent="0.35">
      <c r="B1911" s="2">
        <v>38156</v>
      </c>
      <c r="C1911" s="4">
        <v>32.5</v>
      </c>
      <c r="D1911">
        <f t="shared" si="32"/>
        <v>-0.95692169026032559</v>
      </c>
      <c r="E1911">
        <v>5.8805323429278467E-3</v>
      </c>
    </row>
    <row r="1912" spans="2:5" x14ac:dyDescent="0.35">
      <c r="B1912" s="2">
        <v>42606</v>
      </c>
      <c r="C1912" s="4">
        <v>754.44</v>
      </c>
      <c r="D1912">
        <f t="shared" si="32"/>
        <v>8.5571319989865735</v>
      </c>
      <c r="E1912">
        <v>5.8797648094077726E-3</v>
      </c>
    </row>
    <row r="1913" spans="2:5" x14ac:dyDescent="0.35">
      <c r="B1913" s="2">
        <v>40914</v>
      </c>
      <c r="C1913" s="4">
        <v>78.94</v>
      </c>
      <c r="D1913">
        <f t="shared" si="32"/>
        <v>-0.22049965438925645</v>
      </c>
      <c r="E1913">
        <v>5.8613659531090434E-3</v>
      </c>
    </row>
    <row r="1914" spans="2:5" x14ac:dyDescent="0.35">
      <c r="B1914" s="2">
        <v>40182</v>
      </c>
      <c r="C1914" s="4">
        <v>101.27</v>
      </c>
      <c r="D1914">
        <f t="shared" si="32"/>
        <v>-0.98485965240142026</v>
      </c>
      <c r="E1914">
        <v>5.8601509733808843E-3</v>
      </c>
    </row>
    <row r="1915" spans="2:5" x14ac:dyDescent="0.35">
      <c r="B1915" s="2">
        <v>44973</v>
      </c>
      <c r="C1915" s="4">
        <v>6688.75</v>
      </c>
      <c r="D1915">
        <f t="shared" si="32"/>
        <v>106.76139842113743</v>
      </c>
      <c r="E1915">
        <v>5.8346303355665263E-3</v>
      </c>
    </row>
    <row r="1916" spans="2:5" x14ac:dyDescent="0.35">
      <c r="B1916" s="2">
        <v>39693</v>
      </c>
      <c r="C1916" s="4">
        <v>62.07</v>
      </c>
      <c r="D1916">
        <f t="shared" si="32"/>
        <v>1.7660427807486632</v>
      </c>
      <c r="E1916">
        <v>5.8337384540592119E-3</v>
      </c>
    </row>
    <row r="1917" spans="2:5" x14ac:dyDescent="0.35">
      <c r="B1917" s="2">
        <v>37740</v>
      </c>
      <c r="C1917" s="4">
        <v>22.44</v>
      </c>
      <c r="D1917">
        <f t="shared" si="32"/>
        <v>-0.91979985704074341</v>
      </c>
      <c r="E1917">
        <v>5.8269834155089129E-3</v>
      </c>
    </row>
    <row r="1918" spans="2:5" x14ac:dyDescent="0.35">
      <c r="B1918" s="2">
        <v>42010</v>
      </c>
      <c r="C1918" s="4">
        <v>279.8</v>
      </c>
      <c r="D1918">
        <f t="shared" si="32"/>
        <v>3.498392282958199</v>
      </c>
      <c r="E1918">
        <v>5.8235674742972421E-3</v>
      </c>
    </row>
    <row r="1919" spans="2:5" x14ac:dyDescent="0.35">
      <c r="B1919" s="2">
        <v>38534</v>
      </c>
      <c r="C1919" s="4">
        <v>62.2</v>
      </c>
      <c r="D1919">
        <f t="shared" si="32"/>
        <v>-8.1376458425638676E-2</v>
      </c>
      <c r="E1919">
        <v>5.8214747736093919E-3</v>
      </c>
    </row>
    <row r="1920" spans="2:5" x14ac:dyDescent="0.35">
      <c r="B1920" s="2">
        <v>38680</v>
      </c>
      <c r="C1920" s="4">
        <v>67.709999999999994</v>
      </c>
      <c r="D1920">
        <f t="shared" si="32"/>
        <v>-0.90610960119806983</v>
      </c>
      <c r="E1920">
        <v>5.7932263814617357E-3</v>
      </c>
    </row>
    <row r="1921" spans="2:5" x14ac:dyDescent="0.35">
      <c r="B1921" s="2">
        <v>42870</v>
      </c>
      <c r="C1921" s="4">
        <v>721.16</v>
      </c>
      <c r="D1921">
        <f t="shared" si="32"/>
        <v>9.5388541223646595E-2</v>
      </c>
      <c r="E1921">
        <v>5.773897520292337E-3</v>
      </c>
    </row>
    <row r="1922" spans="2:5" x14ac:dyDescent="0.35">
      <c r="B1922" s="2">
        <v>42752</v>
      </c>
      <c r="C1922" s="4">
        <v>658.36</v>
      </c>
      <c r="D1922">
        <f t="shared" si="32"/>
        <v>-0.92532891752109614</v>
      </c>
      <c r="E1922">
        <v>5.7593302678011771E-3</v>
      </c>
    </row>
    <row r="1923" spans="2:5" x14ac:dyDescent="0.35">
      <c r="B1923" s="2">
        <v>44813</v>
      </c>
      <c r="C1923" s="4">
        <v>8816.7999999999993</v>
      </c>
      <c r="D1923">
        <f t="shared" si="32"/>
        <v>106.11699671971813</v>
      </c>
      <c r="E1923">
        <v>5.7492243110055519E-3</v>
      </c>
    </row>
    <row r="1924" spans="2:5" x14ac:dyDescent="0.35">
      <c r="B1924" s="2">
        <v>40931</v>
      </c>
      <c r="C1924" s="4">
        <v>82.31</v>
      </c>
      <c r="D1924">
        <f t="shared" ref="D1924:D1987" si="33">C1924/C1925-1</f>
        <v>-0.17607607607607612</v>
      </c>
      <c r="E1924">
        <v>5.742913000977401E-3</v>
      </c>
    </row>
    <row r="1925" spans="2:5" x14ac:dyDescent="0.35">
      <c r="B1925" s="2">
        <v>41166</v>
      </c>
      <c r="C1925" s="4">
        <v>99.9</v>
      </c>
      <c r="D1925">
        <f t="shared" si="33"/>
        <v>-0.87751649052254721</v>
      </c>
      <c r="E1925">
        <v>5.7384475989128436E-3</v>
      </c>
    </row>
    <row r="1926" spans="2:5" x14ac:dyDescent="0.35">
      <c r="B1926" s="2">
        <v>42944</v>
      </c>
      <c r="C1926" s="4">
        <v>815.62</v>
      </c>
      <c r="D1926">
        <f t="shared" si="33"/>
        <v>6.8811479369987438</v>
      </c>
      <c r="E1926">
        <v>5.7338742493557859E-3</v>
      </c>
    </row>
    <row r="1927" spans="2:5" x14ac:dyDescent="0.35">
      <c r="B1927" s="2">
        <v>40738</v>
      </c>
      <c r="C1927" s="4">
        <v>103.49</v>
      </c>
      <c r="D1927">
        <f t="shared" si="33"/>
        <v>-0.89389232362379911</v>
      </c>
      <c r="E1927">
        <v>5.7337220602524663E-3</v>
      </c>
    </row>
    <row r="1928" spans="2:5" x14ac:dyDescent="0.35">
      <c r="B1928" s="2">
        <v>43115</v>
      </c>
      <c r="C1928" s="4">
        <v>975.33</v>
      </c>
      <c r="D1928">
        <f t="shared" si="33"/>
        <v>8.0149736574544796</v>
      </c>
      <c r="E1928">
        <v>5.6814666639171119E-3</v>
      </c>
    </row>
    <row r="1929" spans="2:5" x14ac:dyDescent="0.35">
      <c r="B1929" s="2">
        <v>40220</v>
      </c>
      <c r="C1929" s="4">
        <v>108.19</v>
      </c>
      <c r="D1929">
        <f t="shared" si="33"/>
        <v>0.26879324498651336</v>
      </c>
      <c r="E1929">
        <v>5.6701989217327053E-3</v>
      </c>
    </row>
    <row r="1930" spans="2:5" x14ac:dyDescent="0.35">
      <c r="B1930" s="2">
        <v>41019</v>
      </c>
      <c r="C1930" s="4">
        <v>85.27</v>
      </c>
      <c r="D1930">
        <f t="shared" si="33"/>
        <v>-0.12900919305413694</v>
      </c>
      <c r="E1930">
        <v>5.6610449345440017E-3</v>
      </c>
    </row>
    <row r="1931" spans="2:5" x14ac:dyDescent="0.35">
      <c r="B1931" s="2">
        <v>40693</v>
      </c>
      <c r="C1931" s="4">
        <v>97.9</v>
      </c>
      <c r="D1931">
        <f t="shared" si="33"/>
        <v>-0.98781838316722037</v>
      </c>
      <c r="E1931">
        <v>5.6497175141243527E-3</v>
      </c>
    </row>
    <row r="1932" spans="2:5" x14ac:dyDescent="0.35">
      <c r="B1932" s="2">
        <v>44740</v>
      </c>
      <c r="C1932" s="4">
        <v>8036.7</v>
      </c>
      <c r="D1932">
        <f t="shared" si="33"/>
        <v>299.54973821989529</v>
      </c>
      <c r="E1932">
        <v>5.6434255968766944E-3</v>
      </c>
    </row>
    <row r="1933" spans="2:5" x14ac:dyDescent="0.35">
      <c r="B1933" s="2">
        <v>37837</v>
      </c>
      <c r="C1933" s="4">
        <v>26.74</v>
      </c>
      <c r="D1933">
        <f t="shared" si="33"/>
        <v>-0.77699941622883828</v>
      </c>
      <c r="E1933">
        <v>5.6412185031966544E-3</v>
      </c>
    </row>
    <row r="1934" spans="2:5" x14ac:dyDescent="0.35">
      <c r="B1934" s="2">
        <v>39260</v>
      </c>
      <c r="C1934" s="4">
        <v>119.91</v>
      </c>
      <c r="D1934">
        <f t="shared" si="33"/>
        <v>-0.8329269482102799</v>
      </c>
      <c r="E1934">
        <v>5.6189198255618411E-3</v>
      </c>
    </row>
    <row r="1935" spans="2:5" x14ac:dyDescent="0.35">
      <c r="B1935" s="2">
        <v>42629</v>
      </c>
      <c r="C1935" s="4">
        <v>717.71</v>
      </c>
      <c r="D1935">
        <f t="shared" si="33"/>
        <v>5.7721268163804496</v>
      </c>
      <c r="E1935">
        <v>5.6045172408960564E-3</v>
      </c>
    </row>
    <row r="1936" spans="2:5" x14ac:dyDescent="0.35">
      <c r="B1936" s="2">
        <v>41110</v>
      </c>
      <c r="C1936" s="4">
        <v>105.98</v>
      </c>
      <c r="D1936">
        <f t="shared" si="33"/>
        <v>7.1695823642430989E-2</v>
      </c>
      <c r="E1936">
        <v>5.5982541038048783E-3</v>
      </c>
    </row>
    <row r="1937" spans="2:5" x14ac:dyDescent="0.35">
      <c r="B1937" s="2">
        <v>39161</v>
      </c>
      <c r="C1937" s="4">
        <v>98.89</v>
      </c>
      <c r="D1937">
        <f t="shared" si="33"/>
        <v>-0.8688183168842194</v>
      </c>
      <c r="E1937">
        <v>5.5928411633108244E-3</v>
      </c>
    </row>
    <row r="1938" spans="2:5" x14ac:dyDescent="0.35">
      <c r="B1938" s="2">
        <v>42908</v>
      </c>
      <c r="C1938" s="4">
        <v>753.84</v>
      </c>
      <c r="D1938">
        <f t="shared" si="33"/>
        <v>-0.37302260591845893</v>
      </c>
      <c r="E1938">
        <v>5.5490342546153926E-3</v>
      </c>
    </row>
    <row r="1939" spans="2:5" x14ac:dyDescent="0.35">
      <c r="B1939" s="2">
        <v>43265</v>
      </c>
      <c r="C1939" s="4">
        <v>1202.3399999999999</v>
      </c>
      <c r="D1939">
        <f t="shared" si="33"/>
        <v>16.417644502390264</v>
      </c>
      <c r="E1939">
        <v>5.5448227412999707E-3</v>
      </c>
    </row>
    <row r="1940" spans="2:5" x14ac:dyDescent="0.35">
      <c r="B1940" s="2">
        <v>40078</v>
      </c>
      <c r="C1940" s="4">
        <v>69.03</v>
      </c>
      <c r="D1940">
        <f t="shared" si="33"/>
        <v>-0.35827833038951373</v>
      </c>
      <c r="E1940">
        <v>5.5353241077931159E-3</v>
      </c>
    </row>
    <row r="1941" spans="2:5" x14ac:dyDescent="0.35">
      <c r="B1941" s="2">
        <v>40312</v>
      </c>
      <c r="C1941" s="4">
        <v>107.57</v>
      </c>
      <c r="D1941">
        <f t="shared" si="33"/>
        <v>1.183275827075299</v>
      </c>
      <c r="E1941">
        <v>5.5150495419704626E-3</v>
      </c>
    </row>
    <row r="1942" spans="2:5" x14ac:dyDescent="0.35">
      <c r="B1942" s="2">
        <v>38370</v>
      </c>
      <c r="C1942" s="4">
        <v>49.27</v>
      </c>
      <c r="D1942">
        <f t="shared" si="33"/>
        <v>-0.42609202096680254</v>
      </c>
      <c r="E1942">
        <v>5.5102040816326081E-3</v>
      </c>
    </row>
    <row r="1943" spans="2:5" x14ac:dyDescent="0.35">
      <c r="B1943" s="2">
        <v>41366</v>
      </c>
      <c r="C1943" s="4">
        <v>85.85</v>
      </c>
      <c r="D1943">
        <f t="shared" si="33"/>
        <v>9.2795315682280943E-2</v>
      </c>
      <c r="E1943">
        <v>5.5048020613726045E-3</v>
      </c>
    </row>
    <row r="1944" spans="2:5" x14ac:dyDescent="0.35">
      <c r="B1944" s="2">
        <v>41437</v>
      </c>
      <c r="C1944" s="4">
        <v>78.56</v>
      </c>
      <c r="D1944">
        <f t="shared" si="33"/>
        <v>-8.576748516234145E-2</v>
      </c>
      <c r="E1944">
        <v>5.5036477665431072E-3</v>
      </c>
    </row>
    <row r="1945" spans="2:5" x14ac:dyDescent="0.35">
      <c r="B1945" s="2">
        <v>39399</v>
      </c>
      <c r="C1945" s="4">
        <v>85.93</v>
      </c>
      <c r="D1945">
        <f t="shared" si="33"/>
        <v>-0.86003518259113265</v>
      </c>
      <c r="E1945">
        <v>5.4996489585772412E-3</v>
      </c>
    </row>
    <row r="1946" spans="2:5" x14ac:dyDescent="0.35">
      <c r="B1946" s="2">
        <v>43707</v>
      </c>
      <c r="C1946" s="4">
        <v>613.94000000000005</v>
      </c>
      <c r="D1946">
        <f t="shared" si="33"/>
        <v>6.1231001276250154</v>
      </c>
      <c r="E1946">
        <v>5.4864966671579474E-3</v>
      </c>
    </row>
    <row r="1947" spans="2:5" x14ac:dyDescent="0.35">
      <c r="B1947" s="2">
        <v>39408</v>
      </c>
      <c r="C1947" s="4">
        <v>86.19</v>
      </c>
      <c r="D1947">
        <f t="shared" si="33"/>
        <v>-0.9035528450735747</v>
      </c>
      <c r="E1947">
        <v>5.4829678021464101E-3</v>
      </c>
    </row>
    <row r="1948" spans="2:5" x14ac:dyDescent="0.35">
      <c r="B1948" s="2">
        <v>43091</v>
      </c>
      <c r="C1948" s="4">
        <v>893.65</v>
      </c>
      <c r="D1948">
        <f t="shared" si="33"/>
        <v>7.8296611006817507</v>
      </c>
      <c r="E1948">
        <v>5.4681083270513575E-3</v>
      </c>
    </row>
    <row r="1949" spans="2:5" x14ac:dyDescent="0.35">
      <c r="B1949" s="2">
        <v>40627</v>
      </c>
      <c r="C1949" s="4">
        <v>101.21</v>
      </c>
      <c r="D1949">
        <f t="shared" si="33"/>
        <v>-0.88447270195304029</v>
      </c>
      <c r="E1949">
        <v>5.4639380091396905E-3</v>
      </c>
    </row>
    <row r="1950" spans="2:5" x14ac:dyDescent="0.35">
      <c r="B1950" s="2">
        <v>44013</v>
      </c>
      <c r="C1950" s="4">
        <v>876.07</v>
      </c>
      <c r="D1950">
        <f t="shared" si="33"/>
        <v>-0.13108120170992732</v>
      </c>
      <c r="E1950">
        <v>5.4630384134235488E-3</v>
      </c>
    </row>
    <row r="1951" spans="2:5" x14ac:dyDescent="0.35">
      <c r="B1951" s="2">
        <v>44056</v>
      </c>
      <c r="C1951" s="4">
        <v>1008.23</v>
      </c>
      <c r="D1951">
        <f t="shared" si="33"/>
        <v>9.4382441246505842</v>
      </c>
      <c r="E1951">
        <v>5.4248646276888746E-3</v>
      </c>
    </row>
    <row r="1952" spans="2:5" x14ac:dyDescent="0.35">
      <c r="B1952" s="2">
        <v>41205</v>
      </c>
      <c r="C1952" s="4">
        <v>96.59</v>
      </c>
      <c r="D1952">
        <f t="shared" si="33"/>
        <v>1.5993003229278799</v>
      </c>
      <c r="E1952">
        <v>5.4127198917457431E-3</v>
      </c>
    </row>
    <row r="1953" spans="2:5" x14ac:dyDescent="0.35">
      <c r="B1953" s="2">
        <v>38182</v>
      </c>
      <c r="C1953" s="4">
        <v>37.159999999999997</v>
      </c>
      <c r="D1953">
        <f t="shared" si="33"/>
        <v>-0.93393190505822743</v>
      </c>
      <c r="E1953">
        <v>5.4112554112553113E-3</v>
      </c>
    </row>
    <row r="1954" spans="2:5" x14ac:dyDescent="0.35">
      <c r="B1954" s="2">
        <v>42152</v>
      </c>
      <c r="C1954" s="4">
        <v>562.45000000000005</v>
      </c>
      <c r="D1954">
        <f t="shared" si="33"/>
        <v>-0.82236700817342312</v>
      </c>
      <c r="E1954">
        <v>5.3983518938922614E-3</v>
      </c>
    </row>
    <row r="1955" spans="2:5" x14ac:dyDescent="0.35">
      <c r="B1955" s="2">
        <v>44312</v>
      </c>
      <c r="C1955" s="4">
        <v>3166.36</v>
      </c>
      <c r="D1955">
        <f t="shared" si="33"/>
        <v>-0.60928671466735773</v>
      </c>
      <c r="E1955">
        <v>5.3979221175095571E-3</v>
      </c>
    </row>
    <row r="1956" spans="2:5" x14ac:dyDescent="0.35">
      <c r="B1956" s="2">
        <v>44760</v>
      </c>
      <c r="C1956" s="4">
        <v>8104.05</v>
      </c>
      <c r="D1956">
        <f t="shared" si="33"/>
        <v>7.4364459712679576</v>
      </c>
      <c r="E1956">
        <v>5.3904175867800497E-3</v>
      </c>
    </row>
    <row r="1957" spans="2:5" x14ac:dyDescent="0.35">
      <c r="B1957" s="2">
        <v>43895</v>
      </c>
      <c r="C1957" s="4">
        <v>960.6</v>
      </c>
      <c r="D1957">
        <f t="shared" si="33"/>
        <v>0.46977370442339761</v>
      </c>
      <c r="E1957">
        <v>5.3901303050918337E-3</v>
      </c>
    </row>
    <row r="1958" spans="2:5" x14ac:dyDescent="0.35">
      <c r="B1958" s="2">
        <v>42737</v>
      </c>
      <c r="C1958" s="4">
        <v>653.57000000000005</v>
      </c>
      <c r="D1958">
        <f t="shared" si="33"/>
        <v>-6.8962078691700568E-2</v>
      </c>
      <c r="E1958">
        <v>5.3685700221510757E-3</v>
      </c>
    </row>
    <row r="1959" spans="2:5" x14ac:dyDescent="0.35">
      <c r="B1959" s="2">
        <v>42627</v>
      </c>
      <c r="C1959" s="4">
        <v>701.98</v>
      </c>
      <c r="D1959">
        <f t="shared" si="33"/>
        <v>7.9038559107052251</v>
      </c>
      <c r="E1959">
        <v>5.3563244729606385E-3</v>
      </c>
    </row>
    <row r="1960" spans="2:5" x14ac:dyDescent="0.35">
      <c r="B1960" s="2">
        <v>40871</v>
      </c>
      <c r="C1960" s="4">
        <v>78.84</v>
      </c>
      <c r="D1960">
        <f t="shared" si="33"/>
        <v>-8.8870911822489296E-2</v>
      </c>
      <c r="E1960">
        <v>5.355776587605332E-3</v>
      </c>
    </row>
    <row r="1961" spans="2:5" x14ac:dyDescent="0.35">
      <c r="B1961" s="2">
        <v>40814</v>
      </c>
      <c r="C1961" s="4">
        <v>86.53</v>
      </c>
      <c r="D1961">
        <f t="shared" si="33"/>
        <v>1.8680808750414317</v>
      </c>
      <c r="E1961">
        <v>5.3444870454282256E-3</v>
      </c>
    </row>
    <row r="1962" spans="2:5" x14ac:dyDescent="0.35">
      <c r="B1962" s="2">
        <v>37610</v>
      </c>
      <c r="C1962" s="4">
        <v>30.17</v>
      </c>
      <c r="D1962">
        <f t="shared" si="33"/>
        <v>-0.99566678635547579</v>
      </c>
      <c r="E1962">
        <v>5.3315561479507778E-3</v>
      </c>
    </row>
    <row r="1963" spans="2:5" x14ac:dyDescent="0.35">
      <c r="B1963" s="2">
        <v>44876</v>
      </c>
      <c r="C1963" s="4">
        <v>6962.5</v>
      </c>
      <c r="D1963">
        <f t="shared" si="33"/>
        <v>66.959980478282091</v>
      </c>
      <c r="E1963">
        <v>5.3135423134123005E-3</v>
      </c>
    </row>
    <row r="1964" spans="2:5" x14ac:dyDescent="0.35">
      <c r="B1964" s="2">
        <v>41247</v>
      </c>
      <c r="C1964" s="4">
        <v>102.45</v>
      </c>
      <c r="D1964">
        <f t="shared" si="33"/>
        <v>-0.98465961413202163</v>
      </c>
      <c r="E1964">
        <v>5.2987930526935401E-3</v>
      </c>
    </row>
    <row r="1965" spans="2:5" x14ac:dyDescent="0.35">
      <c r="B1965" s="2">
        <v>45049</v>
      </c>
      <c r="C1965" s="4">
        <v>6678.45</v>
      </c>
      <c r="D1965">
        <f t="shared" si="33"/>
        <v>1.348647631640953</v>
      </c>
      <c r="E1965">
        <v>5.298611372445583E-3</v>
      </c>
    </row>
    <row r="1966" spans="2:5" x14ac:dyDescent="0.35">
      <c r="B1966" s="2">
        <v>44230</v>
      </c>
      <c r="C1966" s="4">
        <v>2843.53</v>
      </c>
      <c r="D1966">
        <f t="shared" si="33"/>
        <v>26.609767938634821</v>
      </c>
      <c r="E1966">
        <v>5.278229512833299E-3</v>
      </c>
    </row>
    <row r="1967" spans="2:5" x14ac:dyDescent="0.35">
      <c r="B1967" s="2">
        <v>41248</v>
      </c>
      <c r="C1967" s="4">
        <v>102.99</v>
      </c>
      <c r="D1967">
        <f t="shared" si="33"/>
        <v>-0.88698562493141664</v>
      </c>
      <c r="E1967">
        <v>5.270863836017492E-3</v>
      </c>
    </row>
    <row r="1968" spans="2:5" x14ac:dyDescent="0.35">
      <c r="B1968" s="2">
        <v>44032</v>
      </c>
      <c r="C1968" s="4">
        <v>911.3</v>
      </c>
      <c r="D1968">
        <f t="shared" si="33"/>
        <v>9.7528023598820059</v>
      </c>
      <c r="E1968">
        <v>5.2396448072362656E-3</v>
      </c>
    </row>
    <row r="1969" spans="2:5" x14ac:dyDescent="0.35">
      <c r="B1969" s="2">
        <v>41389</v>
      </c>
      <c r="C1969" s="4">
        <v>84.75</v>
      </c>
      <c r="D1969">
        <f t="shared" si="33"/>
        <v>0.46246764452113887</v>
      </c>
      <c r="E1969">
        <v>5.2188352508599767E-3</v>
      </c>
    </row>
    <row r="1970" spans="2:5" x14ac:dyDescent="0.35">
      <c r="B1970" s="2">
        <v>38435</v>
      </c>
      <c r="C1970" s="4">
        <v>57.95</v>
      </c>
      <c r="D1970">
        <f t="shared" si="33"/>
        <v>-0.95380740197524172</v>
      </c>
      <c r="E1970">
        <v>5.2038161318301857E-3</v>
      </c>
    </row>
    <row r="1971" spans="2:5" x14ac:dyDescent="0.35">
      <c r="B1971" s="2">
        <v>43362</v>
      </c>
      <c r="C1971" s="4">
        <v>1254.53</v>
      </c>
      <c r="D1971">
        <f t="shared" si="33"/>
        <v>42.259655172413794</v>
      </c>
      <c r="E1971">
        <v>5.2001538412229653E-3</v>
      </c>
    </row>
    <row r="1972" spans="2:5" x14ac:dyDescent="0.35">
      <c r="B1972" s="2">
        <v>39897</v>
      </c>
      <c r="C1972" s="4">
        <v>29</v>
      </c>
      <c r="D1972">
        <f t="shared" si="33"/>
        <v>-0.94683483967954241</v>
      </c>
      <c r="E1972">
        <v>5.199306759098743E-3</v>
      </c>
    </row>
    <row r="1973" spans="2:5" x14ac:dyDescent="0.35">
      <c r="B1973" s="2">
        <v>42081</v>
      </c>
      <c r="C1973" s="4">
        <v>545.47</v>
      </c>
      <c r="D1973">
        <f t="shared" si="33"/>
        <v>0.13750964486059281</v>
      </c>
      <c r="E1973">
        <v>5.1781962923378444E-3</v>
      </c>
    </row>
    <row r="1974" spans="2:5" x14ac:dyDescent="0.35">
      <c r="B1974" s="2">
        <v>42696</v>
      </c>
      <c r="C1974" s="4">
        <v>479.53</v>
      </c>
      <c r="D1974">
        <f t="shared" si="33"/>
        <v>-0.91827507281499621</v>
      </c>
      <c r="E1974">
        <v>5.1775458013665343E-3</v>
      </c>
    </row>
    <row r="1975" spans="2:5" x14ac:dyDescent="0.35">
      <c r="B1975" s="2">
        <v>44497</v>
      </c>
      <c r="C1975" s="4">
        <v>5867.61</v>
      </c>
      <c r="D1975">
        <f t="shared" si="33"/>
        <v>20.548329048843186</v>
      </c>
      <c r="E1975">
        <v>5.1718053523646113E-3</v>
      </c>
    </row>
    <row r="1976" spans="2:5" x14ac:dyDescent="0.35">
      <c r="B1976" s="2">
        <v>41934</v>
      </c>
      <c r="C1976" s="4">
        <v>272.3</v>
      </c>
      <c r="D1976">
        <f t="shared" si="33"/>
        <v>8.3125854993160058</v>
      </c>
      <c r="E1976">
        <v>5.1679586563309066E-3</v>
      </c>
    </row>
    <row r="1977" spans="2:5" x14ac:dyDescent="0.35">
      <c r="B1977" s="2">
        <v>39891</v>
      </c>
      <c r="C1977" s="4">
        <v>29.24</v>
      </c>
      <c r="D1977">
        <f t="shared" si="33"/>
        <v>-0.75023490219526778</v>
      </c>
      <c r="E1977">
        <v>5.1564111378479272E-3</v>
      </c>
    </row>
    <row r="1978" spans="2:5" x14ac:dyDescent="0.35">
      <c r="B1978" s="2">
        <v>39192</v>
      </c>
      <c r="C1978" s="4">
        <v>117.07</v>
      </c>
      <c r="D1978">
        <f t="shared" si="33"/>
        <v>-0.86425879761145574</v>
      </c>
      <c r="E1978">
        <v>5.1515411693998647E-3</v>
      </c>
    </row>
    <row r="1979" spans="2:5" x14ac:dyDescent="0.35">
      <c r="B1979" s="2">
        <v>42277</v>
      </c>
      <c r="C1979" s="4">
        <v>862.45</v>
      </c>
      <c r="D1979">
        <f t="shared" si="33"/>
        <v>0.22427107287851689</v>
      </c>
      <c r="E1979">
        <v>5.1513350349057241E-3</v>
      </c>
    </row>
    <row r="1980" spans="2:5" x14ac:dyDescent="0.35">
      <c r="B1980" s="2">
        <v>42754</v>
      </c>
      <c r="C1980" s="4">
        <v>704.46</v>
      </c>
      <c r="D1980">
        <f t="shared" si="33"/>
        <v>-1.3817143337113147E-2</v>
      </c>
      <c r="E1980">
        <v>5.1508882071771289E-3</v>
      </c>
    </row>
    <row r="1981" spans="2:5" x14ac:dyDescent="0.35">
      <c r="B1981" s="2">
        <v>42845</v>
      </c>
      <c r="C1981" s="4">
        <v>714.33</v>
      </c>
      <c r="D1981">
        <f t="shared" si="33"/>
        <v>-0.11367950865438303</v>
      </c>
      <c r="E1981">
        <v>5.1359261552317292E-3</v>
      </c>
    </row>
    <row r="1982" spans="2:5" x14ac:dyDescent="0.35">
      <c r="B1982" s="2">
        <v>43045</v>
      </c>
      <c r="C1982" s="4">
        <v>805.95</v>
      </c>
      <c r="D1982">
        <f t="shared" si="33"/>
        <v>-0.26213298909610261</v>
      </c>
      <c r="E1982">
        <v>5.1257108650104577E-3</v>
      </c>
    </row>
    <row r="1983" spans="2:5" x14ac:dyDescent="0.35">
      <c r="B1983" s="2">
        <v>43242</v>
      </c>
      <c r="C1983" s="4">
        <v>1092.27</v>
      </c>
      <c r="D1983">
        <f t="shared" si="33"/>
        <v>9.8954613466334163</v>
      </c>
      <c r="E1983">
        <v>5.116360390536423E-3</v>
      </c>
    </row>
    <row r="1984" spans="2:5" x14ac:dyDescent="0.35">
      <c r="B1984" s="2">
        <v>40624</v>
      </c>
      <c r="C1984" s="4">
        <v>100.25</v>
      </c>
      <c r="D1984">
        <f t="shared" si="33"/>
        <v>1.984519202143495</v>
      </c>
      <c r="E1984">
        <v>5.1132945658713957E-3</v>
      </c>
    </row>
    <row r="1985" spans="2:5" x14ac:dyDescent="0.35">
      <c r="B1985" s="2">
        <v>39787</v>
      </c>
      <c r="C1985" s="4">
        <v>33.590000000000003</v>
      </c>
      <c r="D1985">
        <f t="shared" si="33"/>
        <v>-0.97442807658635</v>
      </c>
      <c r="E1985">
        <v>5.0867743865949944E-3</v>
      </c>
    </row>
    <row r="1986" spans="2:5" x14ac:dyDescent="0.35">
      <c r="B1986" s="2">
        <v>43322</v>
      </c>
      <c r="C1986" s="4">
        <v>1313.55</v>
      </c>
      <c r="D1986">
        <f t="shared" si="33"/>
        <v>11.517152658662093</v>
      </c>
      <c r="E1986">
        <v>5.0806865048089733E-3</v>
      </c>
    </row>
    <row r="1987" spans="2:5" x14ac:dyDescent="0.35">
      <c r="B1987" s="2">
        <v>40743</v>
      </c>
      <c r="C1987" s="4">
        <v>104.94</v>
      </c>
      <c r="D1987">
        <f t="shared" si="33"/>
        <v>0.10277427490542257</v>
      </c>
      <c r="E1987">
        <v>5.0761421319795996E-3</v>
      </c>
    </row>
    <row r="1988" spans="2:5" x14ac:dyDescent="0.35">
      <c r="B1988" s="2">
        <v>41148</v>
      </c>
      <c r="C1988" s="4">
        <v>95.16</v>
      </c>
      <c r="D1988">
        <f t="shared" ref="D1988:D2051" si="34">C1988/C1989-1</f>
        <v>-0.88907927404972553</v>
      </c>
      <c r="E1988">
        <v>5.069708491761693E-3</v>
      </c>
    </row>
    <row r="1989" spans="2:5" x14ac:dyDescent="0.35">
      <c r="B1989" s="2">
        <v>42500</v>
      </c>
      <c r="C1989" s="4">
        <v>857.91</v>
      </c>
      <c r="D1989">
        <f t="shared" si="34"/>
        <v>2.145984598459846</v>
      </c>
      <c r="E1989">
        <v>5.0492033739455433E-3</v>
      </c>
    </row>
    <row r="1990" spans="2:5" x14ac:dyDescent="0.35">
      <c r="B1990" s="2">
        <v>41985</v>
      </c>
      <c r="C1990" s="4">
        <v>272.7</v>
      </c>
      <c r="D1990">
        <f t="shared" si="34"/>
        <v>-0.67993333411579671</v>
      </c>
      <c r="E1990">
        <v>5.0492020786496727E-3</v>
      </c>
    </row>
    <row r="1991" spans="2:5" x14ac:dyDescent="0.35">
      <c r="B1991" s="2">
        <v>43518</v>
      </c>
      <c r="C1991" s="4">
        <v>852.01</v>
      </c>
      <c r="D1991">
        <f t="shared" si="34"/>
        <v>-0.8569504957144416</v>
      </c>
      <c r="E1991">
        <v>5.0487773229683786E-3</v>
      </c>
    </row>
    <row r="1992" spans="2:5" x14ac:dyDescent="0.35">
      <c r="B1992" s="2">
        <v>45014</v>
      </c>
      <c r="C1992" s="4">
        <v>5956.05</v>
      </c>
      <c r="D1992">
        <f t="shared" si="34"/>
        <v>134.64222272830793</v>
      </c>
      <c r="E1992">
        <v>5.0454342195187518E-3</v>
      </c>
    </row>
    <row r="1993" spans="2:5" x14ac:dyDescent="0.35">
      <c r="B1993" s="2">
        <v>39939</v>
      </c>
      <c r="C1993" s="4">
        <v>43.91</v>
      </c>
      <c r="D1993">
        <f t="shared" si="34"/>
        <v>-0.94813922450956079</v>
      </c>
      <c r="E1993">
        <v>5.0354772259098013E-3</v>
      </c>
    </row>
    <row r="1994" spans="2:5" x14ac:dyDescent="0.35">
      <c r="B1994" s="2">
        <v>42990</v>
      </c>
      <c r="C1994" s="4">
        <v>846.69</v>
      </c>
      <c r="D1994">
        <f t="shared" si="34"/>
        <v>-0.10829682365826931</v>
      </c>
      <c r="E1994">
        <v>5.0329396403347992E-3</v>
      </c>
    </row>
    <row r="1995" spans="2:5" x14ac:dyDescent="0.35">
      <c r="B1995" s="2">
        <v>43454</v>
      </c>
      <c r="C1995" s="4">
        <v>949.52</v>
      </c>
      <c r="D1995">
        <f t="shared" si="34"/>
        <v>15.35975189524466</v>
      </c>
      <c r="E1995">
        <v>5.0276786942853313E-3</v>
      </c>
    </row>
    <row r="1996" spans="2:5" x14ac:dyDescent="0.35">
      <c r="B1996" s="2">
        <v>38495</v>
      </c>
      <c r="C1996" s="4">
        <v>58.04</v>
      </c>
      <c r="D1996">
        <f t="shared" si="34"/>
        <v>-0.41046216353478926</v>
      </c>
      <c r="E1996">
        <v>5.0216450216449271E-3</v>
      </c>
    </row>
    <row r="1997" spans="2:5" x14ac:dyDescent="0.35">
      <c r="B1997" s="2">
        <v>40606</v>
      </c>
      <c r="C1997" s="4">
        <v>98.45</v>
      </c>
      <c r="D1997">
        <f t="shared" si="34"/>
        <v>-4.0613260229460657E-4</v>
      </c>
      <c r="E1997">
        <v>5.0020416496530107E-3</v>
      </c>
    </row>
    <row r="1998" spans="2:5" x14ac:dyDescent="0.35">
      <c r="B1998" s="2">
        <v>40618</v>
      </c>
      <c r="C1998" s="4">
        <v>98.49</v>
      </c>
      <c r="D1998">
        <f t="shared" si="34"/>
        <v>0.81281060187741572</v>
      </c>
      <c r="E1998">
        <v>4.9999999999998934E-3</v>
      </c>
    </row>
    <row r="1999" spans="2:5" x14ac:dyDescent="0.35">
      <c r="B1999" s="2">
        <v>38271</v>
      </c>
      <c r="C1999" s="4">
        <v>54.33</v>
      </c>
      <c r="D1999">
        <f t="shared" si="34"/>
        <v>-0.35855962219598592</v>
      </c>
      <c r="E1999">
        <v>4.994450610432688E-3</v>
      </c>
    </row>
    <row r="2000" spans="2:5" x14ac:dyDescent="0.35">
      <c r="B2000" s="2">
        <v>41039</v>
      </c>
      <c r="C2000" s="4">
        <v>84.7</v>
      </c>
      <c r="D2000">
        <f t="shared" si="34"/>
        <v>0.1660242290748899</v>
      </c>
      <c r="E2000">
        <v>4.983388704318914E-3</v>
      </c>
    </row>
    <row r="2001" spans="2:5" x14ac:dyDescent="0.35">
      <c r="B2001" s="2">
        <v>39492</v>
      </c>
      <c r="C2001" s="4">
        <v>72.64</v>
      </c>
      <c r="D2001">
        <f t="shared" si="34"/>
        <v>-0.14430439392154548</v>
      </c>
      <c r="E2001">
        <v>4.9806308799114074E-3</v>
      </c>
    </row>
    <row r="2002" spans="2:5" x14ac:dyDescent="0.35">
      <c r="B2002" s="2">
        <v>41025</v>
      </c>
      <c r="C2002" s="4">
        <v>84.89</v>
      </c>
      <c r="D2002">
        <f t="shared" si="34"/>
        <v>-0.92236783143878776</v>
      </c>
      <c r="E2002">
        <v>4.972179472001903E-3</v>
      </c>
    </row>
    <row r="2003" spans="2:5" x14ac:dyDescent="0.35">
      <c r="B2003" s="2">
        <v>43374</v>
      </c>
      <c r="C2003" s="4">
        <v>1093.49</v>
      </c>
      <c r="D2003">
        <f t="shared" si="34"/>
        <v>0.21757284904630936</v>
      </c>
      <c r="E2003">
        <v>4.9720608778767161E-3</v>
      </c>
    </row>
    <row r="2004" spans="2:5" x14ac:dyDescent="0.35">
      <c r="B2004" s="2">
        <v>43095</v>
      </c>
      <c r="C2004" s="4">
        <v>898.09</v>
      </c>
      <c r="D2004">
        <f t="shared" si="34"/>
        <v>3.9874493252623981</v>
      </c>
      <c r="E2004">
        <v>4.9683880713926598E-3</v>
      </c>
    </row>
    <row r="2005" spans="2:5" x14ac:dyDescent="0.35">
      <c r="B2005" s="2">
        <v>41677</v>
      </c>
      <c r="C2005" s="4">
        <v>180.07</v>
      </c>
      <c r="D2005">
        <f t="shared" si="34"/>
        <v>1.4646865589926086</v>
      </c>
      <c r="E2005">
        <v>4.9670722178813964E-3</v>
      </c>
    </row>
    <row r="2006" spans="2:5" x14ac:dyDescent="0.35">
      <c r="B2006" s="2">
        <v>39504</v>
      </c>
      <c r="C2006" s="4">
        <v>73.06</v>
      </c>
      <c r="D2006">
        <f t="shared" si="34"/>
        <v>0.16041931385006358</v>
      </c>
      <c r="E2006">
        <v>4.9518569463549156E-3</v>
      </c>
    </row>
    <row r="2007" spans="2:5" x14ac:dyDescent="0.35">
      <c r="B2007" s="2">
        <v>39667</v>
      </c>
      <c r="C2007" s="4">
        <v>62.96</v>
      </c>
      <c r="D2007">
        <f t="shared" si="34"/>
        <v>-0.90754500866398424</v>
      </c>
      <c r="E2007">
        <v>4.948124501197082E-3</v>
      </c>
    </row>
    <row r="2008" spans="2:5" x14ac:dyDescent="0.35">
      <c r="B2008" s="2">
        <v>42762</v>
      </c>
      <c r="C2008" s="4">
        <v>680.98</v>
      </c>
      <c r="D2008">
        <f t="shared" si="34"/>
        <v>8.8450195171317052</v>
      </c>
      <c r="E2008">
        <v>4.9437008396913118E-3</v>
      </c>
    </row>
    <row r="2009" spans="2:5" x14ac:dyDescent="0.35">
      <c r="B2009" s="2">
        <v>38624</v>
      </c>
      <c r="C2009" s="4">
        <v>69.17</v>
      </c>
      <c r="D2009">
        <f t="shared" si="34"/>
        <v>-0.59547341949821631</v>
      </c>
      <c r="E2009">
        <v>4.9397065233183213E-3</v>
      </c>
    </row>
    <row r="2010" spans="2:5" x14ac:dyDescent="0.35">
      <c r="B2010" s="2">
        <v>41661</v>
      </c>
      <c r="C2010" s="4">
        <v>170.99</v>
      </c>
      <c r="D2010">
        <f t="shared" si="34"/>
        <v>-0.66406019764631918</v>
      </c>
      <c r="E2010">
        <v>4.9368204525419568E-3</v>
      </c>
    </row>
    <row r="2011" spans="2:5" x14ac:dyDescent="0.35">
      <c r="B2011" s="2">
        <v>42159</v>
      </c>
      <c r="C2011" s="4">
        <v>508.99</v>
      </c>
      <c r="D2011">
        <f t="shared" si="34"/>
        <v>14.45672638931066</v>
      </c>
      <c r="E2011">
        <v>4.9359316077315363E-3</v>
      </c>
    </row>
    <row r="2012" spans="2:5" x14ac:dyDescent="0.35">
      <c r="B2012" s="2">
        <v>37511</v>
      </c>
      <c r="C2012" s="4">
        <v>32.93</v>
      </c>
      <c r="D2012">
        <f t="shared" si="34"/>
        <v>-0.96323710005135421</v>
      </c>
      <c r="E2012">
        <v>4.8825144949649069E-3</v>
      </c>
    </row>
    <row r="2013" spans="2:5" x14ac:dyDescent="0.35">
      <c r="B2013" s="2">
        <v>42283</v>
      </c>
      <c r="C2013" s="4">
        <v>895.74</v>
      </c>
      <c r="D2013">
        <f t="shared" si="34"/>
        <v>9.8298875589408787</v>
      </c>
      <c r="E2013">
        <v>4.8687457931344547E-3</v>
      </c>
    </row>
    <row r="2014" spans="2:5" x14ac:dyDescent="0.35">
      <c r="B2014" s="2">
        <v>40932</v>
      </c>
      <c r="C2014" s="4">
        <v>82.71</v>
      </c>
      <c r="D2014">
        <f t="shared" si="34"/>
        <v>-0.2731347218560507</v>
      </c>
      <c r="E2014">
        <v>4.8596768314905781E-3</v>
      </c>
    </row>
    <row r="2015" spans="2:5" x14ac:dyDescent="0.35">
      <c r="B2015" s="2">
        <v>40470</v>
      </c>
      <c r="C2015" s="4">
        <v>113.79</v>
      </c>
      <c r="D2015">
        <f t="shared" si="34"/>
        <v>-0.98161290635331533</v>
      </c>
      <c r="E2015">
        <v>4.8569410102439203E-3</v>
      </c>
    </row>
    <row r="2016" spans="2:5" x14ac:dyDescent="0.35">
      <c r="B2016" s="2">
        <v>44504</v>
      </c>
      <c r="C2016" s="4">
        <v>6188.58</v>
      </c>
      <c r="D2016">
        <f t="shared" si="34"/>
        <v>63.403996253512332</v>
      </c>
      <c r="E2016">
        <v>4.8467784754324672E-3</v>
      </c>
    </row>
    <row r="2017" spans="2:5" x14ac:dyDescent="0.35">
      <c r="B2017" s="2">
        <v>41215</v>
      </c>
      <c r="C2017" s="4">
        <v>96.09</v>
      </c>
      <c r="D2017">
        <f t="shared" si="34"/>
        <v>-4.5210651828298865E-2</v>
      </c>
      <c r="E2017">
        <v>4.8102060023005322E-3</v>
      </c>
    </row>
    <row r="2018" spans="2:5" x14ac:dyDescent="0.35">
      <c r="B2018" s="2">
        <v>39154</v>
      </c>
      <c r="C2018" s="4">
        <v>100.64</v>
      </c>
      <c r="D2018">
        <f t="shared" si="34"/>
        <v>2.1207508878741788E-2</v>
      </c>
      <c r="E2018">
        <v>4.7923322683707248E-3</v>
      </c>
    </row>
    <row r="2019" spans="2:5" x14ac:dyDescent="0.35">
      <c r="B2019" s="2">
        <v>40701</v>
      </c>
      <c r="C2019" s="4">
        <v>98.55</v>
      </c>
      <c r="D2019">
        <f t="shared" si="34"/>
        <v>-0.8983182005777961</v>
      </c>
      <c r="E2019">
        <v>4.7920065252855526E-3</v>
      </c>
    </row>
    <row r="2020" spans="2:5" x14ac:dyDescent="0.35">
      <c r="B2020" s="2">
        <v>43468</v>
      </c>
      <c r="C2020" s="4">
        <v>969.2</v>
      </c>
      <c r="D2020">
        <f t="shared" si="34"/>
        <v>0.37428393171119057</v>
      </c>
      <c r="E2020">
        <v>4.7896493810777319E-3</v>
      </c>
    </row>
    <row r="2021" spans="2:5" x14ac:dyDescent="0.35">
      <c r="B2021" s="2">
        <v>42814</v>
      </c>
      <c r="C2021" s="4">
        <v>705.24</v>
      </c>
      <c r="D2021">
        <f t="shared" si="34"/>
        <v>9.8033088235294112</v>
      </c>
      <c r="E2021">
        <v>4.772827651056355E-3</v>
      </c>
    </row>
    <row r="2022" spans="2:5" x14ac:dyDescent="0.35">
      <c r="B2022" s="2">
        <v>40147</v>
      </c>
      <c r="C2022" s="4">
        <v>65.28</v>
      </c>
      <c r="D2022">
        <f t="shared" si="34"/>
        <v>-0.76734737517374096</v>
      </c>
      <c r="E2022">
        <v>4.7714329690626833E-3</v>
      </c>
    </row>
    <row r="2023" spans="2:5" x14ac:dyDescent="0.35">
      <c r="B2023" s="2">
        <v>41925</v>
      </c>
      <c r="C2023" s="4">
        <v>280.58999999999997</v>
      </c>
      <c r="D2023">
        <f t="shared" si="34"/>
        <v>2.088837516512549</v>
      </c>
      <c r="E2023">
        <v>4.7625868366396595E-3</v>
      </c>
    </row>
    <row r="2024" spans="2:5" x14ac:dyDescent="0.35">
      <c r="B2024" s="2">
        <v>39055</v>
      </c>
      <c r="C2024" s="4">
        <v>90.84</v>
      </c>
      <c r="D2024">
        <f t="shared" si="34"/>
        <v>2.2742625534789562E-2</v>
      </c>
      <c r="E2024">
        <v>4.7561110496627812E-3</v>
      </c>
    </row>
    <row r="2025" spans="2:5" x14ac:dyDescent="0.35">
      <c r="B2025" s="2">
        <v>40968</v>
      </c>
      <c r="C2025" s="4">
        <v>88.82</v>
      </c>
      <c r="D2025">
        <f t="shared" si="34"/>
        <v>-0.91422666872682323</v>
      </c>
      <c r="E2025">
        <v>4.7511312217192181E-3</v>
      </c>
    </row>
    <row r="2026" spans="2:5" x14ac:dyDescent="0.35">
      <c r="B2026" s="2">
        <v>42367</v>
      </c>
      <c r="C2026" s="4">
        <v>1035.52</v>
      </c>
      <c r="D2026">
        <f t="shared" si="34"/>
        <v>9.8454126518642635</v>
      </c>
      <c r="E2026">
        <v>4.7446707353753226E-3</v>
      </c>
    </row>
    <row r="2027" spans="2:5" x14ac:dyDescent="0.35">
      <c r="B2027" s="2">
        <v>41225</v>
      </c>
      <c r="C2027" s="4">
        <v>95.48</v>
      </c>
      <c r="D2027">
        <f t="shared" si="34"/>
        <v>-0.1964992005385845</v>
      </c>
      <c r="E2027">
        <v>4.735346732610779E-3</v>
      </c>
    </row>
    <row r="2028" spans="2:5" x14ac:dyDescent="0.35">
      <c r="B2028" s="2">
        <v>39251</v>
      </c>
      <c r="C2028" s="4">
        <v>118.83</v>
      </c>
      <c r="D2028">
        <f t="shared" si="34"/>
        <v>-0.87080465768616067</v>
      </c>
      <c r="E2028">
        <v>4.7349285533102581E-3</v>
      </c>
    </row>
    <row r="2029" spans="2:5" x14ac:dyDescent="0.35">
      <c r="B2029" s="2">
        <v>43858</v>
      </c>
      <c r="C2029" s="4">
        <v>919.77</v>
      </c>
      <c r="D2029">
        <f t="shared" si="34"/>
        <v>-0.31038283323586313</v>
      </c>
      <c r="E2029">
        <v>4.7189906603308795E-3</v>
      </c>
    </row>
    <row r="2030" spans="2:5" x14ac:dyDescent="0.35">
      <c r="B2030" s="2">
        <v>43299</v>
      </c>
      <c r="C2030" s="4">
        <v>1333.74</v>
      </c>
      <c r="D2030">
        <f t="shared" si="34"/>
        <v>-0.78782035985300436</v>
      </c>
      <c r="E2030">
        <v>4.7157019314791881E-3</v>
      </c>
    </row>
    <row r="2031" spans="2:5" x14ac:dyDescent="0.35">
      <c r="B2031" s="2">
        <v>44925</v>
      </c>
      <c r="C2031" s="4">
        <v>6285.9</v>
      </c>
      <c r="D2031">
        <f t="shared" si="34"/>
        <v>72.519298245614024</v>
      </c>
      <c r="E2031">
        <v>4.715171664215756E-3</v>
      </c>
    </row>
    <row r="2032" spans="2:5" x14ac:dyDescent="0.35">
      <c r="B2032" s="2">
        <v>39402</v>
      </c>
      <c r="C2032" s="4">
        <v>85.5</v>
      </c>
      <c r="D2032">
        <f t="shared" si="34"/>
        <v>0.10995715954822805</v>
      </c>
      <c r="E2032">
        <v>4.7003525264395218E-3</v>
      </c>
    </row>
    <row r="2033" spans="2:5" x14ac:dyDescent="0.35">
      <c r="B2033" s="2">
        <v>38981</v>
      </c>
      <c r="C2033" s="4">
        <v>77.03</v>
      </c>
      <c r="D2033">
        <f t="shared" si="34"/>
        <v>-0.98773602929469828</v>
      </c>
      <c r="E2033">
        <v>4.6954480239989049E-3</v>
      </c>
    </row>
    <row r="2034" spans="2:5" x14ac:dyDescent="0.35">
      <c r="B2034" s="2">
        <v>45037</v>
      </c>
      <c r="C2034" s="4">
        <v>6281</v>
      </c>
      <c r="D2034">
        <f t="shared" si="34"/>
        <v>6.0030103690489467</v>
      </c>
      <c r="E2034">
        <v>4.6947605832061701E-3</v>
      </c>
    </row>
    <row r="2035" spans="2:5" x14ac:dyDescent="0.35">
      <c r="B2035" s="2">
        <v>44020</v>
      </c>
      <c r="C2035" s="4">
        <v>896.9</v>
      </c>
      <c r="D2035">
        <f t="shared" si="34"/>
        <v>28.777556440903052</v>
      </c>
      <c r="E2035">
        <v>4.6710651596786334E-3</v>
      </c>
    </row>
    <row r="2036" spans="2:5" x14ac:dyDescent="0.35">
      <c r="B2036" s="2">
        <v>37616</v>
      </c>
      <c r="C2036" s="4">
        <v>30.12</v>
      </c>
      <c r="D2036">
        <f t="shared" si="34"/>
        <v>-0.97632708238363963</v>
      </c>
      <c r="E2036">
        <v>4.6697798532355783E-3</v>
      </c>
    </row>
    <row r="2037" spans="2:5" x14ac:dyDescent="0.35">
      <c r="B2037" s="2">
        <v>44104</v>
      </c>
      <c r="C2037" s="4">
        <v>1272.3399999999999</v>
      </c>
      <c r="D2037">
        <f t="shared" si="34"/>
        <v>13.654918221607925</v>
      </c>
      <c r="E2037">
        <v>4.6428627828749569E-3</v>
      </c>
    </row>
    <row r="2038" spans="2:5" x14ac:dyDescent="0.35">
      <c r="B2038" s="2">
        <v>40981</v>
      </c>
      <c r="C2038" s="4">
        <v>86.82</v>
      </c>
      <c r="D2038">
        <f t="shared" si="34"/>
        <v>-0.93571222297092171</v>
      </c>
      <c r="E2038">
        <v>4.6285582041192264E-3</v>
      </c>
    </row>
    <row r="2039" spans="2:5" x14ac:dyDescent="0.35">
      <c r="B2039" s="2">
        <v>43313</v>
      </c>
      <c r="C2039" s="4">
        <v>1350.49</v>
      </c>
      <c r="D2039">
        <f t="shared" si="34"/>
        <v>12.756646633391057</v>
      </c>
      <c r="E2039">
        <v>4.6195733031808572E-3</v>
      </c>
    </row>
    <row r="2040" spans="2:5" x14ac:dyDescent="0.35">
      <c r="B2040" s="2">
        <v>40721</v>
      </c>
      <c r="C2040" s="4">
        <v>98.17</v>
      </c>
      <c r="D2040">
        <f t="shared" si="34"/>
        <v>0.15358401880141015</v>
      </c>
      <c r="E2040">
        <v>4.6049938600081219E-3</v>
      </c>
    </row>
    <row r="2041" spans="2:5" x14ac:dyDescent="0.35">
      <c r="B2041" s="2">
        <v>39401</v>
      </c>
      <c r="C2041" s="4">
        <v>85.1</v>
      </c>
      <c r="D2041">
        <f t="shared" si="34"/>
        <v>-0.13366588618548314</v>
      </c>
      <c r="E2041">
        <v>4.6039428638886548E-3</v>
      </c>
    </row>
    <row r="2042" spans="2:5" x14ac:dyDescent="0.35">
      <c r="B2042" s="2">
        <v>41190</v>
      </c>
      <c r="C2042" s="4">
        <v>98.23</v>
      </c>
      <c r="D2042">
        <f t="shared" si="34"/>
        <v>0.18406460945033776</v>
      </c>
      <c r="E2042">
        <v>4.6021681325425501E-3</v>
      </c>
    </row>
    <row r="2043" spans="2:5" x14ac:dyDescent="0.35">
      <c r="B2043" s="2">
        <v>40995</v>
      </c>
      <c r="C2043" s="4">
        <v>82.96</v>
      </c>
      <c r="D2043">
        <f t="shared" si="34"/>
        <v>-0.90258909176304825</v>
      </c>
      <c r="E2043">
        <v>4.6015984499878648E-3</v>
      </c>
    </row>
    <row r="2044" spans="2:5" x14ac:dyDescent="0.35">
      <c r="B2044" s="2">
        <v>42992</v>
      </c>
      <c r="C2044" s="4">
        <v>851.65</v>
      </c>
      <c r="D2044">
        <f t="shared" si="34"/>
        <v>2.0902790377009328</v>
      </c>
      <c r="E2044">
        <v>4.6004128575640735E-3</v>
      </c>
    </row>
    <row r="2045" spans="2:5" x14ac:dyDescent="0.35">
      <c r="B2045" s="2">
        <v>41821</v>
      </c>
      <c r="C2045" s="4">
        <v>275.58999999999997</v>
      </c>
      <c r="D2045">
        <f t="shared" si="34"/>
        <v>-0.67695084926561089</v>
      </c>
      <c r="E2045">
        <v>4.5930084205154653E-3</v>
      </c>
    </row>
    <row r="2046" spans="2:5" x14ac:dyDescent="0.35">
      <c r="B2046" s="2">
        <v>42305</v>
      </c>
      <c r="C2046" s="4">
        <v>853.09</v>
      </c>
      <c r="D2046">
        <f t="shared" si="34"/>
        <v>6.6339149888143183</v>
      </c>
      <c r="E2046">
        <v>4.5926117829930835E-3</v>
      </c>
    </row>
    <row r="2047" spans="2:5" x14ac:dyDescent="0.35">
      <c r="B2047" s="2">
        <v>40354</v>
      </c>
      <c r="C2047" s="4">
        <v>111.75</v>
      </c>
      <c r="D2047">
        <f t="shared" si="34"/>
        <v>-0.87732990845024039</v>
      </c>
      <c r="E2047">
        <v>4.5846817691477249E-3</v>
      </c>
    </row>
    <row r="2048" spans="2:5" x14ac:dyDescent="0.35">
      <c r="B2048" s="2">
        <v>43487</v>
      </c>
      <c r="C2048" s="4">
        <v>910.98</v>
      </c>
      <c r="D2048">
        <f t="shared" si="34"/>
        <v>0.14800952705001702</v>
      </c>
      <c r="E2048">
        <v>4.5653036919413026E-3</v>
      </c>
    </row>
    <row r="2049" spans="2:5" x14ac:dyDescent="0.35">
      <c r="B2049" s="2">
        <v>42951</v>
      </c>
      <c r="C2049" s="4">
        <v>793.53</v>
      </c>
      <c r="D2049">
        <f t="shared" si="34"/>
        <v>8.9804158540939927E-2</v>
      </c>
      <c r="E2049">
        <v>4.5573658425430708E-3</v>
      </c>
    </row>
    <row r="2050" spans="2:5" x14ac:dyDescent="0.35">
      <c r="B2050" s="2">
        <v>42836</v>
      </c>
      <c r="C2050" s="4">
        <v>728.14</v>
      </c>
      <c r="D2050">
        <f t="shared" si="34"/>
        <v>7.4412242058891724</v>
      </c>
      <c r="E2050">
        <v>4.5527288780971009E-3</v>
      </c>
    </row>
    <row r="2051" spans="2:5" x14ac:dyDescent="0.35">
      <c r="B2051" s="2">
        <v>41466</v>
      </c>
      <c r="C2051" s="4">
        <v>86.26</v>
      </c>
      <c r="D2051">
        <f t="shared" si="34"/>
        <v>-0.9315402258712232</v>
      </c>
      <c r="E2051">
        <v>4.5417491557004919E-3</v>
      </c>
    </row>
    <row r="2052" spans="2:5" x14ac:dyDescent="0.35">
      <c r="B2052" s="2">
        <v>43277</v>
      </c>
      <c r="C2052" s="4">
        <v>1260.01</v>
      </c>
      <c r="D2052">
        <f t="shared" ref="D2052:D2115" si="35">C2052/C2053-1</f>
        <v>15.222608471739409</v>
      </c>
      <c r="E2052">
        <v>4.5363224695453841E-3</v>
      </c>
    </row>
    <row r="2053" spans="2:5" x14ac:dyDescent="0.35">
      <c r="B2053" s="2">
        <v>41527</v>
      </c>
      <c r="C2053" s="4">
        <v>77.67</v>
      </c>
      <c r="D2053">
        <f t="shared" si="35"/>
        <v>0.45777027027027017</v>
      </c>
      <c r="E2053">
        <v>4.5266425245733544E-3</v>
      </c>
    </row>
    <row r="2054" spans="2:5" x14ac:dyDescent="0.35">
      <c r="B2054" s="2">
        <v>39990</v>
      </c>
      <c r="C2054" s="4">
        <v>53.28</v>
      </c>
      <c r="D2054">
        <f t="shared" si="35"/>
        <v>0.84105044920525218</v>
      </c>
      <c r="E2054">
        <v>4.5248868778280382E-3</v>
      </c>
    </row>
    <row r="2055" spans="2:5" x14ac:dyDescent="0.35">
      <c r="B2055" s="2">
        <v>38044</v>
      </c>
      <c r="C2055" s="4">
        <v>28.94</v>
      </c>
      <c r="D2055">
        <f t="shared" si="35"/>
        <v>-0.97014802207437212</v>
      </c>
      <c r="E2055">
        <v>4.5123221103784417E-3</v>
      </c>
    </row>
    <row r="2056" spans="2:5" x14ac:dyDescent="0.35">
      <c r="B2056" s="2">
        <v>43119</v>
      </c>
      <c r="C2056" s="4">
        <v>969.45</v>
      </c>
      <c r="D2056">
        <f t="shared" si="35"/>
        <v>9.5858265996942578</v>
      </c>
      <c r="E2056">
        <v>4.5073049424930733E-3</v>
      </c>
    </row>
    <row r="2057" spans="2:5" x14ac:dyDescent="0.35">
      <c r="B2057" s="2">
        <v>39057</v>
      </c>
      <c r="C2057" s="4">
        <v>91.58</v>
      </c>
      <c r="D2057">
        <f t="shared" si="35"/>
        <v>-0.87830870628255553</v>
      </c>
      <c r="E2057">
        <v>4.4970933421080161E-3</v>
      </c>
    </row>
    <row r="2058" spans="2:5" x14ac:dyDescent="0.35">
      <c r="B2058" s="2">
        <v>43973</v>
      </c>
      <c r="C2058" s="4">
        <v>752.56</v>
      </c>
      <c r="D2058">
        <f t="shared" si="35"/>
        <v>-0.7874868690063368</v>
      </c>
      <c r="E2058">
        <v>4.4713765165973474E-3</v>
      </c>
    </row>
    <row r="2059" spans="2:5" x14ac:dyDescent="0.35">
      <c r="B2059" s="2">
        <v>44340</v>
      </c>
      <c r="C2059" s="4">
        <v>3541.24</v>
      </c>
      <c r="D2059">
        <f t="shared" si="35"/>
        <v>43.865577093627259</v>
      </c>
      <c r="E2059">
        <v>4.4589166988131534E-3</v>
      </c>
    </row>
    <row r="2060" spans="2:5" x14ac:dyDescent="0.35">
      <c r="B2060" s="2">
        <v>41431</v>
      </c>
      <c r="C2060" s="4">
        <v>78.930000000000007</v>
      </c>
      <c r="D2060">
        <f t="shared" si="35"/>
        <v>-0.98709260682572653</v>
      </c>
      <c r="E2060">
        <v>4.4540595571394004E-3</v>
      </c>
    </row>
    <row r="2061" spans="2:5" x14ac:dyDescent="0.35">
      <c r="B2061" s="2">
        <v>45001</v>
      </c>
      <c r="C2061" s="4">
        <v>6115.1</v>
      </c>
      <c r="D2061">
        <f t="shared" si="35"/>
        <v>22.097639282341834</v>
      </c>
      <c r="E2061">
        <v>4.4431303947898293E-3</v>
      </c>
    </row>
    <row r="2062" spans="2:5" x14ac:dyDescent="0.35">
      <c r="B2062" s="2">
        <v>41997</v>
      </c>
      <c r="C2062" s="4">
        <v>264.75</v>
      </c>
      <c r="D2062">
        <f t="shared" si="35"/>
        <v>7.9654588554012857</v>
      </c>
      <c r="E2062">
        <v>4.4388800364216774E-3</v>
      </c>
    </row>
    <row r="2063" spans="2:5" x14ac:dyDescent="0.35">
      <c r="B2063" s="2">
        <v>37909</v>
      </c>
      <c r="C2063" s="4">
        <v>29.53</v>
      </c>
      <c r="D2063">
        <f t="shared" si="35"/>
        <v>-0.5375822110867523</v>
      </c>
      <c r="E2063">
        <v>4.4217687074830092E-3</v>
      </c>
    </row>
    <row r="2064" spans="2:5" x14ac:dyDescent="0.35">
      <c r="B2064" s="2">
        <v>40039</v>
      </c>
      <c r="C2064" s="4">
        <v>63.86</v>
      </c>
      <c r="D2064">
        <f t="shared" si="35"/>
        <v>0.64248971193415616</v>
      </c>
      <c r="E2064">
        <v>4.4039005976721501E-3</v>
      </c>
    </row>
    <row r="2065" spans="2:5" x14ac:dyDescent="0.35">
      <c r="B2065" s="2">
        <v>38196</v>
      </c>
      <c r="C2065" s="4">
        <v>38.880000000000003</v>
      </c>
      <c r="D2065">
        <f t="shared" si="35"/>
        <v>-0.94355564588716934</v>
      </c>
      <c r="E2065">
        <v>4.3916300697495192E-3</v>
      </c>
    </row>
    <row r="2066" spans="2:5" x14ac:dyDescent="0.35">
      <c r="B2066" s="2">
        <v>42758</v>
      </c>
      <c r="C2066" s="4">
        <v>688.82</v>
      </c>
      <c r="D2066">
        <f t="shared" si="35"/>
        <v>5.9413402236269341E-2</v>
      </c>
      <c r="E2066">
        <v>4.3889707061723904E-3</v>
      </c>
    </row>
    <row r="2067" spans="2:5" x14ac:dyDescent="0.35">
      <c r="B2067" s="2">
        <v>42747</v>
      </c>
      <c r="C2067" s="4">
        <v>650.19000000000005</v>
      </c>
      <c r="D2067">
        <f t="shared" si="35"/>
        <v>-0.90016812916004518</v>
      </c>
      <c r="E2067">
        <v>4.387116706572991E-3</v>
      </c>
    </row>
    <row r="2068" spans="2:5" x14ac:dyDescent="0.35">
      <c r="B2068" s="2">
        <v>44981</v>
      </c>
      <c r="C2068" s="4">
        <v>6512.85</v>
      </c>
      <c r="D2068">
        <f t="shared" si="35"/>
        <v>0.11069139701694142</v>
      </c>
      <c r="E2068">
        <v>4.3719639139487843E-3</v>
      </c>
    </row>
    <row r="2069" spans="2:5" x14ac:dyDescent="0.35">
      <c r="B2069" s="2">
        <v>44564</v>
      </c>
      <c r="C2069" s="4">
        <v>5863.78</v>
      </c>
      <c r="D2069">
        <f t="shared" si="35"/>
        <v>75.922209104027274</v>
      </c>
      <c r="E2069">
        <v>4.3711653814664242E-3</v>
      </c>
    </row>
    <row r="2070" spans="2:5" x14ac:dyDescent="0.35">
      <c r="B2070" s="2">
        <v>41509</v>
      </c>
      <c r="C2070" s="4">
        <v>76.23</v>
      </c>
      <c r="D2070">
        <f t="shared" si="35"/>
        <v>-0.28456123885499762</v>
      </c>
      <c r="E2070">
        <v>4.3478260869564966E-3</v>
      </c>
    </row>
    <row r="2071" spans="2:5" x14ac:dyDescent="0.35">
      <c r="B2071" s="2">
        <v>40345</v>
      </c>
      <c r="C2071" s="4">
        <v>106.55</v>
      </c>
      <c r="D2071">
        <f t="shared" si="35"/>
        <v>-0.88573236385474985</v>
      </c>
      <c r="E2071">
        <v>4.3359411820151905E-3</v>
      </c>
    </row>
    <row r="2072" spans="2:5" x14ac:dyDescent="0.35">
      <c r="B2072" s="2">
        <v>43104</v>
      </c>
      <c r="C2072" s="4">
        <v>932.46</v>
      </c>
      <c r="D2072">
        <f t="shared" si="35"/>
        <v>13.86702806122449</v>
      </c>
      <c r="E2072">
        <v>4.3298436086338654E-3</v>
      </c>
    </row>
    <row r="2073" spans="2:5" x14ac:dyDescent="0.35">
      <c r="B2073" s="2">
        <v>38527</v>
      </c>
      <c r="C2073" s="4">
        <v>62.72</v>
      </c>
      <c r="D2073">
        <f t="shared" si="35"/>
        <v>-0.18194861092995962</v>
      </c>
      <c r="E2073">
        <v>4.323458767013566E-3</v>
      </c>
    </row>
    <row r="2074" spans="2:5" x14ac:dyDescent="0.35">
      <c r="B2074" s="2">
        <v>38980</v>
      </c>
      <c r="C2074" s="4">
        <v>76.67</v>
      </c>
      <c r="D2074">
        <f t="shared" si="35"/>
        <v>-0.92132859957314073</v>
      </c>
      <c r="E2074">
        <v>4.3227665706051521E-3</v>
      </c>
    </row>
    <row r="2075" spans="2:5" x14ac:dyDescent="0.35">
      <c r="B2075" s="2">
        <v>43438</v>
      </c>
      <c r="C2075" s="4">
        <v>974.56</v>
      </c>
      <c r="D2075">
        <f t="shared" si="35"/>
        <v>9.623065184216264</v>
      </c>
      <c r="E2075">
        <v>4.3179405793665193E-3</v>
      </c>
    </row>
    <row r="2076" spans="2:5" x14ac:dyDescent="0.35">
      <c r="B2076" s="2">
        <v>41318</v>
      </c>
      <c r="C2076" s="4">
        <v>91.74</v>
      </c>
      <c r="D2076">
        <f t="shared" si="35"/>
        <v>-0.17119884361730964</v>
      </c>
      <c r="E2076">
        <v>4.2692939244663997E-3</v>
      </c>
    </row>
    <row r="2077" spans="2:5" x14ac:dyDescent="0.35">
      <c r="B2077" s="2">
        <v>39304</v>
      </c>
      <c r="C2077" s="4">
        <v>110.69</v>
      </c>
      <c r="D2077">
        <f t="shared" si="35"/>
        <v>-9.7145187601957561E-2</v>
      </c>
      <c r="E2077">
        <v>4.2641988749771986E-3</v>
      </c>
    </row>
    <row r="2078" spans="2:5" x14ac:dyDescent="0.35">
      <c r="B2078" s="2">
        <v>39238</v>
      </c>
      <c r="C2078" s="4">
        <v>122.6</v>
      </c>
      <c r="D2078">
        <f t="shared" si="35"/>
        <v>-0.98488994059503565</v>
      </c>
      <c r="E2078">
        <v>4.2595019659239508E-3</v>
      </c>
    </row>
    <row r="2079" spans="2:5" x14ac:dyDescent="0.35">
      <c r="B2079" s="2">
        <v>44762</v>
      </c>
      <c r="C2079" s="4">
        <v>8113.8</v>
      </c>
      <c r="D2079">
        <f t="shared" si="35"/>
        <v>244.42649727767693</v>
      </c>
      <c r="E2079">
        <v>4.2577419115281678E-3</v>
      </c>
    </row>
    <row r="2080" spans="2:5" x14ac:dyDescent="0.35">
      <c r="B2080" s="2">
        <v>37503</v>
      </c>
      <c r="C2080" s="4">
        <v>33.06</v>
      </c>
      <c r="D2080">
        <f t="shared" si="35"/>
        <v>-0.86806082132737361</v>
      </c>
      <c r="E2080">
        <v>4.2527339003646247E-3</v>
      </c>
    </row>
    <row r="2081" spans="2:5" x14ac:dyDescent="0.35">
      <c r="B2081" s="2">
        <v>41814</v>
      </c>
      <c r="C2081" s="4">
        <v>250.57</v>
      </c>
      <c r="D2081">
        <f t="shared" si="35"/>
        <v>10.708878504672898</v>
      </c>
      <c r="E2081">
        <v>4.2483267203718977E-3</v>
      </c>
    </row>
    <row r="2082" spans="2:5" x14ac:dyDescent="0.35">
      <c r="B2082" s="2">
        <v>37767</v>
      </c>
      <c r="C2082" s="4">
        <v>21.4</v>
      </c>
      <c r="D2082">
        <f t="shared" si="35"/>
        <v>-0.97500350418165682</v>
      </c>
      <c r="E2082">
        <v>4.2233693101829672E-3</v>
      </c>
    </row>
    <row r="2083" spans="2:5" x14ac:dyDescent="0.35">
      <c r="B2083" s="2">
        <v>44005</v>
      </c>
      <c r="C2083" s="4">
        <v>856.12</v>
      </c>
      <c r="D2083">
        <f t="shared" si="35"/>
        <v>-0.10539405212230146</v>
      </c>
      <c r="E2083">
        <v>4.2227748322620773E-3</v>
      </c>
    </row>
    <row r="2084" spans="2:5" x14ac:dyDescent="0.35">
      <c r="B2084" s="2">
        <v>43196</v>
      </c>
      <c r="C2084" s="4">
        <v>956.98</v>
      </c>
      <c r="D2084">
        <f t="shared" si="35"/>
        <v>-0.42768803860943827</v>
      </c>
      <c r="E2084">
        <v>4.2184351914036355E-3</v>
      </c>
    </row>
    <row r="2085" spans="2:5" x14ac:dyDescent="0.35">
      <c r="B2085" s="2">
        <v>44168</v>
      </c>
      <c r="C2085" s="4">
        <v>1672.13</v>
      </c>
      <c r="D2085">
        <f t="shared" si="35"/>
        <v>-0.72534226887098496</v>
      </c>
      <c r="E2085">
        <v>4.215937685798643E-3</v>
      </c>
    </row>
    <row r="2086" spans="2:5" x14ac:dyDescent="0.35">
      <c r="B2086" s="2">
        <v>45000</v>
      </c>
      <c r="C2086" s="4">
        <v>6088.05</v>
      </c>
      <c r="D2086">
        <f t="shared" si="35"/>
        <v>211.79447745543519</v>
      </c>
      <c r="E2086">
        <v>4.2144329896907085E-3</v>
      </c>
    </row>
    <row r="2087" spans="2:5" x14ac:dyDescent="0.35">
      <c r="B2087" s="2">
        <v>37944</v>
      </c>
      <c r="C2087" s="4">
        <v>28.61</v>
      </c>
      <c r="D2087">
        <f t="shared" si="35"/>
        <v>-0.99536788932153586</v>
      </c>
      <c r="E2087">
        <v>4.2120042120041834E-3</v>
      </c>
    </row>
    <row r="2088" spans="2:5" x14ac:dyDescent="0.35">
      <c r="B2088" s="2">
        <v>44988</v>
      </c>
      <c r="C2088" s="4">
        <v>6176.45</v>
      </c>
      <c r="D2088">
        <f t="shared" si="35"/>
        <v>183.97903563941298</v>
      </c>
      <c r="E2088">
        <v>4.2110055198314456E-3</v>
      </c>
    </row>
    <row r="2089" spans="2:5" x14ac:dyDescent="0.35">
      <c r="B2089" s="2">
        <v>39828</v>
      </c>
      <c r="C2089" s="4">
        <v>33.39</v>
      </c>
      <c r="D2089">
        <f t="shared" si="35"/>
        <v>-0.87834292793121038</v>
      </c>
      <c r="E2089">
        <v>4.2105263157894424E-3</v>
      </c>
    </row>
    <row r="2090" spans="2:5" x14ac:dyDescent="0.35">
      <c r="B2090" s="2">
        <v>41856</v>
      </c>
      <c r="C2090" s="4">
        <v>274.45999999999998</v>
      </c>
      <c r="D2090">
        <f t="shared" si="35"/>
        <v>1.667249757045675</v>
      </c>
      <c r="E2090">
        <v>4.2076762650469224E-3</v>
      </c>
    </row>
    <row r="2091" spans="2:5" x14ac:dyDescent="0.35">
      <c r="B2091" s="2">
        <v>39372</v>
      </c>
      <c r="C2091" s="4">
        <v>102.9</v>
      </c>
      <c r="D2091">
        <f t="shared" si="35"/>
        <v>-0.87183958151700081</v>
      </c>
      <c r="E2091">
        <v>4.1963501512638501E-3</v>
      </c>
    </row>
    <row r="2092" spans="2:5" x14ac:dyDescent="0.35">
      <c r="B2092" s="2">
        <v>43837</v>
      </c>
      <c r="C2092" s="4">
        <v>802.9</v>
      </c>
      <c r="D2092">
        <f t="shared" si="35"/>
        <v>2.3806791374979319E-2</v>
      </c>
      <c r="E2092">
        <v>4.1898567944469445E-3</v>
      </c>
    </row>
    <row r="2093" spans="2:5" x14ac:dyDescent="0.35">
      <c r="B2093" s="2">
        <v>43039</v>
      </c>
      <c r="C2093" s="4">
        <v>784.23</v>
      </c>
      <c r="D2093">
        <f t="shared" si="35"/>
        <v>1.7924440962825812</v>
      </c>
      <c r="E2093">
        <v>4.1871542716656052E-3</v>
      </c>
    </row>
    <row r="2094" spans="2:5" x14ac:dyDescent="0.35">
      <c r="B2094" s="2">
        <v>41886</v>
      </c>
      <c r="C2094" s="4">
        <v>280.83999999999997</v>
      </c>
      <c r="D2094">
        <f t="shared" si="35"/>
        <v>1.8476982356519973</v>
      </c>
      <c r="E2094">
        <v>4.1835019844815857E-3</v>
      </c>
    </row>
    <row r="2095" spans="2:5" x14ac:dyDescent="0.35">
      <c r="B2095" s="2">
        <v>41177</v>
      </c>
      <c r="C2095" s="4">
        <v>98.62</v>
      </c>
      <c r="D2095">
        <f t="shared" si="35"/>
        <v>-0.92645951246429981</v>
      </c>
      <c r="E2095">
        <v>4.1747276244783471E-3</v>
      </c>
    </row>
    <row r="2096" spans="2:5" x14ac:dyDescent="0.35">
      <c r="B2096" s="2">
        <v>43339</v>
      </c>
      <c r="C2096" s="4">
        <v>1341.03</v>
      </c>
      <c r="D2096">
        <f t="shared" si="35"/>
        <v>9.6617109238352672</v>
      </c>
      <c r="E2096">
        <v>4.1558091472728709E-3</v>
      </c>
    </row>
    <row r="2097" spans="2:5" x14ac:dyDescent="0.35">
      <c r="B2097" s="2">
        <v>40289</v>
      </c>
      <c r="C2097" s="4">
        <v>125.78</v>
      </c>
      <c r="D2097">
        <f t="shared" si="35"/>
        <v>-0.95512184679059475</v>
      </c>
      <c r="E2097">
        <v>4.1513651604661028E-3</v>
      </c>
    </row>
    <row r="2098" spans="2:5" x14ac:dyDescent="0.35">
      <c r="B2098" s="2">
        <v>44238</v>
      </c>
      <c r="C2098" s="4">
        <v>2802.7</v>
      </c>
      <c r="D2098">
        <f t="shared" si="35"/>
        <v>24.663400787473673</v>
      </c>
      <c r="E2098">
        <v>4.1416768775481838E-3</v>
      </c>
    </row>
    <row r="2099" spans="2:5" x14ac:dyDescent="0.35">
      <c r="B2099" s="2">
        <v>39297</v>
      </c>
      <c r="C2099" s="4">
        <v>109.21</v>
      </c>
      <c r="D2099">
        <f t="shared" si="35"/>
        <v>-0.86167194426852434</v>
      </c>
      <c r="E2099">
        <v>4.1375505700624871E-3</v>
      </c>
    </row>
    <row r="2100" spans="2:5" x14ac:dyDescent="0.35">
      <c r="B2100" s="2">
        <v>43789</v>
      </c>
      <c r="C2100" s="4">
        <v>789.5</v>
      </c>
      <c r="D2100">
        <f t="shared" si="35"/>
        <v>13.674721189591079</v>
      </c>
      <c r="E2100">
        <v>4.1335453100159736E-3</v>
      </c>
    </row>
    <row r="2101" spans="2:5" x14ac:dyDescent="0.35">
      <c r="B2101" s="2">
        <v>39988</v>
      </c>
      <c r="C2101" s="4">
        <v>53.8</v>
      </c>
      <c r="D2101">
        <f t="shared" si="35"/>
        <v>-0.3147369761813783</v>
      </c>
      <c r="E2101">
        <v>4.1060097051137667E-3</v>
      </c>
    </row>
    <row r="2102" spans="2:5" x14ac:dyDescent="0.35">
      <c r="B2102" s="2">
        <v>38958</v>
      </c>
      <c r="C2102" s="4">
        <v>78.510000000000005</v>
      </c>
      <c r="D2102">
        <f t="shared" si="35"/>
        <v>-0.7046608734905766</v>
      </c>
      <c r="E2102">
        <v>4.0925949609924572E-3</v>
      </c>
    </row>
    <row r="2103" spans="2:5" x14ac:dyDescent="0.35">
      <c r="B2103" s="2">
        <v>41999</v>
      </c>
      <c r="C2103" s="4">
        <v>265.83</v>
      </c>
      <c r="D2103">
        <f t="shared" si="35"/>
        <v>1.5035788284045957</v>
      </c>
      <c r="E2103">
        <v>4.0793201133144663E-3</v>
      </c>
    </row>
    <row r="2104" spans="2:5" x14ac:dyDescent="0.35">
      <c r="B2104" s="2">
        <v>39324</v>
      </c>
      <c r="C2104" s="4">
        <v>106.18</v>
      </c>
      <c r="D2104">
        <f t="shared" si="35"/>
        <v>-0.61140389401258965</v>
      </c>
      <c r="E2104">
        <v>4.0661938534278796E-3</v>
      </c>
    </row>
    <row r="2105" spans="2:5" x14ac:dyDescent="0.35">
      <c r="B2105" s="2">
        <v>42006</v>
      </c>
      <c r="C2105" s="4">
        <v>273.24</v>
      </c>
      <c r="D2105">
        <f t="shared" si="35"/>
        <v>-0.62967581047381549</v>
      </c>
      <c r="E2105">
        <v>4.0420371867422311E-3</v>
      </c>
    </row>
    <row r="2106" spans="2:5" x14ac:dyDescent="0.35">
      <c r="B2106" s="2">
        <v>42914</v>
      </c>
      <c r="C2106" s="4">
        <v>737.84</v>
      </c>
      <c r="D2106">
        <f t="shared" si="35"/>
        <v>-0.91404673702849426</v>
      </c>
      <c r="E2106">
        <v>4.0278684955368238E-3</v>
      </c>
    </row>
    <row r="2107" spans="2:5" x14ac:dyDescent="0.35">
      <c r="B2107" s="2">
        <v>44844</v>
      </c>
      <c r="C2107" s="4">
        <v>8584.2000000000007</v>
      </c>
      <c r="D2107">
        <f t="shared" si="35"/>
        <v>99.177383592017748</v>
      </c>
      <c r="E2107">
        <v>3.9941286893061534E-3</v>
      </c>
    </row>
    <row r="2108" spans="2:5" x14ac:dyDescent="0.35">
      <c r="B2108" s="2">
        <v>40837</v>
      </c>
      <c r="C2108" s="4">
        <v>85.69</v>
      </c>
      <c r="D2108">
        <f t="shared" si="35"/>
        <v>-0.90569422433527025</v>
      </c>
      <c r="E2108">
        <v>3.983596953720081E-3</v>
      </c>
    </row>
    <row r="2109" spans="2:5" x14ac:dyDescent="0.35">
      <c r="B2109" s="2">
        <v>43138</v>
      </c>
      <c r="C2109" s="4">
        <v>908.64</v>
      </c>
      <c r="D2109">
        <f t="shared" si="35"/>
        <v>28.899308983218162</v>
      </c>
      <c r="E2109">
        <v>3.9666316778079747E-3</v>
      </c>
    </row>
    <row r="2110" spans="2:5" x14ac:dyDescent="0.35">
      <c r="B2110" s="2">
        <v>38119</v>
      </c>
      <c r="C2110" s="4">
        <v>30.39</v>
      </c>
      <c r="D2110">
        <f t="shared" si="35"/>
        <v>-0.63786939942802667</v>
      </c>
      <c r="E2110">
        <v>3.964321110009994E-3</v>
      </c>
    </row>
    <row r="2111" spans="2:5" x14ac:dyDescent="0.35">
      <c r="B2111" s="2">
        <v>40935</v>
      </c>
      <c r="C2111" s="4">
        <v>83.92</v>
      </c>
      <c r="D2111">
        <f t="shared" si="35"/>
        <v>-0.9911650602980423</v>
      </c>
      <c r="E2111">
        <v>3.9478406507955643E-3</v>
      </c>
    </row>
    <row r="2112" spans="2:5" x14ac:dyDescent="0.35">
      <c r="B2112" s="2">
        <v>44784</v>
      </c>
      <c r="C2112" s="4">
        <v>9498.65</v>
      </c>
      <c r="D2112">
        <f t="shared" si="35"/>
        <v>12.089850478881003</v>
      </c>
      <c r="E2112">
        <v>3.9264387253605815E-3</v>
      </c>
    </row>
    <row r="2113" spans="2:5" x14ac:dyDescent="0.35">
      <c r="B2113" s="2">
        <v>42615</v>
      </c>
      <c r="C2113" s="4">
        <v>725.65</v>
      </c>
      <c r="D2113">
        <f t="shared" si="35"/>
        <v>13.12594899746934</v>
      </c>
      <c r="E2113">
        <v>3.9152209402062432E-3</v>
      </c>
    </row>
    <row r="2114" spans="2:5" x14ac:dyDescent="0.35">
      <c r="B2114" s="2">
        <v>38289</v>
      </c>
      <c r="C2114" s="4">
        <v>51.37</v>
      </c>
      <c r="D2114">
        <f t="shared" si="35"/>
        <v>-0.46113500472044477</v>
      </c>
      <c r="E2114">
        <v>3.9085401602501069E-3</v>
      </c>
    </row>
    <row r="2115" spans="2:5" x14ac:dyDescent="0.35">
      <c r="B2115" s="2">
        <v>41309</v>
      </c>
      <c r="C2115" s="4">
        <v>95.33</v>
      </c>
      <c r="D2115">
        <f t="shared" si="35"/>
        <v>0.84999029691441863</v>
      </c>
      <c r="E2115">
        <v>3.8963774220726055E-3</v>
      </c>
    </row>
    <row r="2116" spans="2:5" x14ac:dyDescent="0.35">
      <c r="B2116" s="2">
        <v>38279</v>
      </c>
      <c r="C2116" s="4">
        <v>51.53</v>
      </c>
      <c r="D2116">
        <f t="shared" ref="D2116:D2179" si="36">C2116/C2117-1</f>
        <v>-0.70611383597581834</v>
      </c>
      <c r="E2116">
        <v>3.8963569062926418E-3</v>
      </c>
    </row>
    <row r="2117" spans="2:5" x14ac:dyDescent="0.35">
      <c r="B2117" s="2">
        <v>41649</v>
      </c>
      <c r="C2117" s="4">
        <v>175.34</v>
      </c>
      <c r="D2117">
        <f t="shared" si="36"/>
        <v>-0.61053730481330937</v>
      </c>
      <c r="E2117">
        <v>3.8932783694034523E-3</v>
      </c>
    </row>
    <row r="2118" spans="2:5" x14ac:dyDescent="0.35">
      <c r="B2118" s="2">
        <v>42054</v>
      </c>
      <c r="C2118" s="4">
        <v>450.21</v>
      </c>
      <c r="D2118">
        <f t="shared" si="36"/>
        <v>-0.50438688228624273</v>
      </c>
      <c r="E2118">
        <v>3.8798581844938784E-3</v>
      </c>
    </row>
    <row r="2119" spans="2:5" x14ac:dyDescent="0.35">
      <c r="B2119" s="2">
        <v>43560</v>
      </c>
      <c r="C2119" s="4">
        <v>908.39</v>
      </c>
      <c r="D2119">
        <f t="shared" si="36"/>
        <v>10.594001276324187</v>
      </c>
      <c r="E2119">
        <v>3.8456863113458528E-3</v>
      </c>
    </row>
    <row r="2120" spans="2:5" x14ac:dyDescent="0.35">
      <c r="B2120" s="2">
        <v>38996</v>
      </c>
      <c r="C2120" s="4">
        <v>78.349999999999994</v>
      </c>
      <c r="D2120">
        <f t="shared" si="36"/>
        <v>-0.8953547387541404</v>
      </c>
      <c r="E2120">
        <v>3.8436899423446302E-3</v>
      </c>
    </row>
    <row r="2121" spans="2:5" x14ac:dyDescent="0.35">
      <c r="B2121" s="2">
        <v>43956</v>
      </c>
      <c r="C2121" s="4">
        <v>748.72</v>
      </c>
      <c r="D2121">
        <f t="shared" si="36"/>
        <v>8.5075555555555553</v>
      </c>
      <c r="E2121">
        <v>3.8344997720751728E-3</v>
      </c>
    </row>
    <row r="2122" spans="2:5" x14ac:dyDescent="0.35">
      <c r="B2122" s="2">
        <v>41459</v>
      </c>
      <c r="C2122" s="4">
        <v>78.75</v>
      </c>
      <c r="D2122">
        <f t="shared" si="36"/>
        <v>-0.91282062636304262</v>
      </c>
      <c r="E2122">
        <v>3.8240917782026429E-3</v>
      </c>
    </row>
    <row r="2123" spans="2:5" x14ac:dyDescent="0.35">
      <c r="B2123" s="2">
        <v>43536</v>
      </c>
      <c r="C2123" s="4">
        <v>903.31</v>
      </c>
      <c r="D2123">
        <f t="shared" si="36"/>
        <v>9.725599620042745</v>
      </c>
      <c r="E2123">
        <v>3.8227744007466313E-3</v>
      </c>
    </row>
    <row r="2124" spans="2:5" x14ac:dyDescent="0.35">
      <c r="B2124" s="2">
        <v>40863</v>
      </c>
      <c r="C2124" s="4">
        <v>84.22</v>
      </c>
      <c r="D2124">
        <f t="shared" si="36"/>
        <v>0.14011100582103686</v>
      </c>
      <c r="E2124">
        <v>3.8140643623361115E-3</v>
      </c>
    </row>
    <row r="2125" spans="2:5" x14ac:dyDescent="0.35">
      <c r="B2125" s="2">
        <v>38593</v>
      </c>
      <c r="C2125" s="4">
        <v>73.87</v>
      </c>
      <c r="D2125">
        <f t="shared" si="36"/>
        <v>-6.6826680141485517E-2</v>
      </c>
      <c r="E2125">
        <v>3.8048647914119549E-3</v>
      </c>
    </row>
    <row r="2126" spans="2:5" x14ac:dyDescent="0.35">
      <c r="B2126" s="2">
        <v>41463</v>
      </c>
      <c r="C2126" s="4">
        <v>79.16</v>
      </c>
      <c r="D2126">
        <f t="shared" si="36"/>
        <v>-0.97802356442460381</v>
      </c>
      <c r="E2126">
        <v>3.8042099923916162E-3</v>
      </c>
    </row>
    <row r="2127" spans="2:5" x14ac:dyDescent="0.35">
      <c r="B2127" s="2">
        <v>44347</v>
      </c>
      <c r="C2127" s="4">
        <v>3602.04</v>
      </c>
      <c r="D2127">
        <f t="shared" si="36"/>
        <v>3.3995993746335742</v>
      </c>
      <c r="E2127">
        <v>3.8011369969903619E-3</v>
      </c>
    </row>
    <row r="2128" spans="2:5" x14ac:dyDescent="0.35">
      <c r="B2128" s="2">
        <v>42947</v>
      </c>
      <c r="C2128" s="4">
        <v>818.72</v>
      </c>
      <c r="D2128">
        <f t="shared" si="36"/>
        <v>-0.8758913412563667</v>
      </c>
      <c r="E2128">
        <v>3.8007895833844785E-3</v>
      </c>
    </row>
    <row r="2129" spans="2:5" x14ac:dyDescent="0.35">
      <c r="B2129" s="2">
        <v>44971</v>
      </c>
      <c r="C2129" s="4">
        <v>6596.8</v>
      </c>
      <c r="D2129">
        <f t="shared" si="36"/>
        <v>223</v>
      </c>
      <c r="E2129">
        <v>3.7812217074080223E-3</v>
      </c>
    </row>
    <row r="2130" spans="2:5" x14ac:dyDescent="0.35">
      <c r="B2130" s="2">
        <v>37536</v>
      </c>
      <c r="C2130" s="4">
        <v>29.45</v>
      </c>
      <c r="D2130">
        <f t="shared" si="36"/>
        <v>-0.63388861263053209</v>
      </c>
      <c r="E2130">
        <v>3.7491479209270651E-3</v>
      </c>
    </row>
    <row r="2131" spans="2:5" x14ac:dyDescent="0.35">
      <c r="B2131" s="2">
        <v>41442</v>
      </c>
      <c r="C2131" s="4">
        <v>80.44</v>
      </c>
      <c r="D2131">
        <f t="shared" si="36"/>
        <v>-0.16909410184898255</v>
      </c>
      <c r="E2131">
        <v>3.7434489643124458E-3</v>
      </c>
    </row>
    <row r="2132" spans="2:5" x14ac:dyDescent="0.35">
      <c r="B2132" s="2">
        <v>39094</v>
      </c>
      <c r="C2132" s="4">
        <v>96.81</v>
      </c>
      <c r="D2132">
        <f t="shared" si="36"/>
        <v>-0.88425256160403642</v>
      </c>
      <c r="E2132">
        <v>3.7325038880249295E-3</v>
      </c>
    </row>
    <row r="2133" spans="2:5" x14ac:dyDescent="0.35">
      <c r="B2133" s="2">
        <v>43614</v>
      </c>
      <c r="C2133" s="4">
        <v>836.39</v>
      </c>
      <c r="D2133">
        <f t="shared" si="36"/>
        <v>0.17166071303495123</v>
      </c>
      <c r="E2133">
        <v>3.7322388632872183E-3</v>
      </c>
    </row>
    <row r="2134" spans="2:5" x14ac:dyDescent="0.35">
      <c r="B2134" s="2">
        <v>42620</v>
      </c>
      <c r="C2134" s="4">
        <v>713.85</v>
      </c>
      <c r="D2134">
        <f t="shared" si="36"/>
        <v>-0.73577453945152449</v>
      </c>
      <c r="E2134">
        <v>3.711983802252572E-3</v>
      </c>
    </row>
    <row r="2135" spans="2:5" x14ac:dyDescent="0.35">
      <c r="B2135" s="2">
        <v>44278</v>
      </c>
      <c r="C2135" s="4">
        <v>2701.67</v>
      </c>
      <c r="D2135">
        <f t="shared" si="36"/>
        <v>38.912394740729802</v>
      </c>
      <c r="E2135">
        <v>3.7114367235333567E-3</v>
      </c>
    </row>
    <row r="2136" spans="2:5" x14ac:dyDescent="0.35">
      <c r="B2136" s="2">
        <v>38664</v>
      </c>
      <c r="C2136" s="4">
        <v>67.69</v>
      </c>
      <c r="D2136">
        <f t="shared" si="36"/>
        <v>-0.21962185842748438</v>
      </c>
      <c r="E2136">
        <v>3.7069988137603538E-3</v>
      </c>
    </row>
    <row r="2137" spans="2:5" x14ac:dyDescent="0.35">
      <c r="B2137" s="2">
        <v>40924</v>
      </c>
      <c r="C2137" s="4">
        <v>86.74</v>
      </c>
      <c r="D2137">
        <f t="shared" si="36"/>
        <v>0.13966627250032837</v>
      </c>
      <c r="E2137">
        <v>3.7028465632955587E-3</v>
      </c>
    </row>
    <row r="2138" spans="2:5" x14ac:dyDescent="0.35">
      <c r="B2138" s="2">
        <v>41451</v>
      </c>
      <c r="C2138" s="4">
        <v>76.11</v>
      </c>
      <c r="D2138">
        <f t="shared" si="36"/>
        <v>-0.84479066827089744</v>
      </c>
      <c r="E2138">
        <v>3.6924699986813359E-3</v>
      </c>
    </row>
    <row r="2139" spans="2:5" x14ac:dyDescent="0.35">
      <c r="B2139" s="2">
        <v>42170</v>
      </c>
      <c r="C2139" s="4">
        <v>490.37</v>
      </c>
      <c r="D2139">
        <f t="shared" si="36"/>
        <v>0.78751868187948837</v>
      </c>
      <c r="E2139">
        <v>3.6842212988927869E-3</v>
      </c>
    </row>
    <row r="2140" spans="2:5" x14ac:dyDescent="0.35">
      <c r="B2140" s="2">
        <v>41820</v>
      </c>
      <c r="C2140" s="4">
        <v>274.33</v>
      </c>
      <c r="D2140">
        <f t="shared" si="36"/>
        <v>-0.96081363873354619</v>
      </c>
      <c r="E2140">
        <v>3.6585812022098541E-3</v>
      </c>
    </row>
    <row r="2141" spans="2:5" x14ac:dyDescent="0.35">
      <c r="B2141" s="2">
        <v>44880</v>
      </c>
      <c r="C2141" s="4">
        <v>7000.65</v>
      </c>
      <c r="D2141">
        <f t="shared" si="36"/>
        <v>7.4207202655889137</v>
      </c>
      <c r="E2141">
        <v>3.6414465431346965E-3</v>
      </c>
    </row>
    <row r="2142" spans="2:5" x14ac:dyDescent="0.35">
      <c r="B2142" s="2">
        <v>43816</v>
      </c>
      <c r="C2142" s="4">
        <v>831.36</v>
      </c>
      <c r="D2142">
        <f t="shared" si="36"/>
        <v>8.1187890753537353</v>
      </c>
      <c r="E2142">
        <v>3.6337297036277416E-3</v>
      </c>
    </row>
    <row r="2143" spans="2:5" x14ac:dyDescent="0.35">
      <c r="B2143" s="2">
        <v>39056</v>
      </c>
      <c r="C2143" s="4">
        <v>91.17</v>
      </c>
      <c r="D2143">
        <f t="shared" si="36"/>
        <v>-0.88866500586166475</v>
      </c>
      <c r="E2143">
        <v>3.6327608982826831E-3</v>
      </c>
    </row>
    <row r="2144" spans="2:5" x14ac:dyDescent="0.35">
      <c r="B2144" s="2">
        <v>43634</v>
      </c>
      <c r="C2144" s="4">
        <v>818.88</v>
      </c>
      <c r="D2144">
        <f t="shared" si="36"/>
        <v>-0.11715810468438359</v>
      </c>
      <c r="E2144">
        <v>3.6278066477106741E-3</v>
      </c>
    </row>
    <row r="2145" spans="2:5" x14ac:dyDescent="0.35">
      <c r="B2145" s="2">
        <v>43543</v>
      </c>
      <c r="C2145" s="4">
        <v>927.55</v>
      </c>
      <c r="D2145">
        <f t="shared" si="36"/>
        <v>3.7887858205865488E-2</v>
      </c>
      <c r="E2145">
        <v>3.6138972744288456E-3</v>
      </c>
    </row>
    <row r="2146" spans="2:5" x14ac:dyDescent="0.35">
      <c r="B2146" s="2">
        <v>42478</v>
      </c>
      <c r="C2146" s="4">
        <v>893.69</v>
      </c>
      <c r="D2146">
        <f t="shared" si="36"/>
        <v>7.4135755978158553</v>
      </c>
      <c r="E2146">
        <v>3.6047974126314219E-3</v>
      </c>
    </row>
    <row r="2147" spans="2:5" x14ac:dyDescent="0.35">
      <c r="B2147" s="2">
        <v>39370</v>
      </c>
      <c r="C2147" s="4">
        <v>106.22</v>
      </c>
      <c r="D2147">
        <f t="shared" si="36"/>
        <v>-0.88531634636147705</v>
      </c>
      <c r="E2147">
        <v>3.5903250188964453E-3</v>
      </c>
    </row>
    <row r="2148" spans="2:5" x14ac:dyDescent="0.35">
      <c r="B2148" s="2">
        <v>43152</v>
      </c>
      <c r="C2148" s="4">
        <v>926.2</v>
      </c>
      <c r="D2148">
        <f t="shared" si="36"/>
        <v>0.33377494887820069</v>
      </c>
      <c r="E2148">
        <v>3.5865596116546605E-3</v>
      </c>
    </row>
    <row r="2149" spans="2:5" x14ac:dyDescent="0.35">
      <c r="B2149" s="2">
        <v>42775</v>
      </c>
      <c r="C2149" s="4">
        <v>694.42</v>
      </c>
      <c r="D2149">
        <f t="shared" si="36"/>
        <v>7.2453099026359524</v>
      </c>
      <c r="E2149">
        <v>3.5841257912534452E-3</v>
      </c>
    </row>
    <row r="2150" spans="2:5" x14ac:dyDescent="0.35">
      <c r="B2150" s="2">
        <v>40938</v>
      </c>
      <c r="C2150" s="4">
        <v>84.22</v>
      </c>
      <c r="D2150">
        <f t="shared" si="36"/>
        <v>-2.2509181376614285E-3</v>
      </c>
      <c r="E2150">
        <v>3.5748331744518413E-3</v>
      </c>
    </row>
    <row r="2151" spans="2:5" x14ac:dyDescent="0.35">
      <c r="B2151" s="2">
        <v>41046</v>
      </c>
      <c r="C2151" s="4">
        <v>84.41</v>
      </c>
      <c r="D2151">
        <f t="shared" si="36"/>
        <v>-0.944385146531731</v>
      </c>
      <c r="E2151">
        <v>3.5667578171441061E-3</v>
      </c>
    </row>
    <row r="2152" spans="2:5" x14ac:dyDescent="0.35">
      <c r="B2152" s="2">
        <v>44139</v>
      </c>
      <c r="C2152" s="4">
        <v>1517.76</v>
      </c>
      <c r="D2152">
        <f t="shared" si="36"/>
        <v>16.361702127659573</v>
      </c>
      <c r="E2152">
        <v>3.5639426859830348E-3</v>
      </c>
    </row>
    <row r="2153" spans="2:5" x14ac:dyDescent="0.35">
      <c r="B2153" s="2">
        <v>41568</v>
      </c>
      <c r="C2153" s="4">
        <v>87.42</v>
      </c>
      <c r="D2153">
        <f t="shared" si="36"/>
        <v>-0.14386445989619034</v>
      </c>
      <c r="E2153">
        <v>3.558718861210064E-3</v>
      </c>
    </row>
    <row r="2154" spans="2:5" x14ac:dyDescent="0.35">
      <c r="B2154" s="2">
        <v>40438</v>
      </c>
      <c r="C2154" s="4">
        <v>102.11</v>
      </c>
      <c r="D2154">
        <f t="shared" si="36"/>
        <v>-0.88607990360693045</v>
      </c>
      <c r="E2154">
        <v>3.5380835380836029E-3</v>
      </c>
    </row>
    <row r="2155" spans="2:5" x14ac:dyDescent="0.35">
      <c r="B2155" s="2">
        <v>42482</v>
      </c>
      <c r="C2155" s="4">
        <v>896.33</v>
      </c>
      <c r="D2155">
        <f t="shared" si="36"/>
        <v>-0.89721693461459073</v>
      </c>
      <c r="E2155">
        <v>3.5379602987113401E-3</v>
      </c>
    </row>
    <row r="2156" spans="2:5" x14ac:dyDescent="0.35">
      <c r="B2156" s="2">
        <v>44774</v>
      </c>
      <c r="C2156" s="4">
        <v>8720.6</v>
      </c>
      <c r="D2156">
        <f t="shared" si="36"/>
        <v>9.5535385806951307</v>
      </c>
      <c r="E2156">
        <v>3.5155148704553163E-3</v>
      </c>
    </row>
    <row r="2157" spans="2:5" x14ac:dyDescent="0.35">
      <c r="B2157" s="2">
        <v>42536</v>
      </c>
      <c r="C2157" s="4">
        <v>826.32</v>
      </c>
      <c r="D2157">
        <f t="shared" si="36"/>
        <v>6.57930376236604E-2</v>
      </c>
      <c r="E2157">
        <v>3.509709386347426E-3</v>
      </c>
    </row>
    <row r="2158" spans="2:5" x14ac:dyDescent="0.35">
      <c r="B2158" s="2">
        <v>43014</v>
      </c>
      <c r="C2158" s="4">
        <v>775.31</v>
      </c>
      <c r="D2158">
        <f t="shared" si="36"/>
        <v>-0.88415240941352258</v>
      </c>
      <c r="E2158">
        <v>3.4946480112862943E-3</v>
      </c>
    </row>
    <row r="2159" spans="2:5" x14ac:dyDescent="0.35">
      <c r="B2159" s="2">
        <v>44964</v>
      </c>
      <c r="C2159" s="4">
        <v>6692.5</v>
      </c>
      <c r="D2159">
        <f t="shared" si="36"/>
        <v>6.8502557124759536</v>
      </c>
      <c r="E2159">
        <v>3.493672404486281E-3</v>
      </c>
    </row>
    <row r="2160" spans="2:5" x14ac:dyDescent="0.35">
      <c r="B2160" s="2">
        <v>44004</v>
      </c>
      <c r="C2160" s="4">
        <v>852.52</v>
      </c>
      <c r="D2160">
        <f t="shared" si="36"/>
        <v>-0.14980952190996677</v>
      </c>
      <c r="E2160">
        <v>3.4841565045435896E-3</v>
      </c>
    </row>
    <row r="2161" spans="2:5" x14ac:dyDescent="0.35">
      <c r="B2161" s="2">
        <v>43203</v>
      </c>
      <c r="C2161" s="4">
        <v>1002.74</v>
      </c>
      <c r="D2161">
        <f t="shared" si="36"/>
        <v>15.427588466579294</v>
      </c>
      <c r="E2161">
        <v>3.4524512403806273E-3</v>
      </c>
    </row>
    <row r="2162" spans="2:5" x14ac:dyDescent="0.35">
      <c r="B2162" s="2">
        <v>38933</v>
      </c>
      <c r="C2162" s="4">
        <v>61.04</v>
      </c>
      <c r="D2162">
        <f t="shared" si="36"/>
        <v>-0.95782986866739894</v>
      </c>
      <c r="E2162">
        <v>3.4522439585731313E-3</v>
      </c>
    </row>
    <row r="2163" spans="2:5" x14ac:dyDescent="0.35">
      <c r="B2163" s="2">
        <v>44119</v>
      </c>
      <c r="C2163" s="4">
        <v>1447.47</v>
      </c>
      <c r="D2163">
        <f t="shared" si="36"/>
        <v>60.489804587935431</v>
      </c>
      <c r="E2163">
        <v>3.4245388310816249E-3</v>
      </c>
    </row>
    <row r="2164" spans="2:5" x14ac:dyDescent="0.35">
      <c r="B2164" s="2">
        <v>37797</v>
      </c>
      <c r="C2164" s="4">
        <v>23.54</v>
      </c>
      <c r="D2164">
        <f t="shared" si="36"/>
        <v>-0.97173594601733781</v>
      </c>
      <c r="E2164">
        <v>3.4100596760442414E-3</v>
      </c>
    </row>
    <row r="2165" spans="2:5" x14ac:dyDescent="0.35">
      <c r="B2165" s="2">
        <v>43524</v>
      </c>
      <c r="C2165" s="4">
        <v>832.86</v>
      </c>
      <c r="D2165">
        <f t="shared" si="36"/>
        <v>11.247941176470588</v>
      </c>
      <c r="E2165">
        <v>3.4095153187234661E-3</v>
      </c>
    </row>
    <row r="2166" spans="2:5" x14ac:dyDescent="0.35">
      <c r="B2166" s="2">
        <v>40070</v>
      </c>
      <c r="C2166" s="4">
        <v>68</v>
      </c>
      <c r="D2166">
        <f t="shared" si="36"/>
        <v>0.27102803738317749</v>
      </c>
      <c r="E2166">
        <v>3.3938320790911636E-3</v>
      </c>
    </row>
    <row r="2167" spans="2:5" x14ac:dyDescent="0.35">
      <c r="B2167" s="2">
        <v>38300</v>
      </c>
      <c r="C2167" s="4">
        <v>53.5</v>
      </c>
      <c r="D2167">
        <f t="shared" si="36"/>
        <v>-0.93416356968816916</v>
      </c>
      <c r="E2167">
        <v>3.3758439609903323E-3</v>
      </c>
    </row>
    <row r="2168" spans="2:5" x14ac:dyDescent="0.35">
      <c r="B2168" s="2">
        <v>43594</v>
      </c>
      <c r="C2168" s="4">
        <v>812.62</v>
      </c>
      <c r="D2168">
        <f t="shared" si="36"/>
        <v>-0.1343134121657612</v>
      </c>
      <c r="E2168">
        <v>3.3708281371545024E-3</v>
      </c>
    </row>
    <row r="2169" spans="2:5" x14ac:dyDescent="0.35">
      <c r="B2169" s="2">
        <v>43419</v>
      </c>
      <c r="C2169" s="4">
        <v>938.7</v>
      </c>
      <c r="D2169">
        <f t="shared" si="36"/>
        <v>17.427561837455833</v>
      </c>
      <c r="E2169">
        <v>3.3670033670034627E-3</v>
      </c>
    </row>
    <row r="2170" spans="2:5" x14ac:dyDescent="0.35">
      <c r="B2170" s="2">
        <v>38330</v>
      </c>
      <c r="C2170" s="4">
        <v>50.94</v>
      </c>
      <c r="D2170">
        <f t="shared" si="36"/>
        <v>-0.96850617635057434</v>
      </c>
      <c r="E2170">
        <v>3.3484341146345908E-3</v>
      </c>
    </row>
    <row r="2171" spans="2:5" x14ac:dyDescent="0.35">
      <c r="B2171" s="2">
        <v>44183</v>
      </c>
      <c r="C2171" s="4">
        <v>1617.46</v>
      </c>
      <c r="D2171">
        <f t="shared" si="36"/>
        <v>13.17581069237511</v>
      </c>
      <c r="E2171">
        <v>3.3435272661856974E-3</v>
      </c>
    </row>
    <row r="2172" spans="2:5" x14ac:dyDescent="0.35">
      <c r="B2172" s="2">
        <v>39332</v>
      </c>
      <c r="C2172" s="4">
        <v>114.1</v>
      </c>
      <c r="D2172">
        <f t="shared" si="36"/>
        <v>-0.92477435603288571</v>
      </c>
      <c r="E2172">
        <v>3.3415406260992597E-3</v>
      </c>
    </row>
    <row r="2173" spans="2:5" x14ac:dyDescent="0.35">
      <c r="B2173" s="2">
        <v>44155</v>
      </c>
      <c r="C2173" s="4">
        <v>1516.77</v>
      </c>
      <c r="D2173">
        <f t="shared" si="36"/>
        <v>0.73018878685906574</v>
      </c>
      <c r="E2173">
        <v>3.3339286777400723E-3</v>
      </c>
    </row>
    <row r="2174" spans="2:5" x14ac:dyDescent="0.35">
      <c r="B2174" s="2">
        <v>42464</v>
      </c>
      <c r="C2174" s="4">
        <v>876.65</v>
      </c>
      <c r="D2174">
        <f t="shared" si="36"/>
        <v>3.9832310140973171</v>
      </c>
      <c r="E2174">
        <v>3.3305102204317372E-3</v>
      </c>
    </row>
    <row r="2175" spans="2:5" x14ac:dyDescent="0.35">
      <c r="B2175" s="2">
        <v>41652</v>
      </c>
      <c r="C2175" s="4">
        <v>175.92</v>
      </c>
      <c r="D2175">
        <f t="shared" si="36"/>
        <v>-0.97486677619829987</v>
      </c>
      <c r="E2175">
        <v>3.3078590167672228E-3</v>
      </c>
    </row>
    <row r="2176" spans="2:5" x14ac:dyDescent="0.35">
      <c r="B2176" s="2">
        <v>44874</v>
      </c>
      <c r="C2176" s="4">
        <v>6999.5</v>
      </c>
      <c r="D2176">
        <f t="shared" si="36"/>
        <v>4.1413607950580644</v>
      </c>
      <c r="E2176">
        <v>3.3039726508468092E-3</v>
      </c>
    </row>
    <row r="2177" spans="2:5" x14ac:dyDescent="0.35">
      <c r="B2177" s="2">
        <v>43335</v>
      </c>
      <c r="C2177" s="4">
        <v>1361.41</v>
      </c>
      <c r="D2177">
        <f t="shared" si="36"/>
        <v>1.2876995462947405</v>
      </c>
      <c r="E2177">
        <v>3.2941766032397179E-3</v>
      </c>
    </row>
    <row r="2178" spans="2:5" x14ac:dyDescent="0.35">
      <c r="B2178" s="2">
        <v>43691</v>
      </c>
      <c r="C2178" s="4">
        <v>595.1</v>
      </c>
      <c r="D2178">
        <f t="shared" si="36"/>
        <v>18.302627311060657</v>
      </c>
      <c r="E2178">
        <v>3.2706183828985491E-3</v>
      </c>
    </row>
    <row r="2179" spans="2:5" x14ac:dyDescent="0.35">
      <c r="B2179" s="2">
        <v>37477</v>
      </c>
      <c r="C2179" s="4">
        <v>30.83</v>
      </c>
      <c r="D2179">
        <f t="shared" si="36"/>
        <v>-0.50145536869340246</v>
      </c>
      <c r="E2179">
        <v>3.2541490400259665E-3</v>
      </c>
    </row>
    <row r="2180" spans="2:5" x14ac:dyDescent="0.35">
      <c r="B2180" s="2">
        <v>38533</v>
      </c>
      <c r="C2180" s="4">
        <v>61.84</v>
      </c>
      <c r="D2180">
        <f t="shared" ref="D2180:D2243" si="37">C2180/C2181-1</f>
        <v>-0.92573377527981937</v>
      </c>
      <c r="E2180">
        <v>3.2446463335495945E-3</v>
      </c>
    </row>
    <row r="2181" spans="2:5" x14ac:dyDescent="0.35">
      <c r="B2181" s="2">
        <v>42516</v>
      </c>
      <c r="C2181" s="4">
        <v>832.68</v>
      </c>
      <c r="D2181">
        <f t="shared" si="37"/>
        <v>4.7232799505120617</v>
      </c>
      <c r="E2181">
        <v>3.2410029036493704E-3</v>
      </c>
    </row>
    <row r="2182" spans="2:5" x14ac:dyDescent="0.35">
      <c r="B2182" s="2">
        <v>41619</v>
      </c>
      <c r="C2182" s="4">
        <v>145.49</v>
      </c>
      <c r="D2182">
        <f t="shared" si="37"/>
        <v>-0.83921269588665648</v>
      </c>
      <c r="E2182">
        <v>3.2409322852020583E-3</v>
      </c>
    </row>
    <row r="2183" spans="2:5" x14ac:dyDescent="0.35">
      <c r="B2183" s="2">
        <v>43567</v>
      </c>
      <c r="C2183" s="4">
        <v>904.86</v>
      </c>
      <c r="D2183">
        <f t="shared" si="37"/>
        <v>10.146341463414632</v>
      </c>
      <c r="E2183">
        <v>3.237465906823056E-3</v>
      </c>
    </row>
    <row r="2184" spans="2:5" x14ac:dyDescent="0.35">
      <c r="B2184" s="2">
        <v>38847</v>
      </c>
      <c r="C2184" s="4">
        <v>81.180000000000007</v>
      </c>
      <c r="D2184">
        <f t="shared" si="37"/>
        <v>-0.89228564604728922</v>
      </c>
      <c r="E2184">
        <v>3.2130499258526957E-3</v>
      </c>
    </row>
    <row r="2185" spans="2:5" x14ac:dyDescent="0.35">
      <c r="B2185" s="2">
        <v>42586</v>
      </c>
      <c r="C2185" s="4">
        <v>753.66</v>
      </c>
      <c r="D2185">
        <f t="shared" si="37"/>
        <v>-0.14358764573532423</v>
      </c>
      <c r="E2185">
        <v>3.207986688851916E-3</v>
      </c>
    </row>
    <row r="2186" spans="2:5" x14ac:dyDescent="0.35">
      <c r="B2186" s="2">
        <v>42447</v>
      </c>
      <c r="C2186" s="4">
        <v>880.02</v>
      </c>
      <c r="D2186">
        <f t="shared" si="37"/>
        <v>10.166349448039588</v>
      </c>
      <c r="E2186">
        <v>3.1919016894279562E-3</v>
      </c>
    </row>
    <row r="2187" spans="2:5" x14ac:dyDescent="0.35">
      <c r="B2187" s="2">
        <v>39617</v>
      </c>
      <c r="C2187" s="4">
        <v>78.81</v>
      </c>
      <c r="D2187">
        <f t="shared" si="37"/>
        <v>-0.57014290389440392</v>
      </c>
      <c r="E2187">
        <v>3.1822810590631523E-3</v>
      </c>
    </row>
    <row r="2188" spans="2:5" x14ac:dyDescent="0.35">
      <c r="B2188" s="2">
        <v>41645</v>
      </c>
      <c r="C2188" s="4">
        <v>183.34</v>
      </c>
      <c r="D2188">
        <f t="shared" si="37"/>
        <v>2.6076347894529714</v>
      </c>
      <c r="E2188">
        <v>3.1735609542569154E-3</v>
      </c>
    </row>
    <row r="2189" spans="2:5" x14ac:dyDescent="0.35">
      <c r="B2189" s="2">
        <v>38327</v>
      </c>
      <c r="C2189" s="4">
        <v>50.82</v>
      </c>
      <c r="D2189">
        <f t="shared" si="37"/>
        <v>-0.46796482412060303</v>
      </c>
      <c r="E2189">
        <v>3.1583103039873883E-3</v>
      </c>
    </row>
    <row r="2190" spans="2:5" x14ac:dyDescent="0.35">
      <c r="B2190" s="2">
        <v>41144</v>
      </c>
      <c r="C2190" s="4">
        <v>95.52</v>
      </c>
      <c r="D2190">
        <f t="shared" si="37"/>
        <v>-0.89864284122621785</v>
      </c>
      <c r="E2190">
        <v>3.150598613736566E-3</v>
      </c>
    </row>
    <row r="2191" spans="2:5" x14ac:dyDescent="0.35">
      <c r="B2191" s="2">
        <v>43108</v>
      </c>
      <c r="C2191" s="4">
        <v>942.41</v>
      </c>
      <c r="D2191">
        <f t="shared" si="37"/>
        <v>-0.85019353505488127</v>
      </c>
      <c r="E2191">
        <v>3.1401017605858783E-3</v>
      </c>
    </row>
    <row r="2192" spans="2:5" x14ac:dyDescent="0.35">
      <c r="B2192" s="2">
        <v>45042</v>
      </c>
      <c r="C2192" s="4">
        <v>6290.85</v>
      </c>
      <c r="D2192">
        <f t="shared" si="37"/>
        <v>58.235875706214692</v>
      </c>
      <c r="E2192">
        <v>3.1333716035208958E-3</v>
      </c>
    </row>
    <row r="2193" spans="2:5" x14ac:dyDescent="0.35">
      <c r="B2193" s="2">
        <v>39118</v>
      </c>
      <c r="C2193" s="4">
        <v>106.2</v>
      </c>
      <c r="D2193">
        <f t="shared" si="37"/>
        <v>-0.97497018576741601</v>
      </c>
      <c r="E2193">
        <v>3.1170303202039396E-3</v>
      </c>
    </row>
    <row r="2194" spans="2:5" x14ac:dyDescent="0.35">
      <c r="B2194" s="2">
        <v>44413</v>
      </c>
      <c r="C2194" s="4">
        <v>4242.9399999999996</v>
      </c>
      <c r="D2194">
        <f t="shared" si="37"/>
        <v>41.260358565737043</v>
      </c>
      <c r="E2194">
        <v>3.1041583428095265E-3</v>
      </c>
    </row>
    <row r="2195" spans="2:5" x14ac:dyDescent="0.35">
      <c r="B2195" s="2">
        <v>40445</v>
      </c>
      <c r="C2195" s="4">
        <v>100.4</v>
      </c>
      <c r="D2195">
        <f t="shared" si="37"/>
        <v>-6.2558356676003624E-2</v>
      </c>
      <c r="E2195">
        <v>3.0972125087420643E-3</v>
      </c>
    </row>
    <row r="2196" spans="2:5" x14ac:dyDescent="0.35">
      <c r="B2196" s="2">
        <v>40316</v>
      </c>
      <c r="C2196" s="4">
        <v>107.1</v>
      </c>
      <c r="D2196">
        <f t="shared" si="37"/>
        <v>8.7640905859652563E-2</v>
      </c>
      <c r="E2196">
        <v>3.0907558302892824E-3</v>
      </c>
    </row>
    <row r="2197" spans="2:5" x14ac:dyDescent="0.35">
      <c r="B2197" s="2">
        <v>40722</v>
      </c>
      <c r="C2197" s="4">
        <v>98.47</v>
      </c>
      <c r="D2197">
        <f t="shared" si="37"/>
        <v>-0.89054267357328654</v>
      </c>
      <c r="E2197">
        <v>3.0559233981868328E-3</v>
      </c>
    </row>
    <row r="2198" spans="2:5" x14ac:dyDescent="0.35">
      <c r="B2198" s="2">
        <v>44021</v>
      </c>
      <c r="C2198" s="4">
        <v>899.62</v>
      </c>
      <c r="D2198">
        <f t="shared" si="37"/>
        <v>0.3186848624323888</v>
      </c>
      <c r="E2198">
        <v>3.0326680789385385E-3</v>
      </c>
    </row>
    <row r="2199" spans="2:5" x14ac:dyDescent="0.35">
      <c r="B2199" s="2">
        <v>42769</v>
      </c>
      <c r="C2199" s="4">
        <v>682.21</v>
      </c>
      <c r="D2199">
        <f t="shared" si="37"/>
        <v>-0.24746566653797353</v>
      </c>
      <c r="E2199">
        <v>3.0287436594869099E-3</v>
      </c>
    </row>
    <row r="2200" spans="2:5" x14ac:dyDescent="0.35">
      <c r="B2200" s="2">
        <v>44029</v>
      </c>
      <c r="C2200" s="4">
        <v>906.55</v>
      </c>
      <c r="D2200">
        <f t="shared" si="37"/>
        <v>5.1523552132509032E-2</v>
      </c>
      <c r="E2200">
        <v>3.0094154874256152E-3</v>
      </c>
    </row>
    <row r="2201" spans="2:5" x14ac:dyDescent="0.35">
      <c r="B2201" s="2">
        <v>43073</v>
      </c>
      <c r="C2201" s="4">
        <v>862.13</v>
      </c>
      <c r="D2201">
        <f t="shared" si="37"/>
        <v>11.846520637758903</v>
      </c>
      <c r="E2201">
        <v>2.9899018102286234E-3</v>
      </c>
    </row>
    <row r="2202" spans="2:5" x14ac:dyDescent="0.35">
      <c r="B2202" s="2">
        <v>39589</v>
      </c>
      <c r="C2202" s="4">
        <v>67.11</v>
      </c>
      <c r="D2202">
        <f t="shared" si="37"/>
        <v>-0.99225684520959367</v>
      </c>
      <c r="E2202">
        <v>2.9890898221491824E-3</v>
      </c>
    </row>
    <row r="2203" spans="2:5" x14ac:dyDescent="0.35">
      <c r="B2203" s="2">
        <v>44662</v>
      </c>
      <c r="C2203" s="4">
        <v>8667.01</v>
      </c>
      <c r="D2203">
        <f t="shared" si="37"/>
        <v>111.10723062993145</v>
      </c>
      <c r="E2203">
        <v>2.9880143822782479E-3</v>
      </c>
    </row>
    <row r="2204" spans="2:5" x14ac:dyDescent="0.35">
      <c r="B2204" s="2">
        <v>38988</v>
      </c>
      <c r="C2204" s="4">
        <v>77.31</v>
      </c>
      <c r="D2204">
        <f t="shared" si="37"/>
        <v>-0.92512783760749984</v>
      </c>
      <c r="E2204">
        <v>2.9839128178517083E-3</v>
      </c>
    </row>
    <row r="2205" spans="2:5" x14ac:dyDescent="0.35">
      <c r="B2205" s="2">
        <v>42370</v>
      </c>
      <c r="C2205" s="4">
        <v>1032.56</v>
      </c>
      <c r="D2205">
        <f t="shared" si="37"/>
        <v>24.526823238566127</v>
      </c>
      <c r="E2205">
        <v>2.9820590777958067E-3</v>
      </c>
    </row>
    <row r="2206" spans="2:5" x14ac:dyDescent="0.35">
      <c r="B2206" s="2">
        <v>38219</v>
      </c>
      <c r="C2206" s="4">
        <v>40.450000000000003</v>
      </c>
      <c r="D2206">
        <f t="shared" si="37"/>
        <v>-0.95228546151577709</v>
      </c>
      <c r="E2206">
        <v>2.9754525167371426E-3</v>
      </c>
    </row>
    <row r="2207" spans="2:5" x14ac:dyDescent="0.35">
      <c r="B2207" s="2">
        <v>42291</v>
      </c>
      <c r="C2207" s="4">
        <v>847.75</v>
      </c>
      <c r="D2207">
        <f t="shared" si="37"/>
        <v>12.151566863170959</v>
      </c>
      <c r="E2207">
        <v>2.9577048210589485E-3</v>
      </c>
    </row>
    <row r="2208" spans="2:5" x14ac:dyDescent="0.35">
      <c r="B2208" s="2">
        <v>39653</v>
      </c>
      <c r="C2208" s="4">
        <v>64.459999999999994</v>
      </c>
      <c r="D2208">
        <f t="shared" si="37"/>
        <v>-0.766347687400319</v>
      </c>
      <c r="E2208">
        <v>2.9562782013381472E-3</v>
      </c>
    </row>
    <row r="2209" spans="2:5" x14ac:dyDescent="0.35">
      <c r="B2209" s="2">
        <v>41962</v>
      </c>
      <c r="C2209" s="4">
        <v>275.88</v>
      </c>
      <c r="D2209">
        <f t="shared" si="37"/>
        <v>1.7911776608660461</v>
      </c>
      <c r="E2209">
        <v>2.9447049841857531E-3</v>
      </c>
    </row>
    <row r="2210" spans="2:5" x14ac:dyDescent="0.35">
      <c r="B2210" s="2">
        <v>40702</v>
      </c>
      <c r="C2210" s="4">
        <v>98.84</v>
      </c>
      <c r="D2210">
        <f t="shared" si="37"/>
        <v>-0.84277419867971048</v>
      </c>
      <c r="E2210">
        <v>2.9426686960933868E-3</v>
      </c>
    </row>
    <row r="2211" spans="2:5" x14ac:dyDescent="0.35">
      <c r="B2211" s="2">
        <v>43721</v>
      </c>
      <c r="C2211" s="4">
        <v>628.65</v>
      </c>
      <c r="D2211">
        <f t="shared" si="37"/>
        <v>6.3457583547557839</v>
      </c>
      <c r="E2211">
        <v>2.9354987954883782E-3</v>
      </c>
    </row>
    <row r="2212" spans="2:5" x14ac:dyDescent="0.35">
      <c r="B2212" s="2">
        <v>41011</v>
      </c>
      <c r="C2212" s="4">
        <v>85.58</v>
      </c>
      <c r="D2212">
        <f t="shared" si="37"/>
        <v>2.5643481882548933</v>
      </c>
      <c r="E2212">
        <v>2.9298019453884994E-3</v>
      </c>
    </row>
    <row r="2213" spans="2:5" x14ac:dyDescent="0.35">
      <c r="B2213" s="2">
        <v>37676</v>
      </c>
      <c r="C2213" s="4">
        <v>24.01</v>
      </c>
      <c r="D2213">
        <f t="shared" si="37"/>
        <v>-0.99617138665646132</v>
      </c>
      <c r="E2213">
        <v>2.9239766081872176E-3</v>
      </c>
    </row>
    <row r="2214" spans="2:5" x14ac:dyDescent="0.35">
      <c r="B2214" s="2">
        <v>45041</v>
      </c>
      <c r="C2214" s="4">
        <v>6271.2</v>
      </c>
      <c r="D2214">
        <f t="shared" si="37"/>
        <v>71.971840819176165</v>
      </c>
      <c r="E2214">
        <v>2.9186224102224489E-3</v>
      </c>
    </row>
    <row r="2215" spans="2:5" x14ac:dyDescent="0.35">
      <c r="B2215" s="2">
        <v>40799</v>
      </c>
      <c r="C2215" s="4">
        <v>85.94</v>
      </c>
      <c r="D2215">
        <f t="shared" si="37"/>
        <v>-0.880269720527181</v>
      </c>
      <c r="E2215">
        <v>2.9174932897655381E-3</v>
      </c>
    </row>
    <row r="2216" spans="2:5" x14ac:dyDescent="0.35">
      <c r="B2216" s="2">
        <v>42634</v>
      </c>
      <c r="C2216" s="4">
        <v>717.78</v>
      </c>
      <c r="D2216">
        <f t="shared" si="37"/>
        <v>24.950108459869845</v>
      </c>
      <c r="E2216">
        <v>2.9062456336452769E-3</v>
      </c>
    </row>
    <row r="2217" spans="2:5" x14ac:dyDescent="0.35">
      <c r="B2217" s="2">
        <v>37567</v>
      </c>
      <c r="C2217" s="4">
        <v>27.66</v>
      </c>
      <c r="D2217">
        <f t="shared" si="37"/>
        <v>-0.96313376339499923</v>
      </c>
      <c r="E2217">
        <v>2.9006526468455807E-3</v>
      </c>
    </row>
    <row r="2218" spans="2:5" x14ac:dyDescent="0.35">
      <c r="B2218" s="2">
        <v>42906</v>
      </c>
      <c r="C2218" s="4">
        <v>750.28</v>
      </c>
      <c r="D2218">
        <f t="shared" si="37"/>
        <v>8.6008742726456866E-2</v>
      </c>
      <c r="E2218">
        <v>2.9006429535762823E-3</v>
      </c>
    </row>
    <row r="2219" spans="2:5" x14ac:dyDescent="0.35">
      <c r="B2219" s="2">
        <v>42822</v>
      </c>
      <c r="C2219" s="4">
        <v>690.86</v>
      </c>
      <c r="D2219">
        <f t="shared" si="37"/>
        <v>18.858005173900548</v>
      </c>
      <c r="E2219">
        <v>2.8887888861468536E-3</v>
      </c>
    </row>
    <row r="2220" spans="2:5" x14ac:dyDescent="0.35">
      <c r="B2220" s="2">
        <v>39797</v>
      </c>
      <c r="C2220" s="4">
        <v>34.79</v>
      </c>
      <c r="D2220">
        <f t="shared" si="37"/>
        <v>-0.33556149732620322</v>
      </c>
      <c r="E2220">
        <v>2.8826751225137226E-3</v>
      </c>
    </row>
    <row r="2221" spans="2:5" x14ac:dyDescent="0.35">
      <c r="B2221" s="2">
        <v>38307</v>
      </c>
      <c r="C2221" s="4">
        <v>52.36</v>
      </c>
      <c r="D2221">
        <f t="shared" si="37"/>
        <v>-0.44831946054156568</v>
      </c>
      <c r="E2221">
        <v>2.8730128327907334E-3</v>
      </c>
    </row>
    <row r="2222" spans="2:5" x14ac:dyDescent="0.35">
      <c r="B2222" s="2">
        <v>40954</v>
      </c>
      <c r="C2222" s="4">
        <v>94.91</v>
      </c>
      <c r="D2222">
        <f t="shared" si="37"/>
        <v>-0.87173284320350297</v>
      </c>
      <c r="E2222">
        <v>2.8529163144548342E-3</v>
      </c>
    </row>
    <row r="2223" spans="2:5" x14ac:dyDescent="0.35">
      <c r="B2223" s="2">
        <v>42915</v>
      </c>
      <c r="C2223" s="4">
        <v>739.94</v>
      </c>
      <c r="D2223">
        <f t="shared" si="37"/>
        <v>5.998392130899461</v>
      </c>
      <c r="E2223">
        <v>2.8461455058006457E-3</v>
      </c>
    </row>
    <row r="2224" spans="2:5" x14ac:dyDescent="0.35">
      <c r="B2224" s="2">
        <v>40392</v>
      </c>
      <c r="C2224" s="4">
        <v>105.73</v>
      </c>
      <c r="D2224">
        <f t="shared" si="37"/>
        <v>1.997731783385313</v>
      </c>
      <c r="E2224">
        <v>2.8454898985108557E-3</v>
      </c>
    </row>
    <row r="2225" spans="2:5" x14ac:dyDescent="0.35">
      <c r="B2225" s="2">
        <v>38168</v>
      </c>
      <c r="C2225" s="4">
        <v>35.270000000000003</v>
      </c>
      <c r="D2225">
        <f t="shared" si="37"/>
        <v>-0.95461739387778732</v>
      </c>
      <c r="E2225">
        <v>2.8433323855558967E-3</v>
      </c>
    </row>
    <row r="2226" spans="2:5" x14ac:dyDescent="0.35">
      <c r="B2226" s="2">
        <v>42550</v>
      </c>
      <c r="C2226" s="4">
        <v>777.17</v>
      </c>
      <c r="D2226">
        <f t="shared" si="37"/>
        <v>35.589924670433149</v>
      </c>
      <c r="E2226">
        <v>2.8388195672088834E-3</v>
      </c>
    </row>
    <row r="2227" spans="2:5" x14ac:dyDescent="0.35">
      <c r="B2227" s="2">
        <v>37692</v>
      </c>
      <c r="C2227" s="4">
        <v>21.24</v>
      </c>
      <c r="D2227">
        <f t="shared" si="37"/>
        <v>-0.73973777723318224</v>
      </c>
      <c r="E2227">
        <v>2.8328611898016387E-3</v>
      </c>
    </row>
    <row r="2228" spans="2:5" x14ac:dyDescent="0.35">
      <c r="B2228" s="2">
        <v>40821</v>
      </c>
      <c r="C2228" s="4">
        <v>81.61</v>
      </c>
      <c r="D2228">
        <f t="shared" si="37"/>
        <v>-0.89748775279487503</v>
      </c>
      <c r="E2228">
        <v>2.8262472351929802E-3</v>
      </c>
    </row>
    <row r="2229" spans="2:5" x14ac:dyDescent="0.35">
      <c r="B2229" s="2">
        <v>43032</v>
      </c>
      <c r="C2229" s="4">
        <v>796.1</v>
      </c>
      <c r="D2229">
        <f t="shared" si="37"/>
        <v>-4.0831817250810198E-2</v>
      </c>
      <c r="E2229">
        <v>2.7711298652224325E-3</v>
      </c>
    </row>
    <row r="2230" spans="2:5" x14ac:dyDescent="0.35">
      <c r="B2230" s="2">
        <v>42529</v>
      </c>
      <c r="C2230" s="4">
        <v>829.99</v>
      </c>
      <c r="D2230">
        <f t="shared" si="37"/>
        <v>3.4702429040771268</v>
      </c>
      <c r="E2230">
        <v>2.7667029116829056E-3</v>
      </c>
    </row>
    <row r="2231" spans="2:5" x14ac:dyDescent="0.35">
      <c r="B2231" s="2">
        <v>41640</v>
      </c>
      <c r="C2231" s="4">
        <v>185.67</v>
      </c>
      <c r="D2231">
        <f t="shared" si="37"/>
        <v>-0.97013415261871061</v>
      </c>
      <c r="E2231">
        <v>2.754374594944764E-3</v>
      </c>
    </row>
    <row r="2232" spans="2:5" x14ac:dyDescent="0.35">
      <c r="B2232" s="2">
        <v>44937</v>
      </c>
      <c r="C2232" s="4">
        <v>6216.8</v>
      </c>
      <c r="D2232">
        <f t="shared" si="37"/>
        <v>-4.9330289216578338E-2</v>
      </c>
      <c r="E2232">
        <v>2.7420239362561105E-3</v>
      </c>
    </row>
    <row r="2233" spans="2:5" x14ac:dyDescent="0.35">
      <c r="B2233" s="2">
        <v>44628</v>
      </c>
      <c r="C2233" s="4">
        <v>6539.39</v>
      </c>
      <c r="D2233">
        <f t="shared" si="37"/>
        <v>67.6622217555649</v>
      </c>
      <c r="E2233">
        <v>2.7386211517850256E-3</v>
      </c>
    </row>
    <row r="2234" spans="2:5" x14ac:dyDescent="0.35">
      <c r="B2234" s="2">
        <v>41142</v>
      </c>
      <c r="C2234" s="4">
        <v>95.24</v>
      </c>
      <c r="D2234">
        <f t="shared" si="37"/>
        <v>3.3212341197822139</v>
      </c>
      <c r="E2234">
        <v>2.7374184038744254E-3</v>
      </c>
    </row>
    <row r="2235" spans="2:5" x14ac:dyDescent="0.35">
      <c r="B2235" s="2">
        <v>37734</v>
      </c>
      <c r="C2235" s="4">
        <v>22.04</v>
      </c>
      <c r="D2235">
        <f t="shared" si="37"/>
        <v>-0.64954682779456197</v>
      </c>
      <c r="E2235">
        <v>2.7297543221109777E-3</v>
      </c>
    </row>
    <row r="2236" spans="2:5" x14ac:dyDescent="0.35">
      <c r="B2236" s="2">
        <v>39671</v>
      </c>
      <c r="C2236" s="4">
        <v>62.89</v>
      </c>
      <c r="D2236">
        <f t="shared" si="37"/>
        <v>-0.15093830160658828</v>
      </c>
      <c r="E2236">
        <v>2.7104591836735192E-3</v>
      </c>
    </row>
    <row r="2237" spans="2:5" x14ac:dyDescent="0.35">
      <c r="B2237" s="2">
        <v>38594</v>
      </c>
      <c r="C2237" s="4">
        <v>74.069999999999993</v>
      </c>
      <c r="D2237">
        <f t="shared" si="37"/>
        <v>0.24717965987539969</v>
      </c>
      <c r="E2237">
        <v>2.7074590496816153E-3</v>
      </c>
    </row>
    <row r="2238" spans="2:5" x14ac:dyDescent="0.35">
      <c r="B2238" s="2">
        <v>38460</v>
      </c>
      <c r="C2238" s="4">
        <v>59.39</v>
      </c>
      <c r="D2238">
        <f t="shared" si="37"/>
        <v>-0.46773615343251473</v>
      </c>
      <c r="E2238">
        <v>2.7013337835557483E-3</v>
      </c>
    </row>
    <row r="2239" spans="2:5" x14ac:dyDescent="0.35">
      <c r="B2239" s="2">
        <v>40563</v>
      </c>
      <c r="C2239" s="4">
        <v>111.58</v>
      </c>
      <c r="D2239">
        <f t="shared" si="37"/>
        <v>0.11080139372822284</v>
      </c>
      <c r="E2239">
        <v>2.695902228612379E-3</v>
      </c>
    </row>
    <row r="2240" spans="2:5" x14ac:dyDescent="0.35">
      <c r="B2240" s="2">
        <v>40338</v>
      </c>
      <c r="C2240" s="4">
        <v>100.45</v>
      </c>
      <c r="D2240">
        <f t="shared" si="37"/>
        <v>0.34850315478587746</v>
      </c>
      <c r="E2240">
        <v>2.6951487322819379E-3</v>
      </c>
    </row>
    <row r="2241" spans="2:5" x14ac:dyDescent="0.35">
      <c r="B2241" s="2">
        <v>38603</v>
      </c>
      <c r="C2241" s="4">
        <v>74.489999999999995</v>
      </c>
      <c r="D2241">
        <f t="shared" si="37"/>
        <v>-0.99132366267462746</v>
      </c>
      <c r="E2241">
        <v>2.6921523758243193E-3</v>
      </c>
    </row>
    <row r="2242" spans="2:5" x14ac:dyDescent="0.35">
      <c r="B2242" s="2">
        <v>44714</v>
      </c>
      <c r="C2242" s="4">
        <v>8585.42</v>
      </c>
      <c r="D2242">
        <f t="shared" si="37"/>
        <v>28.863369160666458</v>
      </c>
      <c r="E2242">
        <v>2.6896695899158996E-3</v>
      </c>
    </row>
    <row r="2243" spans="2:5" x14ac:dyDescent="0.35">
      <c r="B2243" s="2">
        <v>41977</v>
      </c>
      <c r="C2243" s="4">
        <v>287.49</v>
      </c>
      <c r="D2243">
        <f t="shared" si="37"/>
        <v>-0.71330986547532382</v>
      </c>
      <c r="E2243">
        <v>2.685546875E-3</v>
      </c>
    </row>
    <row r="2244" spans="2:5" x14ac:dyDescent="0.35">
      <c r="B2244" s="2">
        <v>44055</v>
      </c>
      <c r="C2244" s="4">
        <v>1002.79</v>
      </c>
      <c r="D2244">
        <f t="shared" ref="D2244:D2307" si="38">C2244/C2245-1</f>
        <v>14.564022970665837</v>
      </c>
      <c r="E2244">
        <v>2.6596542449481841E-3</v>
      </c>
    </row>
    <row r="2245" spans="2:5" x14ac:dyDescent="0.35">
      <c r="B2245" s="2">
        <v>38799</v>
      </c>
      <c r="C2245" s="4">
        <v>64.430000000000007</v>
      </c>
      <c r="D2245">
        <f t="shared" si="38"/>
        <v>-0.91629314936794382</v>
      </c>
      <c r="E2245">
        <v>2.6455026455025621E-3</v>
      </c>
    </row>
    <row r="2246" spans="2:5" x14ac:dyDescent="0.35">
      <c r="B2246" s="2">
        <v>42573</v>
      </c>
      <c r="C2246" s="4">
        <v>769.71</v>
      </c>
      <c r="D2246">
        <f t="shared" si="38"/>
        <v>-0.17975468621788382</v>
      </c>
      <c r="E2246">
        <v>2.6443309712380625E-3</v>
      </c>
    </row>
    <row r="2247" spans="2:5" x14ac:dyDescent="0.35">
      <c r="B2247" s="2">
        <v>43193</v>
      </c>
      <c r="C2247" s="4">
        <v>938.39</v>
      </c>
      <c r="D2247">
        <f t="shared" si="38"/>
        <v>9.681730221969266</v>
      </c>
      <c r="E2247">
        <v>2.6391144542268208E-3</v>
      </c>
    </row>
    <row r="2248" spans="2:5" x14ac:dyDescent="0.35">
      <c r="B2248" s="2">
        <v>41067</v>
      </c>
      <c r="C2248" s="4">
        <v>87.85</v>
      </c>
      <c r="D2248">
        <f t="shared" si="38"/>
        <v>-0.87232960325534081</v>
      </c>
      <c r="E2248">
        <v>2.6249714677013536E-3</v>
      </c>
    </row>
    <row r="2249" spans="2:5" x14ac:dyDescent="0.35">
      <c r="B2249" s="2">
        <v>42717</v>
      </c>
      <c r="C2249" s="4">
        <v>688.1</v>
      </c>
      <c r="D2249">
        <f t="shared" si="38"/>
        <v>-0.87404748525123688</v>
      </c>
      <c r="E2249">
        <v>2.622759726067514E-3</v>
      </c>
    </row>
    <row r="2250" spans="2:5" x14ac:dyDescent="0.35">
      <c r="B2250" s="2">
        <v>44553</v>
      </c>
      <c r="C2250" s="4">
        <v>5463.17</v>
      </c>
      <c r="D2250">
        <f t="shared" si="38"/>
        <v>66.580034636318658</v>
      </c>
      <c r="E2250">
        <v>2.6188772045734332E-3</v>
      </c>
    </row>
    <row r="2251" spans="2:5" x14ac:dyDescent="0.35">
      <c r="B2251" s="2">
        <v>40877</v>
      </c>
      <c r="C2251" s="4">
        <v>80.84</v>
      </c>
      <c r="D2251">
        <f t="shared" si="38"/>
        <v>-0.89912275228670901</v>
      </c>
      <c r="E2251">
        <v>2.6044896440531318E-3</v>
      </c>
    </row>
    <row r="2252" spans="2:5" x14ac:dyDescent="0.35">
      <c r="B2252" s="2">
        <v>43601</v>
      </c>
      <c r="C2252" s="4">
        <v>801.37</v>
      </c>
      <c r="D2252">
        <f t="shared" si="38"/>
        <v>6.9445821354218298</v>
      </c>
      <c r="E2252">
        <v>2.5897660452895988E-3</v>
      </c>
    </row>
    <row r="2253" spans="2:5" x14ac:dyDescent="0.35">
      <c r="B2253" s="2">
        <v>41289</v>
      </c>
      <c r="C2253" s="4">
        <v>100.87</v>
      </c>
      <c r="D2253">
        <f t="shared" si="38"/>
        <v>-3.3593518427031954E-3</v>
      </c>
      <c r="E2253">
        <v>2.5842361594274887E-3</v>
      </c>
    </row>
    <row r="2254" spans="2:5" x14ac:dyDescent="0.35">
      <c r="B2254" s="2">
        <v>40672</v>
      </c>
      <c r="C2254" s="4">
        <v>101.21</v>
      </c>
      <c r="D2254">
        <f t="shared" si="38"/>
        <v>2.6964937910883857</v>
      </c>
      <c r="E2254">
        <v>2.5755324418028636E-3</v>
      </c>
    </row>
    <row r="2255" spans="2:5" x14ac:dyDescent="0.35">
      <c r="B2255" s="2">
        <v>38083</v>
      </c>
      <c r="C2255" s="4">
        <v>27.38</v>
      </c>
      <c r="D2255">
        <f t="shared" si="38"/>
        <v>-0.9617175375064666</v>
      </c>
      <c r="E2255">
        <v>2.5631636763090437E-3</v>
      </c>
    </row>
    <row r="2256" spans="2:5" x14ac:dyDescent="0.35">
      <c r="B2256" s="2">
        <v>42902</v>
      </c>
      <c r="C2256" s="4">
        <v>715.21</v>
      </c>
      <c r="D2256">
        <f t="shared" si="38"/>
        <v>12.977135040062537</v>
      </c>
      <c r="E2256">
        <v>2.5511992038016462E-3</v>
      </c>
    </row>
    <row r="2257" spans="2:5" x14ac:dyDescent="0.35">
      <c r="B2257" s="2">
        <v>38261</v>
      </c>
      <c r="C2257" s="4">
        <v>51.17</v>
      </c>
      <c r="D2257">
        <f t="shared" si="38"/>
        <v>-3.5053554040895829E-3</v>
      </c>
      <c r="E2257">
        <v>2.5470219435737018E-3</v>
      </c>
    </row>
    <row r="2258" spans="2:5" x14ac:dyDescent="0.35">
      <c r="B2258" s="2">
        <v>38314</v>
      </c>
      <c r="C2258" s="4">
        <v>51.35</v>
      </c>
      <c r="D2258">
        <f t="shared" si="38"/>
        <v>-0.31588062883026913</v>
      </c>
      <c r="E2258">
        <v>2.5380710659899108E-3</v>
      </c>
    </row>
    <row r="2259" spans="2:5" x14ac:dyDescent="0.35">
      <c r="B2259" s="2">
        <v>40906</v>
      </c>
      <c r="C2259" s="4">
        <v>75.06</v>
      </c>
      <c r="D2259">
        <f t="shared" si="38"/>
        <v>-9.6533461723639857E-2</v>
      </c>
      <c r="E2259">
        <v>2.537732068919496E-3</v>
      </c>
    </row>
    <row r="2260" spans="2:5" x14ac:dyDescent="0.35">
      <c r="B2260" s="2">
        <v>40991</v>
      </c>
      <c r="C2260" s="4">
        <v>83.08</v>
      </c>
      <c r="D2260">
        <f t="shared" si="38"/>
        <v>-0.12795213603442845</v>
      </c>
      <c r="E2260">
        <v>2.5340895378302974E-3</v>
      </c>
    </row>
    <row r="2261" spans="2:5" x14ac:dyDescent="0.35">
      <c r="B2261" s="2">
        <v>41219</v>
      </c>
      <c r="C2261" s="4">
        <v>95.27</v>
      </c>
      <c r="D2261">
        <f t="shared" si="38"/>
        <v>-0.88353300733496332</v>
      </c>
      <c r="E2261">
        <v>2.5255182573924451E-3</v>
      </c>
    </row>
    <row r="2262" spans="2:5" x14ac:dyDescent="0.35">
      <c r="B2262" s="2">
        <v>42984</v>
      </c>
      <c r="C2262" s="4">
        <v>818</v>
      </c>
      <c r="D2262">
        <f t="shared" si="38"/>
        <v>0.14442408047343913</v>
      </c>
      <c r="E2262">
        <v>2.5246954432922575E-3</v>
      </c>
    </row>
    <row r="2263" spans="2:5" x14ac:dyDescent="0.35">
      <c r="B2263" s="2">
        <v>42893</v>
      </c>
      <c r="C2263" s="4">
        <v>714.77</v>
      </c>
      <c r="D2263">
        <f t="shared" si="38"/>
        <v>-0.19934358652672146</v>
      </c>
      <c r="E2263">
        <v>2.5246504060478792E-3</v>
      </c>
    </row>
    <row r="2264" spans="2:5" x14ac:dyDescent="0.35">
      <c r="B2264" s="2">
        <v>44019</v>
      </c>
      <c r="C2264" s="4">
        <v>892.73</v>
      </c>
      <c r="D2264">
        <f t="shared" si="38"/>
        <v>-0.86865726539109456</v>
      </c>
      <c r="E2264">
        <v>2.5154690114430611E-3</v>
      </c>
    </row>
    <row r="2265" spans="2:5" x14ac:dyDescent="0.35">
      <c r="B2265" s="2">
        <v>44893</v>
      </c>
      <c r="C2265" s="4">
        <v>6796.95</v>
      </c>
      <c r="D2265">
        <f t="shared" si="38"/>
        <v>129.55993084902036</v>
      </c>
      <c r="E2265">
        <v>2.5073931223682511E-3</v>
      </c>
    </row>
    <row r="2266" spans="2:5" x14ac:dyDescent="0.35">
      <c r="B2266" s="2">
        <v>38310</v>
      </c>
      <c r="C2266" s="4">
        <v>52.06</v>
      </c>
      <c r="D2266">
        <f t="shared" si="38"/>
        <v>-0.38251690190961929</v>
      </c>
      <c r="E2266">
        <v>2.5033699210477156E-3</v>
      </c>
    </row>
    <row r="2267" spans="2:5" x14ac:dyDescent="0.35">
      <c r="B2267" s="2">
        <v>41387</v>
      </c>
      <c r="C2267" s="4">
        <v>84.31</v>
      </c>
      <c r="D2267">
        <f t="shared" si="38"/>
        <v>-0.69542285322062058</v>
      </c>
      <c r="E2267">
        <v>2.4970273483948535E-3</v>
      </c>
    </row>
    <row r="2268" spans="2:5" x14ac:dyDescent="0.35">
      <c r="B2268" s="2">
        <v>41884</v>
      </c>
      <c r="C2268" s="4">
        <v>276.81</v>
      </c>
      <c r="D2268">
        <f t="shared" si="38"/>
        <v>1.7156872363386637</v>
      </c>
      <c r="E2268">
        <v>2.4626081917937803E-3</v>
      </c>
    </row>
    <row r="2269" spans="2:5" x14ac:dyDescent="0.35">
      <c r="B2269" s="2">
        <v>40413</v>
      </c>
      <c r="C2269" s="4">
        <v>101.93</v>
      </c>
      <c r="D2269">
        <f t="shared" si="38"/>
        <v>-0.98538539514490586</v>
      </c>
      <c r="E2269">
        <v>2.4586939417781117E-3</v>
      </c>
    </row>
    <row r="2270" spans="2:5" x14ac:dyDescent="0.35">
      <c r="B2270" s="2">
        <v>44630</v>
      </c>
      <c r="C2270" s="4">
        <v>6974.53</v>
      </c>
      <c r="D2270">
        <f t="shared" si="38"/>
        <v>208.82340553549938</v>
      </c>
      <c r="E2270">
        <v>2.4390734682848692E-3</v>
      </c>
    </row>
    <row r="2271" spans="2:5" x14ac:dyDescent="0.35">
      <c r="B2271" s="2">
        <v>39920</v>
      </c>
      <c r="C2271" s="4">
        <v>33.24</v>
      </c>
      <c r="D2271">
        <f t="shared" si="38"/>
        <v>-0.61981013382134287</v>
      </c>
      <c r="E2271">
        <v>2.4125452352232735E-3</v>
      </c>
    </row>
    <row r="2272" spans="2:5" x14ac:dyDescent="0.35">
      <c r="B2272" s="2">
        <v>41065</v>
      </c>
      <c r="C2272" s="4">
        <v>87.43</v>
      </c>
      <c r="D2272">
        <f t="shared" si="38"/>
        <v>0.30492537313432844</v>
      </c>
      <c r="E2272">
        <v>2.4077046548958148E-3</v>
      </c>
    </row>
    <row r="2273" spans="2:5" x14ac:dyDescent="0.35">
      <c r="B2273" s="2">
        <v>39584</v>
      </c>
      <c r="C2273" s="4">
        <v>67</v>
      </c>
      <c r="D2273">
        <f t="shared" si="38"/>
        <v>6.6030230708034932E-2</v>
      </c>
      <c r="E2273">
        <v>2.3937761819270431E-3</v>
      </c>
    </row>
    <row r="2274" spans="2:5" x14ac:dyDescent="0.35">
      <c r="B2274" s="2">
        <v>40059</v>
      </c>
      <c r="C2274" s="4">
        <v>62.85</v>
      </c>
      <c r="D2274">
        <f t="shared" si="38"/>
        <v>-0.93259113871102672</v>
      </c>
      <c r="E2274">
        <v>2.3923444976077235E-3</v>
      </c>
    </row>
    <row r="2275" spans="2:5" x14ac:dyDescent="0.35">
      <c r="B2275" s="2">
        <v>43140</v>
      </c>
      <c r="C2275" s="4">
        <v>932.37</v>
      </c>
      <c r="D2275">
        <f t="shared" si="38"/>
        <v>-0.87475854917268669</v>
      </c>
      <c r="E2275">
        <v>2.3651590569466752E-3</v>
      </c>
    </row>
    <row r="2276" spans="2:5" x14ac:dyDescent="0.35">
      <c r="B2276" s="2">
        <v>44594</v>
      </c>
      <c r="C2276" s="4">
        <v>7444.58</v>
      </c>
      <c r="D2276">
        <f t="shared" si="38"/>
        <v>25.96041719479955</v>
      </c>
      <c r="E2276">
        <v>2.364339937148241E-3</v>
      </c>
    </row>
    <row r="2277" spans="2:5" x14ac:dyDescent="0.35">
      <c r="B2277" s="2">
        <v>41883</v>
      </c>
      <c r="C2277" s="4">
        <v>276.13</v>
      </c>
      <c r="D2277">
        <f t="shared" si="38"/>
        <v>8.1464060947333543</v>
      </c>
      <c r="E2277">
        <v>2.3595179323361304E-3</v>
      </c>
    </row>
    <row r="2278" spans="2:5" x14ac:dyDescent="0.35">
      <c r="B2278" s="2">
        <v>37617</v>
      </c>
      <c r="C2278" s="4">
        <v>30.19</v>
      </c>
      <c r="D2278">
        <f t="shared" si="38"/>
        <v>-0.99520824074661929</v>
      </c>
      <c r="E2278">
        <v>2.3240371845949515E-3</v>
      </c>
    </row>
    <row r="2279" spans="2:5" x14ac:dyDescent="0.35">
      <c r="B2279" s="2">
        <v>44928</v>
      </c>
      <c r="C2279" s="4">
        <v>6300.4</v>
      </c>
      <c r="D2279">
        <f t="shared" si="38"/>
        <v>6.8374881823157683</v>
      </c>
      <c r="E2279">
        <v>2.3067500278399766E-3</v>
      </c>
    </row>
    <row r="2280" spans="2:5" x14ac:dyDescent="0.35">
      <c r="B2280" s="2">
        <v>43831</v>
      </c>
      <c r="C2280" s="4">
        <v>803.88</v>
      </c>
      <c r="D2280">
        <f t="shared" si="38"/>
        <v>-0.11104721884330415</v>
      </c>
      <c r="E2280">
        <v>2.3066468835331033E-3</v>
      </c>
    </row>
    <row r="2281" spans="2:5" x14ac:dyDescent="0.35">
      <c r="B2281" s="2">
        <v>43556</v>
      </c>
      <c r="C2281" s="4">
        <v>904.3</v>
      </c>
      <c r="D2281">
        <f t="shared" si="38"/>
        <v>10.451183993921742</v>
      </c>
      <c r="E2281">
        <v>2.2943151967900199E-3</v>
      </c>
    </row>
    <row r="2282" spans="2:5" x14ac:dyDescent="0.35">
      <c r="B2282" s="2">
        <v>39006</v>
      </c>
      <c r="C2282" s="4">
        <v>78.97</v>
      </c>
      <c r="D2282">
        <f t="shared" si="38"/>
        <v>-0.91312048935046652</v>
      </c>
      <c r="E2282">
        <v>2.2845538773954566E-3</v>
      </c>
    </row>
    <row r="2283" spans="2:5" x14ac:dyDescent="0.35">
      <c r="B2283" s="2">
        <v>43565</v>
      </c>
      <c r="C2283" s="4">
        <v>908.96</v>
      </c>
      <c r="D2283">
        <f t="shared" si="38"/>
        <v>0.1233655486071632</v>
      </c>
      <c r="E2283">
        <v>2.2825259954351029E-3</v>
      </c>
    </row>
    <row r="2284" spans="2:5" x14ac:dyDescent="0.35">
      <c r="B2284" s="2">
        <v>43592</v>
      </c>
      <c r="C2284" s="4">
        <v>809.14</v>
      </c>
      <c r="D2284">
        <f t="shared" si="38"/>
        <v>2.9623597078360042E-2</v>
      </c>
      <c r="E2284">
        <v>2.2792022792024191E-3</v>
      </c>
    </row>
    <row r="2285" spans="2:5" x14ac:dyDescent="0.35">
      <c r="B2285" s="2">
        <v>42922</v>
      </c>
      <c r="C2285" s="4">
        <v>785.86</v>
      </c>
      <c r="D2285">
        <f t="shared" si="38"/>
        <v>6.6208301008533743</v>
      </c>
      <c r="E2285">
        <v>2.2446116566763319E-3</v>
      </c>
    </row>
    <row r="2286" spans="2:5" x14ac:dyDescent="0.35">
      <c r="B2286" s="2">
        <v>40436</v>
      </c>
      <c r="C2286" s="4">
        <v>103.12</v>
      </c>
      <c r="D2286">
        <f t="shared" si="38"/>
        <v>-0.98507248789455781</v>
      </c>
      <c r="E2286">
        <v>2.2353970259501033E-3</v>
      </c>
    </row>
    <row r="2287" spans="2:5" x14ac:dyDescent="0.35">
      <c r="B2287" s="2">
        <v>44869</v>
      </c>
      <c r="C2287" s="4">
        <v>6908.05</v>
      </c>
      <c r="D2287">
        <f t="shared" si="38"/>
        <v>60.214443952148876</v>
      </c>
      <c r="E2287">
        <v>2.2342640348778087E-3</v>
      </c>
    </row>
    <row r="2288" spans="2:5" x14ac:dyDescent="0.35">
      <c r="B2288" s="2">
        <v>39216</v>
      </c>
      <c r="C2288" s="4">
        <v>112.85</v>
      </c>
      <c r="D2288">
        <f t="shared" si="38"/>
        <v>-0.87483501735783764</v>
      </c>
      <c r="E2288">
        <v>2.2202486678508659E-3</v>
      </c>
    </row>
    <row r="2289" spans="2:5" x14ac:dyDescent="0.35">
      <c r="B2289" s="2">
        <v>44022</v>
      </c>
      <c r="C2289" s="4">
        <v>901.61</v>
      </c>
      <c r="D2289">
        <f t="shared" si="38"/>
        <v>1.4629590033873097E-2</v>
      </c>
      <c r="E2289">
        <v>2.2120450857028295E-3</v>
      </c>
    </row>
    <row r="2290" spans="2:5" x14ac:dyDescent="0.35">
      <c r="B2290" s="2">
        <v>43063</v>
      </c>
      <c r="C2290" s="4">
        <v>888.61</v>
      </c>
      <c r="D2290">
        <f t="shared" si="38"/>
        <v>-0.81128016276531123</v>
      </c>
      <c r="E2290">
        <v>2.2105678678170371E-3</v>
      </c>
    </row>
    <row r="2291" spans="2:5" x14ac:dyDescent="0.35">
      <c r="B2291" s="2">
        <v>44428</v>
      </c>
      <c r="C2291" s="4">
        <v>4708.62</v>
      </c>
      <c r="D2291">
        <f t="shared" si="38"/>
        <v>4.0947511929107021</v>
      </c>
      <c r="E2291">
        <v>2.202938528437004E-3</v>
      </c>
    </row>
    <row r="2292" spans="2:5" x14ac:dyDescent="0.35">
      <c r="B2292" s="2">
        <v>43542</v>
      </c>
      <c r="C2292" s="4">
        <v>924.21</v>
      </c>
      <c r="D2292">
        <f t="shared" si="38"/>
        <v>32.804316020482808</v>
      </c>
      <c r="E2292">
        <v>2.2013056019432042E-3</v>
      </c>
    </row>
    <row r="2293" spans="2:5" x14ac:dyDescent="0.35">
      <c r="B2293" s="2">
        <v>37810</v>
      </c>
      <c r="C2293" s="4">
        <v>27.34</v>
      </c>
      <c r="D2293">
        <f t="shared" si="38"/>
        <v>-0.68653978445310715</v>
      </c>
      <c r="E2293">
        <v>2.1994134897360684E-3</v>
      </c>
    </row>
    <row r="2294" spans="2:5" x14ac:dyDescent="0.35">
      <c r="B2294" s="2">
        <v>41064</v>
      </c>
      <c r="C2294" s="4">
        <v>87.22</v>
      </c>
      <c r="D2294">
        <f t="shared" si="38"/>
        <v>-0.95586434434110257</v>
      </c>
      <c r="E2294">
        <v>2.1831552338273941E-3</v>
      </c>
    </row>
    <row r="2295" spans="2:5" x14ac:dyDescent="0.35">
      <c r="B2295" s="2">
        <v>44203</v>
      </c>
      <c r="C2295" s="4">
        <v>1976.18</v>
      </c>
      <c r="D2295">
        <f t="shared" si="38"/>
        <v>3.1325386867419489</v>
      </c>
      <c r="E2295">
        <v>2.1806600807350307E-3</v>
      </c>
    </row>
    <row r="2296" spans="2:5" x14ac:dyDescent="0.35">
      <c r="B2296" s="2">
        <v>42062</v>
      </c>
      <c r="C2296" s="4">
        <v>478.2</v>
      </c>
      <c r="D2296">
        <f t="shared" si="38"/>
        <v>-0.48896060871609637</v>
      </c>
      <c r="E2296">
        <v>2.1795624109313128E-3</v>
      </c>
    </row>
    <row r="2297" spans="2:5" x14ac:dyDescent="0.35">
      <c r="B2297" s="2">
        <v>43430</v>
      </c>
      <c r="C2297" s="4">
        <v>935.74</v>
      </c>
      <c r="D2297">
        <f t="shared" si="38"/>
        <v>9.6795252225519288</v>
      </c>
      <c r="E2297">
        <v>2.1741225862419444E-3</v>
      </c>
    </row>
    <row r="2298" spans="2:5" x14ac:dyDescent="0.35">
      <c r="B2298" s="2">
        <v>41066</v>
      </c>
      <c r="C2298" s="4">
        <v>87.62</v>
      </c>
      <c r="D2298">
        <f t="shared" si="38"/>
        <v>0.18726287262872643</v>
      </c>
      <c r="E2298">
        <v>2.1731671051126167E-3</v>
      </c>
    </row>
    <row r="2299" spans="2:5" x14ac:dyDescent="0.35">
      <c r="B2299" s="2">
        <v>38607</v>
      </c>
      <c r="C2299" s="4">
        <v>73.8</v>
      </c>
      <c r="D2299">
        <f t="shared" si="38"/>
        <v>6.5088757396449592E-2</v>
      </c>
      <c r="E2299">
        <v>2.1727322107549796E-3</v>
      </c>
    </row>
    <row r="2300" spans="2:5" x14ac:dyDescent="0.35">
      <c r="B2300" s="2">
        <v>38827</v>
      </c>
      <c r="C2300" s="4">
        <v>69.290000000000006</v>
      </c>
      <c r="D2300">
        <f t="shared" si="38"/>
        <v>-0.91412069457010769</v>
      </c>
      <c r="E2300">
        <v>2.1695111368238429E-3</v>
      </c>
    </row>
    <row r="2301" spans="2:5" x14ac:dyDescent="0.35">
      <c r="B2301" s="2">
        <v>43623</v>
      </c>
      <c r="C2301" s="4">
        <v>806.83</v>
      </c>
      <c r="D2301">
        <f t="shared" si="38"/>
        <v>7.2557044919676663</v>
      </c>
      <c r="E2301">
        <v>2.1612490529008266E-3</v>
      </c>
    </row>
    <row r="2302" spans="2:5" x14ac:dyDescent="0.35">
      <c r="B2302" s="2">
        <v>41179</v>
      </c>
      <c r="C2302" s="4">
        <v>97.73</v>
      </c>
      <c r="D2302">
        <f t="shared" si="38"/>
        <v>0.6124401913875599</v>
      </c>
      <c r="E2302">
        <v>2.1534044298605615E-3</v>
      </c>
    </row>
    <row r="2303" spans="2:5" x14ac:dyDescent="0.35">
      <c r="B2303" s="2">
        <v>39682</v>
      </c>
      <c r="C2303" s="4">
        <v>60.61</v>
      </c>
      <c r="D2303">
        <f t="shared" si="38"/>
        <v>-0.92293020357819511</v>
      </c>
      <c r="E2303">
        <v>2.1494708994709288E-3</v>
      </c>
    </row>
    <row r="2304" spans="2:5" x14ac:dyDescent="0.35">
      <c r="B2304" s="2">
        <v>43035</v>
      </c>
      <c r="C2304" s="4">
        <v>786.43</v>
      </c>
      <c r="D2304">
        <f t="shared" si="38"/>
        <v>-0.34880928722840499</v>
      </c>
      <c r="E2304">
        <v>2.1408091748964519E-3</v>
      </c>
    </row>
    <row r="2305" spans="2:5" x14ac:dyDescent="0.35">
      <c r="B2305" s="2">
        <v>44083</v>
      </c>
      <c r="C2305" s="4">
        <v>1207.68</v>
      </c>
      <c r="D2305">
        <f t="shared" si="38"/>
        <v>-0.81811445559943252</v>
      </c>
      <c r="E2305">
        <v>2.1325854071414518E-3</v>
      </c>
    </row>
    <row r="2306" spans="2:5" x14ac:dyDescent="0.35">
      <c r="B2306" s="2">
        <v>44624</v>
      </c>
      <c r="C2306" s="4">
        <v>6639.78</v>
      </c>
      <c r="D2306">
        <f t="shared" si="38"/>
        <v>68.789573260458269</v>
      </c>
      <c r="E2306">
        <v>2.1099338947749846E-3</v>
      </c>
    </row>
    <row r="2307" spans="2:5" x14ac:dyDescent="0.35">
      <c r="B2307" s="2">
        <v>40717</v>
      </c>
      <c r="C2307" s="4">
        <v>95.14</v>
      </c>
      <c r="D2307">
        <f t="shared" si="38"/>
        <v>0.23190470024601839</v>
      </c>
      <c r="E2307">
        <v>2.1065936380872952E-3</v>
      </c>
    </row>
    <row r="2308" spans="2:5" x14ac:dyDescent="0.35">
      <c r="B2308" s="2">
        <v>41530</v>
      </c>
      <c r="C2308" s="4">
        <v>77.23</v>
      </c>
      <c r="D2308">
        <f t="shared" ref="D2308:D2371" si="39">C2308/C2309-1</f>
        <v>-0.9425491713035975</v>
      </c>
      <c r="E2308">
        <v>2.0760347735826468E-3</v>
      </c>
    </row>
    <row r="2309" spans="2:5" x14ac:dyDescent="0.35">
      <c r="B2309" s="2">
        <v>43312</v>
      </c>
      <c r="C2309" s="4">
        <v>1344.28</v>
      </c>
      <c r="D2309">
        <f t="shared" si="39"/>
        <v>16.372447660894288</v>
      </c>
      <c r="E2309">
        <v>2.0723071188968323E-3</v>
      </c>
    </row>
    <row r="2310" spans="2:5" x14ac:dyDescent="0.35">
      <c r="B2310" s="2">
        <v>39010</v>
      </c>
      <c r="C2310" s="4">
        <v>77.38</v>
      </c>
      <c r="D2310">
        <f t="shared" si="39"/>
        <v>-0.30898374709769605</v>
      </c>
      <c r="E2310">
        <v>2.0720020720019772E-3</v>
      </c>
    </row>
    <row r="2311" spans="2:5" x14ac:dyDescent="0.35">
      <c r="B2311" s="2">
        <v>40357</v>
      </c>
      <c r="C2311" s="4">
        <v>111.98</v>
      </c>
      <c r="D2311">
        <f t="shared" si="39"/>
        <v>0.25749578888265034</v>
      </c>
      <c r="E2311">
        <v>2.0581655480984562E-3</v>
      </c>
    </row>
    <row r="2312" spans="2:5" x14ac:dyDescent="0.35">
      <c r="B2312" s="2">
        <v>39392</v>
      </c>
      <c r="C2312" s="4">
        <v>89.05</v>
      </c>
      <c r="D2312">
        <f t="shared" si="39"/>
        <v>4.7647058823529376E-2</v>
      </c>
      <c r="E2312">
        <v>2.0254304039608595E-3</v>
      </c>
    </row>
    <row r="2313" spans="2:5" x14ac:dyDescent="0.35">
      <c r="B2313" s="2">
        <v>40841</v>
      </c>
      <c r="C2313" s="4">
        <v>85</v>
      </c>
      <c r="D2313">
        <f t="shared" si="39"/>
        <v>-0.1916310033285783</v>
      </c>
      <c r="E2313">
        <v>2.0040080160321772E-3</v>
      </c>
    </row>
    <row r="2314" spans="2:5" x14ac:dyDescent="0.35">
      <c r="B2314" s="2">
        <v>40744</v>
      </c>
      <c r="C2314" s="4">
        <v>105.15</v>
      </c>
      <c r="D2314">
        <f t="shared" si="39"/>
        <v>2.4875621890547266</v>
      </c>
      <c r="E2314">
        <v>2.0011435105775632E-3</v>
      </c>
    </row>
    <row r="2315" spans="2:5" x14ac:dyDescent="0.35">
      <c r="B2315" s="2">
        <v>37525</v>
      </c>
      <c r="C2315" s="4">
        <v>30.15</v>
      </c>
      <c r="D2315">
        <f t="shared" si="39"/>
        <v>0.19833068362480111</v>
      </c>
      <c r="E2315">
        <v>1.9940179461614971E-3</v>
      </c>
    </row>
    <row r="2316" spans="2:5" x14ac:dyDescent="0.35">
      <c r="B2316" s="2">
        <v>38075</v>
      </c>
      <c r="C2316" s="4">
        <v>25.16</v>
      </c>
      <c r="D2316">
        <f t="shared" si="39"/>
        <v>-0.58378825475599672</v>
      </c>
      <c r="E2316">
        <v>1.9912385503784158E-3</v>
      </c>
    </row>
    <row r="2317" spans="2:5" x14ac:dyDescent="0.35">
      <c r="B2317" s="2">
        <v>38502</v>
      </c>
      <c r="C2317" s="4">
        <v>60.45</v>
      </c>
      <c r="D2317">
        <f t="shared" si="39"/>
        <v>-0.77869302580999444</v>
      </c>
      <c r="E2317">
        <v>1.9890601690701892E-3</v>
      </c>
    </row>
    <row r="2318" spans="2:5" x14ac:dyDescent="0.35">
      <c r="B2318" s="2">
        <v>41957</v>
      </c>
      <c r="C2318" s="4">
        <v>273.14999999999998</v>
      </c>
      <c r="D2318">
        <f t="shared" si="39"/>
        <v>9.7879146919431275</v>
      </c>
      <c r="E2318">
        <v>1.980851766259395E-3</v>
      </c>
    </row>
    <row r="2319" spans="2:5" x14ac:dyDescent="0.35">
      <c r="B2319" s="2">
        <v>38065</v>
      </c>
      <c r="C2319" s="4">
        <v>25.32</v>
      </c>
      <c r="D2319">
        <f t="shared" si="39"/>
        <v>-0.70879815986198969</v>
      </c>
      <c r="E2319">
        <v>1.9786307874951614E-3</v>
      </c>
    </row>
    <row r="2320" spans="2:5" x14ac:dyDescent="0.35">
      <c r="B2320" s="2">
        <v>41060</v>
      </c>
      <c r="C2320" s="4">
        <v>86.95</v>
      </c>
      <c r="D2320">
        <f t="shared" si="39"/>
        <v>-0.71258098638106571</v>
      </c>
      <c r="E2320">
        <v>1.9589767227472521E-3</v>
      </c>
    </row>
    <row r="2321" spans="2:5" x14ac:dyDescent="0.35">
      <c r="B2321" s="2">
        <v>41904</v>
      </c>
      <c r="C2321" s="4">
        <v>302.52</v>
      </c>
      <c r="D2321">
        <f t="shared" si="39"/>
        <v>1.5443229604709838</v>
      </c>
      <c r="E2321">
        <v>1.954095320107152E-3</v>
      </c>
    </row>
    <row r="2322" spans="2:5" x14ac:dyDescent="0.35">
      <c r="B2322" s="2">
        <v>39262</v>
      </c>
      <c r="C2322" s="4">
        <v>118.9</v>
      </c>
      <c r="D2322">
        <f t="shared" si="39"/>
        <v>-0.82802759658080105</v>
      </c>
      <c r="E2322">
        <v>1.9381478048370315E-3</v>
      </c>
    </row>
    <row r="2323" spans="2:5" x14ac:dyDescent="0.35">
      <c r="B2323" s="2">
        <v>42779</v>
      </c>
      <c r="C2323" s="4">
        <v>691.39</v>
      </c>
      <c r="D2323">
        <f t="shared" si="39"/>
        <v>5.9159747924377308</v>
      </c>
      <c r="E2323">
        <v>1.9128494210731706E-3</v>
      </c>
    </row>
    <row r="2324" spans="2:5" x14ac:dyDescent="0.35">
      <c r="B2324" s="2">
        <v>40724</v>
      </c>
      <c r="C2324" s="4">
        <v>99.97</v>
      </c>
      <c r="D2324">
        <f t="shared" si="39"/>
        <v>4.8343120805369066E-2</v>
      </c>
      <c r="E2324">
        <v>1.9041892162758867E-3</v>
      </c>
    </row>
    <row r="2325" spans="2:5" x14ac:dyDescent="0.35">
      <c r="B2325" s="2">
        <v>39429</v>
      </c>
      <c r="C2325" s="4">
        <v>95.36</v>
      </c>
      <c r="D2325">
        <f t="shared" si="39"/>
        <v>-5.5373947498761789E-2</v>
      </c>
      <c r="E2325">
        <v>1.8911536036980703E-3</v>
      </c>
    </row>
    <row r="2326" spans="2:5" x14ac:dyDescent="0.35">
      <c r="B2326" s="2">
        <v>40669</v>
      </c>
      <c r="C2326" s="4">
        <v>100.95</v>
      </c>
      <c r="D2326">
        <f t="shared" si="39"/>
        <v>-0.86976378155922229</v>
      </c>
      <c r="E2326">
        <v>1.8856689162365381E-3</v>
      </c>
    </row>
    <row r="2327" spans="2:5" x14ac:dyDescent="0.35">
      <c r="B2327" s="2">
        <v>43796</v>
      </c>
      <c r="C2327" s="4">
        <v>775.13</v>
      </c>
      <c r="D2327">
        <f t="shared" si="39"/>
        <v>7.4834190653387314</v>
      </c>
      <c r="E2327">
        <v>1.8741598593734476E-3</v>
      </c>
    </row>
    <row r="2328" spans="2:5" x14ac:dyDescent="0.35">
      <c r="B2328" s="2">
        <v>41327</v>
      </c>
      <c r="C2328" s="4">
        <v>91.37</v>
      </c>
      <c r="D2328">
        <f t="shared" si="39"/>
        <v>0.13235840872474913</v>
      </c>
      <c r="E2328">
        <v>1.8640350877192624E-3</v>
      </c>
    </row>
    <row r="2329" spans="2:5" x14ac:dyDescent="0.35">
      <c r="B2329" s="2">
        <v>40875</v>
      </c>
      <c r="C2329" s="4">
        <v>80.69</v>
      </c>
      <c r="D2329">
        <f t="shared" si="39"/>
        <v>-0.71170817106720496</v>
      </c>
      <c r="E2329">
        <v>1.8624286069033325E-3</v>
      </c>
    </row>
    <row r="2330" spans="2:5" x14ac:dyDescent="0.35">
      <c r="B2330" s="2">
        <v>41943</v>
      </c>
      <c r="C2330" s="4">
        <v>279.89</v>
      </c>
      <c r="D2330">
        <f t="shared" si="39"/>
        <v>-0.61272156189896365</v>
      </c>
      <c r="E2330">
        <v>1.8613308515587068E-3</v>
      </c>
    </row>
    <row r="2331" spans="2:5" x14ac:dyDescent="0.35">
      <c r="B2331" s="2">
        <v>42872</v>
      </c>
      <c r="C2331" s="4">
        <v>722.71</v>
      </c>
      <c r="D2331">
        <f t="shared" si="39"/>
        <v>6.839353509057382</v>
      </c>
      <c r="E2331">
        <v>1.8575765557204971E-3</v>
      </c>
    </row>
    <row r="2332" spans="2:5" x14ac:dyDescent="0.35">
      <c r="B2332" s="2">
        <v>41234</v>
      </c>
      <c r="C2332" s="4">
        <v>92.19</v>
      </c>
      <c r="D2332">
        <f t="shared" si="39"/>
        <v>-0.89849822737982521</v>
      </c>
      <c r="E2332">
        <v>1.8474244729407285E-3</v>
      </c>
    </row>
    <row r="2333" spans="2:5" x14ac:dyDescent="0.35">
      <c r="B2333" s="2">
        <v>42345</v>
      </c>
      <c r="C2333" s="4">
        <v>908.26</v>
      </c>
      <c r="D2333">
        <f t="shared" si="39"/>
        <v>-0.86978817963513855</v>
      </c>
      <c r="E2333">
        <v>1.8420675277688314E-3</v>
      </c>
    </row>
    <row r="2334" spans="2:5" x14ac:dyDescent="0.35">
      <c r="B2334" s="2">
        <v>44879</v>
      </c>
      <c r="C2334" s="4">
        <v>6975.25</v>
      </c>
      <c r="D2334">
        <f t="shared" si="39"/>
        <v>0.27445588622211825</v>
      </c>
      <c r="E2334">
        <v>1.8312387791741269E-3</v>
      </c>
    </row>
    <row r="2335" spans="2:5" x14ac:dyDescent="0.35">
      <c r="B2335" s="2">
        <v>44554</v>
      </c>
      <c r="C2335" s="4">
        <v>5473.12</v>
      </c>
      <c r="D2335">
        <f t="shared" si="39"/>
        <v>65.244492858871936</v>
      </c>
      <c r="E2335">
        <v>1.8212869085163508E-3</v>
      </c>
    </row>
    <row r="2336" spans="2:5" x14ac:dyDescent="0.35">
      <c r="B2336" s="2">
        <v>40772</v>
      </c>
      <c r="C2336" s="4">
        <v>82.62</v>
      </c>
      <c r="D2336">
        <f t="shared" si="39"/>
        <v>1.4885542168674699</v>
      </c>
      <c r="E2336">
        <v>1.8188432157149048E-3</v>
      </c>
    </row>
    <row r="2337" spans="2:5" x14ac:dyDescent="0.35">
      <c r="B2337" s="2">
        <v>39783</v>
      </c>
      <c r="C2337" s="4">
        <v>33.200000000000003</v>
      </c>
      <c r="D2337">
        <f t="shared" si="39"/>
        <v>-0.60182297913168625</v>
      </c>
      <c r="E2337">
        <v>1.8105009052504784E-3</v>
      </c>
    </row>
    <row r="2338" spans="2:5" x14ac:dyDescent="0.35">
      <c r="B2338" s="2">
        <v>41379</v>
      </c>
      <c r="C2338" s="4">
        <v>83.38</v>
      </c>
      <c r="D2338">
        <f t="shared" si="39"/>
        <v>-0.93026737252343794</v>
      </c>
      <c r="E2338">
        <v>1.8022347711161846E-3</v>
      </c>
    </row>
    <row r="2339" spans="2:5" x14ac:dyDescent="0.35">
      <c r="B2339" s="2">
        <v>43264</v>
      </c>
      <c r="C2339" s="4">
        <v>1195.71</v>
      </c>
      <c r="D2339">
        <f t="shared" si="39"/>
        <v>0.25441670163659258</v>
      </c>
      <c r="E2339">
        <v>1.8013338248601407E-3</v>
      </c>
    </row>
    <row r="2340" spans="2:5" x14ac:dyDescent="0.35">
      <c r="B2340" s="2">
        <v>43462</v>
      </c>
      <c r="C2340" s="4">
        <v>953.2</v>
      </c>
      <c r="D2340">
        <f t="shared" si="39"/>
        <v>23.27916454406521</v>
      </c>
      <c r="E2340">
        <v>1.7866526537047012E-3</v>
      </c>
    </row>
    <row r="2341" spans="2:5" x14ac:dyDescent="0.35">
      <c r="B2341" s="2">
        <v>39735</v>
      </c>
      <c r="C2341" s="4">
        <v>39.26</v>
      </c>
      <c r="D2341">
        <f t="shared" si="39"/>
        <v>-3.3003300330033403E-3</v>
      </c>
      <c r="E2341">
        <v>1.7861699413115328E-3</v>
      </c>
    </row>
    <row r="2342" spans="2:5" x14ac:dyDescent="0.35">
      <c r="B2342" s="2">
        <v>38208</v>
      </c>
      <c r="C2342" s="4">
        <v>39.39</v>
      </c>
      <c r="D2342">
        <f t="shared" si="39"/>
        <v>-0.95628676062590168</v>
      </c>
      <c r="E2342">
        <v>1.780264496439532E-3</v>
      </c>
    </row>
    <row r="2343" spans="2:5" x14ac:dyDescent="0.35">
      <c r="B2343" s="2">
        <v>42439</v>
      </c>
      <c r="C2343" s="4">
        <v>901.1</v>
      </c>
      <c r="D2343">
        <f t="shared" si="39"/>
        <v>8.8718229623137592</v>
      </c>
      <c r="E2343">
        <v>1.7564923514763464E-3</v>
      </c>
    </row>
    <row r="2344" spans="2:5" x14ac:dyDescent="0.35">
      <c r="B2344" s="2">
        <v>41478</v>
      </c>
      <c r="C2344" s="4">
        <v>91.28</v>
      </c>
      <c r="D2344">
        <f t="shared" si="39"/>
        <v>1.2848560700876095</v>
      </c>
      <c r="E2344">
        <v>1.7559262510973284E-3</v>
      </c>
    </row>
    <row r="2345" spans="2:5" x14ac:dyDescent="0.35">
      <c r="B2345" s="2">
        <v>37995</v>
      </c>
      <c r="C2345" s="4">
        <v>39.950000000000003</v>
      </c>
      <c r="D2345">
        <f t="shared" si="39"/>
        <v>-0.94402331544508122</v>
      </c>
      <c r="E2345">
        <v>1.7552657973922692E-3</v>
      </c>
    </row>
    <row r="2346" spans="2:5" x14ac:dyDescent="0.35">
      <c r="B2346" s="2">
        <v>42898</v>
      </c>
      <c r="C2346" s="4">
        <v>713.69</v>
      </c>
      <c r="D2346">
        <f t="shared" si="39"/>
        <v>-0.89580574660455126</v>
      </c>
      <c r="E2346">
        <v>1.7545337151199103E-3</v>
      </c>
    </row>
    <row r="2347" spans="2:5" x14ac:dyDescent="0.35">
      <c r="B2347" s="2">
        <v>44693</v>
      </c>
      <c r="C2347" s="4">
        <v>6849.61</v>
      </c>
      <c r="D2347">
        <f t="shared" si="39"/>
        <v>4.542966505628252</v>
      </c>
      <c r="E2347">
        <v>1.7462088693955824E-3</v>
      </c>
    </row>
    <row r="2348" spans="2:5" x14ac:dyDescent="0.35">
      <c r="B2348" s="2">
        <v>43272</v>
      </c>
      <c r="C2348" s="4">
        <v>1235.73</v>
      </c>
      <c r="D2348">
        <f t="shared" si="39"/>
        <v>9.7352097993223872</v>
      </c>
      <c r="E2348">
        <v>1.7428946643105458E-3</v>
      </c>
    </row>
    <row r="2349" spans="2:5" x14ac:dyDescent="0.35">
      <c r="B2349" s="2">
        <v>39337</v>
      </c>
      <c r="C2349" s="4">
        <v>115.11</v>
      </c>
      <c r="D2349">
        <f t="shared" si="39"/>
        <v>-0.85214252684581004</v>
      </c>
      <c r="E2349">
        <v>1.7404925593942355E-3</v>
      </c>
    </row>
    <row r="2350" spans="2:5" x14ac:dyDescent="0.35">
      <c r="B2350" s="2">
        <v>42551</v>
      </c>
      <c r="C2350" s="4">
        <v>778.52</v>
      </c>
      <c r="D2350">
        <f t="shared" si="39"/>
        <v>-0.91201752145541992</v>
      </c>
      <c r="E2350">
        <v>1.7370716831581756E-3</v>
      </c>
    </row>
    <row r="2351" spans="2:5" x14ac:dyDescent="0.35">
      <c r="B2351" s="2">
        <v>44657</v>
      </c>
      <c r="C2351" s="4">
        <v>8848.58</v>
      </c>
      <c r="D2351">
        <f t="shared" si="39"/>
        <v>1.5411473470184829</v>
      </c>
      <c r="E2351">
        <v>1.7230136663737294E-3</v>
      </c>
    </row>
    <row r="2352" spans="2:5" x14ac:dyDescent="0.35">
      <c r="B2352" s="2">
        <v>44328</v>
      </c>
      <c r="C2352" s="4">
        <v>3482.12</v>
      </c>
      <c r="D2352">
        <f t="shared" si="39"/>
        <v>2.8482417169506884</v>
      </c>
      <c r="E2352">
        <v>1.7202989522862033E-3</v>
      </c>
    </row>
    <row r="2353" spans="2:5" x14ac:dyDescent="0.35">
      <c r="B2353" s="2">
        <v>43537</v>
      </c>
      <c r="C2353" s="4">
        <v>904.86</v>
      </c>
      <c r="D2353">
        <f t="shared" si="39"/>
        <v>-0.85528838849484634</v>
      </c>
      <c r="E2353">
        <v>1.7159114811085008E-3</v>
      </c>
    </row>
    <row r="2354" spans="2:5" x14ac:dyDescent="0.35">
      <c r="B2354" s="2">
        <v>44942</v>
      </c>
      <c r="C2354" s="4">
        <v>6252.85</v>
      </c>
      <c r="D2354">
        <f t="shared" si="39"/>
        <v>26.820119238298631</v>
      </c>
      <c r="E2354">
        <v>1.6981056510072534E-3</v>
      </c>
    </row>
    <row r="2355" spans="2:5" x14ac:dyDescent="0.35">
      <c r="B2355" s="2">
        <v>41771</v>
      </c>
      <c r="C2355" s="4">
        <v>224.76</v>
      </c>
      <c r="D2355">
        <f t="shared" si="39"/>
        <v>2.7908584921571933</v>
      </c>
      <c r="E2355">
        <v>1.6935555753632148E-3</v>
      </c>
    </row>
    <row r="2356" spans="2:5" x14ac:dyDescent="0.35">
      <c r="B2356" s="2">
        <v>38910</v>
      </c>
      <c r="C2356" s="4">
        <v>59.29</v>
      </c>
      <c r="D2356">
        <f t="shared" si="39"/>
        <v>-0.29567593252554059</v>
      </c>
      <c r="E2356">
        <v>1.6894745734077343E-3</v>
      </c>
    </row>
    <row r="2357" spans="2:5" x14ac:dyDescent="0.35">
      <c r="B2357" s="2">
        <v>41557</v>
      </c>
      <c r="C2357" s="4">
        <v>84.18</v>
      </c>
      <c r="D2357">
        <f t="shared" si="39"/>
        <v>0.38659199472903971</v>
      </c>
      <c r="E2357">
        <v>1.6658733936221193E-3</v>
      </c>
    </row>
    <row r="2358" spans="2:5" x14ac:dyDescent="0.35">
      <c r="B2358" s="2">
        <v>39685</v>
      </c>
      <c r="C2358" s="4">
        <v>60.71</v>
      </c>
      <c r="D2358">
        <f t="shared" si="39"/>
        <v>-0.16698682766190998</v>
      </c>
      <c r="E2358">
        <v>1.6498927569708055E-3</v>
      </c>
    </row>
    <row r="2359" spans="2:5" x14ac:dyDescent="0.35">
      <c r="B2359" s="2">
        <v>38726</v>
      </c>
      <c r="C2359" s="4">
        <v>72.88</v>
      </c>
      <c r="D2359">
        <f t="shared" si="39"/>
        <v>-0.89726674278625906</v>
      </c>
      <c r="E2359">
        <v>1.6492578339746267E-3</v>
      </c>
    </row>
    <row r="2360" spans="2:5" x14ac:dyDescent="0.35">
      <c r="B2360" s="2">
        <v>42858</v>
      </c>
      <c r="C2360" s="4">
        <v>709.41</v>
      </c>
      <c r="D2360">
        <f t="shared" si="39"/>
        <v>-0.14902116021304157</v>
      </c>
      <c r="E2360">
        <v>1.6378397458522986E-3</v>
      </c>
    </row>
    <row r="2361" spans="2:5" x14ac:dyDescent="0.35">
      <c r="B2361" s="2">
        <v>43819</v>
      </c>
      <c r="C2361" s="4">
        <v>833.64</v>
      </c>
      <c r="D2361">
        <f t="shared" si="39"/>
        <v>26.110243902439024</v>
      </c>
      <c r="E2361">
        <v>1.6340654587398973E-3</v>
      </c>
    </row>
    <row r="2362" spans="2:5" x14ac:dyDescent="0.35">
      <c r="B2362" s="2">
        <v>37522</v>
      </c>
      <c r="C2362" s="4">
        <v>30.75</v>
      </c>
      <c r="D2362">
        <f t="shared" si="39"/>
        <v>-0.95900163993440257</v>
      </c>
      <c r="E2362">
        <v>1.6286644951140072E-3</v>
      </c>
    </row>
    <row r="2363" spans="2:5" x14ac:dyDescent="0.35">
      <c r="B2363" s="2">
        <v>42605</v>
      </c>
      <c r="C2363" s="4">
        <v>750.03</v>
      </c>
      <c r="D2363">
        <f t="shared" si="39"/>
        <v>-0.71826896349663061</v>
      </c>
      <c r="E2363">
        <v>1.6158756443469535E-3</v>
      </c>
    </row>
    <row r="2364" spans="2:5" x14ac:dyDescent="0.35">
      <c r="B2364" s="2">
        <v>44286</v>
      </c>
      <c r="C2364" s="4">
        <v>2662.22</v>
      </c>
      <c r="D2364">
        <f t="shared" si="39"/>
        <v>1.8846558094680836</v>
      </c>
      <c r="E2364">
        <v>1.5989646233780519E-3</v>
      </c>
    </row>
    <row r="2365" spans="2:5" x14ac:dyDescent="0.35">
      <c r="B2365" s="2">
        <v>43151</v>
      </c>
      <c r="C2365" s="4">
        <v>922.89</v>
      </c>
      <c r="D2365">
        <f t="shared" si="39"/>
        <v>2.9390768956209401E-2</v>
      </c>
      <c r="E2365">
        <v>1.5736238930368351E-3</v>
      </c>
    </row>
    <row r="2366" spans="2:5" x14ac:dyDescent="0.35">
      <c r="B2366" s="2">
        <v>42443</v>
      </c>
      <c r="C2366" s="4">
        <v>896.54</v>
      </c>
      <c r="D2366">
        <f t="shared" si="39"/>
        <v>10.601190476190476</v>
      </c>
      <c r="E2366">
        <v>1.5640011618294203E-3</v>
      </c>
    </row>
    <row r="2367" spans="2:5" x14ac:dyDescent="0.35">
      <c r="B2367" s="2">
        <v>38596</v>
      </c>
      <c r="C2367" s="4">
        <v>77.28</v>
      </c>
      <c r="D2367">
        <f t="shared" si="39"/>
        <v>1.3918291550603525</v>
      </c>
      <c r="E2367">
        <v>1.5552099533437946E-3</v>
      </c>
    </row>
    <row r="2368" spans="2:5" x14ac:dyDescent="0.35">
      <c r="B2368" s="2">
        <v>37508</v>
      </c>
      <c r="C2368" s="4">
        <v>32.31</v>
      </c>
      <c r="D2368">
        <f t="shared" si="39"/>
        <v>-0.96478013473151802</v>
      </c>
      <c r="E2368">
        <v>1.5499070055797759E-3</v>
      </c>
    </row>
    <row r="2369" spans="2:5" x14ac:dyDescent="0.35">
      <c r="B2369" s="2">
        <v>43397</v>
      </c>
      <c r="C2369" s="4">
        <v>917.38</v>
      </c>
      <c r="D2369">
        <f t="shared" si="39"/>
        <v>7.1835860838537027</v>
      </c>
      <c r="E2369">
        <v>1.5393517254931322E-3</v>
      </c>
    </row>
    <row r="2370" spans="2:5" x14ac:dyDescent="0.35">
      <c r="B2370" s="2">
        <v>39211</v>
      </c>
      <c r="C2370" s="4">
        <v>112.1</v>
      </c>
      <c r="D2370">
        <f t="shared" si="39"/>
        <v>0.51384199864956104</v>
      </c>
      <c r="E2370">
        <v>1.518806396854977E-3</v>
      </c>
    </row>
    <row r="2371" spans="2:5" x14ac:dyDescent="0.35">
      <c r="B2371" s="2">
        <v>39597</v>
      </c>
      <c r="C2371" s="4">
        <v>74.05</v>
      </c>
      <c r="D2371">
        <f t="shared" si="39"/>
        <v>-4.4366765259478136E-3</v>
      </c>
      <c r="E2371">
        <v>1.4876927238300919E-3</v>
      </c>
    </row>
    <row r="2372" spans="2:5" x14ac:dyDescent="0.35">
      <c r="B2372" s="2">
        <v>39643</v>
      </c>
      <c r="C2372" s="4">
        <v>74.38</v>
      </c>
      <c r="D2372">
        <f t="shared" ref="D2372:D2435" si="40">C2372/C2373-1</f>
        <v>-0.98416864079757016</v>
      </c>
      <c r="E2372">
        <v>1.4810825366904368E-3</v>
      </c>
    </row>
    <row r="2373" spans="2:5" x14ac:dyDescent="0.35">
      <c r="B2373" s="2">
        <v>44426</v>
      </c>
      <c r="C2373" s="4">
        <v>4698.2700000000004</v>
      </c>
      <c r="D2373">
        <f t="shared" si="40"/>
        <v>61.601865423051308</v>
      </c>
      <c r="E2373">
        <v>1.4729204324546163E-3</v>
      </c>
    </row>
    <row r="2374" spans="2:5" x14ac:dyDescent="0.35">
      <c r="B2374" s="2">
        <v>41535</v>
      </c>
      <c r="C2374" s="4">
        <v>75.05</v>
      </c>
      <c r="D2374">
        <f t="shared" si="40"/>
        <v>-0.98450654214096678</v>
      </c>
      <c r="E2374">
        <v>1.4678409394182079E-3</v>
      </c>
    </row>
    <row r="2375" spans="2:5" x14ac:dyDescent="0.35">
      <c r="B2375" s="2">
        <v>44435</v>
      </c>
      <c r="C2375" s="4">
        <v>4843.9799999999996</v>
      </c>
      <c r="D2375">
        <f t="shared" si="40"/>
        <v>3.9593848863043002</v>
      </c>
      <c r="E2375">
        <v>1.4513247990473044E-3</v>
      </c>
    </row>
    <row r="2376" spans="2:5" x14ac:dyDescent="0.35">
      <c r="B2376" s="2">
        <v>43116</v>
      </c>
      <c r="C2376" s="4">
        <v>976.73</v>
      </c>
      <c r="D2376">
        <f t="shared" si="40"/>
        <v>-0.83742436978286738</v>
      </c>
      <c r="E2376">
        <v>1.4354116042774034E-3</v>
      </c>
    </row>
    <row r="2377" spans="2:5" x14ac:dyDescent="0.35">
      <c r="B2377" s="2">
        <v>44523</v>
      </c>
      <c r="C2377" s="4">
        <v>6007.85</v>
      </c>
      <c r="D2377">
        <f t="shared" si="40"/>
        <v>84.56971941318902</v>
      </c>
      <c r="E2377">
        <v>1.4351817896933738E-3</v>
      </c>
    </row>
    <row r="2378" spans="2:5" x14ac:dyDescent="0.35">
      <c r="B2378" s="2">
        <v>38629</v>
      </c>
      <c r="C2378" s="4">
        <v>70.209999999999994</v>
      </c>
      <c r="D2378">
        <f t="shared" si="40"/>
        <v>-0.10044843049327357</v>
      </c>
      <c r="E2378">
        <v>1.4263300527741496E-3</v>
      </c>
    </row>
    <row r="2379" spans="2:5" x14ac:dyDescent="0.35">
      <c r="B2379" s="2">
        <v>38965</v>
      </c>
      <c r="C2379" s="4">
        <v>78.05</v>
      </c>
      <c r="D2379">
        <f t="shared" si="40"/>
        <v>2.6420905272981798</v>
      </c>
      <c r="E2379">
        <v>1.4113420579933145E-3</v>
      </c>
    </row>
    <row r="2380" spans="2:5" x14ac:dyDescent="0.35">
      <c r="B2380" s="2">
        <v>37768</v>
      </c>
      <c r="C2380" s="4">
        <v>21.43</v>
      </c>
      <c r="D2380">
        <f t="shared" si="40"/>
        <v>-0.72825259954349475</v>
      </c>
      <c r="E2380">
        <v>1.4018691588786325E-3</v>
      </c>
    </row>
    <row r="2381" spans="2:5" x14ac:dyDescent="0.35">
      <c r="B2381" s="2">
        <v>41460</v>
      </c>
      <c r="C2381" s="4">
        <v>78.86</v>
      </c>
      <c r="D2381">
        <f t="shared" si="40"/>
        <v>-0.91937347278880266</v>
      </c>
      <c r="E2381">
        <v>1.3968253968252853E-3</v>
      </c>
    </row>
    <row r="2382" spans="2:5" x14ac:dyDescent="0.35">
      <c r="B2382" s="2">
        <v>43117</v>
      </c>
      <c r="C2382" s="4">
        <v>978.09</v>
      </c>
      <c r="D2382">
        <f t="shared" si="40"/>
        <v>0.2102977206919594</v>
      </c>
      <c r="E2382">
        <v>1.3924011753503329E-3</v>
      </c>
    </row>
    <row r="2383" spans="2:5" x14ac:dyDescent="0.35">
      <c r="B2383" s="2">
        <v>43018</v>
      </c>
      <c r="C2383" s="4">
        <v>808.14</v>
      </c>
      <c r="D2383">
        <f t="shared" si="40"/>
        <v>12.933448275862069</v>
      </c>
      <c r="E2383">
        <v>1.3878218631508954E-3</v>
      </c>
    </row>
    <row r="2384" spans="2:5" x14ac:dyDescent="0.35">
      <c r="B2384" s="2">
        <v>38476</v>
      </c>
      <c r="C2384" s="4">
        <v>58</v>
      </c>
      <c r="D2384">
        <f t="shared" si="40"/>
        <v>-0.92527699046637468</v>
      </c>
      <c r="E2384">
        <v>1.3812154696133394E-3</v>
      </c>
    </row>
    <row r="2385" spans="2:5" x14ac:dyDescent="0.35">
      <c r="B2385" s="2">
        <v>43797</v>
      </c>
      <c r="C2385" s="4">
        <v>776.2</v>
      </c>
      <c r="D2385">
        <f t="shared" si="40"/>
        <v>12.355127322780456</v>
      </c>
      <c r="E2385">
        <v>1.3804136080399765E-3</v>
      </c>
    </row>
    <row r="2386" spans="2:5" x14ac:dyDescent="0.35">
      <c r="B2386" s="2">
        <v>38496</v>
      </c>
      <c r="C2386" s="4">
        <v>58.12</v>
      </c>
      <c r="D2386">
        <f t="shared" si="40"/>
        <v>-0.43468534189281205</v>
      </c>
      <c r="E2386">
        <v>1.3783597518952639E-3</v>
      </c>
    </row>
    <row r="2387" spans="2:5" x14ac:dyDescent="0.35">
      <c r="B2387" s="2">
        <v>40576</v>
      </c>
      <c r="C2387" s="4">
        <v>102.81</v>
      </c>
      <c r="D2387">
        <f t="shared" si="40"/>
        <v>-0.61259326249152157</v>
      </c>
      <c r="E2387">
        <v>1.3635920911658772E-3</v>
      </c>
    </row>
    <row r="2388" spans="2:5" x14ac:dyDescent="0.35">
      <c r="B2388" s="2">
        <v>42003</v>
      </c>
      <c r="C2388" s="4">
        <v>265.38</v>
      </c>
      <c r="D2388">
        <f t="shared" si="40"/>
        <v>2.9864803965750339</v>
      </c>
      <c r="E2388">
        <v>1.358388046185155E-3</v>
      </c>
    </row>
    <row r="2389" spans="2:5" x14ac:dyDescent="0.35">
      <c r="B2389" s="2">
        <v>39566</v>
      </c>
      <c r="C2389" s="4">
        <v>66.569999999999993</v>
      </c>
      <c r="D2389">
        <f t="shared" si="40"/>
        <v>-0.47462710125483387</v>
      </c>
      <c r="E2389">
        <v>1.3537906137182087E-3</v>
      </c>
    </row>
    <row r="2390" spans="2:5" x14ac:dyDescent="0.35">
      <c r="B2390" s="2">
        <v>40294</v>
      </c>
      <c r="C2390" s="4">
        <v>126.71</v>
      </c>
      <c r="D2390">
        <f t="shared" si="40"/>
        <v>0.28483066315149053</v>
      </c>
      <c r="E2390">
        <v>1.3434487118697547E-3</v>
      </c>
    </row>
    <row r="2391" spans="2:5" x14ac:dyDescent="0.35">
      <c r="B2391" s="2">
        <v>40619</v>
      </c>
      <c r="C2391" s="4">
        <v>98.62</v>
      </c>
      <c r="D2391">
        <f t="shared" si="40"/>
        <v>0.43949788352065378</v>
      </c>
      <c r="E2391">
        <v>1.3199309574576379E-3</v>
      </c>
    </row>
    <row r="2392" spans="2:5" x14ac:dyDescent="0.35">
      <c r="B2392" s="2">
        <v>38632</v>
      </c>
      <c r="C2392" s="4">
        <v>68.510000000000005</v>
      </c>
      <c r="D2392">
        <f t="shared" si="40"/>
        <v>-0.92623577419597958</v>
      </c>
      <c r="E2392">
        <v>1.3154048523824624E-3</v>
      </c>
    </row>
    <row r="2393" spans="2:5" x14ac:dyDescent="0.35">
      <c r="B2393" s="2">
        <v>43544</v>
      </c>
      <c r="C2393" s="4">
        <v>928.77</v>
      </c>
      <c r="D2393">
        <f t="shared" si="40"/>
        <v>-0.8517028852448546</v>
      </c>
      <c r="E2393">
        <v>1.3152929761199861E-3</v>
      </c>
    </row>
    <row r="2394" spans="2:5" x14ac:dyDescent="0.35">
      <c r="B2394" s="2">
        <v>44944</v>
      </c>
      <c r="C2394" s="4">
        <v>6262.9</v>
      </c>
      <c r="D2394">
        <f t="shared" si="40"/>
        <v>115.04409857328145</v>
      </c>
      <c r="E2394">
        <v>1.3030097126183193E-3</v>
      </c>
    </row>
    <row r="2395" spans="2:5" x14ac:dyDescent="0.35">
      <c r="B2395" s="2">
        <v>38386</v>
      </c>
      <c r="C2395" s="4">
        <v>53.97</v>
      </c>
      <c r="D2395">
        <f t="shared" si="40"/>
        <v>-0.9194056596729635</v>
      </c>
      <c r="E2395">
        <v>1.2987012987013546E-3</v>
      </c>
    </row>
    <row r="2396" spans="2:5" x14ac:dyDescent="0.35">
      <c r="B2396" s="2">
        <v>42803</v>
      </c>
      <c r="C2396" s="4">
        <v>669.65</v>
      </c>
      <c r="D2396">
        <f t="shared" si="40"/>
        <v>5.0421366056121988</v>
      </c>
      <c r="E2396">
        <v>1.2859043945034898E-3</v>
      </c>
    </row>
    <row r="2397" spans="2:5" x14ac:dyDescent="0.35">
      <c r="B2397" s="2">
        <v>39307</v>
      </c>
      <c r="C2397" s="4">
        <v>110.83</v>
      </c>
      <c r="D2397">
        <f t="shared" si="40"/>
        <v>-0.87708227047889453</v>
      </c>
      <c r="E2397">
        <v>1.2647935676213251E-3</v>
      </c>
    </row>
    <row r="2398" spans="2:5" x14ac:dyDescent="0.35">
      <c r="B2398" s="2">
        <v>43550</v>
      </c>
      <c r="C2398" s="4">
        <v>901.66</v>
      </c>
      <c r="D2398">
        <f t="shared" si="40"/>
        <v>6.3591860808021261E-2</v>
      </c>
      <c r="E2398">
        <v>1.2548166079975331E-3</v>
      </c>
    </row>
    <row r="2399" spans="2:5" x14ac:dyDescent="0.35">
      <c r="B2399" s="2">
        <v>42991</v>
      </c>
      <c r="C2399" s="4">
        <v>847.75</v>
      </c>
      <c r="D2399">
        <f t="shared" si="40"/>
        <v>7.0923062237495227</v>
      </c>
      <c r="E2399">
        <v>1.2519340018188885E-3</v>
      </c>
    </row>
    <row r="2400" spans="2:5" x14ac:dyDescent="0.35">
      <c r="B2400" s="2">
        <v>39316</v>
      </c>
      <c r="C2400" s="4">
        <v>104.76</v>
      </c>
      <c r="D2400">
        <f t="shared" si="40"/>
        <v>3.3289256198347115</v>
      </c>
      <c r="E2400">
        <v>1.2424734779701296E-3</v>
      </c>
    </row>
    <row r="2401" spans="2:5" x14ac:dyDescent="0.35">
      <c r="B2401" s="2">
        <v>37671</v>
      </c>
      <c r="C2401" s="4">
        <v>24.2</v>
      </c>
      <c r="D2401">
        <f t="shared" si="40"/>
        <v>-0.98190085858736953</v>
      </c>
      <c r="E2401">
        <v>1.2412081092261218E-3</v>
      </c>
    </row>
    <row r="2402" spans="2:5" x14ac:dyDescent="0.35">
      <c r="B2402" s="2">
        <v>43297</v>
      </c>
      <c r="C2402" s="4">
        <v>1337.08</v>
      </c>
      <c r="D2402">
        <f t="shared" si="40"/>
        <v>12.73477144324602</v>
      </c>
      <c r="E2402">
        <v>1.2355570864814869E-3</v>
      </c>
    </row>
    <row r="2403" spans="2:5" x14ac:dyDescent="0.35">
      <c r="B2403" s="2">
        <v>40690</v>
      </c>
      <c r="C2403" s="4">
        <v>97.35</v>
      </c>
      <c r="D2403">
        <f t="shared" si="40"/>
        <v>0.19623986237404778</v>
      </c>
      <c r="E2403">
        <v>1.2341869793273119E-3</v>
      </c>
    </row>
    <row r="2404" spans="2:5" x14ac:dyDescent="0.35">
      <c r="B2404" s="2">
        <v>40820</v>
      </c>
      <c r="C2404" s="4">
        <v>81.38</v>
      </c>
      <c r="D2404">
        <f t="shared" si="40"/>
        <v>-0.89711367055640545</v>
      </c>
      <c r="E2404">
        <v>1.2303149606298636E-3</v>
      </c>
    </row>
    <row r="2405" spans="2:5" x14ac:dyDescent="0.35">
      <c r="B2405" s="2">
        <v>42927</v>
      </c>
      <c r="C2405" s="4">
        <v>790.97</v>
      </c>
      <c r="D2405">
        <f t="shared" si="40"/>
        <v>7.648261535097312</v>
      </c>
      <c r="E2405">
        <v>1.2278481012657494E-3</v>
      </c>
    </row>
    <row r="2406" spans="2:5" x14ac:dyDescent="0.35">
      <c r="B2406" s="2">
        <v>41316</v>
      </c>
      <c r="C2406" s="4">
        <v>91.46</v>
      </c>
      <c r="D2406">
        <f t="shared" si="40"/>
        <v>-0.65981030314301659</v>
      </c>
      <c r="E2406">
        <v>1.20415982484956E-3</v>
      </c>
    </row>
    <row r="2407" spans="2:5" x14ac:dyDescent="0.35">
      <c r="B2407" s="2">
        <v>41870</v>
      </c>
      <c r="C2407" s="4">
        <v>268.85000000000002</v>
      </c>
      <c r="D2407">
        <f t="shared" si="40"/>
        <v>-0.67349987248460708</v>
      </c>
      <c r="E2407">
        <v>1.1916731836296712E-3</v>
      </c>
    </row>
    <row r="2408" spans="2:5" x14ac:dyDescent="0.35">
      <c r="B2408" s="2">
        <v>42535</v>
      </c>
      <c r="C2408" s="4">
        <v>823.43</v>
      </c>
      <c r="D2408">
        <f t="shared" si="40"/>
        <v>11.066676436107855</v>
      </c>
      <c r="E2408">
        <v>1.1915617970696957E-3</v>
      </c>
    </row>
    <row r="2409" spans="2:5" x14ac:dyDescent="0.35">
      <c r="B2409" s="2">
        <v>40098</v>
      </c>
      <c r="C2409" s="4">
        <v>68.239999999999995</v>
      </c>
      <c r="D2409">
        <f t="shared" si="40"/>
        <v>-0.38677210639827464</v>
      </c>
      <c r="E2409">
        <v>1.1737089201877549E-3</v>
      </c>
    </row>
    <row r="2410" spans="2:5" x14ac:dyDescent="0.35">
      <c r="B2410" s="2">
        <v>40562</v>
      </c>
      <c r="C2410" s="4">
        <v>111.28</v>
      </c>
      <c r="D2410">
        <f t="shared" si="40"/>
        <v>0.61956047154708216</v>
      </c>
      <c r="E2410">
        <v>1.1695906432747094E-3</v>
      </c>
    </row>
    <row r="2411" spans="2:5" x14ac:dyDescent="0.35">
      <c r="B2411" s="2">
        <v>38562</v>
      </c>
      <c r="C2411" s="4">
        <v>68.709999999999994</v>
      </c>
      <c r="D2411">
        <f t="shared" si="40"/>
        <v>-0.80044146263541571</v>
      </c>
      <c r="E2411">
        <v>1.1656709893632655E-3</v>
      </c>
    </row>
    <row r="2412" spans="2:5" x14ac:dyDescent="0.35">
      <c r="B2412" s="2">
        <v>42034</v>
      </c>
      <c r="C2412" s="4">
        <v>344.31</v>
      </c>
      <c r="D2412">
        <f t="shared" si="40"/>
        <v>2.8997621474685693</v>
      </c>
      <c r="E2412">
        <v>1.1339846475924009E-3</v>
      </c>
    </row>
    <row r="2413" spans="2:5" x14ac:dyDescent="0.35">
      <c r="B2413" s="2">
        <v>41072</v>
      </c>
      <c r="C2413" s="4">
        <v>88.29</v>
      </c>
      <c r="D2413">
        <f t="shared" si="40"/>
        <v>-0.86904090895606512</v>
      </c>
      <c r="E2413">
        <v>1.1339154099105908E-3</v>
      </c>
    </row>
    <row r="2414" spans="2:5" x14ac:dyDescent="0.35">
      <c r="B2414" s="2">
        <v>42719</v>
      </c>
      <c r="C2414" s="4">
        <v>674.18</v>
      </c>
      <c r="D2414">
        <f t="shared" si="40"/>
        <v>-0.56358104609010873</v>
      </c>
      <c r="E2414">
        <v>1.1285676101095987E-3</v>
      </c>
    </row>
    <row r="2415" spans="2:5" x14ac:dyDescent="0.35">
      <c r="B2415" s="2">
        <v>44159</v>
      </c>
      <c r="C2415" s="4">
        <v>1544.8</v>
      </c>
      <c r="D2415">
        <f t="shared" si="40"/>
        <v>14.646713258381443</v>
      </c>
      <c r="E2415">
        <v>1.1211416202765445E-3</v>
      </c>
    </row>
    <row r="2416" spans="2:5" x14ac:dyDescent="0.35">
      <c r="B2416" s="2">
        <v>41193</v>
      </c>
      <c r="C2416" s="4">
        <v>98.73</v>
      </c>
      <c r="D2416">
        <f t="shared" si="40"/>
        <v>0.36367403314917124</v>
      </c>
      <c r="E2416">
        <v>1.1153924153315398E-3</v>
      </c>
    </row>
    <row r="2417" spans="2:5" x14ac:dyDescent="0.35">
      <c r="B2417" s="2">
        <v>38575</v>
      </c>
      <c r="C2417" s="4">
        <v>72.400000000000006</v>
      </c>
      <c r="D2417">
        <f t="shared" si="40"/>
        <v>-0.11685777018785071</v>
      </c>
      <c r="E2417">
        <v>1.1061946902657382E-3</v>
      </c>
    </row>
    <row r="2418" spans="2:5" x14ac:dyDescent="0.35">
      <c r="B2418" s="2">
        <v>38845</v>
      </c>
      <c r="C2418" s="4">
        <v>81.98</v>
      </c>
      <c r="D2418">
        <f t="shared" si="40"/>
        <v>0.28013741411617743</v>
      </c>
      <c r="E2418">
        <v>1.0990352912443324E-3</v>
      </c>
    </row>
    <row r="2419" spans="2:5" x14ac:dyDescent="0.35">
      <c r="B2419" s="2">
        <v>38939</v>
      </c>
      <c r="C2419" s="4">
        <v>64.040000000000006</v>
      </c>
      <c r="D2419">
        <f t="shared" si="40"/>
        <v>-0.92318211261185612</v>
      </c>
      <c r="E2419">
        <v>1.0942629357513223E-3</v>
      </c>
    </row>
    <row r="2420" spans="2:5" x14ac:dyDescent="0.35">
      <c r="B2420" s="2">
        <v>42312</v>
      </c>
      <c r="C2420" s="4">
        <v>833.66</v>
      </c>
      <c r="D2420">
        <f t="shared" si="40"/>
        <v>2.7706816228685147</v>
      </c>
      <c r="E2420">
        <v>1.0927649354548485E-3</v>
      </c>
    </row>
    <row r="2421" spans="2:5" x14ac:dyDescent="0.35">
      <c r="B2421" s="2">
        <v>41690</v>
      </c>
      <c r="C2421" s="4">
        <v>221.09</v>
      </c>
      <c r="D2421">
        <f t="shared" si="40"/>
        <v>1.1713808681987823</v>
      </c>
      <c r="E2421">
        <v>1.0867104369483016E-3</v>
      </c>
    </row>
    <row r="2422" spans="2:5" x14ac:dyDescent="0.35">
      <c r="B2422" s="2">
        <v>39449</v>
      </c>
      <c r="C2422" s="4">
        <v>101.82</v>
      </c>
      <c r="D2422">
        <f t="shared" si="40"/>
        <v>0.19745972009878865</v>
      </c>
      <c r="E2422">
        <v>1.0815062432405487E-3</v>
      </c>
    </row>
    <row r="2423" spans="2:5" x14ac:dyDescent="0.35">
      <c r="B2423" s="2">
        <v>41368</v>
      </c>
      <c r="C2423" s="4">
        <v>85.03</v>
      </c>
      <c r="D2423">
        <f t="shared" si="40"/>
        <v>1.9845559845559846</v>
      </c>
      <c r="E2423">
        <v>1.0595714622085861E-3</v>
      </c>
    </row>
    <row r="2424" spans="2:5" x14ac:dyDescent="0.35">
      <c r="B2424" s="2">
        <v>37943</v>
      </c>
      <c r="C2424" s="4">
        <v>28.49</v>
      </c>
      <c r="D2424">
        <f t="shared" si="40"/>
        <v>-0.66802610114192496</v>
      </c>
      <c r="E2424">
        <v>1.0541110330286596E-3</v>
      </c>
    </row>
    <row r="2425" spans="2:5" x14ac:dyDescent="0.35">
      <c r="B2425" s="2">
        <v>39413</v>
      </c>
      <c r="C2425" s="4">
        <v>85.82</v>
      </c>
      <c r="D2425">
        <f t="shared" si="40"/>
        <v>1.9603311486719557</v>
      </c>
      <c r="E2425">
        <v>1.0498075352851632E-3</v>
      </c>
    </row>
    <row r="2426" spans="2:5" x14ac:dyDescent="0.35">
      <c r="B2426" s="2">
        <v>38127</v>
      </c>
      <c r="C2426" s="4">
        <v>28.99</v>
      </c>
      <c r="D2426">
        <f t="shared" si="40"/>
        <v>-0.97877853989912666</v>
      </c>
      <c r="E2426">
        <v>1.035911602209838E-3</v>
      </c>
    </row>
    <row r="2427" spans="2:5" x14ac:dyDescent="0.35">
      <c r="B2427" s="2">
        <v>43308</v>
      </c>
      <c r="C2427" s="4">
        <v>1366.07</v>
      </c>
      <c r="D2427">
        <f t="shared" si="40"/>
        <v>0.39577202877227391</v>
      </c>
      <c r="E2427">
        <v>1.0332243928889984E-3</v>
      </c>
    </row>
    <row r="2428" spans="2:5" x14ac:dyDescent="0.35">
      <c r="B2428" s="2">
        <v>44050</v>
      </c>
      <c r="C2428" s="4">
        <v>978.72</v>
      </c>
      <c r="D2428">
        <f t="shared" si="40"/>
        <v>18.649066452519573</v>
      </c>
      <c r="E2428">
        <v>1.012549476849367E-3</v>
      </c>
    </row>
    <row r="2429" spans="2:5" x14ac:dyDescent="0.35">
      <c r="B2429" s="2">
        <v>38341</v>
      </c>
      <c r="C2429" s="4">
        <v>49.81</v>
      </c>
      <c r="D2429">
        <f t="shared" si="40"/>
        <v>-0.28649190660363844</v>
      </c>
      <c r="E2429">
        <v>1.004823151125489E-3</v>
      </c>
    </row>
    <row r="2430" spans="2:5" x14ac:dyDescent="0.35">
      <c r="B2430" s="2">
        <v>39570</v>
      </c>
      <c r="C2430" s="4">
        <v>69.81</v>
      </c>
      <c r="D2430">
        <f t="shared" si="40"/>
        <v>-0.98890098970547324</v>
      </c>
      <c r="E2430">
        <v>1.0037281330657066E-3</v>
      </c>
    </row>
    <row r="2431" spans="2:5" x14ac:dyDescent="0.35">
      <c r="B2431" s="2">
        <v>45033</v>
      </c>
      <c r="C2431" s="4">
        <v>6289.75</v>
      </c>
      <c r="D2431">
        <f t="shared" si="40"/>
        <v>50.521543250327653</v>
      </c>
      <c r="E2431">
        <v>9.9466857643037976E-4</v>
      </c>
    </row>
    <row r="2432" spans="2:5" x14ac:dyDescent="0.35">
      <c r="B2432" s="2">
        <v>39237</v>
      </c>
      <c r="C2432" s="4">
        <v>122.08</v>
      </c>
      <c r="D2432">
        <f t="shared" si="40"/>
        <v>2.9895424836601303</v>
      </c>
      <c r="E2432">
        <v>9.8392915710077133E-4</v>
      </c>
    </row>
    <row r="2433" spans="2:5" x14ac:dyDescent="0.35">
      <c r="B2433" s="2">
        <v>38099</v>
      </c>
      <c r="C2433" s="4">
        <v>30.6</v>
      </c>
      <c r="D2433">
        <f t="shared" si="40"/>
        <v>-0.2532942898975109</v>
      </c>
      <c r="E2433">
        <v>9.8135426889101041E-4</v>
      </c>
    </row>
    <row r="2434" spans="2:5" x14ac:dyDescent="0.35">
      <c r="B2434" s="2">
        <v>39933</v>
      </c>
      <c r="C2434" s="4">
        <v>40.98</v>
      </c>
      <c r="D2434">
        <f t="shared" si="40"/>
        <v>-0.21086077411900639</v>
      </c>
      <c r="E2434">
        <v>9.7703957010253362E-4</v>
      </c>
    </row>
    <row r="2435" spans="2:5" x14ac:dyDescent="0.35">
      <c r="B2435" s="2">
        <v>38321</v>
      </c>
      <c r="C2435" s="4">
        <v>51.93</v>
      </c>
      <c r="D2435">
        <f t="shared" si="40"/>
        <v>-0.50014438348252965</v>
      </c>
      <c r="E2435">
        <v>9.6376252891272607E-4</v>
      </c>
    </row>
    <row r="2436" spans="2:5" x14ac:dyDescent="0.35">
      <c r="B2436" s="2">
        <v>40403</v>
      </c>
      <c r="C2436" s="4">
        <v>103.89</v>
      </c>
      <c r="D2436">
        <f t="shared" ref="D2436:D2499" si="41">C2436/C2437-1</f>
        <v>9.9248756745317968E-2</v>
      </c>
      <c r="E2436">
        <v>9.6348395799195075E-4</v>
      </c>
    </row>
    <row r="2437" spans="2:5" x14ac:dyDescent="0.35">
      <c r="B2437" s="2">
        <v>39091</v>
      </c>
      <c r="C2437" s="4">
        <v>94.51</v>
      </c>
      <c r="D2437">
        <f t="shared" si="41"/>
        <v>0.12364760432766619</v>
      </c>
      <c r="E2437">
        <v>9.5318788392284581E-4</v>
      </c>
    </row>
    <row r="2438" spans="2:5" x14ac:dyDescent="0.35">
      <c r="B2438" s="2">
        <v>41045</v>
      </c>
      <c r="C2438" s="4">
        <v>84.11</v>
      </c>
      <c r="D2438">
        <f t="shared" si="41"/>
        <v>-0.88236528160445304</v>
      </c>
      <c r="E2438">
        <v>9.520409377603567E-4</v>
      </c>
    </row>
    <row r="2439" spans="2:5" x14ac:dyDescent="0.35">
      <c r="B2439" s="2">
        <v>42846</v>
      </c>
      <c r="C2439" s="4">
        <v>715.01</v>
      </c>
      <c r="D2439">
        <f t="shared" si="41"/>
        <v>-7.0812215724496475E-2</v>
      </c>
      <c r="E2439">
        <v>9.5194097965922708E-4</v>
      </c>
    </row>
    <row r="2440" spans="2:5" x14ac:dyDescent="0.35">
      <c r="B2440" s="2">
        <v>43784</v>
      </c>
      <c r="C2440" s="4">
        <v>769.5</v>
      </c>
      <c r="D2440">
        <f t="shared" si="41"/>
        <v>0.22764474083055486</v>
      </c>
      <c r="E2440">
        <v>9.4956879170626785E-4</v>
      </c>
    </row>
    <row r="2441" spans="2:5" x14ac:dyDescent="0.35">
      <c r="B2441" s="2">
        <v>43720</v>
      </c>
      <c r="C2441" s="4">
        <v>626.80999999999995</v>
      </c>
      <c r="D2441">
        <f t="shared" si="41"/>
        <v>7.40565911224353</v>
      </c>
      <c r="E2441">
        <v>9.4216090191934221E-4</v>
      </c>
    </row>
    <row r="2442" spans="2:5" x14ac:dyDescent="0.35">
      <c r="B2442" s="2">
        <v>39472</v>
      </c>
      <c r="C2442" s="4">
        <v>74.569999999999993</v>
      </c>
      <c r="D2442">
        <f t="shared" si="41"/>
        <v>-0.90792576769684774</v>
      </c>
      <c r="E2442">
        <v>9.3959731543624692E-4</v>
      </c>
    </row>
    <row r="2443" spans="2:5" x14ac:dyDescent="0.35">
      <c r="B2443" s="2">
        <v>43593</v>
      </c>
      <c r="C2443" s="4">
        <v>809.89</v>
      </c>
      <c r="D2443">
        <f t="shared" si="41"/>
        <v>8.3058715385499244</v>
      </c>
      <c r="E2443">
        <v>9.2691005264855519E-4</v>
      </c>
    </row>
    <row r="2444" spans="2:5" x14ac:dyDescent="0.35">
      <c r="B2444" s="2">
        <v>41061</v>
      </c>
      <c r="C2444" s="4">
        <v>87.03</v>
      </c>
      <c r="D2444">
        <f t="shared" si="41"/>
        <v>2.9940339605323545</v>
      </c>
      <c r="E2444">
        <v>9.2006900517538348E-4</v>
      </c>
    </row>
    <row r="2445" spans="2:5" x14ac:dyDescent="0.35">
      <c r="B2445" s="2">
        <v>37736</v>
      </c>
      <c r="C2445" s="4">
        <v>21.79</v>
      </c>
      <c r="D2445">
        <f t="shared" si="41"/>
        <v>-0.97171709305193199</v>
      </c>
      <c r="E2445">
        <v>9.1869545245759632E-4</v>
      </c>
    </row>
    <row r="2446" spans="2:5" x14ac:dyDescent="0.35">
      <c r="B2446" s="2">
        <v>42571</v>
      </c>
      <c r="C2446" s="4">
        <v>770.43</v>
      </c>
      <c r="D2446">
        <f t="shared" si="41"/>
        <v>5.9918322896814589</v>
      </c>
      <c r="E2446">
        <v>9.0940979304421354E-4</v>
      </c>
    </row>
    <row r="2447" spans="2:5" x14ac:dyDescent="0.35">
      <c r="B2447" s="2">
        <v>40518</v>
      </c>
      <c r="C2447" s="4">
        <v>110.19</v>
      </c>
      <c r="D2447">
        <f t="shared" si="41"/>
        <v>3.9635135135135133</v>
      </c>
      <c r="E2447">
        <v>9.0834771550540871E-4</v>
      </c>
    </row>
    <row r="2448" spans="2:5" x14ac:dyDescent="0.35">
      <c r="B2448" s="2">
        <v>37706</v>
      </c>
      <c r="C2448" s="4">
        <v>22.2</v>
      </c>
      <c r="D2448">
        <f t="shared" si="41"/>
        <v>-0.78179673678002748</v>
      </c>
      <c r="E2448">
        <v>9.0171325518473289E-4</v>
      </c>
    </row>
    <row r="2449" spans="2:5" x14ac:dyDescent="0.35">
      <c r="B2449" s="2">
        <v>41283</v>
      </c>
      <c r="C2449" s="4">
        <v>101.74</v>
      </c>
      <c r="D2449">
        <f t="shared" si="41"/>
        <v>-0.62703911433703585</v>
      </c>
      <c r="E2449">
        <v>8.8539104771268029E-4</v>
      </c>
    </row>
    <row r="2450" spans="2:5" x14ac:dyDescent="0.35">
      <c r="B2450" s="2">
        <v>41850</v>
      </c>
      <c r="C2450" s="4">
        <v>272.79000000000002</v>
      </c>
      <c r="D2450">
        <f t="shared" si="41"/>
        <v>1.3907975460122701</v>
      </c>
      <c r="E2450">
        <v>8.8057237204175465E-4</v>
      </c>
    </row>
    <row r="2451" spans="2:5" x14ac:dyDescent="0.35">
      <c r="B2451" s="2">
        <v>40473</v>
      </c>
      <c r="C2451" s="4">
        <v>114.1</v>
      </c>
      <c r="D2451">
        <f t="shared" si="41"/>
        <v>0.35881862569965461</v>
      </c>
      <c r="E2451">
        <v>8.7719298245603206E-4</v>
      </c>
    </row>
    <row r="2452" spans="2:5" x14ac:dyDescent="0.35">
      <c r="B2452" s="2">
        <v>41408</v>
      </c>
      <c r="C2452" s="4">
        <v>83.97</v>
      </c>
      <c r="D2452">
        <f t="shared" si="41"/>
        <v>-0.22715140358950769</v>
      </c>
      <c r="E2452">
        <v>8.3432657926096887E-4</v>
      </c>
    </row>
    <row r="2453" spans="2:5" x14ac:dyDescent="0.35">
      <c r="B2453" s="2">
        <v>40242</v>
      </c>
      <c r="C2453" s="4">
        <v>108.65</v>
      </c>
      <c r="D2453">
        <f t="shared" si="41"/>
        <v>-9.0295512586646698E-3</v>
      </c>
      <c r="E2453">
        <v>8.2903463522487897E-4</v>
      </c>
    </row>
    <row r="2454" spans="2:5" x14ac:dyDescent="0.35">
      <c r="B2454" s="2">
        <v>39344</v>
      </c>
      <c r="C2454" s="4">
        <v>109.64</v>
      </c>
      <c r="D2454">
        <f t="shared" si="41"/>
        <v>-0.98593340047598577</v>
      </c>
      <c r="E2454">
        <v>8.2154267457790198E-4</v>
      </c>
    </row>
    <row r="2455" spans="2:5" x14ac:dyDescent="0.35">
      <c r="B2455" s="2">
        <v>44736</v>
      </c>
      <c r="C2455" s="4">
        <v>7794.35</v>
      </c>
      <c r="D2455">
        <f t="shared" si="41"/>
        <v>155.07428914697638</v>
      </c>
      <c r="E2455">
        <v>8.0893163243689337E-4</v>
      </c>
    </row>
    <row r="2456" spans="2:5" x14ac:dyDescent="0.35">
      <c r="B2456" s="2">
        <v>39983</v>
      </c>
      <c r="C2456" s="4">
        <v>49.94</v>
      </c>
      <c r="D2456">
        <f t="shared" si="41"/>
        <v>-0.99254387601991689</v>
      </c>
      <c r="E2456">
        <v>8.0160320641287086E-4</v>
      </c>
    </row>
    <row r="2457" spans="2:5" x14ac:dyDescent="0.35">
      <c r="B2457" s="2">
        <v>44965</v>
      </c>
      <c r="C2457" s="4">
        <v>6697.85</v>
      </c>
      <c r="D2457">
        <f t="shared" si="41"/>
        <v>5.6379754613387254</v>
      </c>
      <c r="E2457">
        <v>7.9940231602537715E-4</v>
      </c>
    </row>
    <row r="2458" spans="2:5" x14ac:dyDescent="0.35">
      <c r="B2458" s="2">
        <v>44057</v>
      </c>
      <c r="C2458" s="4">
        <v>1009.02</v>
      </c>
      <c r="D2458">
        <f t="shared" si="41"/>
        <v>-0.88028616852146269</v>
      </c>
      <c r="E2458">
        <v>7.8355137220675886E-4</v>
      </c>
    </row>
    <row r="2459" spans="2:5" x14ac:dyDescent="0.35">
      <c r="B2459" s="2">
        <v>44833</v>
      </c>
      <c r="C2459" s="4">
        <v>8428.6</v>
      </c>
      <c r="D2459">
        <f t="shared" si="41"/>
        <v>75.436020676521267</v>
      </c>
      <c r="E2459">
        <v>7.3019133387552948E-4</v>
      </c>
    </row>
    <row r="2460" spans="2:5" x14ac:dyDescent="0.35">
      <c r="B2460" s="2">
        <v>40519</v>
      </c>
      <c r="C2460" s="4">
        <v>110.27</v>
      </c>
      <c r="D2460">
        <f t="shared" si="41"/>
        <v>-0.12974508720700817</v>
      </c>
      <c r="E2460">
        <v>7.2601869498134519E-4</v>
      </c>
    </row>
    <row r="2461" spans="2:5" x14ac:dyDescent="0.35">
      <c r="B2461" s="2">
        <v>40283</v>
      </c>
      <c r="C2461" s="4">
        <v>126.71</v>
      </c>
      <c r="D2461">
        <f t="shared" si="41"/>
        <v>0.79425092041914458</v>
      </c>
      <c r="E2461">
        <v>7.1078818512071429E-4</v>
      </c>
    </row>
    <row r="2462" spans="2:5" x14ac:dyDescent="0.35">
      <c r="B2462" s="2">
        <v>38867</v>
      </c>
      <c r="C2462" s="4">
        <v>70.62</v>
      </c>
      <c r="D2462">
        <f t="shared" si="41"/>
        <v>1.4118852459016393</v>
      </c>
      <c r="E2462">
        <v>7.0851636672819573E-4</v>
      </c>
    </row>
    <row r="2463" spans="2:5" x14ac:dyDescent="0.35">
      <c r="B2463" s="2">
        <v>37953</v>
      </c>
      <c r="C2463" s="4">
        <v>29.28</v>
      </c>
      <c r="D2463">
        <f t="shared" si="41"/>
        <v>-0.75328614762386248</v>
      </c>
      <c r="E2463">
        <v>6.8352699931639727E-4</v>
      </c>
    </row>
    <row r="2464" spans="2:5" x14ac:dyDescent="0.35">
      <c r="B2464" s="2">
        <v>40464</v>
      </c>
      <c r="C2464" s="4">
        <v>118.68</v>
      </c>
      <c r="D2464">
        <f t="shared" si="41"/>
        <v>-0.55885960673530821</v>
      </c>
      <c r="E2464">
        <v>6.7453625632385439E-4</v>
      </c>
    </row>
    <row r="2465" spans="2:5" x14ac:dyDescent="0.35">
      <c r="B2465" s="2">
        <v>41871</v>
      </c>
      <c r="C2465" s="4">
        <v>269.02999999999997</v>
      </c>
      <c r="D2465">
        <f t="shared" si="41"/>
        <v>1.2035383733311487</v>
      </c>
      <c r="E2465">
        <v>6.6951831876482792E-4</v>
      </c>
    </row>
    <row r="2466" spans="2:5" x14ac:dyDescent="0.35">
      <c r="B2466" s="2">
        <v>40256</v>
      </c>
      <c r="C2466" s="4">
        <v>122.09</v>
      </c>
      <c r="D2466">
        <f t="shared" si="41"/>
        <v>-0.91536397856543705</v>
      </c>
      <c r="E2466">
        <v>6.5568396033111043E-4</v>
      </c>
    </row>
    <row r="2467" spans="2:5" x14ac:dyDescent="0.35">
      <c r="B2467" s="2">
        <v>44118</v>
      </c>
      <c r="C2467" s="4">
        <v>1442.53</v>
      </c>
      <c r="D2467">
        <f t="shared" si="41"/>
        <v>-0.65879648136014968</v>
      </c>
      <c r="E2467">
        <v>6.5205779729327062E-4</v>
      </c>
    </row>
    <row r="2468" spans="2:5" x14ac:dyDescent="0.35">
      <c r="B2468" s="2">
        <v>44400</v>
      </c>
      <c r="C2468" s="4">
        <v>4227.7700000000004</v>
      </c>
      <c r="D2468">
        <f t="shared" si="41"/>
        <v>0.50750584778639896</v>
      </c>
      <c r="E2468">
        <v>6.3667433516068073E-4</v>
      </c>
    </row>
    <row r="2469" spans="2:5" x14ac:dyDescent="0.35">
      <c r="B2469" s="2">
        <v>44239</v>
      </c>
      <c r="C2469" s="4">
        <v>2804.48</v>
      </c>
      <c r="D2469">
        <f t="shared" si="41"/>
        <v>4.6782344604170891</v>
      </c>
      <c r="E2469">
        <v>6.3510186605775232E-4</v>
      </c>
    </row>
    <row r="2470" spans="2:5" x14ac:dyDescent="0.35">
      <c r="B2470" s="2">
        <v>42692</v>
      </c>
      <c r="C2470" s="4">
        <v>493.9</v>
      </c>
      <c r="D2470">
        <f t="shared" si="41"/>
        <v>-0.37221953885654735</v>
      </c>
      <c r="E2470">
        <v>6.2805162179135898E-4</v>
      </c>
    </row>
    <row r="2471" spans="2:5" x14ac:dyDescent="0.35">
      <c r="B2471" s="2">
        <v>43775</v>
      </c>
      <c r="C2471" s="4">
        <v>786.74</v>
      </c>
      <c r="D2471">
        <f t="shared" si="41"/>
        <v>-0.30041437692294004</v>
      </c>
      <c r="E2471">
        <v>6.232114467408234E-4</v>
      </c>
    </row>
    <row r="2472" spans="2:5" x14ac:dyDescent="0.35">
      <c r="B2472" s="2">
        <v>43214</v>
      </c>
      <c r="C2472" s="4">
        <v>1124.58</v>
      </c>
      <c r="D2472">
        <f t="shared" si="41"/>
        <v>16.227022058823529</v>
      </c>
      <c r="E2472">
        <v>6.2284229633036148E-4</v>
      </c>
    </row>
    <row r="2473" spans="2:5" x14ac:dyDescent="0.35">
      <c r="B2473" s="2">
        <v>40135</v>
      </c>
      <c r="C2473" s="4">
        <v>65.28</v>
      </c>
      <c r="D2473">
        <f t="shared" si="41"/>
        <v>-0.20603259547555342</v>
      </c>
      <c r="E2473">
        <v>6.1312078479480725E-4</v>
      </c>
    </row>
    <row r="2474" spans="2:5" x14ac:dyDescent="0.35">
      <c r="B2474" s="2">
        <v>41337</v>
      </c>
      <c r="C2474" s="4">
        <v>82.22</v>
      </c>
      <c r="D2474">
        <f t="shared" si="41"/>
        <v>-0.98766743163989257</v>
      </c>
      <c r="E2474">
        <v>6.0849458439826698E-4</v>
      </c>
    </row>
    <row r="2475" spans="2:5" x14ac:dyDescent="0.35">
      <c r="B2475" s="2">
        <v>44977</v>
      </c>
      <c r="C2475" s="4">
        <v>6666.9</v>
      </c>
      <c r="D2475">
        <f t="shared" si="41"/>
        <v>96.455050431223512</v>
      </c>
      <c r="E2475">
        <v>6.0033919164337313E-4</v>
      </c>
    </row>
    <row r="2476" spans="2:5" x14ac:dyDescent="0.35">
      <c r="B2476" s="2">
        <v>40085</v>
      </c>
      <c r="C2476" s="4">
        <v>68.41</v>
      </c>
      <c r="D2476">
        <f t="shared" si="41"/>
        <v>-1.3269868743689628E-2</v>
      </c>
      <c r="E2476">
        <v>5.8505192335811529E-4</v>
      </c>
    </row>
    <row r="2477" spans="2:5" x14ac:dyDescent="0.35">
      <c r="B2477" s="2">
        <v>40112</v>
      </c>
      <c r="C2477" s="4">
        <v>69.33</v>
      </c>
      <c r="D2477">
        <f t="shared" si="41"/>
        <v>-0.92354770411538967</v>
      </c>
      <c r="E2477">
        <v>5.7728387934763425E-4</v>
      </c>
    </row>
    <row r="2478" spans="2:5" x14ac:dyDescent="0.35">
      <c r="B2478" s="2">
        <v>43486</v>
      </c>
      <c r="C2478" s="4">
        <v>906.84</v>
      </c>
      <c r="D2478">
        <f t="shared" si="41"/>
        <v>9.3143767060964517</v>
      </c>
      <c r="E2478">
        <v>5.7374878630067627E-4</v>
      </c>
    </row>
    <row r="2479" spans="2:5" x14ac:dyDescent="0.35">
      <c r="B2479" s="2">
        <v>41054</v>
      </c>
      <c r="C2479" s="4">
        <v>87.92</v>
      </c>
      <c r="D2479">
        <f t="shared" si="41"/>
        <v>-0.9023328149300156</v>
      </c>
      <c r="E2479">
        <v>5.6902241948320054E-4</v>
      </c>
    </row>
    <row r="2480" spans="2:5" x14ac:dyDescent="0.35">
      <c r="B2480" s="2">
        <v>43577</v>
      </c>
      <c r="C2480" s="4">
        <v>900.2</v>
      </c>
      <c r="D2480">
        <f t="shared" si="41"/>
        <v>8.6082826342192345</v>
      </c>
      <c r="E2480">
        <v>5.66861919105488E-4</v>
      </c>
    </row>
    <row r="2481" spans="2:5" x14ac:dyDescent="0.35">
      <c r="B2481" s="2">
        <v>41151</v>
      </c>
      <c r="C2481" s="4">
        <v>93.69</v>
      </c>
      <c r="D2481">
        <f t="shared" si="41"/>
        <v>-0.17139824887237987</v>
      </c>
      <c r="E2481">
        <v>5.3395984621951165E-4</v>
      </c>
    </row>
    <row r="2482" spans="2:5" x14ac:dyDescent="0.35">
      <c r="B2482" s="2">
        <v>39328</v>
      </c>
      <c r="C2482" s="4">
        <v>113.07</v>
      </c>
      <c r="D2482">
        <f t="shared" si="41"/>
        <v>-0.98102565823698207</v>
      </c>
      <c r="E2482">
        <v>5.3092646668417842E-4</v>
      </c>
    </row>
    <row r="2483" spans="2:5" x14ac:dyDescent="0.35">
      <c r="B2483" s="2">
        <v>45016</v>
      </c>
      <c r="C2483" s="4">
        <v>5959.1</v>
      </c>
      <c r="D2483">
        <f t="shared" si="41"/>
        <v>73.044483101391648</v>
      </c>
      <c r="E2483">
        <v>5.1208435120586593E-4</v>
      </c>
    </row>
    <row r="2484" spans="2:5" x14ac:dyDescent="0.35">
      <c r="B2484" s="2">
        <v>41443</v>
      </c>
      <c r="C2484" s="4">
        <v>80.48</v>
      </c>
      <c r="D2484">
        <f t="shared" si="41"/>
        <v>-0.86918925947597692</v>
      </c>
      <c r="E2484">
        <v>4.9726504226765833E-4</v>
      </c>
    </row>
    <row r="2485" spans="2:5" x14ac:dyDescent="0.35">
      <c r="B2485" s="2">
        <v>42880</v>
      </c>
      <c r="C2485" s="4">
        <v>615.24</v>
      </c>
      <c r="D2485">
        <f t="shared" si="41"/>
        <v>-0.29047882646000556</v>
      </c>
      <c r="E2485">
        <v>4.8785247341198712E-4</v>
      </c>
    </row>
    <row r="2486" spans="2:5" x14ac:dyDescent="0.35">
      <c r="B2486" s="2">
        <v>43649</v>
      </c>
      <c r="C2486" s="4">
        <v>867.12</v>
      </c>
      <c r="D2486">
        <f t="shared" si="41"/>
        <v>7.8158804366747159E-2</v>
      </c>
      <c r="E2486">
        <v>4.8459674627898686E-4</v>
      </c>
    </row>
    <row r="2487" spans="2:5" x14ac:dyDescent="0.35">
      <c r="B2487" s="2">
        <v>43832</v>
      </c>
      <c r="C2487" s="4">
        <v>804.26</v>
      </c>
      <c r="D2487">
        <f t="shared" si="41"/>
        <v>-0.21877822999737739</v>
      </c>
      <c r="E2487">
        <v>4.7270736925919543E-4</v>
      </c>
    </row>
    <row r="2488" spans="2:5" x14ac:dyDescent="0.35">
      <c r="B2488" s="2">
        <v>42369</v>
      </c>
      <c r="C2488" s="4">
        <v>1029.49</v>
      </c>
      <c r="D2488">
        <f t="shared" si="41"/>
        <v>10.662965900079303</v>
      </c>
      <c r="E2488">
        <v>4.6646776999259565E-4</v>
      </c>
    </row>
    <row r="2489" spans="2:5" x14ac:dyDescent="0.35">
      <c r="B2489" s="2">
        <v>40806</v>
      </c>
      <c r="C2489" s="4">
        <v>88.27</v>
      </c>
      <c r="D2489">
        <f t="shared" si="41"/>
        <v>0.88974523656604565</v>
      </c>
      <c r="E2489">
        <v>4.5336053496525253E-4</v>
      </c>
    </row>
    <row r="2490" spans="2:5" x14ac:dyDescent="0.35">
      <c r="B2490" s="2">
        <v>39727</v>
      </c>
      <c r="C2490" s="4">
        <v>46.71</v>
      </c>
      <c r="D2490">
        <f t="shared" si="41"/>
        <v>-0.93762185839053447</v>
      </c>
      <c r="E2490">
        <v>4.2835724994660929E-4</v>
      </c>
    </row>
    <row r="2491" spans="2:5" x14ac:dyDescent="0.35">
      <c r="B2491" s="2">
        <v>42604</v>
      </c>
      <c r="C2491" s="4">
        <v>748.82</v>
      </c>
      <c r="D2491">
        <f t="shared" si="41"/>
        <v>-0.20014954069643243</v>
      </c>
      <c r="E2491">
        <v>4.2752171008686446E-4</v>
      </c>
    </row>
    <row r="2492" spans="2:5" x14ac:dyDescent="0.35">
      <c r="B2492" s="2">
        <v>43168</v>
      </c>
      <c r="C2492" s="4">
        <v>936.2</v>
      </c>
      <c r="D2492">
        <f t="shared" si="41"/>
        <v>8.4785866153690392</v>
      </c>
      <c r="E2492">
        <v>4.0606099463569301E-4</v>
      </c>
    </row>
    <row r="2493" spans="2:5" x14ac:dyDescent="0.35">
      <c r="B2493" s="2">
        <v>41267</v>
      </c>
      <c r="C2493" s="4">
        <v>98.77</v>
      </c>
      <c r="D2493">
        <f t="shared" si="41"/>
        <v>-0.92603880398074034</v>
      </c>
      <c r="E2493">
        <v>4.0514534589286555E-4</v>
      </c>
    </row>
    <row r="2494" spans="2:5" x14ac:dyDescent="0.35">
      <c r="B2494" s="2">
        <v>43294</v>
      </c>
      <c r="C2494" s="4">
        <v>1335.43</v>
      </c>
      <c r="D2494">
        <f t="shared" si="41"/>
        <v>11.612674726105025</v>
      </c>
      <c r="E2494">
        <v>3.8204536601438299E-4</v>
      </c>
    </row>
    <row r="2495" spans="2:5" x14ac:dyDescent="0.35">
      <c r="B2495" s="2">
        <v>40386</v>
      </c>
      <c r="C2495" s="4">
        <v>105.88</v>
      </c>
      <c r="D2495">
        <f t="shared" si="41"/>
        <v>0.3283151423911681</v>
      </c>
      <c r="E2495">
        <v>3.7792894935750887E-4</v>
      </c>
    </row>
    <row r="2496" spans="2:5" x14ac:dyDescent="0.35">
      <c r="B2496" s="2">
        <v>41435</v>
      </c>
      <c r="C2496" s="4">
        <v>79.709999999999994</v>
      </c>
      <c r="D2496">
        <f t="shared" si="41"/>
        <v>1.8985454545454545</v>
      </c>
      <c r="E2496">
        <v>3.7650602409611267E-4</v>
      </c>
    </row>
    <row r="2497" spans="2:5" x14ac:dyDescent="0.35">
      <c r="B2497" s="2">
        <v>37803</v>
      </c>
      <c r="C2497" s="4">
        <v>27.5</v>
      </c>
      <c r="D2497">
        <f t="shared" si="41"/>
        <v>-0.67030332094473088</v>
      </c>
      <c r="E2497">
        <v>3.6376864314302537E-4</v>
      </c>
    </row>
    <row r="2498" spans="2:5" x14ac:dyDescent="0.35">
      <c r="B2498" s="2">
        <v>41380</v>
      </c>
      <c r="C2498" s="4">
        <v>83.41</v>
      </c>
      <c r="D2498">
        <f t="shared" si="41"/>
        <v>-0.2558658221072353</v>
      </c>
      <c r="E2498">
        <v>3.59798512832743E-4</v>
      </c>
    </row>
    <row r="2499" spans="2:5" x14ac:dyDescent="0.35">
      <c r="B2499" s="2">
        <v>39226</v>
      </c>
      <c r="C2499" s="4">
        <v>112.09</v>
      </c>
      <c r="D2499">
        <f t="shared" si="41"/>
        <v>-0.80348877980364652</v>
      </c>
      <c r="E2499">
        <v>3.5698348951362924E-4</v>
      </c>
    </row>
    <row r="2500" spans="2:5" x14ac:dyDescent="0.35">
      <c r="B2500" s="2">
        <v>42156</v>
      </c>
      <c r="C2500" s="4">
        <v>570.4</v>
      </c>
      <c r="D2500">
        <f t="shared" ref="D2500:D2563" si="42">C2500/C2501-1</f>
        <v>-0.33885830194146627</v>
      </c>
      <c r="E2500">
        <v>3.5075412136076345E-4</v>
      </c>
    </row>
    <row r="2501" spans="2:5" x14ac:dyDescent="0.35">
      <c r="B2501" s="2">
        <v>42278</v>
      </c>
      <c r="C2501" s="4">
        <v>862.75</v>
      </c>
      <c r="D2501">
        <f t="shared" si="42"/>
        <v>0.37799677362679485</v>
      </c>
      <c r="E2501">
        <v>3.4784625195660723E-4</v>
      </c>
    </row>
    <row r="2502" spans="2:5" x14ac:dyDescent="0.35">
      <c r="B2502" s="2">
        <v>42663</v>
      </c>
      <c r="C2502" s="4">
        <v>626.09</v>
      </c>
      <c r="D2502">
        <f t="shared" si="42"/>
        <v>1.2399556366498516</v>
      </c>
      <c r="E2502">
        <v>3.3552757717147941E-4</v>
      </c>
    </row>
    <row r="2503" spans="2:5" x14ac:dyDescent="0.35">
      <c r="B2503" s="2">
        <v>41841</v>
      </c>
      <c r="C2503" s="4">
        <v>279.51</v>
      </c>
      <c r="D2503">
        <f t="shared" si="42"/>
        <v>3.4024255788313118</v>
      </c>
      <c r="E2503">
        <v>3.2209576980890553E-4</v>
      </c>
    </row>
    <row r="2504" spans="2:5" x14ac:dyDescent="0.35">
      <c r="B2504" s="2">
        <v>39660</v>
      </c>
      <c r="C2504" s="4">
        <v>63.49</v>
      </c>
      <c r="D2504">
        <f t="shared" si="42"/>
        <v>-0.98984931452096403</v>
      </c>
      <c r="E2504">
        <v>3.1510950055158027E-4</v>
      </c>
    </row>
    <row r="2505" spans="2:5" x14ac:dyDescent="0.35">
      <c r="B2505" s="2">
        <v>44943</v>
      </c>
      <c r="C2505" s="4">
        <v>6254.75</v>
      </c>
      <c r="D2505">
        <f t="shared" si="42"/>
        <v>92.577947336923998</v>
      </c>
      <c r="E2505">
        <v>3.0386143918370578E-4</v>
      </c>
    </row>
    <row r="2506" spans="2:5" x14ac:dyDescent="0.35">
      <c r="B2506" s="2">
        <v>39583</v>
      </c>
      <c r="C2506" s="4">
        <v>66.84</v>
      </c>
      <c r="D2506">
        <f t="shared" si="42"/>
        <v>-0.98391657021581724</v>
      </c>
      <c r="E2506">
        <v>2.9931158335849695E-4</v>
      </c>
    </row>
    <row r="2507" spans="2:5" x14ac:dyDescent="0.35">
      <c r="B2507" s="2">
        <v>44405</v>
      </c>
      <c r="C2507" s="4">
        <v>4155.83</v>
      </c>
      <c r="D2507">
        <f t="shared" si="42"/>
        <v>59.73111208534268</v>
      </c>
      <c r="E2507">
        <v>2.9846507116215726E-4</v>
      </c>
    </row>
    <row r="2508" spans="2:5" x14ac:dyDescent="0.35">
      <c r="B2508" s="2">
        <v>40086</v>
      </c>
      <c r="C2508" s="4">
        <v>68.430000000000007</v>
      </c>
      <c r="D2508">
        <f t="shared" si="42"/>
        <v>-0.71491063617047867</v>
      </c>
      <c r="E2508">
        <v>2.923549188715846E-4</v>
      </c>
    </row>
    <row r="2509" spans="2:5" x14ac:dyDescent="0.35">
      <c r="B2509" s="2">
        <v>41794</v>
      </c>
      <c r="C2509" s="4">
        <v>240.03</v>
      </c>
      <c r="D2509">
        <f t="shared" si="42"/>
        <v>-0.66725813382868715</v>
      </c>
      <c r="E2509">
        <v>2.9171528588101125E-4</v>
      </c>
    </row>
    <row r="2510" spans="2:5" x14ac:dyDescent="0.35">
      <c r="B2510" s="2">
        <v>42871</v>
      </c>
      <c r="C2510" s="4">
        <v>721.37</v>
      </c>
      <c r="D2510">
        <f t="shared" si="42"/>
        <v>4.8823041916864263E-2</v>
      </c>
      <c r="E2510">
        <v>2.9119751511452741E-4</v>
      </c>
    </row>
    <row r="2511" spans="2:5" x14ac:dyDescent="0.35">
      <c r="B2511" s="2">
        <v>43756</v>
      </c>
      <c r="C2511" s="4">
        <v>687.79</v>
      </c>
      <c r="D2511">
        <f t="shared" si="42"/>
        <v>8.9076634975511375</v>
      </c>
      <c r="E2511">
        <v>2.9087101324898335E-4</v>
      </c>
    </row>
    <row r="2512" spans="2:5" x14ac:dyDescent="0.35">
      <c r="B2512" s="2">
        <v>40102</v>
      </c>
      <c r="C2512" s="4">
        <v>69.42</v>
      </c>
      <c r="D2512">
        <f t="shared" si="42"/>
        <v>-0.87590940779007198</v>
      </c>
      <c r="E2512">
        <v>2.8818443804023985E-4</v>
      </c>
    </row>
    <row r="2513" spans="2:5" x14ac:dyDescent="0.35">
      <c r="B2513" s="2">
        <v>42151</v>
      </c>
      <c r="C2513" s="4">
        <v>559.42999999999995</v>
      </c>
      <c r="D2513">
        <f t="shared" si="42"/>
        <v>6.4382395957984313</v>
      </c>
      <c r="E2513">
        <v>2.8608722084144667E-4</v>
      </c>
    </row>
    <row r="2514" spans="2:5" x14ac:dyDescent="0.35">
      <c r="B2514" s="2">
        <v>41507</v>
      </c>
      <c r="C2514" s="4">
        <v>75.209999999999994</v>
      </c>
      <c r="D2514">
        <f t="shared" si="42"/>
        <v>-9.3519494204427067E-3</v>
      </c>
      <c r="E2514">
        <v>2.6599281819383869E-4</v>
      </c>
    </row>
    <row r="2515" spans="2:5" x14ac:dyDescent="0.35">
      <c r="B2515" s="2">
        <v>41516</v>
      </c>
      <c r="C2515" s="4">
        <v>75.92</v>
      </c>
      <c r="D2515">
        <f t="shared" si="42"/>
        <v>-0.92171743210080226</v>
      </c>
      <c r="E2515">
        <v>2.6350461133062275E-4</v>
      </c>
    </row>
    <row r="2516" spans="2:5" x14ac:dyDescent="0.35">
      <c r="B2516" s="2">
        <v>43112</v>
      </c>
      <c r="C2516" s="4">
        <v>969.82</v>
      </c>
      <c r="D2516">
        <f t="shared" si="42"/>
        <v>10.390885600187927</v>
      </c>
      <c r="E2516">
        <v>2.3721366763274077E-4</v>
      </c>
    </row>
    <row r="2517" spans="2:5" x14ac:dyDescent="0.35">
      <c r="B2517" s="2">
        <v>41402</v>
      </c>
      <c r="C2517" s="4">
        <v>85.14</v>
      </c>
      <c r="D2517">
        <f t="shared" si="42"/>
        <v>-2.2502870264064279E-2</v>
      </c>
      <c r="E2517">
        <v>2.3496240601494911E-4</v>
      </c>
    </row>
    <row r="2518" spans="2:5" x14ac:dyDescent="0.35">
      <c r="B2518" s="2">
        <v>41003</v>
      </c>
      <c r="C2518" s="4">
        <v>87.1</v>
      </c>
      <c r="D2518">
        <f t="shared" si="42"/>
        <v>-6.1826798793623516E-2</v>
      </c>
      <c r="E2518">
        <v>2.2967386311423255E-4</v>
      </c>
    </row>
    <row r="2519" spans="2:5" x14ac:dyDescent="0.35">
      <c r="B2519" s="2">
        <v>41312</v>
      </c>
      <c r="C2519" s="4">
        <v>92.84</v>
      </c>
      <c r="D2519">
        <f t="shared" si="42"/>
        <v>-8.7550715353404973E-3</v>
      </c>
      <c r="E2519">
        <v>2.1547080370609706E-4</v>
      </c>
    </row>
    <row r="2520" spans="2:5" x14ac:dyDescent="0.35">
      <c r="B2520" s="2">
        <v>41116</v>
      </c>
      <c r="C2520" s="4">
        <v>93.66</v>
      </c>
      <c r="D2520">
        <f t="shared" si="42"/>
        <v>-2.3357664233576769E-2</v>
      </c>
      <c r="E2520">
        <v>2.1358393848780466E-4</v>
      </c>
    </row>
    <row r="2521" spans="2:5" x14ac:dyDescent="0.35">
      <c r="B2521" s="2">
        <v>41100</v>
      </c>
      <c r="C2521" s="4">
        <v>95.9</v>
      </c>
      <c r="D2521">
        <f t="shared" si="42"/>
        <v>-4.090409040904075E-2</v>
      </c>
      <c r="E2521">
        <v>2.085940759284366E-4</v>
      </c>
    </row>
    <row r="2522" spans="2:5" x14ac:dyDescent="0.35">
      <c r="B2522" s="2">
        <v>40725</v>
      </c>
      <c r="C2522" s="4">
        <v>99.99</v>
      </c>
      <c r="D2522">
        <f t="shared" si="42"/>
        <v>-2.3344403203750752E-2</v>
      </c>
      <c r="E2522">
        <v>2.0006001800543238E-4</v>
      </c>
    </row>
    <row r="2523" spans="2:5" x14ac:dyDescent="0.35">
      <c r="B2523" s="2">
        <v>40399</v>
      </c>
      <c r="C2523" s="4">
        <v>102.38</v>
      </c>
      <c r="D2523">
        <f t="shared" si="42"/>
        <v>-4.7627906976744239E-2</v>
      </c>
      <c r="E2523">
        <v>1.9538882375913502E-4</v>
      </c>
    </row>
    <row r="2524" spans="2:5" x14ac:dyDescent="0.35">
      <c r="B2524" s="2">
        <v>39365</v>
      </c>
      <c r="C2524" s="4">
        <v>107.5</v>
      </c>
      <c r="D2524">
        <f t="shared" si="42"/>
        <v>-0.98266467350726716</v>
      </c>
      <c r="E2524">
        <v>1.8608113137319471E-4</v>
      </c>
    </row>
    <row r="2525" spans="2:5" x14ac:dyDescent="0.35">
      <c r="B2525" s="2">
        <v>44480</v>
      </c>
      <c r="C2525" s="4">
        <v>6201.21</v>
      </c>
      <c r="D2525">
        <f t="shared" si="42"/>
        <v>46.617369269753517</v>
      </c>
      <c r="E2525">
        <v>1.758030489733553E-4</v>
      </c>
    </row>
    <row r="2526" spans="2:5" x14ac:dyDescent="0.35">
      <c r="B2526" s="2">
        <v>40492</v>
      </c>
      <c r="C2526" s="4">
        <v>130.22999999999999</v>
      </c>
      <c r="D2526">
        <f t="shared" si="42"/>
        <v>-0.97591437702516759</v>
      </c>
      <c r="E2526">
        <v>1.5359803394510152E-4</v>
      </c>
    </row>
    <row r="2527" spans="2:5" x14ac:dyDescent="0.35">
      <c r="B2527" s="2">
        <v>44551</v>
      </c>
      <c r="C2527" s="4">
        <v>5406.96</v>
      </c>
      <c r="D2527">
        <f t="shared" si="42"/>
        <v>-0.40057869472190499</v>
      </c>
      <c r="E2527">
        <v>1.2947952928632489E-4</v>
      </c>
    </row>
    <row r="2528" spans="2:5" x14ac:dyDescent="0.35">
      <c r="B2528" s="2">
        <v>44805</v>
      </c>
      <c r="C2528" s="4">
        <v>9020.2999999999993</v>
      </c>
      <c r="D2528">
        <f t="shared" si="42"/>
        <v>9.617613823626348</v>
      </c>
      <c r="E2528">
        <v>1.1641766222236782E-4</v>
      </c>
    </row>
    <row r="2529" spans="2:5" x14ac:dyDescent="0.35">
      <c r="B2529" s="2">
        <v>44001</v>
      </c>
      <c r="C2529" s="4">
        <v>849.56</v>
      </c>
      <c r="D2529">
        <f t="shared" si="42"/>
        <v>0.39221919963291918</v>
      </c>
      <c r="E2529">
        <v>1.0594841489397488E-4</v>
      </c>
    </row>
    <row r="2530" spans="2:5" x14ac:dyDescent="0.35">
      <c r="B2530" s="2">
        <v>42202</v>
      </c>
      <c r="C2530" s="4">
        <v>610.22</v>
      </c>
      <c r="D2530">
        <f t="shared" si="42"/>
        <v>4.8394258373205741</v>
      </c>
      <c r="E2530">
        <v>9.8334862986826366E-5</v>
      </c>
    </row>
    <row r="2531" spans="2:5" x14ac:dyDescent="0.35">
      <c r="B2531" s="2">
        <v>39384</v>
      </c>
      <c r="C2531" s="4">
        <v>104.5</v>
      </c>
      <c r="D2531">
        <f t="shared" si="42"/>
        <v>-0.82958529704342721</v>
      </c>
      <c r="E2531">
        <v>9.5702938080144406E-5</v>
      </c>
    </row>
    <row r="2532" spans="2:5" x14ac:dyDescent="0.35">
      <c r="B2532" s="2">
        <v>43686</v>
      </c>
      <c r="C2532" s="4">
        <v>613.21</v>
      </c>
      <c r="D2532">
        <f t="shared" si="42"/>
        <v>1.198515703427506</v>
      </c>
      <c r="E2532">
        <v>8.1544784395592984E-5</v>
      </c>
    </row>
    <row r="2533" spans="2:5" x14ac:dyDescent="0.35">
      <c r="B2533" s="2">
        <v>41950</v>
      </c>
      <c r="C2533" s="4">
        <v>278.92</v>
      </c>
      <c r="D2533">
        <f t="shared" si="42"/>
        <v>-0.79337422585711326</v>
      </c>
      <c r="E2533">
        <v>7.1710290426851842E-5</v>
      </c>
    </row>
    <row r="2534" spans="2:5" x14ac:dyDescent="0.35">
      <c r="B2534" s="2">
        <v>43328</v>
      </c>
      <c r="C2534" s="4">
        <v>1349.88</v>
      </c>
      <c r="D2534">
        <f t="shared" si="42"/>
        <v>0.67306619734020812</v>
      </c>
      <c r="E2534">
        <v>3.704170154783526E-5</v>
      </c>
    </row>
    <row r="2535" spans="2:5" x14ac:dyDescent="0.35">
      <c r="B2535" s="2">
        <v>43626</v>
      </c>
      <c r="C2535" s="4">
        <v>806.83</v>
      </c>
      <c r="D2535">
        <f t="shared" si="42"/>
        <v>1.9637806266759723</v>
      </c>
      <c r="E2535">
        <v>0</v>
      </c>
    </row>
    <row r="2536" spans="2:5" x14ac:dyDescent="0.35">
      <c r="B2536" s="2">
        <v>41969</v>
      </c>
      <c r="C2536" s="4">
        <v>272.23</v>
      </c>
      <c r="D2536">
        <f t="shared" si="42"/>
        <v>-3.3681127585574178E-3</v>
      </c>
      <c r="E2536">
        <v>0</v>
      </c>
    </row>
    <row r="2537" spans="2:5" x14ac:dyDescent="0.35">
      <c r="B2537" s="2">
        <v>41960</v>
      </c>
      <c r="C2537" s="4">
        <v>273.14999999999998</v>
      </c>
      <c r="D2537">
        <f t="shared" si="42"/>
        <v>-1.9984213547646568E-2</v>
      </c>
      <c r="E2537">
        <v>0</v>
      </c>
    </row>
    <row r="2538" spans="2:5" x14ac:dyDescent="0.35">
      <c r="B2538" s="2">
        <v>41927</v>
      </c>
      <c r="C2538" s="4">
        <v>278.72000000000003</v>
      </c>
      <c r="D2538">
        <f t="shared" si="42"/>
        <v>0.1115453639082753</v>
      </c>
      <c r="E2538">
        <v>0</v>
      </c>
    </row>
    <row r="2539" spans="2:5" x14ac:dyDescent="0.35">
      <c r="B2539" s="2">
        <v>41753</v>
      </c>
      <c r="C2539" s="4">
        <v>250.75</v>
      </c>
      <c r="D2539">
        <f t="shared" si="42"/>
        <v>1.9886769964243145</v>
      </c>
      <c r="E2539">
        <v>0</v>
      </c>
    </row>
    <row r="2540" spans="2:5" x14ac:dyDescent="0.35">
      <c r="B2540" s="2">
        <v>41407</v>
      </c>
      <c r="C2540" s="4">
        <v>83.9</v>
      </c>
      <c r="D2540">
        <f t="shared" si="42"/>
        <v>-0.1210978420280745</v>
      </c>
      <c r="E2540">
        <v>0</v>
      </c>
    </row>
    <row r="2541" spans="2:5" x14ac:dyDescent="0.35">
      <c r="B2541" s="2">
        <v>40848</v>
      </c>
      <c r="C2541" s="4">
        <v>95.46</v>
      </c>
      <c r="D2541">
        <f t="shared" si="42"/>
        <v>1.3590995965172992E-2</v>
      </c>
      <c r="E2541">
        <v>0</v>
      </c>
    </row>
    <row r="2542" spans="2:5" x14ac:dyDescent="0.35">
      <c r="B2542" s="2">
        <v>40599</v>
      </c>
      <c r="C2542" s="4">
        <v>94.18</v>
      </c>
      <c r="D2542">
        <f t="shared" si="42"/>
        <v>-0.13722975448882369</v>
      </c>
      <c r="E2542">
        <v>0</v>
      </c>
    </row>
    <row r="2543" spans="2:5" x14ac:dyDescent="0.35">
      <c r="B2543" s="2">
        <v>40350</v>
      </c>
      <c r="C2543" s="4">
        <v>109.16</v>
      </c>
      <c r="D2543">
        <f t="shared" si="42"/>
        <v>2.7615437629221224</v>
      </c>
      <c r="E2543">
        <v>0</v>
      </c>
    </row>
    <row r="2544" spans="2:5" x14ac:dyDescent="0.35">
      <c r="B2544" s="2">
        <v>39895</v>
      </c>
      <c r="C2544" s="4">
        <v>29.02</v>
      </c>
      <c r="D2544">
        <f t="shared" si="42"/>
        <v>-0.11793313069908817</v>
      </c>
      <c r="E2544">
        <v>0</v>
      </c>
    </row>
    <row r="2545" spans="2:5" x14ac:dyDescent="0.35">
      <c r="B2545" s="2">
        <v>39779</v>
      </c>
      <c r="C2545" s="4">
        <v>32.9</v>
      </c>
      <c r="D2545">
        <f t="shared" si="42"/>
        <v>-0.54906798245614041</v>
      </c>
      <c r="E2545">
        <v>0</v>
      </c>
    </row>
    <row r="2546" spans="2:5" x14ac:dyDescent="0.35">
      <c r="B2546" s="2">
        <v>38700</v>
      </c>
      <c r="C2546" s="4">
        <v>72.959999999999994</v>
      </c>
      <c r="D2546">
        <f t="shared" si="42"/>
        <v>4.9331223932115531E-2</v>
      </c>
      <c r="E2546">
        <v>0</v>
      </c>
    </row>
    <row r="2547" spans="2:5" x14ac:dyDescent="0.35">
      <c r="B2547" s="2">
        <v>38660</v>
      </c>
      <c r="C2547" s="4">
        <v>69.53</v>
      </c>
      <c r="D2547">
        <f t="shared" si="42"/>
        <v>0.20190146931719966</v>
      </c>
      <c r="E2547">
        <v>0</v>
      </c>
    </row>
    <row r="2548" spans="2:5" x14ac:dyDescent="0.35">
      <c r="B2548" s="2">
        <v>38491</v>
      </c>
      <c r="C2548" s="4">
        <v>57.85</v>
      </c>
      <c r="D2548">
        <f t="shared" si="42"/>
        <v>0.11015160237958166</v>
      </c>
      <c r="E2548">
        <v>0</v>
      </c>
    </row>
    <row r="2549" spans="2:5" x14ac:dyDescent="0.35">
      <c r="B2549" s="2">
        <v>38317</v>
      </c>
      <c r="C2549" s="4">
        <v>52.11</v>
      </c>
      <c r="D2549">
        <f t="shared" si="42"/>
        <v>3.4662045060658286E-3</v>
      </c>
      <c r="E2549">
        <v>0</v>
      </c>
    </row>
    <row r="2550" spans="2:5" x14ac:dyDescent="0.35">
      <c r="B2550" s="2">
        <v>38309</v>
      </c>
      <c r="C2550" s="4">
        <v>51.93</v>
      </c>
      <c r="D2550">
        <f t="shared" si="42"/>
        <v>-5.3629572878759468E-3</v>
      </c>
      <c r="E2550">
        <v>0</v>
      </c>
    </row>
    <row r="2551" spans="2:5" x14ac:dyDescent="0.35">
      <c r="B2551" s="2">
        <v>38306</v>
      </c>
      <c r="C2551" s="4">
        <v>52.21</v>
      </c>
      <c r="D2551">
        <f t="shared" si="42"/>
        <v>2.0723362658846556E-2</v>
      </c>
      <c r="E2551">
        <v>0</v>
      </c>
    </row>
    <row r="2552" spans="2:5" x14ac:dyDescent="0.35">
      <c r="B2552" s="2">
        <v>38282</v>
      </c>
      <c r="C2552" s="4">
        <v>51.15</v>
      </c>
      <c r="D2552">
        <f t="shared" si="42"/>
        <v>0.8004223864836324</v>
      </c>
      <c r="E2552">
        <v>0</v>
      </c>
    </row>
    <row r="2553" spans="2:5" x14ac:dyDescent="0.35">
      <c r="B2553" s="2">
        <v>38105</v>
      </c>
      <c r="C2553" s="4">
        <v>28.41</v>
      </c>
      <c r="D2553">
        <f t="shared" si="42"/>
        <v>-5.6002800140007025E-3</v>
      </c>
      <c r="E2553">
        <v>0</v>
      </c>
    </row>
    <row r="2554" spans="2:5" x14ac:dyDescent="0.35">
      <c r="B2554" s="2">
        <v>38091</v>
      </c>
      <c r="C2554" s="4">
        <v>28.57</v>
      </c>
      <c r="D2554">
        <f t="shared" si="42"/>
        <v>5.541189508681188E-2</v>
      </c>
      <c r="E2554">
        <v>0</v>
      </c>
    </row>
    <row r="2555" spans="2:5" x14ac:dyDescent="0.35">
      <c r="B2555" s="2">
        <v>38086</v>
      </c>
      <c r="C2555" s="4">
        <v>27.07</v>
      </c>
      <c r="D2555">
        <f t="shared" si="42"/>
        <v>-8.0502717391304324E-2</v>
      </c>
      <c r="E2555">
        <v>0</v>
      </c>
    </row>
    <row r="2556" spans="2:5" x14ac:dyDescent="0.35">
      <c r="B2556" s="2">
        <v>38048</v>
      </c>
      <c r="C2556" s="4">
        <v>29.44</v>
      </c>
      <c r="D2556">
        <f t="shared" si="42"/>
        <v>-5.8522545570834583E-2</v>
      </c>
      <c r="E2556">
        <v>0</v>
      </c>
    </row>
    <row r="2557" spans="2:5" x14ac:dyDescent="0.35">
      <c r="B2557" s="2">
        <v>38019</v>
      </c>
      <c r="C2557" s="4">
        <v>31.27</v>
      </c>
      <c r="D2557">
        <f t="shared" si="42"/>
        <v>-2.2507033447952463E-2</v>
      </c>
      <c r="E2557">
        <v>0</v>
      </c>
    </row>
    <row r="2558" spans="2:5" x14ac:dyDescent="0.35">
      <c r="B2558" s="2">
        <v>38012</v>
      </c>
      <c r="C2558" s="4">
        <v>31.99</v>
      </c>
      <c r="D2558">
        <f t="shared" si="42"/>
        <v>-0.19562484284636672</v>
      </c>
      <c r="E2558">
        <v>0</v>
      </c>
    </row>
    <row r="2559" spans="2:5" x14ac:dyDescent="0.35">
      <c r="B2559" s="2">
        <v>37980</v>
      </c>
      <c r="C2559" s="4">
        <v>39.770000000000003</v>
      </c>
      <c r="D2559">
        <f t="shared" si="42"/>
        <v>0.40282186948853616</v>
      </c>
      <c r="E2559">
        <v>0</v>
      </c>
    </row>
    <row r="2560" spans="2:5" x14ac:dyDescent="0.35">
      <c r="B2560" s="2">
        <v>37951</v>
      </c>
      <c r="C2560" s="4">
        <v>28.35</v>
      </c>
      <c r="D2560">
        <f t="shared" si="42"/>
        <v>-8.394543546694555E-3</v>
      </c>
      <c r="E2560">
        <v>0</v>
      </c>
    </row>
    <row r="2561" spans="2:5" x14ac:dyDescent="0.35">
      <c r="B2561" s="2">
        <v>37896</v>
      </c>
      <c r="C2561" s="4">
        <v>28.59</v>
      </c>
      <c r="D2561">
        <f t="shared" si="42"/>
        <v>0.11245136186770432</v>
      </c>
      <c r="E2561">
        <v>0</v>
      </c>
    </row>
    <row r="2562" spans="2:5" x14ac:dyDescent="0.35">
      <c r="B2562" s="2">
        <v>37848</v>
      </c>
      <c r="C2562" s="4">
        <v>25.7</v>
      </c>
      <c r="D2562">
        <f t="shared" si="42"/>
        <v>0.20431115276476097</v>
      </c>
      <c r="E2562">
        <v>0</v>
      </c>
    </row>
    <row r="2563" spans="2:5" x14ac:dyDescent="0.35">
      <c r="B2563" s="2">
        <v>37748</v>
      </c>
      <c r="C2563" s="4">
        <v>21.34</v>
      </c>
      <c r="D2563">
        <f t="shared" si="42"/>
        <v>0</v>
      </c>
      <c r="E2563">
        <v>0</v>
      </c>
    </row>
    <row r="2564" spans="2:5" x14ac:dyDescent="0.35">
      <c r="B2564" s="2">
        <v>37742</v>
      </c>
      <c r="C2564" s="4">
        <v>21.34</v>
      </c>
      <c r="D2564">
        <f t="shared" ref="D2564:D2627" si="43">C2564/C2565-1</f>
        <v>-1.5228426395939132E-2</v>
      </c>
      <c r="E2564">
        <v>0</v>
      </c>
    </row>
    <row r="2565" spans="2:5" x14ac:dyDescent="0.35">
      <c r="B2565" s="2">
        <v>37729</v>
      </c>
      <c r="C2565" s="4">
        <v>21.67</v>
      </c>
      <c r="D2565">
        <f t="shared" si="43"/>
        <v>-3.2198712051516587E-3</v>
      </c>
      <c r="E2565">
        <v>0</v>
      </c>
    </row>
    <row r="2566" spans="2:5" x14ac:dyDescent="0.35">
      <c r="B2566" s="2">
        <v>37698</v>
      </c>
      <c r="C2566" s="4">
        <v>21.74</v>
      </c>
      <c r="D2566">
        <f t="shared" si="43"/>
        <v>2.4988213107024926E-2</v>
      </c>
      <c r="E2566">
        <v>0</v>
      </c>
    </row>
    <row r="2567" spans="2:5" x14ac:dyDescent="0.35">
      <c r="B2567" s="2">
        <v>37694</v>
      </c>
      <c r="C2567" s="4">
        <v>21.21</v>
      </c>
      <c r="D2567">
        <f t="shared" si="43"/>
        <v>-8.5381630012936638E-2</v>
      </c>
      <c r="E2567">
        <v>0</v>
      </c>
    </row>
    <row r="2568" spans="2:5" x14ac:dyDescent="0.35">
      <c r="B2568" s="2">
        <v>37665</v>
      </c>
      <c r="C2568" s="4">
        <v>23.19</v>
      </c>
      <c r="D2568">
        <f t="shared" si="43"/>
        <v>-0.22648432288192122</v>
      </c>
      <c r="E2568">
        <v>0</v>
      </c>
    </row>
    <row r="2569" spans="2:5" x14ac:dyDescent="0.35">
      <c r="B2569" s="2">
        <v>37615</v>
      </c>
      <c r="C2569" s="4">
        <v>29.98</v>
      </c>
      <c r="D2569">
        <f t="shared" si="43"/>
        <v>8.5445329471397491E-2</v>
      </c>
      <c r="E2569">
        <v>0</v>
      </c>
    </row>
    <row r="2570" spans="2:5" x14ac:dyDescent="0.35">
      <c r="B2570" s="2">
        <v>37579</v>
      </c>
      <c r="C2570" s="4">
        <v>27.62</v>
      </c>
      <c r="D2570">
        <f t="shared" si="43"/>
        <v>1.4503263234229014E-3</v>
      </c>
      <c r="E2570">
        <v>0</v>
      </c>
    </row>
    <row r="2571" spans="2:5" x14ac:dyDescent="0.35">
      <c r="B2571" s="2">
        <v>37566</v>
      </c>
      <c r="C2571" s="4">
        <v>27.58</v>
      </c>
      <c r="D2571">
        <f t="shared" si="43"/>
        <v>-8.4025240783792809E-2</v>
      </c>
      <c r="E2571">
        <v>0</v>
      </c>
    </row>
    <row r="2572" spans="2:5" x14ac:dyDescent="0.35">
      <c r="B2572" s="2">
        <v>37544</v>
      </c>
      <c r="C2572" s="4">
        <v>30.11</v>
      </c>
      <c r="D2572">
        <f t="shared" si="43"/>
        <v>3.2578875171467736E-2</v>
      </c>
      <c r="E2572">
        <v>0</v>
      </c>
    </row>
    <row r="2573" spans="2:5" x14ac:dyDescent="0.35">
      <c r="B2573" s="2">
        <v>37531</v>
      </c>
      <c r="C2573" s="4">
        <v>29.16</v>
      </c>
      <c r="D2573">
        <f t="shared" si="43"/>
        <v>-9.7493036211699247E-2</v>
      </c>
      <c r="E2573">
        <v>0</v>
      </c>
    </row>
    <row r="2574" spans="2:5" x14ac:dyDescent="0.35">
      <c r="B2574" s="2">
        <v>37509</v>
      </c>
      <c r="C2574" s="4">
        <v>32.31</v>
      </c>
      <c r="D2574">
        <f t="shared" si="43"/>
        <v>4.5292785506308775E-2</v>
      </c>
      <c r="E2574">
        <v>0</v>
      </c>
    </row>
    <row r="2575" spans="2:5" x14ac:dyDescent="0.35">
      <c r="B2575" s="2">
        <v>37483</v>
      </c>
      <c r="C2575" s="4">
        <v>30.91</v>
      </c>
      <c r="D2575">
        <f t="shared" si="43"/>
        <v>-0.96406106479705145</v>
      </c>
      <c r="E2575">
        <v>0</v>
      </c>
    </row>
    <row r="2576" spans="2:5" x14ac:dyDescent="0.35">
      <c r="B2576" s="2">
        <v>42437</v>
      </c>
      <c r="C2576" s="4">
        <v>860.07</v>
      </c>
      <c r="D2576">
        <f t="shared" si="43"/>
        <v>-0.87053475332104013</v>
      </c>
      <c r="E2576">
        <v>-4.6505679506037012E-5</v>
      </c>
    </row>
    <row r="2577" spans="2:5" x14ac:dyDescent="0.35">
      <c r="B2577" s="2">
        <v>45048</v>
      </c>
      <c r="C2577" s="4">
        <v>6643.25</v>
      </c>
      <c r="D2577">
        <f t="shared" si="43"/>
        <v>6.8013622218307797</v>
      </c>
      <c r="E2577">
        <v>-5.2682280691218608E-5</v>
      </c>
    </row>
    <row r="2578" spans="2:5" x14ac:dyDescent="0.35">
      <c r="B2578" s="2">
        <v>42993</v>
      </c>
      <c r="C2578" s="4">
        <v>851.55</v>
      </c>
      <c r="D2578">
        <f t="shared" si="43"/>
        <v>0.14335777007975503</v>
      </c>
      <c r="E2578">
        <v>-1.1741912757590178E-4</v>
      </c>
    </row>
    <row r="2579" spans="2:5" x14ac:dyDescent="0.35">
      <c r="B2579" s="2">
        <v>42608</v>
      </c>
      <c r="C2579" s="4">
        <v>744.78</v>
      </c>
      <c r="D2579">
        <f t="shared" si="43"/>
        <v>-0.16000676704449335</v>
      </c>
      <c r="E2579">
        <v>-1.4767281075056538E-4</v>
      </c>
    </row>
    <row r="2580" spans="2:5" x14ac:dyDescent="0.35">
      <c r="B2580" s="2">
        <v>43062</v>
      </c>
      <c r="C2580" s="4">
        <v>886.65</v>
      </c>
      <c r="D2580">
        <f t="shared" si="43"/>
        <v>2.6317276972229049</v>
      </c>
      <c r="E2580">
        <v>-1.5787277709489178E-4</v>
      </c>
    </row>
    <row r="2581" spans="2:5" x14ac:dyDescent="0.35">
      <c r="B2581" s="2">
        <v>41761</v>
      </c>
      <c r="C2581" s="4">
        <v>244.14</v>
      </c>
      <c r="D2581">
        <f t="shared" si="43"/>
        <v>1.0328059950041633</v>
      </c>
      <c r="E2581">
        <v>-1.6381358014583292E-4</v>
      </c>
    </row>
    <row r="2582" spans="2:5" x14ac:dyDescent="0.35">
      <c r="B2582" s="2">
        <v>39244</v>
      </c>
      <c r="C2582" s="4">
        <v>120.1</v>
      </c>
      <c r="D2582">
        <f t="shared" si="43"/>
        <v>1.3311335403726705</v>
      </c>
      <c r="E2582">
        <v>-1.6650016650021637E-4</v>
      </c>
    </row>
    <row r="2583" spans="2:5" x14ac:dyDescent="0.35">
      <c r="B2583" s="2">
        <v>38280</v>
      </c>
      <c r="C2583" s="4">
        <v>51.52</v>
      </c>
      <c r="D2583">
        <f t="shared" si="43"/>
        <v>-0.4910096818810511</v>
      </c>
      <c r="E2583">
        <v>-1.9406171162428265E-4</v>
      </c>
    </row>
    <row r="2584" spans="2:5" x14ac:dyDescent="0.35">
      <c r="B2584" s="2">
        <v>41103</v>
      </c>
      <c r="C2584" s="4">
        <v>101.22</v>
      </c>
      <c r="D2584">
        <f t="shared" si="43"/>
        <v>1.0879240431214132E-3</v>
      </c>
      <c r="E2584">
        <v>-1.9755037534563424E-4</v>
      </c>
    </row>
    <row r="2585" spans="2:5" x14ac:dyDescent="0.35">
      <c r="B2585" s="2">
        <v>41186</v>
      </c>
      <c r="C2585" s="4">
        <v>101.11</v>
      </c>
      <c r="D2585">
        <f t="shared" si="43"/>
        <v>2.9679461812426311E-4</v>
      </c>
      <c r="E2585">
        <v>-1.9776525264503242E-4</v>
      </c>
    </row>
    <row r="2586" spans="2:5" x14ac:dyDescent="0.35">
      <c r="B2586" s="2">
        <v>39177</v>
      </c>
      <c r="C2586" s="4">
        <v>101.08</v>
      </c>
      <c r="D2586">
        <f t="shared" si="43"/>
        <v>2.3594936708860814E-2</v>
      </c>
      <c r="E2586">
        <v>-1.9782393669631748E-4</v>
      </c>
    </row>
    <row r="2587" spans="2:5" x14ac:dyDescent="0.35">
      <c r="B2587" s="2">
        <v>41269</v>
      </c>
      <c r="C2587" s="4">
        <v>98.75</v>
      </c>
      <c r="D2587">
        <f t="shared" si="43"/>
        <v>3.7072043688300749E-2</v>
      </c>
      <c r="E2587">
        <v>-2.0249063480815011E-4</v>
      </c>
    </row>
    <row r="2588" spans="2:5" x14ac:dyDescent="0.35">
      <c r="B2588" s="2">
        <v>41143</v>
      </c>
      <c r="C2588" s="4">
        <v>95.22</v>
      </c>
      <c r="D2588">
        <f t="shared" si="43"/>
        <v>-0.9857532934848473</v>
      </c>
      <c r="E2588">
        <v>-2.099958000839619E-4</v>
      </c>
    </row>
    <row r="2589" spans="2:5" x14ac:dyDescent="0.35">
      <c r="B2589" s="2">
        <v>44967</v>
      </c>
      <c r="C2589" s="4">
        <v>6683.65</v>
      </c>
      <c r="D2589">
        <f t="shared" si="43"/>
        <v>7.6939526776539147</v>
      </c>
      <c r="E2589">
        <v>-2.2437791223828274E-4</v>
      </c>
    </row>
    <row r="2590" spans="2:5" x14ac:dyDescent="0.35">
      <c r="B2590" s="2">
        <v>43783</v>
      </c>
      <c r="C2590" s="4">
        <v>768.77</v>
      </c>
      <c r="D2590">
        <f t="shared" si="43"/>
        <v>4.3766820830393183E-3</v>
      </c>
      <c r="E2590">
        <v>-2.6008816988964956E-4</v>
      </c>
    </row>
    <row r="2591" spans="2:5" x14ac:dyDescent="0.35">
      <c r="B2591" s="2">
        <v>43802</v>
      </c>
      <c r="C2591" s="4">
        <v>765.42</v>
      </c>
      <c r="D2591">
        <f t="shared" si="43"/>
        <v>10.057786766830395</v>
      </c>
      <c r="E2591">
        <v>-2.6122619576296469E-4</v>
      </c>
    </row>
    <row r="2592" spans="2:5" x14ac:dyDescent="0.35">
      <c r="B2592" s="2">
        <v>38715</v>
      </c>
      <c r="C2592" s="4">
        <v>69.22</v>
      </c>
      <c r="D2592">
        <f t="shared" si="43"/>
        <v>4.6444121915818481E-3</v>
      </c>
      <c r="E2592">
        <v>-2.8885037550541171E-4</v>
      </c>
    </row>
    <row r="2593" spans="2:5" x14ac:dyDescent="0.35">
      <c r="B2593" s="2">
        <v>40092</v>
      </c>
      <c r="C2593" s="4">
        <v>68.900000000000006</v>
      </c>
      <c r="D2593">
        <f t="shared" si="43"/>
        <v>4.1414752116082365E-2</v>
      </c>
      <c r="E2593">
        <v>-2.9019152640741286E-4</v>
      </c>
    </row>
    <row r="2594" spans="2:5" x14ac:dyDescent="0.35">
      <c r="B2594" s="2">
        <v>40142</v>
      </c>
      <c r="C2594" s="4">
        <v>66.16</v>
      </c>
      <c r="D2594">
        <f t="shared" si="43"/>
        <v>-0.330635370295427</v>
      </c>
      <c r="E2594">
        <v>-3.0220610456344055E-4</v>
      </c>
    </row>
    <row r="2595" spans="2:5" x14ac:dyDescent="0.35">
      <c r="B2595" s="2">
        <v>39156</v>
      </c>
      <c r="C2595" s="4">
        <v>98.84</v>
      </c>
      <c r="D2595">
        <f t="shared" si="43"/>
        <v>1.4680217636793058E-2</v>
      </c>
      <c r="E2595">
        <v>-3.0342874481648074E-4</v>
      </c>
    </row>
    <row r="2596" spans="2:5" x14ac:dyDescent="0.35">
      <c r="B2596" s="2">
        <v>39150</v>
      </c>
      <c r="C2596" s="4">
        <v>97.41</v>
      </c>
      <c r="D2596">
        <f t="shared" si="43"/>
        <v>-0.86423314935607964</v>
      </c>
      <c r="E2596">
        <v>-3.0788177339902134E-4</v>
      </c>
    </row>
    <row r="2597" spans="2:5" x14ac:dyDescent="0.35">
      <c r="B2597" s="2">
        <v>42632</v>
      </c>
      <c r="C2597" s="4">
        <v>717.48</v>
      </c>
      <c r="D2597">
        <f t="shared" si="43"/>
        <v>1.6371154482302348</v>
      </c>
      <c r="E2597">
        <v>-3.2046369703642164E-4</v>
      </c>
    </row>
    <row r="2598" spans="2:5" x14ac:dyDescent="0.35">
      <c r="B2598" s="2">
        <v>41877</v>
      </c>
      <c r="C2598" s="4">
        <v>272.07</v>
      </c>
      <c r="D2598">
        <f t="shared" si="43"/>
        <v>8.0029781601588361</v>
      </c>
      <c r="E2598">
        <v>-3.3068783068790353E-4</v>
      </c>
    </row>
    <row r="2599" spans="2:5" x14ac:dyDescent="0.35">
      <c r="B2599" s="2">
        <v>38027</v>
      </c>
      <c r="C2599" s="4">
        <v>30.22</v>
      </c>
      <c r="D2599">
        <f t="shared" si="43"/>
        <v>-0.4974222517877932</v>
      </c>
      <c r="E2599">
        <v>-3.3079722130335831E-4</v>
      </c>
    </row>
    <row r="2600" spans="2:5" x14ac:dyDescent="0.35">
      <c r="B2600" s="2">
        <v>39703</v>
      </c>
      <c r="C2600" s="4">
        <v>60.13</v>
      </c>
      <c r="D2600">
        <f t="shared" si="43"/>
        <v>-0.92755683529510979</v>
      </c>
      <c r="E2600">
        <v>-3.3250207813795285E-4</v>
      </c>
    </row>
    <row r="2601" spans="2:5" x14ac:dyDescent="0.35">
      <c r="B2601" s="2">
        <v>43523</v>
      </c>
      <c r="C2601" s="4">
        <v>830.03</v>
      </c>
      <c r="D2601">
        <f t="shared" si="43"/>
        <v>-0.17045942893692723</v>
      </c>
      <c r="E2601">
        <v>-3.4926293477222092E-4</v>
      </c>
    </row>
    <row r="2602" spans="2:5" x14ac:dyDescent="0.35">
      <c r="B2602" s="2">
        <v>43207</v>
      </c>
      <c r="C2602" s="4">
        <v>1000.59</v>
      </c>
      <c r="D2602">
        <f t="shared" si="43"/>
        <v>6.0373879315826384E-2</v>
      </c>
      <c r="E2602">
        <v>-3.7963175719546438E-4</v>
      </c>
    </row>
    <row r="2603" spans="2:5" x14ac:dyDescent="0.35">
      <c r="B2603" s="2">
        <v>43173</v>
      </c>
      <c r="C2603" s="4">
        <v>943.62</v>
      </c>
      <c r="D2603">
        <f t="shared" si="43"/>
        <v>8.9548475577592566</v>
      </c>
      <c r="E2603">
        <v>-3.9195330459007582E-4</v>
      </c>
    </row>
    <row r="2604" spans="2:5" x14ac:dyDescent="0.35">
      <c r="B2604" s="2">
        <v>41298</v>
      </c>
      <c r="C2604" s="4">
        <v>94.79</v>
      </c>
      <c r="D2604">
        <f t="shared" si="43"/>
        <v>8.7664945496270796E-2</v>
      </c>
      <c r="E2604">
        <v>-4.2180744490127875E-4</v>
      </c>
    </row>
    <row r="2605" spans="2:5" x14ac:dyDescent="0.35">
      <c r="B2605" s="2">
        <v>41572</v>
      </c>
      <c r="C2605" s="4">
        <v>87.15</v>
      </c>
      <c r="D2605">
        <f t="shared" si="43"/>
        <v>-0.90390234758349963</v>
      </c>
      <c r="E2605">
        <v>-4.5876820736312496E-4</v>
      </c>
    </row>
    <row r="2606" spans="2:5" x14ac:dyDescent="0.35">
      <c r="B2606" s="2">
        <v>43564</v>
      </c>
      <c r="C2606" s="4">
        <v>906.89</v>
      </c>
      <c r="D2606">
        <f t="shared" si="43"/>
        <v>0.42056704260651623</v>
      </c>
      <c r="E2606">
        <v>-4.6290683448868553E-4</v>
      </c>
    </row>
    <row r="2607" spans="2:5" x14ac:dyDescent="0.35">
      <c r="B2607" s="2">
        <v>42711</v>
      </c>
      <c r="C2607" s="4">
        <v>638.4</v>
      </c>
      <c r="D2607">
        <f t="shared" si="43"/>
        <v>6.5052903832588758</v>
      </c>
      <c r="E2607">
        <v>-4.6970408642565964E-4</v>
      </c>
    </row>
    <row r="2608" spans="2:5" x14ac:dyDescent="0.35">
      <c r="B2608" s="2">
        <v>40830</v>
      </c>
      <c r="C2608" s="4">
        <v>85.06</v>
      </c>
      <c r="D2608">
        <f t="shared" si="43"/>
        <v>-0.19648592480634797</v>
      </c>
      <c r="E2608">
        <v>-4.7003525264388557E-4</v>
      </c>
    </row>
    <row r="2609" spans="2:5" x14ac:dyDescent="0.35">
      <c r="B2609" s="2">
        <v>39352</v>
      </c>
      <c r="C2609" s="4">
        <v>105.86</v>
      </c>
      <c r="D2609">
        <f t="shared" si="43"/>
        <v>4.1016867469879514</v>
      </c>
      <c r="E2609">
        <v>-4.7209895194033624E-4</v>
      </c>
    </row>
    <row r="2610" spans="2:5" x14ac:dyDescent="0.35">
      <c r="B2610" s="2">
        <v>37754</v>
      </c>
      <c r="C2610" s="4">
        <v>20.75</v>
      </c>
      <c r="D2610">
        <f t="shared" si="43"/>
        <v>-0.92572574005798758</v>
      </c>
      <c r="E2610">
        <v>-4.8169556840083061E-4</v>
      </c>
    </row>
    <row r="2611" spans="2:5" x14ac:dyDescent="0.35">
      <c r="B2611" s="2">
        <v>41842</v>
      </c>
      <c r="C2611" s="4">
        <v>279.37</v>
      </c>
      <c r="D2611">
        <f t="shared" si="43"/>
        <v>3.8192168362946353</v>
      </c>
      <c r="E2611">
        <v>-5.0087653393438014E-4</v>
      </c>
    </row>
    <row r="2612" spans="2:5" x14ac:dyDescent="0.35">
      <c r="B2612" s="2">
        <v>38477</v>
      </c>
      <c r="C2612" s="4">
        <v>57.97</v>
      </c>
      <c r="D2612">
        <f t="shared" si="43"/>
        <v>-0.47892134831460675</v>
      </c>
      <c r="E2612">
        <v>-5.1724137931041803E-4</v>
      </c>
    </row>
    <row r="2613" spans="2:5" x14ac:dyDescent="0.35">
      <c r="B2613" s="2">
        <v>40382</v>
      </c>
      <c r="C2613" s="4">
        <v>111.25</v>
      </c>
      <c r="D2613">
        <f t="shared" si="43"/>
        <v>-0.872239512155908</v>
      </c>
      <c r="E2613">
        <v>-5.3903512712250023E-4</v>
      </c>
    </row>
    <row r="2614" spans="2:5" x14ac:dyDescent="0.35">
      <c r="B2614" s="2">
        <v>43060</v>
      </c>
      <c r="C2614" s="4">
        <v>870.77</v>
      </c>
      <c r="D2614">
        <f t="shared" si="43"/>
        <v>-4.3950373298199397E-2</v>
      </c>
      <c r="E2614">
        <v>-5.394609981176357E-4</v>
      </c>
    </row>
    <row r="2615" spans="2:5" x14ac:dyDescent="0.35">
      <c r="B2615" s="2">
        <v>44033</v>
      </c>
      <c r="C2615" s="4">
        <v>910.8</v>
      </c>
      <c r="D2615">
        <f t="shared" si="43"/>
        <v>0.46492102808247804</v>
      </c>
      <c r="E2615">
        <v>-5.4866673982223446E-4</v>
      </c>
    </row>
    <row r="2616" spans="2:5" x14ac:dyDescent="0.35">
      <c r="B2616" s="2">
        <v>42653</v>
      </c>
      <c r="C2616" s="4">
        <v>621.74</v>
      </c>
      <c r="D2616">
        <f t="shared" si="43"/>
        <v>-0.31866349599465216</v>
      </c>
      <c r="E2616">
        <v>-5.6261955665581898E-4</v>
      </c>
    </row>
    <row r="2617" spans="2:5" x14ac:dyDescent="0.35">
      <c r="B2617" s="2">
        <v>43475</v>
      </c>
      <c r="C2617" s="4">
        <v>912.53</v>
      </c>
      <c r="D2617">
        <f t="shared" si="43"/>
        <v>7.9577893393540773</v>
      </c>
      <c r="E2617">
        <v>-5.69519741525637E-4</v>
      </c>
    </row>
    <row r="2618" spans="2:5" x14ac:dyDescent="0.35">
      <c r="B2618" s="2">
        <v>40414</v>
      </c>
      <c r="C2618" s="4">
        <v>101.87</v>
      </c>
      <c r="D2618">
        <f t="shared" si="43"/>
        <v>2.0757850241545897</v>
      </c>
      <c r="E2618">
        <v>-5.8863926223884366E-4</v>
      </c>
    </row>
    <row r="2619" spans="2:5" x14ac:dyDescent="0.35">
      <c r="B2619" s="2">
        <v>39808</v>
      </c>
      <c r="C2619" s="4">
        <v>33.119999999999997</v>
      </c>
      <c r="D2619">
        <f t="shared" si="43"/>
        <v>-0.59932252601016212</v>
      </c>
      <c r="E2619">
        <v>-6.0350030175027047E-4</v>
      </c>
    </row>
    <row r="2620" spans="2:5" x14ac:dyDescent="0.35">
      <c r="B2620" s="2">
        <v>40865</v>
      </c>
      <c r="C2620" s="4">
        <v>82.66</v>
      </c>
      <c r="D2620">
        <f t="shared" si="43"/>
        <v>6.0525360125884831E-4</v>
      </c>
      <c r="E2620">
        <v>-6.0452182323778025E-4</v>
      </c>
    </row>
    <row r="2621" spans="2:5" x14ac:dyDescent="0.35">
      <c r="B2621" s="2">
        <v>39027</v>
      </c>
      <c r="C2621" s="4">
        <v>82.61</v>
      </c>
      <c r="D2621">
        <f t="shared" si="43"/>
        <v>1.5132339519318529</v>
      </c>
      <c r="E2621">
        <v>-6.0488749092668659E-4</v>
      </c>
    </row>
    <row r="2622" spans="2:5" x14ac:dyDescent="0.35">
      <c r="B2622" s="2">
        <v>37489</v>
      </c>
      <c r="C2622" s="4">
        <v>32.869999999999997</v>
      </c>
      <c r="D2622">
        <f t="shared" si="43"/>
        <v>-0.86657736645559347</v>
      </c>
      <c r="E2622">
        <v>-6.0808756460939417E-4</v>
      </c>
    </row>
    <row r="2623" spans="2:5" x14ac:dyDescent="0.35">
      <c r="B2623" s="2">
        <v>41738</v>
      </c>
      <c r="C2623" s="4">
        <v>246.36</v>
      </c>
      <c r="D2623">
        <f t="shared" si="43"/>
        <v>2.8053753475440226</v>
      </c>
      <c r="E2623">
        <v>-6.0849458439815596E-4</v>
      </c>
    </row>
    <row r="2624" spans="2:5" x14ac:dyDescent="0.35">
      <c r="B2624" s="2">
        <v>40137</v>
      </c>
      <c r="C2624" s="4">
        <v>64.739999999999995</v>
      </c>
      <c r="D2624">
        <f t="shared" si="43"/>
        <v>-0.42222222222222228</v>
      </c>
      <c r="E2624">
        <v>-6.1747452917582102E-4</v>
      </c>
    </row>
    <row r="2625" spans="2:5" x14ac:dyDescent="0.35">
      <c r="B2625" s="2">
        <v>39225</v>
      </c>
      <c r="C2625" s="4">
        <v>112.05</v>
      </c>
      <c r="D2625">
        <f t="shared" si="43"/>
        <v>2.5191582914572863</v>
      </c>
      <c r="E2625">
        <v>-6.2433107384951558E-4</v>
      </c>
    </row>
    <row r="2626" spans="2:5" x14ac:dyDescent="0.35">
      <c r="B2626" s="2">
        <v>39853</v>
      </c>
      <c r="C2626" s="4">
        <v>31.84</v>
      </c>
      <c r="D2626">
        <f t="shared" si="43"/>
        <v>6.2853551225638959E-4</v>
      </c>
      <c r="E2626">
        <v>-6.2774639045826142E-4</v>
      </c>
    </row>
    <row r="2627" spans="2:5" x14ac:dyDescent="0.35">
      <c r="B2627" s="2">
        <v>39854</v>
      </c>
      <c r="C2627" s="4">
        <v>31.82</v>
      </c>
      <c r="D2627">
        <f t="shared" si="43"/>
        <v>-0.99515063215517974</v>
      </c>
      <c r="E2627">
        <v>-6.2814070351757678E-4</v>
      </c>
    </row>
    <row r="2628" spans="2:5" x14ac:dyDescent="0.35">
      <c r="B2628" s="2">
        <v>44517</v>
      </c>
      <c r="C2628" s="4">
        <v>6561.68</v>
      </c>
      <c r="D2628">
        <f t="shared" ref="D2628:D2691" si="44">C2628/C2629-1</f>
        <v>0.726462578769421</v>
      </c>
      <c r="E2628">
        <v>-6.4423667092594616E-4</v>
      </c>
    </row>
    <row r="2629" spans="2:5" x14ac:dyDescent="0.35">
      <c r="B2629" s="2">
        <v>44321</v>
      </c>
      <c r="C2629" s="4">
        <v>3800.65</v>
      </c>
      <c r="D2629">
        <f t="shared" si="44"/>
        <v>-0.3171299207646836</v>
      </c>
      <c r="E2629">
        <v>-6.520944590376887E-4</v>
      </c>
    </row>
    <row r="2630" spans="2:5" x14ac:dyDescent="0.35">
      <c r="B2630" s="2">
        <v>44469</v>
      </c>
      <c r="C2630" s="4">
        <v>5565.7</v>
      </c>
      <c r="D2630">
        <f t="shared" si="44"/>
        <v>91.79259753251084</v>
      </c>
      <c r="E2630">
        <v>-6.6075577532875851E-4</v>
      </c>
    </row>
    <row r="2631" spans="2:5" x14ac:dyDescent="0.35">
      <c r="B2631" s="2">
        <v>38925</v>
      </c>
      <c r="C2631" s="4">
        <v>59.98</v>
      </c>
      <c r="D2631">
        <f t="shared" si="44"/>
        <v>-0.92916947130997507</v>
      </c>
      <c r="E2631">
        <v>-6.6644451849395825E-4</v>
      </c>
    </row>
    <row r="2632" spans="2:5" x14ac:dyDescent="0.35">
      <c r="B2632" s="2">
        <v>42520</v>
      </c>
      <c r="C2632" s="4">
        <v>846.81</v>
      </c>
      <c r="D2632">
        <f t="shared" si="44"/>
        <v>-0.86720767765154183</v>
      </c>
      <c r="E2632">
        <v>-6.7266161580403772E-4</v>
      </c>
    </row>
    <row r="2633" spans="2:5" x14ac:dyDescent="0.35">
      <c r="B2633" s="2">
        <v>45028</v>
      </c>
      <c r="C2633" s="4">
        <v>6376.95</v>
      </c>
      <c r="D2633">
        <f t="shared" si="44"/>
        <v>71.638683221323603</v>
      </c>
      <c r="E2633">
        <v>-6.8167928165108194E-4</v>
      </c>
    </row>
    <row r="2634" spans="2:5" x14ac:dyDescent="0.35">
      <c r="B2634" s="2">
        <v>41074</v>
      </c>
      <c r="C2634" s="4">
        <v>87.79</v>
      </c>
      <c r="D2634">
        <f t="shared" si="44"/>
        <v>-0.87657462602631875</v>
      </c>
      <c r="E2634">
        <v>-6.8298235628894144E-4</v>
      </c>
    </row>
    <row r="2635" spans="2:5" x14ac:dyDescent="0.35">
      <c r="B2635" s="2">
        <v>42866</v>
      </c>
      <c r="C2635" s="4">
        <v>711.28</v>
      </c>
      <c r="D2635">
        <f t="shared" si="44"/>
        <v>23.552295478080772</v>
      </c>
      <c r="E2635">
        <v>-6.8842463155238676E-4</v>
      </c>
    </row>
    <row r="2636" spans="2:5" x14ac:dyDescent="0.35">
      <c r="B2636" s="2">
        <v>37894</v>
      </c>
      <c r="C2636" s="4">
        <v>28.97</v>
      </c>
      <c r="D2636">
        <f t="shared" si="44"/>
        <v>-0.71125286554370581</v>
      </c>
      <c r="E2636">
        <v>-6.8989306657463167E-4</v>
      </c>
    </row>
    <row r="2637" spans="2:5" x14ac:dyDescent="0.35">
      <c r="B2637" s="2">
        <v>40448</v>
      </c>
      <c r="C2637" s="4">
        <v>100.33</v>
      </c>
      <c r="D2637">
        <f t="shared" si="44"/>
        <v>0.42211197732104888</v>
      </c>
      <c r="E2637">
        <v>-6.9721115537857425E-4</v>
      </c>
    </row>
    <row r="2638" spans="2:5" x14ac:dyDescent="0.35">
      <c r="B2638" s="2">
        <v>38568</v>
      </c>
      <c r="C2638" s="4">
        <v>70.55</v>
      </c>
      <c r="D2638">
        <f t="shared" si="44"/>
        <v>7.0921985815597388E-4</v>
      </c>
      <c r="E2638">
        <v>-7.0821529745035416E-4</v>
      </c>
    </row>
    <row r="2639" spans="2:5" x14ac:dyDescent="0.35">
      <c r="B2639" s="2">
        <v>38569</v>
      </c>
      <c r="C2639" s="4">
        <v>70.5</v>
      </c>
      <c r="D2639">
        <f t="shared" si="44"/>
        <v>-0.91929483143494939</v>
      </c>
      <c r="E2639">
        <v>-7.0871722182841435E-4</v>
      </c>
    </row>
    <row r="2640" spans="2:5" x14ac:dyDescent="0.35">
      <c r="B2640" s="2">
        <v>42503</v>
      </c>
      <c r="C2640" s="4">
        <v>873.55</v>
      </c>
      <c r="D2640">
        <f t="shared" si="44"/>
        <v>-0.75222094896639358</v>
      </c>
      <c r="E2640">
        <v>-7.0924419735296507E-4</v>
      </c>
    </row>
    <row r="2641" spans="2:5" x14ac:dyDescent="0.35">
      <c r="B2641" s="2">
        <v>44351</v>
      </c>
      <c r="C2641" s="4">
        <v>3525.52</v>
      </c>
      <c r="D2641">
        <f t="shared" si="44"/>
        <v>3.0844339404050238</v>
      </c>
      <c r="E2641">
        <v>-7.2843946724721054E-4</v>
      </c>
    </row>
    <row r="2642" spans="2:5" x14ac:dyDescent="0.35">
      <c r="B2642" s="2">
        <v>43994</v>
      </c>
      <c r="C2642" s="4">
        <v>863.16</v>
      </c>
      <c r="D2642">
        <f t="shared" si="44"/>
        <v>0.23969149898746167</v>
      </c>
      <c r="E2642">
        <v>-7.2934393776269424E-4</v>
      </c>
    </row>
    <row r="2643" spans="2:5" x14ac:dyDescent="0.35">
      <c r="B2643" s="2">
        <v>42818</v>
      </c>
      <c r="C2643" s="4">
        <v>696.27</v>
      </c>
      <c r="D2643">
        <f t="shared" si="44"/>
        <v>-0.83427666968153469</v>
      </c>
      <c r="E2643">
        <v>-7.3193834495821619E-4</v>
      </c>
    </row>
    <row r="2644" spans="2:5" x14ac:dyDescent="0.35">
      <c r="B2644" s="2">
        <v>44410</v>
      </c>
      <c r="C2644" s="4">
        <v>4201.3999999999996</v>
      </c>
      <c r="D2644">
        <f t="shared" si="44"/>
        <v>43.355996621621621</v>
      </c>
      <c r="E2644">
        <v>-7.3255194459243E-4</v>
      </c>
    </row>
    <row r="2645" spans="2:5" x14ac:dyDescent="0.35">
      <c r="B2645" s="2">
        <v>41299</v>
      </c>
      <c r="C2645" s="4">
        <v>94.72</v>
      </c>
      <c r="D2645">
        <f t="shared" si="44"/>
        <v>-0.88675681168776821</v>
      </c>
      <c r="E2645">
        <v>-7.3847452262909563E-4</v>
      </c>
    </row>
    <row r="2646" spans="2:5" x14ac:dyDescent="0.35">
      <c r="B2646" s="2">
        <v>43500</v>
      </c>
      <c r="C2646" s="4">
        <v>836.43</v>
      </c>
      <c r="D2646">
        <f t="shared" si="44"/>
        <v>9.3736822522634249</v>
      </c>
      <c r="E2646">
        <v>-7.4069649363839307E-4</v>
      </c>
    </row>
    <row r="2647" spans="2:5" x14ac:dyDescent="0.35">
      <c r="B2647" s="2">
        <v>40876</v>
      </c>
      <c r="C2647" s="4">
        <v>80.63</v>
      </c>
      <c r="D2647">
        <f t="shared" si="44"/>
        <v>2.0821865443425076</v>
      </c>
      <c r="E2647">
        <v>-7.4358656586936966E-4</v>
      </c>
    </row>
    <row r="2648" spans="2:5" x14ac:dyDescent="0.35">
      <c r="B2648" s="2">
        <v>37886</v>
      </c>
      <c r="C2648" s="4">
        <v>26.16</v>
      </c>
      <c r="D2648">
        <f t="shared" si="44"/>
        <v>-0.99607310391413673</v>
      </c>
      <c r="E2648">
        <v>-7.6394194041251584E-4</v>
      </c>
    </row>
    <row r="2649" spans="2:5" x14ac:dyDescent="0.35">
      <c r="B2649" s="2">
        <v>44978</v>
      </c>
      <c r="C2649" s="4">
        <v>6661.75</v>
      </c>
      <c r="D2649">
        <f t="shared" si="44"/>
        <v>6.8309960149995881</v>
      </c>
      <c r="E2649">
        <v>-7.7247296344618022E-4</v>
      </c>
    </row>
    <row r="2650" spans="2:5" x14ac:dyDescent="0.35">
      <c r="B2650" s="2">
        <v>43507</v>
      </c>
      <c r="C2650" s="4">
        <v>850.69</v>
      </c>
      <c r="D2650">
        <f t="shared" si="44"/>
        <v>12.405137094232588</v>
      </c>
      <c r="E2650">
        <v>-7.7523932577672205E-4</v>
      </c>
    </row>
    <row r="2651" spans="2:5" x14ac:dyDescent="0.35">
      <c r="B2651" s="2">
        <v>38446</v>
      </c>
      <c r="C2651" s="4">
        <v>63.46</v>
      </c>
      <c r="D2651">
        <f t="shared" si="44"/>
        <v>-0.91535054956781559</v>
      </c>
      <c r="E2651">
        <v>-7.8727759407959397E-4</v>
      </c>
    </row>
    <row r="2652" spans="2:5" x14ac:dyDescent="0.35">
      <c r="B2652" s="2">
        <v>42907</v>
      </c>
      <c r="C2652" s="4">
        <v>749.68</v>
      </c>
      <c r="D2652">
        <f t="shared" si="44"/>
        <v>-5.403154574132496E-2</v>
      </c>
      <c r="E2652">
        <v>-7.9970144479402094E-4</v>
      </c>
    </row>
    <row r="2653" spans="2:5" x14ac:dyDescent="0.35">
      <c r="B2653" s="2">
        <v>43026</v>
      </c>
      <c r="C2653" s="4">
        <v>792.5</v>
      </c>
      <c r="D2653">
        <f t="shared" si="44"/>
        <v>5.5827726555361741</v>
      </c>
      <c r="E2653">
        <v>-8.1951711529970606E-4</v>
      </c>
    </row>
    <row r="2654" spans="2:5" x14ac:dyDescent="0.35">
      <c r="B2654" s="2">
        <v>39274</v>
      </c>
      <c r="C2654" s="4">
        <v>120.39</v>
      </c>
      <c r="D2654">
        <f t="shared" si="44"/>
        <v>0.11194236630645604</v>
      </c>
      <c r="E2654">
        <v>-8.2994439372552353E-4</v>
      </c>
    </row>
    <row r="2655" spans="2:5" x14ac:dyDescent="0.35">
      <c r="B2655" s="2">
        <v>40352</v>
      </c>
      <c r="C2655" s="4">
        <v>108.27</v>
      </c>
      <c r="D2655">
        <f t="shared" si="44"/>
        <v>3.5377200335289185</v>
      </c>
      <c r="E2655">
        <v>-8.3056478405318934E-4</v>
      </c>
    </row>
    <row r="2656" spans="2:5" x14ac:dyDescent="0.35">
      <c r="B2656" s="2">
        <v>37790</v>
      </c>
      <c r="C2656" s="4">
        <v>23.86</v>
      </c>
      <c r="D2656">
        <f t="shared" si="44"/>
        <v>-0.7966072798567897</v>
      </c>
      <c r="E2656">
        <v>-8.3752093802347272E-4</v>
      </c>
    </row>
    <row r="2657" spans="2:5" x14ac:dyDescent="0.35">
      <c r="B2657" s="2">
        <v>39286</v>
      </c>
      <c r="C2657" s="4">
        <v>117.31</v>
      </c>
      <c r="D2657">
        <f t="shared" si="44"/>
        <v>-0.86426224196982315</v>
      </c>
      <c r="E2657">
        <v>-8.5171620815938098E-4</v>
      </c>
    </row>
    <row r="2658" spans="2:5" x14ac:dyDescent="0.35">
      <c r="B2658" s="2">
        <v>42460</v>
      </c>
      <c r="C2658" s="4">
        <v>864.24</v>
      </c>
      <c r="D2658">
        <f t="shared" si="44"/>
        <v>2.6230481505669978E-2</v>
      </c>
      <c r="E2658">
        <v>-8.5551111008352887E-4</v>
      </c>
    </row>
    <row r="2659" spans="2:5" x14ac:dyDescent="0.35">
      <c r="B2659" s="2">
        <v>42496</v>
      </c>
      <c r="C2659" s="4">
        <v>842.15</v>
      </c>
      <c r="D2659">
        <f t="shared" si="44"/>
        <v>-3.8597652860861253E-2</v>
      </c>
      <c r="E2659">
        <v>-8.7793187723195221E-4</v>
      </c>
    </row>
    <row r="2660" spans="2:5" x14ac:dyDescent="0.35">
      <c r="B2660" s="2">
        <v>42489</v>
      </c>
      <c r="C2660" s="4">
        <v>875.96</v>
      </c>
      <c r="D2660">
        <f t="shared" si="44"/>
        <v>-0.40395476381649675</v>
      </c>
      <c r="E2660">
        <v>-8.8965942012453336E-4</v>
      </c>
    </row>
    <row r="2661" spans="2:5" x14ac:dyDescent="0.35">
      <c r="B2661" s="2">
        <v>44148</v>
      </c>
      <c r="C2661" s="4">
        <v>1469.62</v>
      </c>
      <c r="D2661">
        <f t="shared" si="44"/>
        <v>18.024207119741099</v>
      </c>
      <c r="E2661">
        <v>-9.0417757231731066E-4</v>
      </c>
    </row>
    <row r="2662" spans="2:5" x14ac:dyDescent="0.35">
      <c r="B2662" s="2">
        <v>41500</v>
      </c>
      <c r="C2662" s="4">
        <v>77.25</v>
      </c>
      <c r="D2662">
        <f t="shared" si="44"/>
        <v>1.3345421577515864</v>
      </c>
      <c r="E2662">
        <v>-9.0532850491453765E-4</v>
      </c>
    </row>
    <row r="2663" spans="2:5" x14ac:dyDescent="0.35">
      <c r="B2663" s="2">
        <v>39811</v>
      </c>
      <c r="C2663" s="4">
        <v>33.090000000000003</v>
      </c>
      <c r="D2663">
        <f t="shared" si="44"/>
        <v>6.0808756460930535E-3</v>
      </c>
      <c r="E2663">
        <v>-9.0579710144911285E-4</v>
      </c>
    </row>
    <row r="2664" spans="2:5" x14ac:dyDescent="0.35">
      <c r="B2664" s="2">
        <v>37496</v>
      </c>
      <c r="C2664" s="4">
        <v>32.89</v>
      </c>
      <c r="D2664">
        <f t="shared" si="44"/>
        <v>-0.99518472699056415</v>
      </c>
      <c r="E2664">
        <v>-9.1130012150675288E-4</v>
      </c>
    </row>
    <row r="2665" spans="2:5" x14ac:dyDescent="0.35">
      <c r="B2665" s="2">
        <v>44903</v>
      </c>
      <c r="C2665" s="4">
        <v>6830.35</v>
      </c>
      <c r="D2665">
        <f t="shared" si="44"/>
        <v>4.9114197931541828</v>
      </c>
      <c r="E2665">
        <v>-9.2881068351680085E-4</v>
      </c>
    </row>
    <row r="2666" spans="2:5" x14ac:dyDescent="0.35">
      <c r="B2666" s="2">
        <v>43251</v>
      </c>
      <c r="C2666" s="4">
        <v>1155.45</v>
      </c>
      <c r="D2666">
        <f t="shared" si="44"/>
        <v>1.0794939169246276</v>
      </c>
      <c r="E2666">
        <v>-9.3382791626672734E-4</v>
      </c>
    </row>
    <row r="2667" spans="2:5" x14ac:dyDescent="0.35">
      <c r="B2667" s="2">
        <v>42149</v>
      </c>
      <c r="C2667" s="4">
        <v>555.64</v>
      </c>
      <c r="D2667">
        <f t="shared" si="44"/>
        <v>-0.37133417813178859</v>
      </c>
      <c r="E2667">
        <v>-9.3498273878012128E-4</v>
      </c>
    </row>
    <row r="2668" spans="2:5" x14ac:dyDescent="0.35">
      <c r="B2668" s="2">
        <v>44015</v>
      </c>
      <c r="C2668" s="4">
        <v>883.84</v>
      </c>
      <c r="D2668">
        <f t="shared" si="44"/>
        <v>9.2833473465552263E-2</v>
      </c>
      <c r="E2668">
        <v>-9.3820294573110363E-4</v>
      </c>
    </row>
    <row r="2669" spans="2:5" x14ac:dyDescent="0.35">
      <c r="B2669" s="2">
        <v>43514</v>
      </c>
      <c r="C2669" s="4">
        <v>808.76</v>
      </c>
      <c r="D2669">
        <f t="shared" si="44"/>
        <v>-5.3184888607921033E-2</v>
      </c>
      <c r="E2669">
        <v>-9.3882794742561337E-4</v>
      </c>
    </row>
    <row r="2670" spans="2:5" x14ac:dyDescent="0.35">
      <c r="B2670" s="2">
        <v>42468</v>
      </c>
      <c r="C2670" s="4">
        <v>854.19</v>
      </c>
      <c r="D2670">
        <f t="shared" si="44"/>
        <v>12.595257042813943</v>
      </c>
      <c r="E2670">
        <v>-9.4736842105258567E-4</v>
      </c>
    </row>
    <row r="2671" spans="2:5" x14ac:dyDescent="0.35">
      <c r="B2671" s="2">
        <v>39672</v>
      </c>
      <c r="C2671" s="4">
        <v>62.83</v>
      </c>
      <c r="D2671">
        <f t="shared" si="44"/>
        <v>-0.77415528396836808</v>
      </c>
      <c r="E2671">
        <v>-9.5404674829069336E-4</v>
      </c>
    </row>
    <row r="2672" spans="2:5" x14ac:dyDescent="0.35">
      <c r="B2672" s="2">
        <v>41892</v>
      </c>
      <c r="C2672" s="4">
        <v>278.2</v>
      </c>
      <c r="D2672">
        <f t="shared" si="44"/>
        <v>-0.59829615190238972</v>
      </c>
      <c r="E2672">
        <v>-9.6958379717759779E-4</v>
      </c>
    </row>
    <row r="2673" spans="2:5" x14ac:dyDescent="0.35">
      <c r="B2673" s="2">
        <v>43938</v>
      </c>
      <c r="C2673" s="4">
        <v>692.55</v>
      </c>
      <c r="D2673">
        <f t="shared" si="44"/>
        <v>10.458471211118464</v>
      </c>
      <c r="E2673">
        <v>-9.8091542489520123E-4</v>
      </c>
    </row>
    <row r="2674" spans="2:5" x14ac:dyDescent="0.35">
      <c r="B2674" s="2">
        <v>40037</v>
      </c>
      <c r="C2674" s="4">
        <v>60.44</v>
      </c>
      <c r="D2674">
        <f t="shared" si="44"/>
        <v>-0.39292888710325435</v>
      </c>
      <c r="E2674">
        <v>-9.9173553719011931E-4</v>
      </c>
    </row>
    <row r="2675" spans="2:5" x14ac:dyDescent="0.35">
      <c r="B2675" s="2">
        <v>40704</v>
      </c>
      <c r="C2675" s="4">
        <v>99.56</v>
      </c>
      <c r="D2675">
        <f t="shared" si="44"/>
        <v>-0.72047840979280142</v>
      </c>
      <c r="E2675">
        <v>-1.0034115994380643E-3</v>
      </c>
    </row>
    <row r="2676" spans="2:5" x14ac:dyDescent="0.35">
      <c r="B2676" s="2">
        <v>42039</v>
      </c>
      <c r="C2676" s="4">
        <v>356.18</v>
      </c>
      <c r="D2676">
        <f t="shared" si="44"/>
        <v>-0.53742256392940169</v>
      </c>
      <c r="E2676">
        <v>-1.0097043809951245E-3</v>
      </c>
    </row>
    <row r="2677" spans="2:5" x14ac:dyDescent="0.35">
      <c r="B2677" s="2">
        <v>42565</v>
      </c>
      <c r="C2677" s="4">
        <v>769.99</v>
      </c>
      <c r="D2677">
        <f t="shared" si="44"/>
        <v>25.013175675675676</v>
      </c>
      <c r="E2677">
        <v>-1.0119750379490311E-3</v>
      </c>
    </row>
    <row r="2678" spans="2:5" x14ac:dyDescent="0.35">
      <c r="B2678" s="2">
        <v>37936</v>
      </c>
      <c r="C2678" s="4">
        <v>29.6</v>
      </c>
      <c r="D2678">
        <f t="shared" si="44"/>
        <v>-0.56882738528769128</v>
      </c>
      <c r="E2678">
        <v>-1.0124873439081306E-3</v>
      </c>
    </row>
    <row r="2679" spans="2:5" x14ac:dyDescent="0.35">
      <c r="B2679" s="2">
        <v>40074</v>
      </c>
      <c r="C2679" s="4">
        <v>68.650000000000006</v>
      </c>
      <c r="D2679">
        <f t="shared" si="44"/>
        <v>0.20798873834242482</v>
      </c>
      <c r="E2679">
        <v>-1.0186263096623183E-3</v>
      </c>
    </row>
    <row r="2680" spans="2:5" x14ac:dyDescent="0.35">
      <c r="B2680" s="2">
        <v>38464</v>
      </c>
      <c r="C2680" s="4">
        <v>56.83</v>
      </c>
      <c r="D2680">
        <f t="shared" si="44"/>
        <v>1.0391101542877643</v>
      </c>
      <c r="E2680">
        <v>-1.0546669010371712E-3</v>
      </c>
    </row>
    <row r="2681" spans="2:5" x14ac:dyDescent="0.35">
      <c r="B2681" s="2">
        <v>37561</v>
      </c>
      <c r="C2681" s="4">
        <v>27.87</v>
      </c>
      <c r="D2681">
        <f t="shared" si="44"/>
        <v>1.0775862068965747E-3</v>
      </c>
      <c r="E2681">
        <v>-1.0752688172042113E-3</v>
      </c>
    </row>
    <row r="2682" spans="2:5" x14ac:dyDescent="0.35">
      <c r="B2682" s="2">
        <v>37564</v>
      </c>
      <c r="C2682" s="4">
        <v>27.84</v>
      </c>
      <c r="D2682">
        <f t="shared" si="44"/>
        <v>-0.6977526870046683</v>
      </c>
      <c r="E2682">
        <v>-1.0764262648008671E-3</v>
      </c>
    </row>
    <row r="2683" spans="2:5" x14ac:dyDescent="0.35">
      <c r="B2683" s="2">
        <v>41156</v>
      </c>
      <c r="C2683" s="4">
        <v>92.11</v>
      </c>
      <c r="D2683">
        <f t="shared" si="44"/>
        <v>-0.89877910746271938</v>
      </c>
      <c r="E2683">
        <v>-1.084481075805166E-3</v>
      </c>
    </row>
    <row r="2684" spans="2:5" x14ac:dyDescent="0.35">
      <c r="B2684" s="2">
        <v>43488</v>
      </c>
      <c r="C2684" s="4">
        <v>909.99</v>
      </c>
      <c r="D2684">
        <f t="shared" si="44"/>
        <v>-0.89375878542774823</v>
      </c>
      <c r="E2684">
        <v>-1.0867417506421617E-3</v>
      </c>
    </row>
    <row r="2685" spans="2:5" x14ac:dyDescent="0.35">
      <c r="B2685" s="2">
        <v>44720</v>
      </c>
      <c r="C2685" s="4">
        <v>8565.32</v>
      </c>
      <c r="D2685">
        <f t="shared" si="44"/>
        <v>85.30045340050377</v>
      </c>
      <c r="E2685">
        <v>-1.0915859250725246E-3</v>
      </c>
    </row>
    <row r="2686" spans="2:5" x14ac:dyDescent="0.35">
      <c r="B2686" s="2">
        <v>41274</v>
      </c>
      <c r="C2686" s="4">
        <v>99.25</v>
      </c>
      <c r="D2686">
        <f t="shared" si="44"/>
        <v>0.23583613497696421</v>
      </c>
      <c r="E2686">
        <v>-1.1070853462157304E-3</v>
      </c>
    </row>
    <row r="2687" spans="2:5" x14ac:dyDescent="0.35">
      <c r="B2687" s="2">
        <v>41457</v>
      </c>
      <c r="C2687" s="4">
        <v>80.31</v>
      </c>
      <c r="D2687">
        <f t="shared" si="44"/>
        <v>-8.4160109476565159E-2</v>
      </c>
      <c r="E2687">
        <v>-1.1194029850746245E-3</v>
      </c>
    </row>
    <row r="2688" spans="2:5" x14ac:dyDescent="0.35">
      <c r="B2688" s="2">
        <v>41075</v>
      </c>
      <c r="C2688" s="4">
        <v>87.69</v>
      </c>
      <c r="D2688">
        <f t="shared" si="44"/>
        <v>-0.8919648137196925</v>
      </c>
      <c r="E2688">
        <v>-1.1390818999886809E-3</v>
      </c>
    </row>
    <row r="2689" spans="2:5" x14ac:dyDescent="0.35">
      <c r="B2689" s="2">
        <v>43595</v>
      </c>
      <c r="C2689" s="4">
        <v>811.68</v>
      </c>
      <c r="D2689">
        <f t="shared" si="44"/>
        <v>7.6110757479312525</v>
      </c>
      <c r="E2689">
        <v>-1.1567522335163005E-3</v>
      </c>
    </row>
    <row r="2690" spans="2:5" x14ac:dyDescent="0.35">
      <c r="B2690" s="2">
        <v>41093</v>
      </c>
      <c r="C2690" s="4">
        <v>94.26</v>
      </c>
      <c r="D2690">
        <f t="shared" si="44"/>
        <v>-0.89181806704846722</v>
      </c>
      <c r="E2690">
        <v>-1.165624668856613E-3</v>
      </c>
    </row>
    <row r="2691" spans="2:5" x14ac:dyDescent="0.35">
      <c r="B2691" s="2">
        <v>44012</v>
      </c>
      <c r="C2691" s="4">
        <v>871.31</v>
      </c>
      <c r="D2691">
        <f t="shared" si="44"/>
        <v>6.28763800602208</v>
      </c>
      <c r="E2691">
        <v>-1.1692822670320568E-3</v>
      </c>
    </row>
    <row r="2692" spans="2:5" x14ac:dyDescent="0.35">
      <c r="B2692" s="2">
        <v>40539</v>
      </c>
      <c r="C2692" s="4">
        <v>119.56</v>
      </c>
      <c r="D2692">
        <f t="shared" ref="D2692:D2755" si="45">C2692/C2693-1</f>
        <v>0.28297027578066314</v>
      </c>
      <c r="E2692">
        <v>-1.1695906432748204E-3</v>
      </c>
    </row>
    <row r="2693" spans="2:5" x14ac:dyDescent="0.35">
      <c r="B2693" s="2">
        <v>41242</v>
      </c>
      <c r="C2693" s="4">
        <v>93.19</v>
      </c>
      <c r="D2693">
        <f t="shared" si="45"/>
        <v>-0.89728979069998127</v>
      </c>
      <c r="E2693">
        <v>-1.1789924973204524E-3</v>
      </c>
    </row>
    <row r="2694" spans="2:5" x14ac:dyDescent="0.35">
      <c r="B2694" s="2">
        <v>43563</v>
      </c>
      <c r="C2694" s="4">
        <v>907.31</v>
      </c>
      <c r="D2694">
        <f t="shared" si="45"/>
        <v>8.9322386425834708</v>
      </c>
      <c r="E2694">
        <v>-1.1889166547408569E-3</v>
      </c>
    </row>
    <row r="2695" spans="2:5" x14ac:dyDescent="0.35">
      <c r="B2695" s="2">
        <v>41317</v>
      </c>
      <c r="C2695" s="4">
        <v>91.35</v>
      </c>
      <c r="D2695">
        <f t="shared" si="45"/>
        <v>0.22964059765782729</v>
      </c>
      <c r="E2695">
        <v>-1.202711567898529E-3</v>
      </c>
    </row>
    <row r="2696" spans="2:5" x14ac:dyDescent="0.35">
      <c r="B2696" s="2">
        <v>38601</v>
      </c>
      <c r="C2696" s="4">
        <v>74.290000000000006</v>
      </c>
      <c r="D2696">
        <f t="shared" si="45"/>
        <v>-0.73363212621011109</v>
      </c>
      <c r="E2696">
        <v>-1.2100026888947069E-3</v>
      </c>
    </row>
    <row r="2697" spans="2:5" x14ac:dyDescent="0.35">
      <c r="B2697" s="2">
        <v>41948</v>
      </c>
      <c r="C2697" s="4">
        <v>278.89999999999998</v>
      </c>
      <c r="D2697">
        <f t="shared" si="45"/>
        <v>1.6476172394152266</v>
      </c>
      <c r="E2697">
        <v>-1.2175906030655881E-3</v>
      </c>
    </row>
    <row r="2698" spans="2:5" x14ac:dyDescent="0.35">
      <c r="B2698" s="2">
        <v>40401</v>
      </c>
      <c r="C2698" s="4">
        <v>105.34</v>
      </c>
      <c r="D2698">
        <f t="shared" si="45"/>
        <v>-0.97008134330053852</v>
      </c>
      <c r="E2698">
        <v>-1.2325779842609075E-3</v>
      </c>
    </row>
    <row r="2699" spans="2:5" x14ac:dyDescent="0.35">
      <c r="B2699" s="2">
        <v>44342</v>
      </c>
      <c r="C2699" s="4">
        <v>3520.88</v>
      </c>
      <c r="D2699">
        <f t="shared" si="45"/>
        <v>2.9539124966310304</v>
      </c>
      <c r="E2699">
        <v>-1.2622931753906164E-3</v>
      </c>
    </row>
    <row r="2700" spans="2:5" x14ac:dyDescent="0.35">
      <c r="B2700" s="2">
        <v>42473</v>
      </c>
      <c r="C2700" s="4">
        <v>890.48</v>
      </c>
      <c r="D2700">
        <f t="shared" si="45"/>
        <v>36.748198389147944</v>
      </c>
      <c r="E2700">
        <v>-1.2673702627830075E-3</v>
      </c>
    </row>
    <row r="2701" spans="2:5" x14ac:dyDescent="0.35">
      <c r="B2701" s="2">
        <v>38070</v>
      </c>
      <c r="C2701" s="4">
        <v>23.59</v>
      </c>
      <c r="D2701">
        <f t="shared" si="45"/>
        <v>-0.7265244609320658</v>
      </c>
      <c r="E2701">
        <v>-1.2701100762066986E-3</v>
      </c>
    </row>
    <row r="2702" spans="2:5" x14ac:dyDescent="0.35">
      <c r="B2702" s="2">
        <v>39034</v>
      </c>
      <c r="C2702" s="4">
        <v>86.26</v>
      </c>
      <c r="D2702">
        <f t="shared" si="45"/>
        <v>-0.93352342786683107</v>
      </c>
      <c r="E2702">
        <v>-1.2735903670255677E-3</v>
      </c>
    </row>
    <row r="2703" spans="2:5" x14ac:dyDescent="0.35">
      <c r="B2703" s="2">
        <v>43305</v>
      </c>
      <c r="C2703" s="4">
        <v>1297.5999999999999</v>
      </c>
      <c r="D2703">
        <f t="shared" si="45"/>
        <v>23.254205607476635</v>
      </c>
      <c r="E2703">
        <v>-1.3007103879811854E-3</v>
      </c>
    </row>
    <row r="2704" spans="2:5" x14ac:dyDescent="0.35">
      <c r="B2704" s="2">
        <v>38345</v>
      </c>
      <c r="C2704" s="4">
        <v>53.5</v>
      </c>
      <c r="D2704">
        <f t="shared" si="45"/>
        <v>-0.20041847257510081</v>
      </c>
      <c r="E2704">
        <v>-1.3067015120403758E-3</v>
      </c>
    </row>
    <row r="2705" spans="2:5" x14ac:dyDescent="0.35">
      <c r="B2705" s="2">
        <v>39588</v>
      </c>
      <c r="C2705" s="4">
        <v>66.91</v>
      </c>
      <c r="D2705">
        <f t="shared" si="45"/>
        <v>-0.98984404052669528</v>
      </c>
      <c r="E2705">
        <v>-1.3432835820895717E-3</v>
      </c>
    </row>
    <row r="2706" spans="2:5" x14ac:dyDescent="0.35">
      <c r="B2706" s="2">
        <v>44959</v>
      </c>
      <c r="C2706" s="4">
        <v>6588.25</v>
      </c>
      <c r="D2706">
        <f t="shared" si="45"/>
        <v>221.87719891745604</v>
      </c>
      <c r="E2706">
        <v>-1.3490674003167058E-3</v>
      </c>
    </row>
    <row r="2707" spans="2:5" x14ac:dyDescent="0.35">
      <c r="B2707" s="2">
        <v>37937</v>
      </c>
      <c r="C2707" s="4">
        <v>29.56</v>
      </c>
      <c r="D2707">
        <f t="shared" si="45"/>
        <v>-0.96077754926026671</v>
      </c>
      <c r="E2707">
        <v>-1.3513513513514486E-3</v>
      </c>
    </row>
    <row r="2708" spans="2:5" x14ac:dyDescent="0.35">
      <c r="B2708" s="2">
        <v>43006</v>
      </c>
      <c r="C2708" s="4">
        <v>753.65</v>
      </c>
      <c r="D2708">
        <f t="shared" si="45"/>
        <v>33.040198735320686</v>
      </c>
      <c r="E2708">
        <v>-1.3515841361124714E-3</v>
      </c>
    </row>
    <row r="2709" spans="2:5" x14ac:dyDescent="0.35">
      <c r="B2709" s="2">
        <v>37727</v>
      </c>
      <c r="C2709" s="4">
        <v>22.14</v>
      </c>
      <c r="D2709">
        <f t="shared" si="45"/>
        <v>-0.62417246647428271</v>
      </c>
      <c r="E2709">
        <v>-1.3531799729364913E-3</v>
      </c>
    </row>
    <row r="2710" spans="2:5" x14ac:dyDescent="0.35">
      <c r="B2710" s="2">
        <v>40035</v>
      </c>
      <c r="C2710" s="4">
        <v>58.91</v>
      </c>
      <c r="D2710">
        <f t="shared" si="45"/>
        <v>1.0037414965986393</v>
      </c>
      <c r="E2710">
        <v>-1.3561620613664616E-3</v>
      </c>
    </row>
    <row r="2711" spans="2:5" x14ac:dyDescent="0.35">
      <c r="B2711" s="2">
        <v>37869</v>
      </c>
      <c r="C2711" s="4">
        <v>29.4</v>
      </c>
      <c r="D2711">
        <f t="shared" si="45"/>
        <v>2.7285129604364133E-3</v>
      </c>
      <c r="E2711">
        <v>-1.3586956521740579E-3</v>
      </c>
    </row>
    <row r="2712" spans="2:5" x14ac:dyDescent="0.35">
      <c r="B2712" s="2">
        <v>37470</v>
      </c>
      <c r="C2712" s="4">
        <v>29.32</v>
      </c>
      <c r="D2712">
        <f t="shared" si="45"/>
        <v>-0.55372907153729067</v>
      </c>
      <c r="E2712">
        <v>-1.3623978201634523E-3</v>
      </c>
    </row>
    <row r="2713" spans="2:5" x14ac:dyDescent="0.35">
      <c r="B2713" s="2">
        <v>38764</v>
      </c>
      <c r="C2713" s="4">
        <v>65.7</v>
      </c>
      <c r="D2713">
        <f t="shared" si="45"/>
        <v>-0.87074307973794485</v>
      </c>
      <c r="E2713">
        <v>-1.3679890560875929E-3</v>
      </c>
    </row>
    <row r="2714" spans="2:5" x14ac:dyDescent="0.35">
      <c r="B2714" s="2">
        <v>42160</v>
      </c>
      <c r="C2714" s="4">
        <v>508.29</v>
      </c>
      <c r="D2714">
        <f t="shared" si="45"/>
        <v>-0.49481687621130044</v>
      </c>
      <c r="E2714">
        <v>-1.3752725986757586E-3</v>
      </c>
    </row>
    <row r="2715" spans="2:5" x14ac:dyDescent="0.35">
      <c r="B2715" s="2">
        <v>43123</v>
      </c>
      <c r="C2715" s="4">
        <v>1006.15</v>
      </c>
      <c r="D2715">
        <f t="shared" si="45"/>
        <v>7.3707687710760972E-2</v>
      </c>
      <c r="E2715">
        <v>-1.3895092054985181E-3</v>
      </c>
    </row>
    <row r="2716" spans="2:5" x14ac:dyDescent="0.35">
      <c r="B2716" s="2">
        <v>43194</v>
      </c>
      <c r="C2716" s="4">
        <v>937.08</v>
      </c>
      <c r="D2716">
        <f t="shared" si="45"/>
        <v>31.799439971998602</v>
      </c>
      <c r="E2716">
        <v>-1.3960080563517607E-3</v>
      </c>
    </row>
    <row r="2717" spans="2:5" x14ac:dyDescent="0.35">
      <c r="B2717" s="2">
        <v>39881</v>
      </c>
      <c r="C2717" s="4">
        <v>28.57</v>
      </c>
      <c r="D2717">
        <f t="shared" si="45"/>
        <v>-0.99512461497768789</v>
      </c>
      <c r="E2717">
        <v>-1.3981125480601042E-3</v>
      </c>
    </row>
    <row r="2718" spans="2:5" x14ac:dyDescent="0.35">
      <c r="B2718" s="2">
        <v>44538</v>
      </c>
      <c r="C2718" s="4">
        <v>5860.05</v>
      </c>
      <c r="D2718">
        <f t="shared" si="45"/>
        <v>204.97715289982426</v>
      </c>
      <c r="E2718">
        <v>-1.3990518484184866E-3</v>
      </c>
    </row>
    <row r="2719" spans="2:5" x14ac:dyDescent="0.35">
      <c r="B2719" s="2">
        <v>37900</v>
      </c>
      <c r="C2719" s="4">
        <v>28.45</v>
      </c>
      <c r="D2719">
        <f t="shared" si="45"/>
        <v>-0.49938412810135491</v>
      </c>
      <c r="E2719">
        <v>-1.4040014040013205E-3</v>
      </c>
    </row>
    <row r="2720" spans="2:5" x14ac:dyDescent="0.35">
      <c r="B2720" s="2">
        <v>38404</v>
      </c>
      <c r="C2720" s="4">
        <v>56.83</v>
      </c>
      <c r="D2720">
        <f t="shared" si="45"/>
        <v>1.6793965110796791</v>
      </c>
      <c r="E2720">
        <v>-1.4057283429976808E-3</v>
      </c>
    </row>
    <row r="2721" spans="2:5" x14ac:dyDescent="0.35">
      <c r="B2721" s="2">
        <v>37693</v>
      </c>
      <c r="C2721" s="4">
        <v>21.21</v>
      </c>
      <c r="D2721">
        <f t="shared" si="45"/>
        <v>-0.7852804211378821</v>
      </c>
      <c r="E2721">
        <v>-1.4124293785309217E-3</v>
      </c>
    </row>
    <row r="2722" spans="2:5" x14ac:dyDescent="0.35">
      <c r="B2722" s="2">
        <v>41577</v>
      </c>
      <c r="C2722" s="4">
        <v>98.78</v>
      </c>
      <c r="D2722">
        <f t="shared" si="45"/>
        <v>-0.86066718386346008</v>
      </c>
      <c r="E2722">
        <v>-1.4152850788515803E-3</v>
      </c>
    </row>
    <row r="2723" spans="2:5" x14ac:dyDescent="0.35">
      <c r="B2723" s="2">
        <v>42622</v>
      </c>
      <c r="C2723" s="4">
        <v>708.95</v>
      </c>
      <c r="D2723">
        <f t="shared" si="45"/>
        <v>9.111966909142776</v>
      </c>
      <c r="E2723">
        <v>-1.4226153586117674E-3</v>
      </c>
    </row>
    <row r="2724" spans="2:5" x14ac:dyDescent="0.35">
      <c r="B2724" s="2">
        <v>38630</v>
      </c>
      <c r="C2724" s="4">
        <v>70.11</v>
      </c>
      <c r="D2724">
        <f t="shared" si="45"/>
        <v>-0.92237083951546828</v>
      </c>
      <c r="E2724">
        <v>-1.4242985329724345E-3</v>
      </c>
    </row>
    <row r="2725" spans="2:5" x14ac:dyDescent="0.35">
      <c r="B2725" s="2">
        <v>44035</v>
      </c>
      <c r="C2725" s="4">
        <v>903.14</v>
      </c>
      <c r="D2725">
        <f t="shared" si="45"/>
        <v>-0.32998998479172081</v>
      </c>
      <c r="E2725">
        <v>-1.4263127052397406E-3</v>
      </c>
    </row>
    <row r="2726" spans="2:5" x14ac:dyDescent="0.35">
      <c r="B2726" s="2">
        <v>43329</v>
      </c>
      <c r="C2726" s="4">
        <v>1347.95</v>
      </c>
      <c r="D2726">
        <f t="shared" si="45"/>
        <v>18.487494578574527</v>
      </c>
      <c r="E2726">
        <v>-1.4297567191158267E-3</v>
      </c>
    </row>
    <row r="2727" spans="2:5" x14ac:dyDescent="0.35">
      <c r="B2727" s="2">
        <v>38741</v>
      </c>
      <c r="C2727" s="4">
        <v>69.17</v>
      </c>
      <c r="D2727">
        <f t="shared" si="45"/>
        <v>-0.22341978219378011</v>
      </c>
      <c r="E2727">
        <v>-1.44362638949036E-3</v>
      </c>
    </row>
    <row r="2728" spans="2:5" x14ac:dyDescent="0.35">
      <c r="B2728" s="2">
        <v>40766</v>
      </c>
      <c r="C2728" s="4">
        <v>89.07</v>
      </c>
      <c r="D2728">
        <f t="shared" si="45"/>
        <v>2.2626373626373621</v>
      </c>
      <c r="E2728">
        <v>-1.4573991031391342E-3</v>
      </c>
    </row>
    <row r="2729" spans="2:5" x14ac:dyDescent="0.35">
      <c r="B2729" s="2">
        <v>37922</v>
      </c>
      <c r="C2729" s="4">
        <v>27.3</v>
      </c>
      <c r="D2729">
        <f t="shared" si="45"/>
        <v>-0.55333769633507845</v>
      </c>
      <c r="E2729">
        <v>-1.4630577907827069E-3</v>
      </c>
    </row>
    <row r="2730" spans="2:5" x14ac:dyDescent="0.35">
      <c r="B2730" s="2">
        <v>39679</v>
      </c>
      <c r="C2730" s="4">
        <v>61.12</v>
      </c>
      <c r="D2730">
        <f t="shared" si="45"/>
        <v>-0.30726510257282114</v>
      </c>
      <c r="E2730">
        <v>-1.4703479823559018E-3</v>
      </c>
    </row>
    <row r="2731" spans="2:5" x14ac:dyDescent="0.35">
      <c r="B2731" s="2">
        <v>40805</v>
      </c>
      <c r="C2731" s="4">
        <v>88.23</v>
      </c>
      <c r="D2731">
        <f t="shared" si="45"/>
        <v>-0.27656608724171849</v>
      </c>
      <c r="E2731">
        <v>-1.4712539610682862E-3</v>
      </c>
    </row>
    <row r="2732" spans="2:5" x14ac:dyDescent="0.35">
      <c r="B2732" s="2">
        <v>39234</v>
      </c>
      <c r="C2732" s="4">
        <v>121.96</v>
      </c>
      <c r="D2732">
        <f t="shared" si="45"/>
        <v>7.0481874835425229E-2</v>
      </c>
      <c r="E2732">
        <v>-1.4737186834780092E-3</v>
      </c>
    </row>
    <row r="2733" spans="2:5" x14ac:dyDescent="0.35">
      <c r="B2733" s="2">
        <v>39335</v>
      </c>
      <c r="C2733" s="4">
        <v>113.93</v>
      </c>
      <c r="D2733">
        <f t="shared" si="45"/>
        <v>-0.58369569189169446</v>
      </c>
      <c r="E2733">
        <v>-1.4899211218228903E-3</v>
      </c>
    </row>
    <row r="2734" spans="2:5" x14ac:dyDescent="0.35">
      <c r="B2734" s="2">
        <v>41967</v>
      </c>
      <c r="C2734" s="4">
        <v>273.67</v>
      </c>
      <c r="D2734">
        <f t="shared" si="45"/>
        <v>1.5839864035501843</v>
      </c>
      <c r="E2734">
        <v>-1.4959136018679597E-3</v>
      </c>
    </row>
    <row r="2735" spans="2:5" x14ac:dyDescent="0.35">
      <c r="B2735" s="2">
        <v>39351</v>
      </c>
      <c r="C2735" s="4">
        <v>105.91</v>
      </c>
      <c r="D2735">
        <f t="shared" si="45"/>
        <v>-0.89559036643433854</v>
      </c>
      <c r="E2735">
        <v>-1.5084378240783902E-3</v>
      </c>
    </row>
    <row r="2736" spans="2:5" x14ac:dyDescent="0.35">
      <c r="B2736" s="2">
        <v>43129</v>
      </c>
      <c r="C2736" s="4">
        <v>1014.37</v>
      </c>
      <c r="D2736">
        <f t="shared" si="45"/>
        <v>29.888246041412909</v>
      </c>
      <c r="E2736">
        <v>-1.5158823124095111E-3</v>
      </c>
    </row>
    <row r="2737" spans="2:5" x14ac:dyDescent="0.35">
      <c r="B2737" s="2">
        <v>37497</v>
      </c>
      <c r="C2737" s="4">
        <v>32.840000000000003</v>
      </c>
      <c r="D2737">
        <f t="shared" si="45"/>
        <v>-0.99437422697013411</v>
      </c>
      <c r="E2737">
        <v>-1.5202189115232079E-3</v>
      </c>
    </row>
    <row r="2738" spans="2:5" x14ac:dyDescent="0.35">
      <c r="B2738" s="2">
        <v>44496</v>
      </c>
      <c r="C2738" s="4">
        <v>5837.42</v>
      </c>
      <c r="D2738">
        <f t="shared" si="45"/>
        <v>89.699502796768186</v>
      </c>
      <c r="E2738">
        <v>-1.5394036008360423E-3</v>
      </c>
    </row>
    <row r="2739" spans="2:5" x14ac:dyDescent="0.35">
      <c r="B2739" s="2">
        <v>39654</v>
      </c>
      <c r="C2739" s="4">
        <v>64.36</v>
      </c>
      <c r="D2739">
        <f t="shared" si="45"/>
        <v>-0.22903689506468616</v>
      </c>
      <c r="E2739">
        <v>-1.5513496742164401E-3</v>
      </c>
    </row>
    <row r="2740" spans="2:5" x14ac:dyDescent="0.35">
      <c r="B2740" s="2">
        <v>41043</v>
      </c>
      <c r="C2740" s="4">
        <v>83.48</v>
      </c>
      <c r="D2740">
        <f t="shared" si="45"/>
        <v>-0.89619755788217159</v>
      </c>
      <c r="E2740">
        <v>-1.5548379380456723E-3</v>
      </c>
    </row>
    <row r="2741" spans="2:5" x14ac:dyDescent="0.35">
      <c r="B2741" s="2">
        <v>43773</v>
      </c>
      <c r="C2741" s="4">
        <v>804.22</v>
      </c>
      <c r="D2741">
        <f t="shared" si="45"/>
        <v>6.8961217476681398</v>
      </c>
      <c r="E2741">
        <v>-1.5642846501464636E-3</v>
      </c>
    </row>
    <row r="2742" spans="2:5" x14ac:dyDescent="0.35">
      <c r="B2742" s="2">
        <v>40408</v>
      </c>
      <c r="C2742" s="4">
        <v>101.85</v>
      </c>
      <c r="D2742">
        <f t="shared" si="45"/>
        <v>-0.87948029203990108</v>
      </c>
      <c r="E2742">
        <v>-1.5684736790512188E-3</v>
      </c>
    </row>
    <row r="2743" spans="2:5" x14ac:dyDescent="0.35">
      <c r="B2743" s="2">
        <v>42296</v>
      </c>
      <c r="C2743" s="4">
        <v>845.09</v>
      </c>
      <c r="D2743">
        <f t="shared" si="45"/>
        <v>6.504259716691041E-2</v>
      </c>
      <c r="E2743">
        <v>-1.5713239290185976E-3</v>
      </c>
    </row>
    <row r="2744" spans="2:5" x14ac:dyDescent="0.35">
      <c r="B2744" s="2">
        <v>42562</v>
      </c>
      <c r="C2744" s="4">
        <v>793.48</v>
      </c>
      <c r="D2744">
        <f t="shared" si="45"/>
        <v>3.6174141812754801E-3</v>
      </c>
      <c r="E2744">
        <v>-1.5854241638775246E-3</v>
      </c>
    </row>
    <row r="2745" spans="2:5" x14ac:dyDescent="0.35">
      <c r="B2745" s="2">
        <v>43950</v>
      </c>
      <c r="C2745" s="4">
        <v>790.62</v>
      </c>
      <c r="D2745">
        <f t="shared" si="45"/>
        <v>9.0805814101746769</v>
      </c>
      <c r="E2745">
        <v>-1.5911501742688072E-3</v>
      </c>
    </row>
    <row r="2746" spans="2:5" x14ac:dyDescent="0.35">
      <c r="B2746" s="2">
        <v>41438</v>
      </c>
      <c r="C2746" s="4">
        <v>78.430000000000007</v>
      </c>
      <c r="D2746">
        <f t="shared" si="45"/>
        <v>-0.71048357327427092</v>
      </c>
      <c r="E2746">
        <v>-1.6547861507127948E-3</v>
      </c>
    </row>
    <row r="2747" spans="2:5" x14ac:dyDescent="0.35">
      <c r="B2747" s="2">
        <v>41933</v>
      </c>
      <c r="C2747" s="4">
        <v>270.89999999999998</v>
      </c>
      <c r="D2747">
        <f t="shared" si="45"/>
        <v>-0.67061827466715307</v>
      </c>
      <c r="E2747">
        <v>-1.6583747927033654E-3</v>
      </c>
    </row>
    <row r="2748" spans="2:5" x14ac:dyDescent="0.35">
      <c r="B2748" s="2">
        <v>42534</v>
      </c>
      <c r="C2748" s="4">
        <v>822.45</v>
      </c>
      <c r="D2748">
        <f t="shared" si="45"/>
        <v>6.7145671137791956</v>
      </c>
      <c r="E2748">
        <v>-1.6629846325654229E-3</v>
      </c>
    </row>
    <row r="2749" spans="2:5" x14ac:dyDescent="0.35">
      <c r="B2749" s="2">
        <v>39295</v>
      </c>
      <c r="C2749" s="4">
        <v>106.61</v>
      </c>
      <c r="D2749">
        <f t="shared" si="45"/>
        <v>3.507822410147992</v>
      </c>
      <c r="E2749">
        <v>-1.6855510815619867E-3</v>
      </c>
    </row>
    <row r="2750" spans="2:5" x14ac:dyDescent="0.35">
      <c r="B2750" s="2">
        <v>37792</v>
      </c>
      <c r="C2750" s="4">
        <v>23.65</v>
      </c>
      <c r="D2750">
        <f t="shared" si="45"/>
        <v>-0.9911804739796013</v>
      </c>
      <c r="E2750">
        <v>-1.6884761502744539E-3</v>
      </c>
    </row>
    <row r="2751" spans="2:5" x14ac:dyDescent="0.35">
      <c r="B2751" s="2">
        <v>44263</v>
      </c>
      <c r="C2751" s="4">
        <v>2681.55</v>
      </c>
      <c r="D2751">
        <f t="shared" si="45"/>
        <v>31.570751852301719</v>
      </c>
      <c r="E2751">
        <v>-1.6939056624845072E-3</v>
      </c>
    </row>
    <row r="2752" spans="2:5" x14ac:dyDescent="0.35">
      <c r="B2752" s="2">
        <v>38849</v>
      </c>
      <c r="C2752" s="4">
        <v>82.33</v>
      </c>
      <c r="D2752">
        <f t="shared" si="45"/>
        <v>1.8003401360544218</v>
      </c>
      <c r="E2752">
        <v>-1.6975870013338223E-3</v>
      </c>
    </row>
    <row r="2753" spans="2:5" x14ac:dyDescent="0.35">
      <c r="B2753" s="2">
        <v>37911</v>
      </c>
      <c r="C2753" s="4">
        <v>29.4</v>
      </c>
      <c r="D2753">
        <f t="shared" si="45"/>
        <v>-0.96827657645992493</v>
      </c>
      <c r="E2753">
        <v>-1.6977928692699651E-3</v>
      </c>
    </row>
    <row r="2754" spans="2:5" x14ac:dyDescent="0.35">
      <c r="B2754" s="2">
        <v>43181</v>
      </c>
      <c r="C2754" s="4">
        <v>926.76</v>
      </c>
      <c r="D2754">
        <f t="shared" si="45"/>
        <v>0.18132337382570007</v>
      </c>
      <c r="E2754">
        <v>-1.7127161092260756E-3</v>
      </c>
    </row>
    <row r="2755" spans="2:5" x14ac:dyDescent="0.35">
      <c r="B2755" s="2">
        <v>42923</v>
      </c>
      <c r="C2755" s="4">
        <v>784.51</v>
      </c>
      <c r="D2755">
        <f t="shared" si="45"/>
        <v>6.5015299292407729</v>
      </c>
      <c r="E2755">
        <v>-1.7178632326368959E-3</v>
      </c>
    </row>
    <row r="2756" spans="2:5" x14ac:dyDescent="0.35">
      <c r="B2756" s="2">
        <v>39317</v>
      </c>
      <c r="C2756" s="4">
        <v>104.58</v>
      </c>
      <c r="D2756">
        <f t="shared" ref="D2756:D2819" si="46">C2756/C2757-1</f>
        <v>-0.98420528000966589</v>
      </c>
      <c r="E2756">
        <v>-1.7182130584193489E-3</v>
      </c>
    </row>
    <row r="2757" spans="2:5" x14ac:dyDescent="0.35">
      <c r="B2757" s="2">
        <v>44909</v>
      </c>
      <c r="C2757" s="4">
        <v>6621.2</v>
      </c>
      <c r="D2757">
        <f t="shared" si="46"/>
        <v>75.298686333256512</v>
      </c>
      <c r="E2757">
        <v>-1.7187829810331179E-3</v>
      </c>
    </row>
    <row r="2758" spans="2:5" x14ac:dyDescent="0.35">
      <c r="B2758" s="2">
        <v>41059</v>
      </c>
      <c r="C2758" s="4">
        <v>86.78</v>
      </c>
      <c r="D2758">
        <f t="shared" si="46"/>
        <v>0.50268398268398262</v>
      </c>
      <c r="E2758">
        <v>-1.7255262855171427E-3</v>
      </c>
    </row>
    <row r="2759" spans="2:5" x14ac:dyDescent="0.35">
      <c r="B2759" s="2">
        <v>38492</v>
      </c>
      <c r="C2759" s="4">
        <v>57.75</v>
      </c>
      <c r="D2759">
        <f t="shared" si="46"/>
        <v>-0.33275563258232232</v>
      </c>
      <c r="E2759">
        <v>-1.7286084701815252E-3</v>
      </c>
    </row>
    <row r="2760" spans="2:5" x14ac:dyDescent="0.35">
      <c r="B2760" s="2">
        <v>40801</v>
      </c>
      <c r="C2760" s="4">
        <v>86.55</v>
      </c>
      <c r="D2760">
        <f t="shared" si="46"/>
        <v>0.36363636363636354</v>
      </c>
      <c r="E2760">
        <v>-1.7301038062284002E-3</v>
      </c>
    </row>
    <row r="2761" spans="2:5" x14ac:dyDescent="0.35">
      <c r="B2761" s="2">
        <v>39659</v>
      </c>
      <c r="C2761" s="4">
        <v>63.47</v>
      </c>
      <c r="D2761">
        <f t="shared" si="46"/>
        <v>0.10095403295750227</v>
      </c>
      <c r="E2761">
        <v>-1.7301038062284002E-3</v>
      </c>
    </row>
    <row r="2762" spans="2:5" x14ac:dyDescent="0.35">
      <c r="B2762" s="2">
        <v>38434</v>
      </c>
      <c r="C2762" s="4">
        <v>57.65</v>
      </c>
      <c r="D2762">
        <f t="shared" si="46"/>
        <v>-0.16388687454677309</v>
      </c>
      <c r="E2762">
        <v>-1.7316017316018062E-3</v>
      </c>
    </row>
    <row r="2763" spans="2:5" x14ac:dyDescent="0.35">
      <c r="B2763" s="2">
        <v>38686</v>
      </c>
      <c r="C2763" s="4">
        <v>68.95</v>
      </c>
      <c r="D2763">
        <f t="shared" si="46"/>
        <v>-0.93111681668781276</v>
      </c>
      <c r="E2763">
        <v>-1.7373678876501097E-3</v>
      </c>
    </row>
    <row r="2764" spans="2:5" x14ac:dyDescent="0.35">
      <c r="B2764" s="2">
        <v>43206</v>
      </c>
      <c r="C2764" s="4">
        <v>1000.97</v>
      </c>
      <c r="D2764">
        <f t="shared" si="46"/>
        <v>10.092309397163122</v>
      </c>
      <c r="E2764">
        <v>-1.7651634521410609E-3</v>
      </c>
    </row>
    <row r="2765" spans="2:5" x14ac:dyDescent="0.35">
      <c r="B2765" s="2">
        <v>41320</v>
      </c>
      <c r="C2765" s="4">
        <v>90.24</v>
      </c>
      <c r="D2765">
        <f t="shared" si="46"/>
        <v>0.1582595302271852</v>
      </c>
      <c r="E2765">
        <v>-1.7699115044248481E-3</v>
      </c>
    </row>
    <row r="2766" spans="2:5" x14ac:dyDescent="0.35">
      <c r="B2766" s="2">
        <v>38966</v>
      </c>
      <c r="C2766" s="4">
        <v>77.91</v>
      </c>
      <c r="D2766">
        <f t="shared" si="46"/>
        <v>-0.22144498850804439</v>
      </c>
      <c r="E2766">
        <v>-1.7937219730941312E-3</v>
      </c>
    </row>
    <row r="2767" spans="2:5" x14ac:dyDescent="0.35">
      <c r="B2767" s="2">
        <v>40625</v>
      </c>
      <c r="C2767" s="4">
        <v>100.07</v>
      </c>
      <c r="D2767">
        <f t="shared" si="46"/>
        <v>-0.14080879196359586</v>
      </c>
      <c r="E2767">
        <v>-1.7955112219452118E-3</v>
      </c>
    </row>
    <row r="2768" spans="2:5" x14ac:dyDescent="0.35">
      <c r="B2768" s="2">
        <v>39191</v>
      </c>
      <c r="C2768" s="4">
        <v>116.47</v>
      </c>
      <c r="D2768">
        <f t="shared" si="46"/>
        <v>0.40359122680163884</v>
      </c>
      <c r="E2768">
        <v>-1.799794309221836E-3</v>
      </c>
    </row>
    <row r="2769" spans="2:5" x14ac:dyDescent="0.35">
      <c r="B2769" s="2">
        <v>41555</v>
      </c>
      <c r="C2769" s="4">
        <v>82.98</v>
      </c>
      <c r="D2769">
        <f t="shared" si="46"/>
        <v>2.7615593834995469</v>
      </c>
      <c r="E2769">
        <v>-1.8044027426921128E-3</v>
      </c>
    </row>
    <row r="2770" spans="2:5" x14ac:dyDescent="0.35">
      <c r="B2770" s="2">
        <v>37708</v>
      </c>
      <c r="C2770" s="4">
        <v>22.06</v>
      </c>
      <c r="D2770">
        <f t="shared" si="46"/>
        <v>-0.99682279064408341</v>
      </c>
      <c r="E2770">
        <v>-1.8099547511313263E-3</v>
      </c>
    </row>
    <row r="2771" spans="2:5" x14ac:dyDescent="0.35">
      <c r="B2771" s="2">
        <v>44867</v>
      </c>
      <c r="C2771" s="4">
        <v>6943.2</v>
      </c>
      <c r="D2771">
        <f t="shared" si="46"/>
        <v>210.03951367781156</v>
      </c>
      <c r="E2771">
        <v>-1.8114379366860334E-3</v>
      </c>
    </row>
    <row r="2772" spans="2:5" x14ac:dyDescent="0.35">
      <c r="B2772" s="2">
        <v>39778</v>
      </c>
      <c r="C2772" s="4">
        <v>32.9</v>
      </c>
      <c r="D2772">
        <f t="shared" si="46"/>
        <v>-0.57139134966128191</v>
      </c>
      <c r="E2772">
        <v>-1.8203883495145901E-3</v>
      </c>
    </row>
    <row r="2773" spans="2:5" x14ac:dyDescent="0.35">
      <c r="B2773" s="2">
        <v>38961</v>
      </c>
      <c r="C2773" s="4">
        <v>76.760000000000005</v>
      </c>
      <c r="D2773">
        <f t="shared" si="46"/>
        <v>-0.11126548570105355</v>
      </c>
      <c r="E2773">
        <v>-1.8205461638491904E-3</v>
      </c>
    </row>
    <row r="2774" spans="2:5" x14ac:dyDescent="0.35">
      <c r="B2774" s="2">
        <v>39031</v>
      </c>
      <c r="C2774" s="4">
        <v>86.37</v>
      </c>
      <c r="D2774">
        <f t="shared" si="46"/>
        <v>0.33803253292021695</v>
      </c>
      <c r="E2774">
        <v>-1.8490696868137535E-3</v>
      </c>
    </row>
    <row r="2775" spans="2:5" x14ac:dyDescent="0.35">
      <c r="B2775" s="2">
        <v>38748</v>
      </c>
      <c r="C2775" s="4">
        <v>64.55</v>
      </c>
      <c r="D2775">
        <f t="shared" si="46"/>
        <v>-0.96473756664627219</v>
      </c>
      <c r="E2775">
        <v>-1.8555744549251241E-3</v>
      </c>
    </row>
    <row r="2776" spans="2:5" x14ac:dyDescent="0.35">
      <c r="B2776" s="2">
        <v>44195</v>
      </c>
      <c r="C2776" s="4">
        <v>1830.56</v>
      </c>
      <c r="D2776">
        <f t="shared" si="46"/>
        <v>1.3462701871315046</v>
      </c>
      <c r="E2776">
        <v>-1.8593542969623789E-3</v>
      </c>
    </row>
    <row r="2777" spans="2:5" x14ac:dyDescent="0.35">
      <c r="B2777" s="2">
        <v>42229</v>
      </c>
      <c r="C2777" s="4">
        <v>780.2</v>
      </c>
      <c r="D2777">
        <f t="shared" si="46"/>
        <v>0.2602367991729797</v>
      </c>
      <c r="E2777">
        <v>-1.867819768185508E-3</v>
      </c>
    </row>
    <row r="2778" spans="2:5" x14ac:dyDescent="0.35">
      <c r="B2778" s="2">
        <v>43929</v>
      </c>
      <c r="C2778" s="4">
        <v>619.09</v>
      </c>
      <c r="D2778">
        <f t="shared" si="46"/>
        <v>8.0206906600611987</v>
      </c>
      <c r="E2778">
        <v>-1.8702136235388966E-3</v>
      </c>
    </row>
    <row r="2779" spans="2:5" x14ac:dyDescent="0.35">
      <c r="B2779" s="2">
        <v>38560</v>
      </c>
      <c r="C2779" s="4">
        <v>68.63</v>
      </c>
      <c r="D2779">
        <f t="shared" si="46"/>
        <v>-0.91024299652114782</v>
      </c>
      <c r="E2779">
        <v>-1.8906340895871176E-3</v>
      </c>
    </row>
    <row r="2780" spans="2:5" x14ac:dyDescent="0.35">
      <c r="B2780" s="2">
        <v>42971</v>
      </c>
      <c r="C2780" s="4">
        <v>764.62</v>
      </c>
      <c r="D2780">
        <f t="shared" si="46"/>
        <v>-0.88562410716289086</v>
      </c>
      <c r="E2780">
        <v>-1.8927774224287708E-3</v>
      </c>
    </row>
    <row r="2781" spans="2:5" x14ac:dyDescent="0.35">
      <c r="B2781" s="2">
        <v>44966</v>
      </c>
      <c r="C2781" s="4">
        <v>6685.15</v>
      </c>
      <c r="D2781">
        <f t="shared" si="46"/>
        <v>7.0071266019882614</v>
      </c>
      <c r="E2781">
        <v>-1.8961308479588102E-3</v>
      </c>
    </row>
    <row r="2782" spans="2:5" x14ac:dyDescent="0.35">
      <c r="B2782" s="2">
        <v>43056</v>
      </c>
      <c r="C2782" s="4">
        <v>834.9</v>
      </c>
      <c r="D2782">
        <f t="shared" si="46"/>
        <v>9.7166736753574456E-2</v>
      </c>
      <c r="E2782">
        <v>-1.9007997704695301E-3</v>
      </c>
    </row>
    <row r="2783" spans="2:5" x14ac:dyDescent="0.35">
      <c r="B2783" s="2">
        <v>43964</v>
      </c>
      <c r="C2783" s="4">
        <v>760.96</v>
      </c>
      <c r="D2783">
        <f t="shared" si="46"/>
        <v>-0.21109705778680876</v>
      </c>
      <c r="E2783">
        <v>-1.9018638265498877E-3</v>
      </c>
    </row>
    <row r="2784" spans="2:5" x14ac:dyDescent="0.35">
      <c r="B2784" s="2">
        <v>43467</v>
      </c>
      <c r="C2784" s="4">
        <v>964.58</v>
      </c>
      <c r="D2784">
        <f t="shared" si="46"/>
        <v>2.7693630324345446</v>
      </c>
      <c r="E2784">
        <v>-1.9039341073238125E-3</v>
      </c>
    </row>
    <row r="2785" spans="2:5" x14ac:dyDescent="0.35">
      <c r="B2785" s="2">
        <v>41718</v>
      </c>
      <c r="C2785" s="4">
        <v>255.9</v>
      </c>
      <c r="D2785">
        <f t="shared" si="46"/>
        <v>8.8008425890463435</v>
      </c>
      <c r="E2785">
        <v>-1.911150980927423E-3</v>
      </c>
    </row>
    <row r="2786" spans="2:5" x14ac:dyDescent="0.35">
      <c r="B2786" s="2">
        <v>37887</v>
      </c>
      <c r="C2786" s="4">
        <v>26.11</v>
      </c>
      <c r="D2786">
        <f t="shared" si="46"/>
        <v>-0.92408118167015585</v>
      </c>
      <c r="E2786">
        <v>-1.9113149847095334E-3</v>
      </c>
    </row>
    <row r="2787" spans="2:5" x14ac:dyDescent="0.35">
      <c r="B2787" s="2">
        <v>42033</v>
      </c>
      <c r="C2787" s="4">
        <v>343.92</v>
      </c>
      <c r="D2787">
        <f t="shared" si="46"/>
        <v>3.7469979296066249</v>
      </c>
      <c r="E2787">
        <v>-1.9153752394218682E-3</v>
      </c>
    </row>
    <row r="2788" spans="2:5" x14ac:dyDescent="0.35">
      <c r="B2788" s="2">
        <v>38586</v>
      </c>
      <c r="C2788" s="4">
        <v>72.45</v>
      </c>
      <c r="D2788">
        <f t="shared" si="46"/>
        <v>-0.99113278787841697</v>
      </c>
      <c r="E2788">
        <v>-1.9286403085824189E-3</v>
      </c>
    </row>
    <row r="2789" spans="2:5" x14ac:dyDescent="0.35">
      <c r="B2789" s="2">
        <v>44742</v>
      </c>
      <c r="C2789" s="4">
        <v>8170.55</v>
      </c>
      <c r="D2789">
        <f t="shared" si="46"/>
        <v>262.82144010332581</v>
      </c>
      <c r="E2789">
        <v>-1.9300420822466746E-3</v>
      </c>
    </row>
    <row r="2790" spans="2:5" x14ac:dyDescent="0.35">
      <c r="B2790" s="2">
        <v>37602</v>
      </c>
      <c r="C2790" s="4">
        <v>30.97</v>
      </c>
      <c r="D2790">
        <f t="shared" si="46"/>
        <v>-0.95997053045186642</v>
      </c>
      <c r="E2790">
        <v>-1.9336126329358994E-3</v>
      </c>
    </row>
    <row r="2791" spans="2:5" x14ac:dyDescent="0.35">
      <c r="B2791" s="2">
        <v>43795</v>
      </c>
      <c r="C2791" s="4">
        <v>773.68</v>
      </c>
      <c r="D2791">
        <f t="shared" si="46"/>
        <v>6.6594396594396583</v>
      </c>
      <c r="E2791">
        <v>-1.9350344436130928E-3</v>
      </c>
    </row>
    <row r="2792" spans="2:5" x14ac:dyDescent="0.35">
      <c r="B2792" s="2">
        <v>40673</v>
      </c>
      <c r="C2792" s="4">
        <v>101.01</v>
      </c>
      <c r="D2792">
        <f t="shared" si="46"/>
        <v>-0.97918002139504778</v>
      </c>
      <c r="E2792">
        <v>-1.9760893192370954E-3</v>
      </c>
    </row>
    <row r="2793" spans="2:5" x14ac:dyDescent="0.35">
      <c r="B2793" s="2">
        <v>44445</v>
      </c>
      <c r="C2793" s="4">
        <v>4851.59</v>
      </c>
      <c r="D2793">
        <f t="shared" si="46"/>
        <v>6.0162405275640651</v>
      </c>
      <c r="E2793">
        <v>-1.985090223893371E-3</v>
      </c>
    </row>
    <row r="2794" spans="2:5" x14ac:dyDescent="0.35">
      <c r="B2794" s="2">
        <v>42641</v>
      </c>
      <c r="C2794" s="4">
        <v>691.48</v>
      </c>
      <c r="D2794">
        <f t="shared" si="46"/>
        <v>8.9307769639523205</v>
      </c>
      <c r="E2794">
        <v>-2.0061483395152901E-3</v>
      </c>
    </row>
    <row r="2795" spans="2:5" x14ac:dyDescent="0.35">
      <c r="B2795" s="2">
        <v>38677</v>
      </c>
      <c r="C2795" s="4">
        <v>69.63</v>
      </c>
      <c r="D2795">
        <f t="shared" si="46"/>
        <v>-0.29872091852150273</v>
      </c>
      <c r="E2795">
        <v>-2.0065930915866836E-3</v>
      </c>
    </row>
    <row r="2796" spans="2:5" x14ac:dyDescent="0.35">
      <c r="B2796" s="2">
        <v>41260</v>
      </c>
      <c r="C2796" s="4">
        <v>99.29</v>
      </c>
      <c r="D2796">
        <f t="shared" si="46"/>
        <v>0.54705515736989718</v>
      </c>
      <c r="E2796">
        <v>-2.0102522866618511E-3</v>
      </c>
    </row>
    <row r="2797" spans="2:5" x14ac:dyDescent="0.35">
      <c r="B2797" s="2">
        <v>40044</v>
      </c>
      <c r="C2797" s="4">
        <v>64.180000000000007</v>
      </c>
      <c r="D2797">
        <f t="shared" si="46"/>
        <v>-0.23348859429117397</v>
      </c>
      <c r="E2797">
        <v>-2.0214585600994983E-3</v>
      </c>
    </row>
    <row r="2798" spans="2:5" x14ac:dyDescent="0.35">
      <c r="B2798" s="2">
        <v>41393</v>
      </c>
      <c r="C2798" s="4">
        <v>83.73</v>
      </c>
      <c r="D2798">
        <f t="shared" si="46"/>
        <v>0.13655490701778206</v>
      </c>
      <c r="E2798">
        <v>-2.0262216924911147E-3</v>
      </c>
    </row>
    <row r="2799" spans="2:5" x14ac:dyDescent="0.35">
      <c r="B2799" s="2">
        <v>39496</v>
      </c>
      <c r="C2799" s="4">
        <v>73.67</v>
      </c>
      <c r="D2799">
        <f t="shared" si="46"/>
        <v>0.50101874490627551</v>
      </c>
      <c r="E2799">
        <v>-2.0319696559196743E-3</v>
      </c>
    </row>
    <row r="2800" spans="2:5" x14ac:dyDescent="0.35">
      <c r="B2800" s="2">
        <v>38245</v>
      </c>
      <c r="C2800" s="4">
        <v>49.08</v>
      </c>
      <c r="D2800">
        <f t="shared" si="46"/>
        <v>-0.94545878849167098</v>
      </c>
      <c r="E2800">
        <v>-2.0333468889792705E-3</v>
      </c>
    </row>
    <row r="2801" spans="2:5" x14ac:dyDescent="0.35">
      <c r="B2801" s="2">
        <v>43535</v>
      </c>
      <c r="C2801" s="4">
        <v>899.87</v>
      </c>
      <c r="D2801">
        <f t="shared" si="46"/>
        <v>29.670415814587596</v>
      </c>
      <c r="E2801">
        <v>-2.0405673664481982E-3</v>
      </c>
    </row>
    <row r="2802" spans="2:5" x14ac:dyDescent="0.35">
      <c r="B2802" s="2">
        <v>38023</v>
      </c>
      <c r="C2802" s="4">
        <v>29.34</v>
      </c>
      <c r="D2802">
        <f t="shared" si="46"/>
        <v>-0.9696329876420543</v>
      </c>
      <c r="E2802">
        <v>-2.0408163265305257E-3</v>
      </c>
    </row>
    <row r="2803" spans="2:5" x14ac:dyDescent="0.35">
      <c r="B2803" s="2">
        <v>43447</v>
      </c>
      <c r="C2803" s="4">
        <v>966.18</v>
      </c>
      <c r="D2803">
        <f t="shared" si="46"/>
        <v>12.278999450247387</v>
      </c>
      <c r="E2803">
        <v>-2.0451165096678769E-3</v>
      </c>
    </row>
    <row r="2804" spans="2:5" x14ac:dyDescent="0.35">
      <c r="B2804" s="2">
        <v>38723</v>
      </c>
      <c r="C2804" s="4">
        <v>72.760000000000005</v>
      </c>
      <c r="D2804">
        <f t="shared" si="46"/>
        <v>-0.9798592138007014</v>
      </c>
      <c r="E2804">
        <v>-2.0573309559730468E-3</v>
      </c>
    </row>
    <row r="2805" spans="2:5" x14ac:dyDescent="0.35">
      <c r="B2805" s="2">
        <v>44335</v>
      </c>
      <c r="C2805" s="4">
        <v>3612.57</v>
      </c>
      <c r="D2805">
        <f t="shared" si="46"/>
        <v>6.3189691849510732</v>
      </c>
      <c r="E2805">
        <v>-2.0607564025713065E-3</v>
      </c>
    </row>
    <row r="2806" spans="2:5" x14ac:dyDescent="0.35">
      <c r="B2806" s="2">
        <v>42691</v>
      </c>
      <c r="C2806" s="4">
        <v>493.59</v>
      </c>
      <c r="D2806">
        <f t="shared" si="46"/>
        <v>6.8509623031652618</v>
      </c>
      <c r="E2806">
        <v>-2.0622308485473972E-3</v>
      </c>
    </row>
    <row r="2807" spans="2:5" x14ac:dyDescent="0.35">
      <c r="B2807" s="2">
        <v>38517</v>
      </c>
      <c r="C2807" s="4">
        <v>62.87</v>
      </c>
      <c r="D2807">
        <f t="shared" si="46"/>
        <v>1.5931177314003619E-3</v>
      </c>
      <c r="E2807">
        <v>-2.0634920634921006E-3</v>
      </c>
    </row>
    <row r="2808" spans="2:5" x14ac:dyDescent="0.35">
      <c r="B2808" s="2">
        <v>38525</v>
      </c>
      <c r="C2808" s="4">
        <v>62.77</v>
      </c>
      <c r="D2808">
        <f t="shared" si="46"/>
        <v>0.62616580310880821</v>
      </c>
      <c r="E2808">
        <v>-2.0667726550078758E-3</v>
      </c>
    </row>
    <row r="2809" spans="2:5" x14ac:dyDescent="0.35">
      <c r="B2809" s="2">
        <v>37986</v>
      </c>
      <c r="C2809" s="4">
        <v>38.6</v>
      </c>
      <c r="D2809">
        <f t="shared" si="46"/>
        <v>-0.95895581902280824</v>
      </c>
      <c r="E2809">
        <v>-2.0682523267838704E-3</v>
      </c>
    </row>
    <row r="2810" spans="2:5" x14ac:dyDescent="0.35">
      <c r="B2810" s="2">
        <v>43109</v>
      </c>
      <c r="C2810" s="4">
        <v>940.45</v>
      </c>
      <c r="D2810">
        <f t="shared" si="46"/>
        <v>8.8383722146668067</v>
      </c>
      <c r="E2810">
        <v>-2.079774195944406E-3</v>
      </c>
    </row>
    <row r="2811" spans="2:5" x14ac:dyDescent="0.35">
      <c r="B2811" s="2">
        <v>40715</v>
      </c>
      <c r="C2811" s="4">
        <v>95.59</v>
      </c>
      <c r="D2811">
        <f t="shared" si="46"/>
        <v>0.11488220200606492</v>
      </c>
      <c r="E2811">
        <v>-2.0879006159306712E-3</v>
      </c>
    </row>
    <row r="2812" spans="2:5" x14ac:dyDescent="0.35">
      <c r="B2812" s="2">
        <v>41340</v>
      </c>
      <c r="C2812" s="4">
        <v>85.74</v>
      </c>
      <c r="D2812">
        <f t="shared" si="46"/>
        <v>-9.7093513058129743E-2</v>
      </c>
      <c r="E2812">
        <v>-2.0949720670392358E-3</v>
      </c>
    </row>
    <row r="2813" spans="2:5" x14ac:dyDescent="0.35">
      <c r="B2813" s="2">
        <v>41149</v>
      </c>
      <c r="C2813" s="4">
        <v>94.96</v>
      </c>
      <c r="D2813">
        <f t="shared" si="46"/>
        <v>-0.89632848237387686</v>
      </c>
      <c r="E2813">
        <v>-2.1017234131988083E-3</v>
      </c>
    </row>
    <row r="2814" spans="2:5" x14ac:dyDescent="0.35">
      <c r="B2814" s="2">
        <v>43385</v>
      </c>
      <c r="C2814" s="4">
        <v>915.97</v>
      </c>
      <c r="D2814">
        <f t="shared" si="46"/>
        <v>9.171793448084399</v>
      </c>
      <c r="E2814">
        <v>-2.1026255583396214E-3</v>
      </c>
    </row>
    <row r="2815" spans="2:5" x14ac:dyDescent="0.35">
      <c r="B2815" s="2">
        <v>41323</v>
      </c>
      <c r="C2815" s="4">
        <v>90.05</v>
      </c>
      <c r="D2815">
        <f t="shared" si="46"/>
        <v>2.817295464179737</v>
      </c>
      <c r="E2815">
        <v>-2.1054964539006793E-3</v>
      </c>
    </row>
    <row r="2816" spans="2:5" x14ac:dyDescent="0.35">
      <c r="B2816" s="2">
        <v>37783</v>
      </c>
      <c r="C2816" s="4">
        <v>23.59</v>
      </c>
      <c r="D2816">
        <f t="shared" si="46"/>
        <v>-0.90173699337693169</v>
      </c>
      <c r="E2816">
        <v>-2.115059221658222E-3</v>
      </c>
    </row>
    <row r="2817" spans="2:5" x14ac:dyDescent="0.35">
      <c r="B2817" s="2">
        <v>41765</v>
      </c>
      <c r="C2817" s="4">
        <v>240.07</v>
      </c>
      <c r="D2817">
        <f t="shared" si="46"/>
        <v>9.303433476394849</v>
      </c>
      <c r="E2817">
        <v>-2.1198769640037307E-3</v>
      </c>
    </row>
    <row r="2818" spans="2:5" x14ac:dyDescent="0.35">
      <c r="B2818" s="2">
        <v>37678</v>
      </c>
      <c r="C2818" s="4">
        <v>23.3</v>
      </c>
      <c r="D2818">
        <f t="shared" si="46"/>
        <v>-0.97354347159613486</v>
      </c>
      <c r="E2818">
        <v>-2.1413276231263545E-3</v>
      </c>
    </row>
    <row r="2819" spans="2:5" x14ac:dyDescent="0.35">
      <c r="B2819" s="2">
        <v>42508</v>
      </c>
      <c r="C2819" s="4">
        <v>880.69</v>
      </c>
      <c r="D2819">
        <f t="shared" si="46"/>
        <v>0.69801025720124965</v>
      </c>
      <c r="E2819">
        <v>-2.1527549598341356E-3</v>
      </c>
    </row>
    <row r="2820" spans="2:5" x14ac:dyDescent="0.35">
      <c r="B2820" s="2">
        <v>42138</v>
      </c>
      <c r="C2820" s="4">
        <v>518.66</v>
      </c>
      <c r="D2820">
        <f t="shared" ref="D2820:D2883" si="47">C2820/C2821-1</f>
        <v>-0.43098189797037856</v>
      </c>
      <c r="E2820">
        <v>-2.1547577821385833E-3</v>
      </c>
    </row>
    <row r="2821" spans="2:5" x14ac:dyDescent="0.35">
      <c r="B2821" s="2">
        <v>43482</v>
      </c>
      <c r="C2821" s="4">
        <v>911.5</v>
      </c>
      <c r="D2821">
        <f t="shared" si="47"/>
        <v>-2.0429656854842992E-2</v>
      </c>
      <c r="E2821">
        <v>-2.1675351403424026E-3</v>
      </c>
    </row>
    <row r="2822" spans="2:5" x14ac:dyDescent="0.35">
      <c r="B2822" s="2">
        <v>43460</v>
      </c>
      <c r="C2822" s="4">
        <v>930.51</v>
      </c>
      <c r="D2822">
        <f t="shared" si="47"/>
        <v>8.689784442361761</v>
      </c>
      <c r="E2822">
        <v>-2.1768503227743707E-3</v>
      </c>
    </row>
    <row r="2823" spans="2:5" x14ac:dyDescent="0.35">
      <c r="B2823" s="2">
        <v>40855</v>
      </c>
      <c r="C2823" s="4">
        <v>96.03</v>
      </c>
      <c r="D2823">
        <f t="shared" si="47"/>
        <v>-4.3240011955763658E-2</v>
      </c>
      <c r="E2823">
        <v>-2.1820448877805099E-3</v>
      </c>
    </row>
    <row r="2824" spans="2:5" x14ac:dyDescent="0.35">
      <c r="B2824" s="2">
        <v>41295</v>
      </c>
      <c r="C2824" s="4">
        <v>100.37</v>
      </c>
      <c r="D2824">
        <f t="shared" si="47"/>
        <v>-0.87947163014109875</v>
      </c>
      <c r="E2824">
        <v>-2.187096132816424E-3</v>
      </c>
    </row>
    <row r="2825" spans="2:5" x14ac:dyDescent="0.35">
      <c r="B2825" s="2">
        <v>42311</v>
      </c>
      <c r="C2825" s="4">
        <v>832.75</v>
      </c>
      <c r="D2825">
        <f t="shared" si="47"/>
        <v>5.2634905386103048E-2</v>
      </c>
      <c r="E2825">
        <v>-2.1927196913418268E-3</v>
      </c>
    </row>
    <row r="2826" spans="2:5" x14ac:dyDescent="0.35">
      <c r="B2826" s="2">
        <v>43662</v>
      </c>
      <c r="C2826" s="4">
        <v>791.11</v>
      </c>
      <c r="D2826">
        <f t="shared" si="47"/>
        <v>0.10237723649740826</v>
      </c>
      <c r="E2826">
        <v>-2.1946143658951867E-3</v>
      </c>
    </row>
    <row r="2827" spans="2:5" x14ac:dyDescent="0.35">
      <c r="B2827" s="2">
        <v>42874</v>
      </c>
      <c r="C2827" s="4">
        <v>717.64</v>
      </c>
      <c r="D2827">
        <f t="shared" si="47"/>
        <v>21.832962138084632</v>
      </c>
      <c r="E2827">
        <v>-2.1968243374768104E-3</v>
      </c>
    </row>
    <row r="2828" spans="2:5" x14ac:dyDescent="0.35">
      <c r="B2828" s="2">
        <v>39836</v>
      </c>
      <c r="C2828" s="4">
        <v>31.43</v>
      </c>
      <c r="D2828">
        <f t="shared" si="47"/>
        <v>-0.99536550300438675</v>
      </c>
      <c r="E2828">
        <v>-2.2222222222222365E-3</v>
      </c>
    </row>
    <row r="2829" spans="2:5" x14ac:dyDescent="0.35">
      <c r="B2829" s="2">
        <v>44894</v>
      </c>
      <c r="C2829" s="4">
        <v>6781.75</v>
      </c>
      <c r="D2829">
        <f t="shared" si="47"/>
        <v>25.490176164993557</v>
      </c>
      <c r="E2829">
        <v>-2.2362971626979089E-3</v>
      </c>
    </row>
    <row r="2830" spans="2:5" x14ac:dyDescent="0.35">
      <c r="B2830" s="2">
        <v>41751</v>
      </c>
      <c r="C2830" s="4">
        <v>256.01</v>
      </c>
      <c r="D2830">
        <f t="shared" si="47"/>
        <v>8.6717038156403472</v>
      </c>
      <c r="E2830">
        <v>-2.2604154487703143E-3</v>
      </c>
    </row>
    <row r="2831" spans="2:5" x14ac:dyDescent="0.35">
      <c r="B2831" s="2">
        <v>37573</v>
      </c>
      <c r="C2831" s="4">
        <v>26.47</v>
      </c>
      <c r="D2831">
        <f t="shared" si="47"/>
        <v>-0.97100925469579979</v>
      </c>
      <c r="E2831">
        <v>-2.2615906520920825E-3</v>
      </c>
    </row>
    <row r="2832" spans="2:5" x14ac:dyDescent="0.35">
      <c r="B2832" s="2">
        <v>43474</v>
      </c>
      <c r="C2832" s="4">
        <v>913.05</v>
      </c>
      <c r="D2832">
        <f t="shared" si="47"/>
        <v>-0.88799749756196289</v>
      </c>
      <c r="E2832">
        <v>-2.2619984264359294E-3</v>
      </c>
    </row>
    <row r="2833" spans="2:5" x14ac:dyDescent="0.35">
      <c r="B2833" s="2">
        <v>44743</v>
      </c>
      <c r="C2833" s="4">
        <v>8152.05</v>
      </c>
      <c r="D2833">
        <f t="shared" si="47"/>
        <v>96.58259516399329</v>
      </c>
      <c r="E2833">
        <v>-2.2642294582372324E-3</v>
      </c>
    </row>
    <row r="2834" spans="2:5" x14ac:dyDescent="0.35">
      <c r="B2834" s="2">
        <v>41416</v>
      </c>
      <c r="C2834" s="4">
        <v>83.54</v>
      </c>
      <c r="D2834">
        <f t="shared" si="47"/>
        <v>0.58760927404028895</v>
      </c>
      <c r="E2834">
        <v>-2.2691986145945142E-3</v>
      </c>
    </row>
    <row r="2835" spans="2:5" x14ac:dyDescent="0.35">
      <c r="B2835" s="2">
        <v>38922</v>
      </c>
      <c r="C2835" s="4">
        <v>52.62</v>
      </c>
      <c r="D2835">
        <f t="shared" si="47"/>
        <v>-0.939625499105053</v>
      </c>
      <c r="E2835">
        <v>-2.2753128555177415E-3</v>
      </c>
    </row>
    <row r="2836" spans="2:5" x14ac:dyDescent="0.35">
      <c r="B2836" s="2">
        <v>42506</v>
      </c>
      <c r="C2836" s="4">
        <v>871.56</v>
      </c>
      <c r="D2836">
        <f t="shared" si="47"/>
        <v>13.245831971232429</v>
      </c>
      <c r="E2836">
        <v>-2.2780607864461011E-3</v>
      </c>
    </row>
    <row r="2837" spans="2:5" x14ac:dyDescent="0.35">
      <c r="B2837" s="2">
        <v>40128</v>
      </c>
      <c r="C2837" s="4">
        <v>61.18</v>
      </c>
      <c r="D2837">
        <f t="shared" si="47"/>
        <v>0.16733447815302438</v>
      </c>
      <c r="E2837">
        <v>-2.2831050228310223E-3</v>
      </c>
    </row>
    <row r="2838" spans="2:5" x14ac:dyDescent="0.35">
      <c r="B2838" s="2">
        <v>38302</v>
      </c>
      <c r="C2838" s="4">
        <v>52.41</v>
      </c>
      <c r="D2838">
        <f t="shared" si="47"/>
        <v>-0.58582266477003331</v>
      </c>
      <c r="E2838">
        <v>-2.2844089091947906E-3</v>
      </c>
    </row>
    <row r="2839" spans="2:5" x14ac:dyDescent="0.35">
      <c r="B2839" s="2">
        <v>40291</v>
      </c>
      <c r="C2839" s="4">
        <v>126.54</v>
      </c>
      <c r="D2839">
        <f t="shared" si="47"/>
        <v>1.077832512315271</v>
      </c>
      <c r="E2839">
        <v>-2.2865252700464689E-3</v>
      </c>
    </row>
    <row r="2840" spans="2:5" x14ac:dyDescent="0.35">
      <c r="B2840" s="2">
        <v>38936</v>
      </c>
      <c r="C2840" s="4">
        <v>60.9</v>
      </c>
      <c r="D2840">
        <f t="shared" si="47"/>
        <v>-0.38953488372093026</v>
      </c>
      <c r="E2840">
        <v>-2.2935779816514179E-3</v>
      </c>
    </row>
    <row r="2841" spans="2:5" x14ac:dyDescent="0.35">
      <c r="B2841" s="2">
        <v>39098</v>
      </c>
      <c r="C2841" s="4">
        <v>99.76</v>
      </c>
      <c r="D2841">
        <f t="shared" si="47"/>
        <v>-0.88585028720507131</v>
      </c>
      <c r="E2841">
        <v>-2.3002300230021699E-3</v>
      </c>
    </row>
    <row r="2842" spans="2:5" x14ac:dyDescent="0.35">
      <c r="B2842" s="2">
        <v>42492</v>
      </c>
      <c r="C2842" s="4">
        <v>873.94</v>
      </c>
      <c r="D2842">
        <f t="shared" si="47"/>
        <v>0.61047433015147634</v>
      </c>
      <c r="E2842">
        <v>-2.3060413717521655E-3</v>
      </c>
    </row>
    <row r="2843" spans="2:5" x14ac:dyDescent="0.35">
      <c r="B2843" s="2">
        <v>42080</v>
      </c>
      <c r="C2843" s="4">
        <v>542.66</v>
      </c>
      <c r="D2843">
        <f t="shared" si="47"/>
        <v>13.014979338842975</v>
      </c>
      <c r="E2843">
        <v>-2.3165171348727975E-3</v>
      </c>
    </row>
    <row r="2844" spans="2:5" x14ac:dyDescent="0.35">
      <c r="B2844" s="2">
        <v>37999</v>
      </c>
      <c r="C2844" s="4">
        <v>38.72</v>
      </c>
      <c r="D2844">
        <f t="shared" si="47"/>
        <v>-0.86133791720383901</v>
      </c>
      <c r="E2844">
        <v>-2.3189899510436263E-3</v>
      </c>
    </row>
    <row r="2845" spans="2:5" x14ac:dyDescent="0.35">
      <c r="B2845" s="2">
        <v>41946</v>
      </c>
      <c r="C2845" s="4">
        <v>279.24</v>
      </c>
      <c r="D2845">
        <f t="shared" si="47"/>
        <v>3.3536014967259122</v>
      </c>
      <c r="E2845">
        <v>-2.3223409196468925E-3</v>
      </c>
    </row>
    <row r="2846" spans="2:5" x14ac:dyDescent="0.35">
      <c r="B2846" s="2">
        <v>38755</v>
      </c>
      <c r="C2846" s="4">
        <v>64.14</v>
      </c>
      <c r="D2846">
        <f t="shared" si="47"/>
        <v>-0.9891903370309324</v>
      </c>
      <c r="E2846">
        <v>-2.3331777881475668E-3</v>
      </c>
    </row>
    <row r="2847" spans="2:5" x14ac:dyDescent="0.35">
      <c r="B2847" s="2">
        <v>44566</v>
      </c>
      <c r="C2847" s="4">
        <v>5933.58</v>
      </c>
      <c r="D2847">
        <f t="shared" si="47"/>
        <v>7.2860813584884578</v>
      </c>
      <c r="E2847">
        <v>-2.3337693738166854E-3</v>
      </c>
    </row>
    <row r="2848" spans="2:5" x14ac:dyDescent="0.35">
      <c r="B2848" s="2">
        <v>42635</v>
      </c>
      <c r="C2848" s="4">
        <v>716.09</v>
      </c>
      <c r="D2848">
        <f t="shared" si="47"/>
        <v>6.0693763434818138E-3</v>
      </c>
      <c r="E2848">
        <v>-2.3544818746690233E-3</v>
      </c>
    </row>
    <row r="2849" spans="2:5" x14ac:dyDescent="0.35">
      <c r="B2849" s="2">
        <v>42865</v>
      </c>
      <c r="C2849" s="4">
        <v>711.77</v>
      </c>
      <c r="D2849">
        <f t="shared" si="47"/>
        <v>-0.88217386626054284</v>
      </c>
      <c r="E2849">
        <v>-2.3687382614302477E-3</v>
      </c>
    </row>
    <row r="2850" spans="2:5" x14ac:dyDescent="0.35">
      <c r="B2850" s="2">
        <v>45008</v>
      </c>
      <c r="C2850" s="4">
        <v>6040.85</v>
      </c>
      <c r="D2850">
        <f t="shared" si="47"/>
        <v>6.0155155794534707</v>
      </c>
      <c r="E2850">
        <v>-2.4028140172407397E-3</v>
      </c>
    </row>
    <row r="2851" spans="2:5" x14ac:dyDescent="0.35">
      <c r="B2851" s="2">
        <v>43997</v>
      </c>
      <c r="C2851" s="4">
        <v>861.07</v>
      </c>
      <c r="D2851">
        <f t="shared" si="47"/>
        <v>11.357491389207807</v>
      </c>
      <c r="E2851">
        <v>-2.4213355577180629E-3</v>
      </c>
    </row>
    <row r="2852" spans="2:5" x14ac:dyDescent="0.35">
      <c r="B2852" s="2">
        <v>39646</v>
      </c>
      <c r="C2852" s="4">
        <v>69.680000000000007</v>
      </c>
      <c r="D2852">
        <f t="shared" si="47"/>
        <v>7.2825250192455782E-2</v>
      </c>
      <c r="E2852">
        <v>-2.4337866857550017E-3</v>
      </c>
    </row>
    <row r="2853" spans="2:5" x14ac:dyDescent="0.35">
      <c r="B2853" s="2">
        <v>39581</v>
      </c>
      <c r="C2853" s="4">
        <v>64.95</v>
      </c>
      <c r="D2853">
        <f t="shared" si="47"/>
        <v>-0.90924968562246755</v>
      </c>
      <c r="E2853">
        <v>-2.4573798187681462E-3</v>
      </c>
    </row>
    <row r="2854" spans="2:5" x14ac:dyDescent="0.35">
      <c r="B2854" s="2">
        <v>42633</v>
      </c>
      <c r="C2854" s="4">
        <v>715.7</v>
      </c>
      <c r="D2854">
        <f t="shared" si="47"/>
        <v>7.9473684210526319</v>
      </c>
      <c r="E2854">
        <v>-2.4809053910910261E-3</v>
      </c>
    </row>
    <row r="2855" spans="2:5" x14ac:dyDescent="0.35">
      <c r="B2855" s="2">
        <v>39016</v>
      </c>
      <c r="C2855" s="4">
        <v>79.989999999999995</v>
      </c>
      <c r="D2855">
        <f t="shared" si="47"/>
        <v>-0.9073460593986008</v>
      </c>
      <c r="E2855">
        <v>-2.4940765681507049E-3</v>
      </c>
    </row>
    <row r="2856" spans="2:5" x14ac:dyDescent="0.35">
      <c r="B2856" s="2">
        <v>42275</v>
      </c>
      <c r="C2856" s="4">
        <v>863.32</v>
      </c>
      <c r="D2856">
        <f t="shared" si="47"/>
        <v>7.0338730690489495</v>
      </c>
      <c r="E2856">
        <v>-2.495724915653752E-3</v>
      </c>
    </row>
    <row r="2857" spans="2:5" x14ac:dyDescent="0.35">
      <c r="B2857" s="2">
        <v>39346</v>
      </c>
      <c r="C2857" s="4">
        <v>107.46</v>
      </c>
      <c r="D2857">
        <f t="shared" si="47"/>
        <v>-0.859997915472406</v>
      </c>
      <c r="E2857">
        <v>-2.5062656641604564E-3</v>
      </c>
    </row>
    <row r="2858" spans="2:5" x14ac:dyDescent="0.35">
      <c r="B2858" s="2">
        <v>43787</v>
      </c>
      <c r="C2858" s="4">
        <v>767.56</v>
      </c>
      <c r="D2858">
        <f t="shared" si="47"/>
        <v>6.1862185188652745</v>
      </c>
      <c r="E2858">
        <v>-2.521117608836998E-3</v>
      </c>
    </row>
    <row r="2859" spans="2:5" x14ac:dyDescent="0.35">
      <c r="B2859" s="2">
        <v>39322</v>
      </c>
      <c r="C2859" s="4">
        <v>106.81</v>
      </c>
      <c r="D2859">
        <f t="shared" si="47"/>
        <v>0.69809220985691578</v>
      </c>
      <c r="E2859">
        <v>-2.521479267837079E-3</v>
      </c>
    </row>
    <row r="2860" spans="2:5" x14ac:dyDescent="0.35">
      <c r="B2860" s="2">
        <v>38524</v>
      </c>
      <c r="C2860" s="4">
        <v>62.9</v>
      </c>
      <c r="D2860">
        <f t="shared" si="47"/>
        <v>1.0063795853269535</v>
      </c>
      <c r="E2860">
        <v>-2.5372660957818649E-3</v>
      </c>
    </row>
    <row r="2861" spans="2:5" x14ac:dyDescent="0.35">
      <c r="B2861" s="2">
        <v>39840</v>
      </c>
      <c r="C2861" s="4">
        <v>31.35</v>
      </c>
      <c r="D2861">
        <f t="shared" si="47"/>
        <v>-0.72354497354497349</v>
      </c>
      <c r="E2861">
        <v>-2.5453388482341577E-3</v>
      </c>
    </row>
    <row r="2862" spans="2:5" x14ac:dyDescent="0.35">
      <c r="B2862" s="2">
        <v>40480</v>
      </c>
      <c r="C2862" s="4">
        <v>113.4</v>
      </c>
      <c r="D2862">
        <f t="shared" si="47"/>
        <v>-0.9827427467033929</v>
      </c>
      <c r="E2862">
        <v>-2.550796024276436E-3</v>
      </c>
    </row>
    <row r="2863" spans="2:5" x14ac:dyDescent="0.35">
      <c r="B2863" s="2">
        <v>44960</v>
      </c>
      <c r="C2863" s="4">
        <v>6571.15</v>
      </c>
      <c r="D2863">
        <f t="shared" si="47"/>
        <v>22.975299182720374</v>
      </c>
      <c r="E2863">
        <v>-2.59552992069223E-3</v>
      </c>
    </row>
    <row r="2864" spans="2:5" x14ac:dyDescent="0.35">
      <c r="B2864" s="2">
        <v>41964</v>
      </c>
      <c r="C2864" s="4">
        <v>274.08</v>
      </c>
      <c r="D2864">
        <f t="shared" si="47"/>
        <v>4.5448108436172365</v>
      </c>
      <c r="E2864">
        <v>-2.6200873362446364E-3</v>
      </c>
    </row>
    <row r="2865" spans="2:5" x14ac:dyDescent="0.35">
      <c r="B2865" s="2">
        <v>40003</v>
      </c>
      <c r="C2865" s="4">
        <v>49.43</v>
      </c>
      <c r="D2865">
        <f t="shared" si="47"/>
        <v>0.4448991522946506</v>
      </c>
      <c r="E2865">
        <v>-2.6230831315577907E-3</v>
      </c>
    </row>
    <row r="2866" spans="2:5" x14ac:dyDescent="0.35">
      <c r="B2866" s="2">
        <v>39801</v>
      </c>
      <c r="C2866" s="4">
        <v>34.21</v>
      </c>
      <c r="D2866">
        <f t="shared" si="47"/>
        <v>-0.49919484702093397</v>
      </c>
      <c r="E2866">
        <v>-2.6239067055392473E-3</v>
      </c>
    </row>
    <row r="2867" spans="2:5" x14ac:dyDescent="0.35">
      <c r="B2867" s="2">
        <v>38643</v>
      </c>
      <c r="C2867" s="4">
        <v>68.31</v>
      </c>
      <c r="D2867">
        <f t="shared" si="47"/>
        <v>-0.92173554381824219</v>
      </c>
      <c r="E2867">
        <v>-2.6281208935610145E-3</v>
      </c>
    </row>
    <row r="2868" spans="2:5" x14ac:dyDescent="0.35">
      <c r="B2868" s="2">
        <v>43580</v>
      </c>
      <c r="C2868" s="4">
        <v>872.81</v>
      </c>
      <c r="D2868">
        <f t="shared" si="47"/>
        <v>8.2439101885193811</v>
      </c>
      <c r="E2868">
        <v>-2.6396379925039959E-3</v>
      </c>
    </row>
    <row r="2869" spans="2:5" x14ac:dyDescent="0.35">
      <c r="B2869" s="2">
        <v>39090</v>
      </c>
      <c r="C2869" s="4">
        <v>94.42</v>
      </c>
      <c r="D2869">
        <f t="shared" si="47"/>
        <v>0.14559572919194363</v>
      </c>
      <c r="E2869">
        <v>-2.6407520861941869E-3</v>
      </c>
    </row>
    <row r="2870" spans="2:5" x14ac:dyDescent="0.35">
      <c r="B2870" s="2">
        <v>41486</v>
      </c>
      <c r="C2870" s="4">
        <v>82.42</v>
      </c>
      <c r="D2870">
        <f t="shared" si="47"/>
        <v>0.58286921451891693</v>
      </c>
      <c r="E2870">
        <v>-2.6621490803484527E-3</v>
      </c>
    </row>
    <row r="2871" spans="2:5" x14ac:dyDescent="0.35">
      <c r="B2871" s="2">
        <v>39714</v>
      </c>
      <c r="C2871" s="4">
        <v>52.07</v>
      </c>
      <c r="D2871">
        <f t="shared" si="47"/>
        <v>-0.22202300911399975</v>
      </c>
      <c r="E2871">
        <v>-2.6814786439379734E-3</v>
      </c>
    </row>
    <row r="2872" spans="2:5" x14ac:dyDescent="0.35">
      <c r="B2872" s="2">
        <v>39590</v>
      </c>
      <c r="C2872" s="4">
        <v>66.930000000000007</v>
      </c>
      <c r="D2872">
        <f t="shared" si="47"/>
        <v>-0.92133286318758811</v>
      </c>
      <c r="E2872">
        <v>-2.6821636119802594E-3</v>
      </c>
    </row>
    <row r="2873" spans="2:5" x14ac:dyDescent="0.35">
      <c r="B2873" s="2">
        <v>42306</v>
      </c>
      <c r="C2873" s="4">
        <v>850.8</v>
      </c>
      <c r="D2873">
        <f t="shared" si="47"/>
        <v>4.1587600847177386E-2</v>
      </c>
      <c r="E2873">
        <v>-2.6843592118065418E-3</v>
      </c>
    </row>
    <row r="2874" spans="2:5" x14ac:dyDescent="0.35">
      <c r="B2874" s="2">
        <v>42543</v>
      </c>
      <c r="C2874" s="4">
        <v>816.83</v>
      </c>
      <c r="D2874">
        <f t="shared" si="47"/>
        <v>10.617550846252312</v>
      </c>
      <c r="E2874">
        <v>-2.6861042941038749E-3</v>
      </c>
    </row>
    <row r="2875" spans="2:5" x14ac:dyDescent="0.35">
      <c r="B2875" s="2">
        <v>38737</v>
      </c>
      <c r="C2875" s="4">
        <v>70.31</v>
      </c>
      <c r="D2875">
        <f t="shared" si="47"/>
        <v>0.11816157760814239</v>
      </c>
      <c r="E2875">
        <v>-2.6950354609929228E-3</v>
      </c>
    </row>
    <row r="2876" spans="2:5" x14ac:dyDescent="0.35">
      <c r="B2876" s="2">
        <v>38656</v>
      </c>
      <c r="C2876" s="4">
        <v>62.88</v>
      </c>
      <c r="D2876">
        <f t="shared" si="47"/>
        <v>-0.41222658440830062</v>
      </c>
      <c r="E2876">
        <v>-2.6962727993654623E-3</v>
      </c>
    </row>
    <row r="2877" spans="2:5" x14ac:dyDescent="0.35">
      <c r="B2877" s="2">
        <v>40311</v>
      </c>
      <c r="C2877" s="4">
        <v>106.98</v>
      </c>
      <c r="D2877">
        <f t="shared" si="47"/>
        <v>-0.87475854318125945</v>
      </c>
      <c r="E2877">
        <v>-2.7034585625057561E-3</v>
      </c>
    </row>
    <row r="2878" spans="2:5" x14ac:dyDescent="0.35">
      <c r="B2878" s="2">
        <v>42298</v>
      </c>
      <c r="C2878" s="4">
        <v>854.19</v>
      </c>
      <c r="D2878">
        <f t="shared" si="47"/>
        <v>28.004753820033958</v>
      </c>
      <c r="E2878">
        <v>-2.708666565480744E-3</v>
      </c>
    </row>
    <row r="2879" spans="2:5" x14ac:dyDescent="0.35">
      <c r="B2879" s="2">
        <v>37910</v>
      </c>
      <c r="C2879" s="4">
        <v>29.45</v>
      </c>
      <c r="D2879">
        <f t="shared" si="47"/>
        <v>-0.98913035454605847</v>
      </c>
      <c r="E2879">
        <v>-2.7091093802913413E-3</v>
      </c>
    </row>
    <row r="2880" spans="2:5" x14ac:dyDescent="0.35">
      <c r="B2880" s="2">
        <v>44246</v>
      </c>
      <c r="C2880" s="4">
        <v>2709.38</v>
      </c>
      <c r="D2880">
        <f t="shared" si="47"/>
        <v>32.45739688812052</v>
      </c>
      <c r="E2880">
        <v>-2.7091293241162662E-3</v>
      </c>
    </row>
    <row r="2881" spans="2:5" x14ac:dyDescent="0.35">
      <c r="B2881" s="2">
        <v>41425</v>
      </c>
      <c r="C2881" s="4">
        <v>80.98</v>
      </c>
      <c r="D2881">
        <f t="shared" si="47"/>
        <v>0.15801515801515786</v>
      </c>
      <c r="E2881">
        <v>-2.7093596059113434E-3</v>
      </c>
    </row>
    <row r="2882" spans="2:5" x14ac:dyDescent="0.35">
      <c r="B2882" s="2">
        <v>40065</v>
      </c>
      <c r="C2882" s="4">
        <v>69.930000000000007</v>
      </c>
      <c r="D2882">
        <f t="shared" si="47"/>
        <v>-0.26828502668201304</v>
      </c>
      <c r="E2882">
        <v>-2.7096406160866948E-3</v>
      </c>
    </row>
    <row r="2883" spans="2:5" x14ac:dyDescent="0.35">
      <c r="B2883" s="2">
        <v>41303</v>
      </c>
      <c r="C2883" s="4">
        <v>95.57</v>
      </c>
      <c r="D2883">
        <f t="shared" si="47"/>
        <v>-6.9516113328789819E-2</v>
      </c>
      <c r="E2883">
        <v>-2.713137848272984E-3</v>
      </c>
    </row>
    <row r="2884" spans="2:5" x14ac:dyDescent="0.35">
      <c r="B2884" s="2">
        <v>41249</v>
      </c>
      <c r="C2884" s="4">
        <v>102.71</v>
      </c>
      <c r="D2884">
        <f t="shared" ref="D2884:D2947" si="48">C2884/C2885-1</f>
        <v>7.7641380757528022E-2</v>
      </c>
      <c r="E2884">
        <v>-2.718710554422743E-3</v>
      </c>
    </row>
    <row r="2885" spans="2:5" x14ac:dyDescent="0.35">
      <c r="B2885" s="2">
        <v>41304</v>
      </c>
      <c r="C2885" s="4">
        <v>95.31</v>
      </c>
      <c r="D2885">
        <f t="shared" si="48"/>
        <v>2.7186890362856029</v>
      </c>
      <c r="E2885">
        <v>-2.7205189913152017E-3</v>
      </c>
    </row>
    <row r="2886" spans="2:5" x14ac:dyDescent="0.35">
      <c r="B2886" s="2">
        <v>37851</v>
      </c>
      <c r="C2886" s="4">
        <v>25.63</v>
      </c>
      <c r="D2886">
        <f t="shared" si="48"/>
        <v>-0.97365743357829282</v>
      </c>
      <c r="E2886">
        <v>-2.7237354085603016E-3</v>
      </c>
    </row>
    <row r="2887" spans="2:5" x14ac:dyDescent="0.35">
      <c r="B2887" s="2">
        <v>43164</v>
      </c>
      <c r="C2887" s="4">
        <v>972.95</v>
      </c>
      <c r="D2887">
        <f t="shared" si="48"/>
        <v>-0.74166268387233814</v>
      </c>
      <c r="E2887">
        <v>-2.7264993183750974E-3</v>
      </c>
    </row>
    <row r="2888" spans="2:5" x14ac:dyDescent="0.35">
      <c r="B2888" s="2">
        <v>44361</v>
      </c>
      <c r="C2888" s="4">
        <v>3766.2</v>
      </c>
      <c r="D2888">
        <f t="shared" si="48"/>
        <v>42.066895368782156</v>
      </c>
      <c r="E2888">
        <v>-2.7353152232341138E-3</v>
      </c>
    </row>
    <row r="2889" spans="2:5" x14ac:dyDescent="0.35">
      <c r="B2889" s="2">
        <v>41078</v>
      </c>
      <c r="C2889" s="4">
        <v>87.45</v>
      </c>
      <c r="D2889">
        <f t="shared" si="48"/>
        <v>-0.87429746007560838</v>
      </c>
      <c r="E2889">
        <v>-2.7369141293190902E-3</v>
      </c>
    </row>
    <row r="2890" spans="2:5" x14ac:dyDescent="0.35">
      <c r="B2890" s="2">
        <v>42794</v>
      </c>
      <c r="C2890" s="4">
        <v>695.69</v>
      </c>
      <c r="D2890">
        <f t="shared" si="48"/>
        <v>23.063991698374267</v>
      </c>
      <c r="E2890">
        <v>-2.7522541247975152E-3</v>
      </c>
    </row>
    <row r="2891" spans="2:5" x14ac:dyDescent="0.35">
      <c r="B2891" s="2">
        <v>38128</v>
      </c>
      <c r="C2891" s="4">
        <v>28.91</v>
      </c>
      <c r="D2891">
        <f t="shared" si="48"/>
        <v>-0.96759804086390278</v>
      </c>
      <c r="E2891">
        <v>-2.7595722662986377E-3</v>
      </c>
    </row>
    <row r="2892" spans="2:5" x14ac:dyDescent="0.35">
      <c r="B2892" s="2">
        <v>42451</v>
      </c>
      <c r="C2892" s="4">
        <v>892.23</v>
      </c>
      <c r="D2892">
        <f t="shared" si="48"/>
        <v>12.004372540445999</v>
      </c>
      <c r="E2892">
        <v>-2.7607019112552145E-3</v>
      </c>
    </row>
    <row r="2893" spans="2:5" x14ac:dyDescent="0.35">
      <c r="B2893" s="2">
        <v>39575</v>
      </c>
      <c r="C2893" s="4">
        <v>68.61</v>
      </c>
      <c r="D2893">
        <f t="shared" si="48"/>
        <v>1.0213014298219303E-3</v>
      </c>
      <c r="E2893">
        <v>-2.7616279069767602E-3</v>
      </c>
    </row>
    <row r="2894" spans="2:5" x14ac:dyDescent="0.35">
      <c r="B2894" s="2">
        <v>38638</v>
      </c>
      <c r="C2894" s="4">
        <v>68.540000000000006</v>
      </c>
      <c r="D2894">
        <f t="shared" si="48"/>
        <v>-0.93130474873213465</v>
      </c>
      <c r="E2894">
        <v>-2.764440564527848E-3</v>
      </c>
    </row>
    <row r="2895" spans="2:5" x14ac:dyDescent="0.35">
      <c r="B2895" s="2">
        <v>43866</v>
      </c>
      <c r="C2895" s="4">
        <v>997.74</v>
      </c>
      <c r="D2895">
        <f t="shared" si="48"/>
        <v>1.0083737595362225</v>
      </c>
      <c r="E2895">
        <v>-2.7685880201097079E-3</v>
      </c>
    </row>
    <row r="2896" spans="2:5" x14ac:dyDescent="0.35">
      <c r="B2896" s="2">
        <v>42087</v>
      </c>
      <c r="C2896" s="4">
        <v>496.79</v>
      </c>
      <c r="D2896">
        <f t="shared" si="48"/>
        <v>-0.43367684275324314</v>
      </c>
      <c r="E2896">
        <v>-2.7701387076700668E-3</v>
      </c>
    </row>
    <row r="2897" spans="2:5" x14ac:dyDescent="0.35">
      <c r="B2897" s="2">
        <v>42446</v>
      </c>
      <c r="C2897" s="4">
        <v>877.22</v>
      </c>
      <c r="D2897">
        <f t="shared" si="48"/>
        <v>7.6924965625613906E-2</v>
      </c>
      <c r="E2897">
        <v>-2.7737989677829589E-3</v>
      </c>
    </row>
    <row r="2898" spans="2:5" x14ac:dyDescent="0.35">
      <c r="B2898" s="2">
        <v>42544</v>
      </c>
      <c r="C2898" s="4">
        <v>814.56</v>
      </c>
      <c r="D2898">
        <f t="shared" si="48"/>
        <v>7.421836228287841</v>
      </c>
      <c r="E2898">
        <v>-2.7790360295288918E-3</v>
      </c>
    </row>
    <row r="2899" spans="2:5" x14ac:dyDescent="0.35">
      <c r="B2899" s="2">
        <v>40759</v>
      </c>
      <c r="C2899" s="4">
        <v>96.72</v>
      </c>
      <c r="D2899">
        <f t="shared" si="48"/>
        <v>2.0130841121495324</v>
      </c>
      <c r="E2899">
        <v>-2.7837921435198698E-3</v>
      </c>
    </row>
    <row r="2900" spans="2:5" x14ac:dyDescent="0.35">
      <c r="B2900" s="2">
        <v>39847</v>
      </c>
      <c r="C2900" s="4">
        <v>32.1</v>
      </c>
      <c r="D2900">
        <f t="shared" si="48"/>
        <v>0.1278988053408292</v>
      </c>
      <c r="E2900">
        <v>-2.7958993476233651E-3</v>
      </c>
    </row>
    <row r="2901" spans="2:5" x14ac:dyDescent="0.35">
      <c r="B2901" s="2">
        <v>38054</v>
      </c>
      <c r="C2901" s="4">
        <v>28.46</v>
      </c>
      <c r="D2901">
        <f t="shared" si="48"/>
        <v>-0.70329441201000842</v>
      </c>
      <c r="E2901">
        <v>-2.803083391730854E-3</v>
      </c>
    </row>
    <row r="2902" spans="2:5" x14ac:dyDescent="0.35">
      <c r="B2902" s="2">
        <v>39078</v>
      </c>
      <c r="C2902" s="4">
        <v>95.92</v>
      </c>
      <c r="D2902">
        <f t="shared" si="48"/>
        <v>2.3762759591693068</v>
      </c>
      <c r="E2902">
        <v>-2.8069445888345701E-3</v>
      </c>
    </row>
    <row r="2903" spans="2:5" x14ac:dyDescent="0.35">
      <c r="B2903" s="2">
        <v>37585</v>
      </c>
      <c r="C2903" s="4">
        <v>28.41</v>
      </c>
      <c r="D2903">
        <f t="shared" si="48"/>
        <v>-0.9821046133689435</v>
      </c>
      <c r="E2903">
        <v>-2.8080028080027519E-3</v>
      </c>
    </row>
    <row r="2904" spans="2:5" x14ac:dyDescent="0.35">
      <c r="B2904" s="2">
        <v>44176</v>
      </c>
      <c r="C2904" s="4">
        <v>1587.56</v>
      </c>
      <c r="D2904">
        <f t="shared" si="48"/>
        <v>16.960855300373346</v>
      </c>
      <c r="E2904">
        <v>-2.8202631826890201E-3</v>
      </c>
    </row>
    <row r="2905" spans="2:5" x14ac:dyDescent="0.35">
      <c r="B2905" s="2">
        <v>41570</v>
      </c>
      <c r="C2905" s="4">
        <v>88.39</v>
      </c>
      <c r="D2905">
        <f t="shared" si="48"/>
        <v>-0.90636553353319416</v>
      </c>
      <c r="E2905">
        <v>-2.8203971119133975E-3</v>
      </c>
    </row>
    <row r="2906" spans="2:5" x14ac:dyDescent="0.35">
      <c r="B2906" s="2">
        <v>43172</v>
      </c>
      <c r="C2906" s="4">
        <v>943.99</v>
      </c>
      <c r="D2906">
        <f t="shared" si="48"/>
        <v>15.737411347517732</v>
      </c>
      <c r="E2906">
        <v>-2.8204423974815818E-3</v>
      </c>
    </row>
    <row r="2907" spans="2:5" x14ac:dyDescent="0.35">
      <c r="B2907" s="2">
        <v>38393</v>
      </c>
      <c r="C2907" s="4">
        <v>56.4</v>
      </c>
      <c r="D2907">
        <f t="shared" si="48"/>
        <v>-0.46590909090909094</v>
      </c>
      <c r="E2907">
        <v>-2.8288543140029265E-3</v>
      </c>
    </row>
    <row r="2908" spans="2:5" x14ac:dyDescent="0.35">
      <c r="B2908" s="2">
        <v>39111</v>
      </c>
      <c r="C2908" s="4">
        <v>105.6</v>
      </c>
      <c r="D2908">
        <f t="shared" si="48"/>
        <v>1.1493995522084264</v>
      </c>
      <c r="E2908">
        <v>-2.8328611898018607E-3</v>
      </c>
    </row>
    <row r="2909" spans="2:5" x14ac:dyDescent="0.35">
      <c r="B2909" s="2">
        <v>38371</v>
      </c>
      <c r="C2909" s="4">
        <v>49.13</v>
      </c>
      <c r="D2909">
        <f t="shared" si="48"/>
        <v>0.5557314756174796</v>
      </c>
      <c r="E2909">
        <v>-2.8414856910898845E-3</v>
      </c>
    </row>
    <row r="2910" spans="2:5" x14ac:dyDescent="0.35">
      <c r="B2910" s="2">
        <v>37475</v>
      </c>
      <c r="C2910" s="4">
        <v>31.58</v>
      </c>
      <c r="D2910">
        <f t="shared" si="48"/>
        <v>-0.62476235741444874</v>
      </c>
      <c r="E2910">
        <v>-2.8418061256710869E-3</v>
      </c>
    </row>
    <row r="2911" spans="2:5" x14ac:dyDescent="0.35">
      <c r="B2911" s="2">
        <v>41414</v>
      </c>
      <c r="C2911" s="4">
        <v>84.16</v>
      </c>
      <c r="D2911">
        <f t="shared" si="48"/>
        <v>0.4204219409282699</v>
      </c>
      <c r="E2911">
        <v>-2.8436018957347375E-3</v>
      </c>
    </row>
    <row r="2912" spans="2:5" x14ac:dyDescent="0.35">
      <c r="B2912" s="2">
        <v>39958</v>
      </c>
      <c r="C2912" s="4">
        <v>59.25</v>
      </c>
      <c r="D2912">
        <f t="shared" si="48"/>
        <v>-0.93429151279236122</v>
      </c>
      <c r="E2912">
        <v>-2.8609895658028295E-3</v>
      </c>
    </row>
    <row r="2913" spans="2:5" x14ac:dyDescent="0.35">
      <c r="B2913" s="2">
        <v>43532</v>
      </c>
      <c r="C2913" s="4">
        <v>901.71</v>
      </c>
      <c r="D2913">
        <f t="shared" si="48"/>
        <v>0.38861340396698285</v>
      </c>
      <c r="E2913">
        <v>-2.8640937741898354E-3</v>
      </c>
    </row>
    <row r="2914" spans="2:5" x14ac:dyDescent="0.35">
      <c r="B2914" s="2">
        <v>42208</v>
      </c>
      <c r="C2914" s="4">
        <v>649.36</v>
      </c>
      <c r="D2914">
        <f t="shared" si="48"/>
        <v>-0.17276873296134931</v>
      </c>
      <c r="E2914">
        <v>-2.8868005650758422E-3</v>
      </c>
    </row>
    <row r="2915" spans="2:5" x14ac:dyDescent="0.35">
      <c r="B2915" s="2">
        <v>42965</v>
      </c>
      <c r="C2915" s="4">
        <v>784.98</v>
      </c>
      <c r="D2915">
        <f t="shared" si="48"/>
        <v>-5.8006991235624028E-3</v>
      </c>
      <c r="E2915">
        <v>-2.9087860581502589E-3</v>
      </c>
    </row>
    <row r="2916" spans="2:5" x14ac:dyDescent="0.35">
      <c r="B2916" s="2">
        <v>42933</v>
      </c>
      <c r="C2916" s="4">
        <v>789.56</v>
      </c>
      <c r="D2916">
        <f t="shared" si="48"/>
        <v>-0.16785059336860531</v>
      </c>
      <c r="E2916">
        <v>-2.9171454910529304E-3</v>
      </c>
    </row>
    <row r="2917" spans="2:5" x14ac:dyDescent="0.35">
      <c r="B2917" s="2">
        <v>43441</v>
      </c>
      <c r="C2917" s="4">
        <v>948.82</v>
      </c>
      <c r="D2917">
        <f t="shared" si="48"/>
        <v>12.900087899208907</v>
      </c>
      <c r="E2917">
        <v>-2.9213955443463391E-3</v>
      </c>
    </row>
    <row r="2918" spans="2:5" x14ac:dyDescent="0.35">
      <c r="B2918" s="2">
        <v>39561</v>
      </c>
      <c r="C2918" s="4">
        <v>68.260000000000005</v>
      </c>
      <c r="D2918">
        <f t="shared" si="48"/>
        <v>-0.37433547204399631</v>
      </c>
      <c r="E2918">
        <v>-2.9214139643586323E-3</v>
      </c>
    </row>
    <row r="2919" spans="2:5" x14ac:dyDescent="0.35">
      <c r="B2919" s="2">
        <v>39199</v>
      </c>
      <c r="C2919" s="4">
        <v>109.1</v>
      </c>
      <c r="D2919">
        <f t="shared" si="48"/>
        <v>-0.87493265163412937</v>
      </c>
      <c r="E2919">
        <v>-2.9245110583074885E-3</v>
      </c>
    </row>
    <row r="2920" spans="2:5" x14ac:dyDescent="0.35">
      <c r="B2920" s="2">
        <v>44011</v>
      </c>
      <c r="C2920" s="4">
        <v>872.33</v>
      </c>
      <c r="D2920">
        <f t="shared" si="48"/>
        <v>14.202683861972814</v>
      </c>
      <c r="E2920">
        <v>-2.9488747414019301E-3</v>
      </c>
    </row>
    <row r="2921" spans="2:5" x14ac:dyDescent="0.35">
      <c r="B2921" s="2">
        <v>39975</v>
      </c>
      <c r="C2921" s="4">
        <v>57.38</v>
      </c>
      <c r="D2921">
        <f t="shared" si="48"/>
        <v>-0.99351378236467736</v>
      </c>
      <c r="E2921">
        <v>-2.9539530842744854E-3</v>
      </c>
    </row>
    <row r="2922" spans="2:5" x14ac:dyDescent="0.35">
      <c r="B2922" s="2">
        <v>44810</v>
      </c>
      <c r="C2922" s="4">
        <v>8846.4500000000007</v>
      </c>
      <c r="D2922">
        <f t="shared" si="48"/>
        <v>7.7472561156485451</v>
      </c>
      <c r="E2922">
        <v>-2.975368680863455E-3</v>
      </c>
    </row>
    <row r="2923" spans="2:5" x14ac:dyDescent="0.35">
      <c r="B2923" s="2">
        <v>43130</v>
      </c>
      <c r="C2923" s="4">
        <v>1011.34</v>
      </c>
      <c r="D2923">
        <f t="shared" si="48"/>
        <v>-0.84597108397769694</v>
      </c>
      <c r="E2923">
        <v>-2.9870757218766197E-3</v>
      </c>
    </row>
    <row r="2924" spans="2:5" x14ac:dyDescent="0.35">
      <c r="B2924" s="2">
        <v>44516</v>
      </c>
      <c r="C2924" s="4">
        <v>6565.91</v>
      </c>
      <c r="D2924">
        <f t="shared" si="48"/>
        <v>-0.23206180080818239</v>
      </c>
      <c r="E2924">
        <v>-3.0140788610578673E-3</v>
      </c>
    </row>
    <row r="2925" spans="2:5" x14ac:dyDescent="0.35">
      <c r="B2925" s="2">
        <v>44841</v>
      </c>
      <c r="C2925" s="4">
        <v>8550.0499999999993</v>
      </c>
      <c r="D2925">
        <f t="shared" si="48"/>
        <v>2.5024846217200913E-2</v>
      </c>
      <c r="E2925">
        <v>-3.0200735778544985E-3</v>
      </c>
    </row>
    <row r="2926" spans="2:5" x14ac:dyDescent="0.35">
      <c r="B2926" s="2">
        <v>44664</v>
      </c>
      <c r="C2926" s="4">
        <v>8341.31</v>
      </c>
      <c r="D2926">
        <f t="shared" si="48"/>
        <v>64.029313167537211</v>
      </c>
      <c r="E2926">
        <v>-3.0274996892419859E-3</v>
      </c>
    </row>
    <row r="2927" spans="2:5" x14ac:dyDescent="0.35">
      <c r="B2927" s="2">
        <v>40543</v>
      </c>
      <c r="C2927" s="4">
        <v>128.27000000000001</v>
      </c>
      <c r="D2927">
        <f t="shared" si="48"/>
        <v>-0.98412382107582241</v>
      </c>
      <c r="E2927">
        <v>-3.0312451422352948E-3</v>
      </c>
    </row>
    <row r="2928" spans="2:5" x14ac:dyDescent="0.35">
      <c r="B2928" s="2">
        <v>44761</v>
      </c>
      <c r="C2928" s="4">
        <v>8079.4</v>
      </c>
      <c r="D2928">
        <f t="shared" si="48"/>
        <v>29.486001056524035</v>
      </c>
      <c r="E2928">
        <v>-3.0416890320272838E-3</v>
      </c>
    </row>
    <row r="2929" spans="2:5" x14ac:dyDescent="0.35">
      <c r="B2929" s="2">
        <v>42002</v>
      </c>
      <c r="C2929" s="4">
        <v>265.02</v>
      </c>
      <c r="D2929">
        <f t="shared" si="48"/>
        <v>-0.61279859741398202</v>
      </c>
      <c r="E2929">
        <v>-3.0470601512244677E-3</v>
      </c>
    </row>
    <row r="2930" spans="2:5" x14ac:dyDescent="0.35">
      <c r="B2930" s="2">
        <v>42797</v>
      </c>
      <c r="C2930" s="4">
        <v>684.45</v>
      </c>
      <c r="D2930">
        <f t="shared" si="48"/>
        <v>6.6005264223526927E-2</v>
      </c>
      <c r="E2930">
        <v>-3.0587721214768715E-3</v>
      </c>
    </row>
    <row r="2931" spans="2:5" x14ac:dyDescent="0.35">
      <c r="B2931" s="2">
        <v>42744</v>
      </c>
      <c r="C2931" s="4">
        <v>642.07000000000005</v>
      </c>
      <c r="D2931">
        <f t="shared" si="48"/>
        <v>1.4557102424845105</v>
      </c>
      <c r="E2931">
        <v>-3.0588162225947402E-3</v>
      </c>
    </row>
    <row r="2932" spans="2:5" x14ac:dyDescent="0.35">
      <c r="B2932" s="2">
        <v>41830</v>
      </c>
      <c r="C2932" s="4">
        <v>261.45999999999998</v>
      </c>
      <c r="D2932">
        <f t="shared" si="48"/>
        <v>-0.67535821599741741</v>
      </c>
      <c r="E2932">
        <v>-3.0884203301940749E-3</v>
      </c>
    </row>
    <row r="2933" spans="2:5" x14ac:dyDescent="0.35">
      <c r="B2933" s="2">
        <v>42314</v>
      </c>
      <c r="C2933" s="4">
        <v>805.38</v>
      </c>
      <c r="D2933">
        <f t="shared" si="48"/>
        <v>-0.78548598459424046</v>
      </c>
      <c r="E2933">
        <v>-3.0945189879685309E-3</v>
      </c>
    </row>
    <row r="2934" spans="2:5" x14ac:dyDescent="0.35">
      <c r="B2934" s="2">
        <v>44362</v>
      </c>
      <c r="C2934" s="4">
        <v>3754.44</v>
      </c>
      <c r="D2934">
        <f t="shared" si="48"/>
        <v>52.543069024529373</v>
      </c>
      <c r="E2934">
        <v>-3.1225107535446384E-3</v>
      </c>
    </row>
    <row r="2935" spans="2:5" x14ac:dyDescent="0.35">
      <c r="B2935" s="2">
        <v>40064</v>
      </c>
      <c r="C2935" s="4">
        <v>70.12</v>
      </c>
      <c r="D2935">
        <f t="shared" si="48"/>
        <v>-0.15242354647648981</v>
      </c>
      <c r="E2935">
        <v>-3.1276656241114864E-3</v>
      </c>
    </row>
    <row r="2936" spans="2:5" x14ac:dyDescent="0.35">
      <c r="B2936" s="2">
        <v>41375</v>
      </c>
      <c r="C2936" s="4">
        <v>82.73</v>
      </c>
      <c r="D2936">
        <f t="shared" si="48"/>
        <v>-0.86836075486108899</v>
      </c>
      <c r="E2936">
        <v>-3.1329075792263517E-3</v>
      </c>
    </row>
    <row r="2937" spans="2:5" x14ac:dyDescent="0.35">
      <c r="B2937" s="2">
        <v>43703</v>
      </c>
      <c r="C2937" s="4">
        <v>628.46</v>
      </c>
      <c r="D2937">
        <f t="shared" si="48"/>
        <v>-0.3212588560566787</v>
      </c>
      <c r="E2937">
        <v>-3.1564755333491901E-3</v>
      </c>
    </row>
    <row r="2938" spans="2:5" x14ac:dyDescent="0.35">
      <c r="B2938" s="2">
        <v>42381</v>
      </c>
      <c r="C2938" s="4">
        <v>925.92</v>
      </c>
      <c r="D2938">
        <f t="shared" si="48"/>
        <v>0.1671162427206494</v>
      </c>
      <c r="E2938">
        <v>-3.1651702086429312E-3</v>
      </c>
    </row>
    <row r="2939" spans="2:5" x14ac:dyDescent="0.35">
      <c r="B2939" s="2">
        <v>43985</v>
      </c>
      <c r="C2939" s="4">
        <v>793.34</v>
      </c>
      <c r="D2939">
        <f t="shared" si="48"/>
        <v>8.3565278924401465</v>
      </c>
      <c r="E2939">
        <v>-3.1663860477972872E-3</v>
      </c>
    </row>
    <row r="2940" spans="2:5" x14ac:dyDescent="0.35">
      <c r="B2940" s="2">
        <v>41018</v>
      </c>
      <c r="C2940" s="4">
        <v>84.79</v>
      </c>
      <c r="D2940">
        <f t="shared" si="48"/>
        <v>0.81097821443827445</v>
      </c>
      <c r="E2940">
        <v>-3.1742299553255693E-3</v>
      </c>
    </row>
    <row r="2941" spans="2:5" x14ac:dyDescent="0.35">
      <c r="B2941" s="2">
        <v>39947</v>
      </c>
      <c r="C2941" s="4">
        <v>46.82</v>
      </c>
      <c r="D2941">
        <f t="shared" si="48"/>
        <v>-0.99382078154839437</v>
      </c>
      <c r="E2941">
        <v>-3.1935277836916409E-3</v>
      </c>
    </row>
    <row r="2942" spans="2:5" x14ac:dyDescent="0.35">
      <c r="B2942" s="2">
        <v>44600</v>
      </c>
      <c r="C2942" s="4">
        <v>7577.01</v>
      </c>
      <c r="D2942">
        <f t="shared" si="48"/>
        <v>142.17857142857142</v>
      </c>
      <c r="E2942">
        <v>-3.1994400979827864E-3</v>
      </c>
    </row>
    <row r="2943" spans="2:5" x14ac:dyDescent="0.35">
      <c r="B2943" s="2">
        <v>39997</v>
      </c>
      <c r="C2943" s="4">
        <v>52.92</v>
      </c>
      <c r="D2943">
        <f t="shared" si="48"/>
        <v>-0.93367506799182842</v>
      </c>
      <c r="E2943">
        <v>-3.2021096251648729E-3</v>
      </c>
    </row>
    <row r="2944" spans="2:5" x14ac:dyDescent="0.35">
      <c r="B2944" s="2">
        <v>43608</v>
      </c>
      <c r="C2944" s="4">
        <v>797.89</v>
      </c>
      <c r="D2944">
        <f t="shared" si="48"/>
        <v>-0.87123849176571211</v>
      </c>
      <c r="E2944">
        <v>-3.2355586648011858E-3</v>
      </c>
    </row>
    <row r="2945" spans="2:5" x14ac:dyDescent="0.35">
      <c r="B2945" s="2">
        <v>44938</v>
      </c>
      <c r="C2945" s="4">
        <v>6196.65</v>
      </c>
      <c r="D2945">
        <f t="shared" si="48"/>
        <v>8.4533180778032033</v>
      </c>
      <c r="E2945">
        <v>-3.2412173465449223E-3</v>
      </c>
    </row>
    <row r="2946" spans="2:5" x14ac:dyDescent="0.35">
      <c r="B2946" s="2">
        <v>43739</v>
      </c>
      <c r="C2946" s="4">
        <v>655.5</v>
      </c>
      <c r="D2946">
        <f t="shared" si="48"/>
        <v>8.7399702823179801</v>
      </c>
      <c r="E2946">
        <v>-3.2540599720211061E-3</v>
      </c>
    </row>
    <row r="2947" spans="2:5" x14ac:dyDescent="0.35">
      <c r="B2947" s="2">
        <v>38667</v>
      </c>
      <c r="C2947" s="4">
        <v>67.3</v>
      </c>
      <c r="D2947">
        <f t="shared" si="48"/>
        <v>-0.15035980305516972</v>
      </c>
      <c r="E2947">
        <v>-3.2582938388625582E-3</v>
      </c>
    </row>
    <row r="2948" spans="2:5" x14ac:dyDescent="0.35">
      <c r="B2948" s="2">
        <v>41446</v>
      </c>
      <c r="C2948" s="4">
        <v>79.209999999999994</v>
      </c>
      <c r="D2948">
        <f t="shared" ref="D2948:D3011" si="49">C2948/C2949-1</f>
        <v>-0.89595018850079478</v>
      </c>
      <c r="E2948">
        <v>-3.2716748458538891E-3</v>
      </c>
    </row>
    <row r="2949" spans="2:5" x14ac:dyDescent="0.35">
      <c r="B2949" s="2">
        <v>42583</v>
      </c>
      <c r="C2949" s="4">
        <v>761.27</v>
      </c>
      <c r="D2949">
        <f t="shared" si="49"/>
        <v>5.7958400285663272</v>
      </c>
      <c r="E2949">
        <v>-3.2732367073857738E-3</v>
      </c>
    </row>
    <row r="2950" spans="2:5" x14ac:dyDescent="0.35">
      <c r="B2950" s="2">
        <v>40249</v>
      </c>
      <c r="C2950" s="4">
        <v>112.02</v>
      </c>
      <c r="D2950">
        <f t="shared" si="49"/>
        <v>4.2939508506616253</v>
      </c>
      <c r="E2950">
        <v>-3.2921078387757596E-3</v>
      </c>
    </row>
    <row r="2951" spans="2:5" x14ac:dyDescent="0.35">
      <c r="B2951" s="2">
        <v>37746</v>
      </c>
      <c r="C2951" s="4">
        <v>21.16</v>
      </c>
      <c r="D2951">
        <f t="shared" si="49"/>
        <v>-0.83696740889128596</v>
      </c>
      <c r="E2951">
        <v>-3.2972209138012465E-3</v>
      </c>
    </row>
    <row r="2952" spans="2:5" x14ac:dyDescent="0.35">
      <c r="B2952" s="2">
        <v>41611</v>
      </c>
      <c r="C2952" s="4">
        <v>129.79</v>
      </c>
      <c r="D2952">
        <f t="shared" si="49"/>
        <v>-0.98539264511409363</v>
      </c>
      <c r="E2952">
        <v>-3.3021041314699184E-3</v>
      </c>
    </row>
    <row r="2953" spans="2:5" x14ac:dyDescent="0.35">
      <c r="B2953" s="2">
        <v>44819</v>
      </c>
      <c r="C2953" s="4">
        <v>8885.25</v>
      </c>
      <c r="D2953">
        <f t="shared" si="49"/>
        <v>10.465282527065563</v>
      </c>
      <c r="E2953">
        <v>-3.30353236788683E-3</v>
      </c>
    </row>
    <row r="2954" spans="2:5" x14ac:dyDescent="0.35">
      <c r="B2954" s="2">
        <v>42549</v>
      </c>
      <c r="C2954" s="4">
        <v>774.97</v>
      </c>
      <c r="D2954">
        <f t="shared" si="49"/>
        <v>5.9504035874439465</v>
      </c>
      <c r="E2954">
        <v>-3.3052961905496447E-3</v>
      </c>
    </row>
    <row r="2955" spans="2:5" x14ac:dyDescent="0.35">
      <c r="B2955" s="2">
        <v>39205</v>
      </c>
      <c r="C2955" s="4">
        <v>111.5</v>
      </c>
      <c r="D2955">
        <f t="shared" si="49"/>
        <v>-0.60150107219442461</v>
      </c>
      <c r="E2955">
        <v>-3.3074103870563976E-3</v>
      </c>
    </row>
    <row r="2956" spans="2:5" x14ac:dyDescent="0.35">
      <c r="B2956" s="2">
        <v>41955</v>
      </c>
      <c r="C2956" s="4">
        <v>279.8</v>
      </c>
      <c r="D2956">
        <f t="shared" si="49"/>
        <v>8.3142476697736356</v>
      </c>
      <c r="E2956">
        <v>-3.3127916503402632E-3</v>
      </c>
    </row>
    <row r="2957" spans="2:5" x14ac:dyDescent="0.35">
      <c r="B2957" s="2">
        <v>38146</v>
      </c>
      <c r="C2957" s="4">
        <v>30.04</v>
      </c>
      <c r="D2957">
        <f t="shared" si="49"/>
        <v>-0.96384512619302654</v>
      </c>
      <c r="E2957">
        <v>-3.3178500331785266E-3</v>
      </c>
    </row>
    <row r="2958" spans="2:5" x14ac:dyDescent="0.35">
      <c r="B2958" s="2">
        <v>43822</v>
      </c>
      <c r="C2958" s="4">
        <v>830.87</v>
      </c>
      <c r="D2958">
        <f t="shared" si="49"/>
        <v>14.656114565667986</v>
      </c>
      <c r="E2958">
        <v>-3.3227772179837967E-3</v>
      </c>
    </row>
    <row r="2959" spans="2:5" x14ac:dyDescent="0.35">
      <c r="B2959" s="2">
        <v>38349</v>
      </c>
      <c r="C2959" s="4">
        <v>53.07</v>
      </c>
      <c r="D2959">
        <f t="shared" si="49"/>
        <v>-0.77456352746272461</v>
      </c>
      <c r="E2959">
        <v>-3.3802816901408184E-3</v>
      </c>
    </row>
    <row r="2960" spans="2:5" x14ac:dyDescent="0.35">
      <c r="B2960" s="2">
        <v>41767</v>
      </c>
      <c r="C2960" s="4">
        <v>235.41</v>
      </c>
      <c r="D2960">
        <f t="shared" si="49"/>
        <v>1.1071428571428572</v>
      </c>
      <c r="E2960">
        <v>-3.3868168155455347E-3</v>
      </c>
    </row>
    <row r="2961" spans="2:5" x14ac:dyDescent="0.35">
      <c r="B2961" s="2">
        <v>39212</v>
      </c>
      <c r="C2961" s="4">
        <v>111.72</v>
      </c>
      <c r="D2961">
        <f t="shared" si="49"/>
        <v>2.9108327192336025E-2</v>
      </c>
      <c r="E2961">
        <v>-3.3898305084745228E-3</v>
      </c>
    </row>
    <row r="2962" spans="2:5" x14ac:dyDescent="0.35">
      <c r="B2962" s="2">
        <v>40241</v>
      </c>
      <c r="C2962" s="4">
        <v>108.56</v>
      </c>
      <c r="D2962">
        <f t="shared" si="49"/>
        <v>0.68283986978762967</v>
      </c>
      <c r="E2962">
        <v>-3.3966767648949681E-3</v>
      </c>
    </row>
    <row r="2963" spans="2:5" x14ac:dyDescent="0.35">
      <c r="B2963" s="2">
        <v>39517</v>
      </c>
      <c r="C2963" s="4">
        <v>64.510000000000005</v>
      </c>
      <c r="D2963">
        <f t="shared" si="49"/>
        <v>-0.9476180036215115</v>
      </c>
      <c r="E2963">
        <v>-3.3987331994438374E-3</v>
      </c>
    </row>
    <row r="2964" spans="2:5" x14ac:dyDescent="0.35">
      <c r="B2964" s="2">
        <v>43273</v>
      </c>
      <c r="C2964" s="4">
        <v>1231.53</v>
      </c>
      <c r="D2964">
        <f t="shared" si="49"/>
        <v>1.2981879933565974</v>
      </c>
      <c r="E2964">
        <v>-3.3988007088927574E-3</v>
      </c>
    </row>
    <row r="2965" spans="2:5" x14ac:dyDescent="0.35">
      <c r="B2965" s="2">
        <v>42144</v>
      </c>
      <c r="C2965" s="4">
        <v>535.87</v>
      </c>
      <c r="D2965">
        <f t="shared" si="49"/>
        <v>-0.91553107744495188</v>
      </c>
      <c r="E2965">
        <v>-3.4033847870560408E-3</v>
      </c>
    </row>
    <row r="2966" spans="2:5" x14ac:dyDescent="0.35">
      <c r="B2966" s="2">
        <v>44579</v>
      </c>
      <c r="C2966" s="4">
        <v>6343.99</v>
      </c>
      <c r="D2966">
        <f t="shared" si="49"/>
        <v>97.601025800435181</v>
      </c>
      <c r="E2966">
        <v>-3.4073343303465675E-3</v>
      </c>
    </row>
    <row r="2967" spans="2:5" x14ac:dyDescent="0.35">
      <c r="B2967" s="2">
        <v>38786</v>
      </c>
      <c r="C2967" s="4">
        <v>64.34</v>
      </c>
      <c r="D2967">
        <f t="shared" si="49"/>
        <v>-0.7795367324561403</v>
      </c>
      <c r="E2967">
        <v>-3.4076827757124617E-3</v>
      </c>
    </row>
    <row r="2968" spans="2:5" x14ac:dyDescent="0.35">
      <c r="B2968" s="2">
        <v>41703</v>
      </c>
      <c r="C2968" s="4">
        <v>291.83999999999997</v>
      </c>
      <c r="D2968">
        <f t="shared" si="49"/>
        <v>8.1000935453695035</v>
      </c>
      <c r="E2968">
        <v>-3.4148340390657284E-3</v>
      </c>
    </row>
    <row r="2969" spans="2:5" x14ac:dyDescent="0.35">
      <c r="B2969" s="2">
        <v>38154</v>
      </c>
      <c r="C2969" s="4">
        <v>32.07</v>
      </c>
      <c r="D2969">
        <f t="shared" si="49"/>
        <v>-0.95144954961774275</v>
      </c>
      <c r="E2969">
        <v>-3.418272218769447E-3</v>
      </c>
    </row>
    <row r="2970" spans="2:5" x14ac:dyDescent="0.35">
      <c r="B2970" s="2">
        <v>43745</v>
      </c>
      <c r="C2970" s="4">
        <v>660.55</v>
      </c>
      <c r="D2970">
        <f t="shared" si="49"/>
        <v>6.8786975190839685</v>
      </c>
      <c r="E2970">
        <v>-3.4397960261305371E-3</v>
      </c>
    </row>
    <row r="2971" spans="2:5" x14ac:dyDescent="0.35">
      <c r="B2971" s="2">
        <v>40919</v>
      </c>
      <c r="C2971" s="4">
        <v>83.84</v>
      </c>
      <c r="D2971">
        <f t="shared" si="49"/>
        <v>-0.11626436175819543</v>
      </c>
      <c r="E2971">
        <v>-3.4470462379649902E-3</v>
      </c>
    </row>
    <row r="2972" spans="2:5" x14ac:dyDescent="0.35">
      <c r="B2972" s="2">
        <v>40423</v>
      </c>
      <c r="C2972" s="4">
        <v>94.87</v>
      </c>
      <c r="D2972">
        <f t="shared" si="49"/>
        <v>0.18026872356307555</v>
      </c>
      <c r="E2972">
        <v>-3.4663865546218364E-3</v>
      </c>
    </row>
    <row r="2973" spans="2:5" x14ac:dyDescent="0.35">
      <c r="B2973" s="2">
        <v>41421</v>
      </c>
      <c r="C2973" s="4">
        <v>80.38</v>
      </c>
      <c r="D2973">
        <f t="shared" si="49"/>
        <v>1.5468948035487959</v>
      </c>
      <c r="E2973">
        <v>-3.4713612695264073E-3</v>
      </c>
    </row>
    <row r="2974" spans="2:5" x14ac:dyDescent="0.35">
      <c r="B2974" s="2">
        <v>39862</v>
      </c>
      <c r="C2974" s="4">
        <v>31.56</v>
      </c>
      <c r="D2974">
        <f t="shared" si="49"/>
        <v>-0.67587552634281611</v>
      </c>
      <c r="E2974">
        <v>-3.4733185980424519E-3</v>
      </c>
    </row>
    <row r="2975" spans="2:5" x14ac:dyDescent="0.35">
      <c r="B2975" s="2">
        <v>40948</v>
      </c>
      <c r="C2975" s="4">
        <v>97.37</v>
      </c>
      <c r="D2975">
        <f t="shared" si="49"/>
        <v>-0.87631943297725046</v>
      </c>
      <c r="E2975">
        <v>-3.479684781496184E-3</v>
      </c>
    </row>
    <row r="2976" spans="2:5" x14ac:dyDescent="0.35">
      <c r="B2976" s="2">
        <v>42964</v>
      </c>
      <c r="C2976" s="4">
        <v>787.27</v>
      </c>
      <c r="D2976">
        <f t="shared" si="49"/>
        <v>10.466210311680745</v>
      </c>
      <c r="E2976">
        <v>-3.4809245335560846E-3</v>
      </c>
    </row>
    <row r="2977" spans="2:5" x14ac:dyDescent="0.35">
      <c r="B2977" s="2">
        <v>40093</v>
      </c>
      <c r="C2977" s="4">
        <v>68.66</v>
      </c>
      <c r="D2977">
        <f t="shared" si="49"/>
        <v>-0.10808002078461942</v>
      </c>
      <c r="E2977">
        <v>-3.4833091436866637E-3</v>
      </c>
    </row>
    <row r="2978" spans="2:5" x14ac:dyDescent="0.35">
      <c r="B2978" s="2">
        <v>41502</v>
      </c>
      <c r="C2978" s="4">
        <v>76.98</v>
      </c>
      <c r="D2978">
        <f t="shared" si="49"/>
        <v>1.7020007020007024</v>
      </c>
      <c r="E2978">
        <v>-3.4951456310678974E-3</v>
      </c>
    </row>
    <row r="2979" spans="2:5" x14ac:dyDescent="0.35">
      <c r="B2979" s="2">
        <v>37897</v>
      </c>
      <c r="C2979" s="4">
        <v>28.49</v>
      </c>
      <c r="D2979">
        <f t="shared" si="49"/>
        <v>-0.2841708542713568</v>
      </c>
      <c r="E2979">
        <v>-3.4977264777894534E-3</v>
      </c>
    </row>
    <row r="2980" spans="2:5" x14ac:dyDescent="0.35">
      <c r="B2980" s="2">
        <v>38202</v>
      </c>
      <c r="C2980" s="4">
        <v>39.799999999999997</v>
      </c>
      <c r="D2980">
        <f t="shared" si="49"/>
        <v>-0.95187889926004743</v>
      </c>
      <c r="E2980">
        <v>-3.5052578868303153E-3</v>
      </c>
    </row>
    <row r="2981" spans="2:5" x14ac:dyDescent="0.35">
      <c r="B2981" s="2">
        <v>42530</v>
      </c>
      <c r="C2981" s="4">
        <v>827.08</v>
      </c>
      <c r="D2981">
        <f t="shared" si="49"/>
        <v>7.5663386846193692</v>
      </c>
      <c r="E2981">
        <v>-3.5060663381486501E-3</v>
      </c>
    </row>
    <row r="2982" spans="2:5" x14ac:dyDescent="0.35">
      <c r="B2982" s="2">
        <v>41096</v>
      </c>
      <c r="C2982" s="4">
        <v>96.55</v>
      </c>
      <c r="D2982">
        <f t="shared" si="49"/>
        <v>-0.57308984789529538</v>
      </c>
      <c r="E2982">
        <v>-3.5091340695634354E-3</v>
      </c>
    </row>
    <row r="2983" spans="2:5" x14ac:dyDescent="0.35">
      <c r="B2983" s="2">
        <v>41789</v>
      </c>
      <c r="C2983" s="4">
        <v>226.16</v>
      </c>
      <c r="D2983">
        <f t="shared" si="49"/>
        <v>-0.76372753865440868</v>
      </c>
      <c r="E2983">
        <v>-3.5248501938668353E-3</v>
      </c>
    </row>
    <row r="2984" spans="2:5" x14ac:dyDescent="0.35">
      <c r="B2984" s="2">
        <v>43896</v>
      </c>
      <c r="C2984" s="4">
        <v>957.2</v>
      </c>
      <c r="D2984">
        <f t="shared" si="49"/>
        <v>-0.39491251137857797</v>
      </c>
      <c r="E2984">
        <v>-3.5394545075994044E-3</v>
      </c>
    </row>
    <row r="2985" spans="2:5" x14ac:dyDescent="0.35">
      <c r="B2985" s="2">
        <v>44179</v>
      </c>
      <c r="C2985" s="4">
        <v>1581.92</v>
      </c>
      <c r="D2985">
        <f t="shared" si="49"/>
        <v>50.311060655205971</v>
      </c>
      <c r="E2985">
        <v>-3.5526216331980276E-3</v>
      </c>
    </row>
    <row r="2986" spans="2:5" x14ac:dyDescent="0.35">
      <c r="B2986" s="2">
        <v>37599</v>
      </c>
      <c r="C2986" s="4">
        <v>30.83</v>
      </c>
      <c r="D2986">
        <f t="shared" si="49"/>
        <v>-0.95652725683183393</v>
      </c>
      <c r="E2986">
        <v>-3.5552682611507125E-3</v>
      </c>
    </row>
    <row r="2987" spans="2:5" x14ac:dyDescent="0.35">
      <c r="B2987" s="2">
        <v>42842</v>
      </c>
      <c r="C2987" s="4">
        <v>709.18</v>
      </c>
      <c r="D2987">
        <f t="shared" si="49"/>
        <v>-7.6203626511046285E-2</v>
      </c>
      <c r="E2987">
        <v>-3.5688191985613349E-3</v>
      </c>
    </row>
    <row r="2988" spans="2:5" x14ac:dyDescent="0.35">
      <c r="B2988" s="2">
        <v>42572</v>
      </c>
      <c r="C2988" s="4">
        <v>767.68</v>
      </c>
      <c r="D2988">
        <f t="shared" si="49"/>
        <v>7.9506145062856692E-2</v>
      </c>
      <c r="E2988">
        <v>-3.5694352504445082E-3</v>
      </c>
    </row>
    <row r="2989" spans="2:5" x14ac:dyDescent="0.35">
      <c r="B2989" s="2">
        <v>42899</v>
      </c>
      <c r="C2989" s="4">
        <v>711.14</v>
      </c>
      <c r="D2989">
        <f t="shared" si="49"/>
        <v>-0.13172899649585479</v>
      </c>
      <c r="E2989">
        <v>-3.5729798652076594E-3</v>
      </c>
    </row>
    <row r="2990" spans="2:5" x14ac:dyDescent="0.35">
      <c r="B2990" s="2">
        <v>42542</v>
      </c>
      <c r="C2990" s="4">
        <v>819.03</v>
      </c>
      <c r="D2990">
        <f t="shared" si="49"/>
        <v>9.5504315342006958</v>
      </c>
      <c r="E2990">
        <v>-3.5767728749225292E-3</v>
      </c>
    </row>
    <row r="2991" spans="2:5" x14ac:dyDescent="0.35">
      <c r="B2991" s="2">
        <v>38993</v>
      </c>
      <c r="C2991" s="4">
        <v>77.63</v>
      </c>
      <c r="D2991">
        <f t="shared" si="49"/>
        <v>0.27722935176044738</v>
      </c>
      <c r="E2991">
        <v>-3.5938903863432792E-3</v>
      </c>
    </row>
    <row r="2992" spans="2:5" x14ac:dyDescent="0.35">
      <c r="B2992" s="2">
        <v>38504</v>
      </c>
      <c r="C2992" s="4">
        <v>60.78</v>
      </c>
      <c r="D2992">
        <f t="shared" si="49"/>
        <v>-0.92457559813362455</v>
      </c>
      <c r="E2992">
        <v>-3.6065573770491799E-3</v>
      </c>
    </row>
    <row r="2993" spans="2:5" x14ac:dyDescent="0.35">
      <c r="B2993" s="2">
        <v>43515</v>
      </c>
      <c r="C2993" s="4">
        <v>805.84</v>
      </c>
      <c r="D2993">
        <f t="shared" si="49"/>
        <v>5.3828910891089112</v>
      </c>
      <c r="E2993">
        <v>-3.6104654038280337E-3</v>
      </c>
    </row>
    <row r="2994" spans="2:5" x14ac:dyDescent="0.35">
      <c r="B2994" s="2">
        <v>40284</v>
      </c>
      <c r="C2994" s="4">
        <v>126.25</v>
      </c>
      <c r="D2994">
        <f t="shared" si="49"/>
        <v>0.44121004566210065</v>
      </c>
      <c r="E2994">
        <v>-3.6303369899770566E-3</v>
      </c>
    </row>
    <row r="2995" spans="2:5" x14ac:dyDescent="0.35">
      <c r="B2995" s="2">
        <v>41057</v>
      </c>
      <c r="C2995" s="4">
        <v>87.6</v>
      </c>
      <c r="D2995">
        <f t="shared" si="49"/>
        <v>0.18650954896383576</v>
      </c>
      <c r="E2995">
        <v>-3.6396724294813776E-3</v>
      </c>
    </row>
    <row r="2996" spans="2:5" x14ac:dyDescent="0.35">
      <c r="B2996" s="2">
        <v>38553</v>
      </c>
      <c r="C2996" s="4">
        <v>73.83</v>
      </c>
      <c r="D2996">
        <f t="shared" si="49"/>
        <v>0.12545731707317076</v>
      </c>
      <c r="E2996">
        <v>-3.6437246963562098E-3</v>
      </c>
    </row>
    <row r="2997" spans="2:5" x14ac:dyDescent="0.35">
      <c r="B2997" s="2">
        <v>38777</v>
      </c>
      <c r="C2997" s="4">
        <v>65.599999999999994</v>
      </c>
      <c r="D2997">
        <f t="shared" si="49"/>
        <v>0.5014877546349279</v>
      </c>
      <c r="E2997">
        <v>-3.6452004860269005E-3</v>
      </c>
    </row>
    <row r="2998" spans="2:5" x14ac:dyDescent="0.35">
      <c r="B2998" s="2">
        <v>39938</v>
      </c>
      <c r="C2998" s="4">
        <v>43.69</v>
      </c>
      <c r="D2998">
        <f t="shared" si="49"/>
        <v>-0.40670831070070612</v>
      </c>
      <c r="E2998">
        <v>-3.6488027366021747E-3</v>
      </c>
    </row>
    <row r="2999" spans="2:5" x14ac:dyDescent="0.35">
      <c r="B2999" s="2">
        <v>39507</v>
      </c>
      <c r="C2999" s="4">
        <v>73.64</v>
      </c>
      <c r="D2999">
        <f t="shared" si="49"/>
        <v>-0.26915442635966658</v>
      </c>
      <c r="E2999">
        <v>-3.6530915978892908E-3</v>
      </c>
    </row>
    <row r="3000" spans="2:5" x14ac:dyDescent="0.35">
      <c r="B3000" s="2">
        <v>40668</v>
      </c>
      <c r="C3000" s="4">
        <v>100.76</v>
      </c>
      <c r="D3000">
        <f t="shared" si="49"/>
        <v>-0.96382890887225603</v>
      </c>
      <c r="E3000">
        <v>-3.658657173934432E-3</v>
      </c>
    </row>
    <row r="3001" spans="2:5" x14ac:dyDescent="0.35">
      <c r="B3001" s="2">
        <v>44232</v>
      </c>
      <c r="C3001" s="4">
        <v>2785.65</v>
      </c>
      <c r="D3001">
        <f t="shared" si="49"/>
        <v>-0.65065181813051409</v>
      </c>
      <c r="E3001">
        <v>-3.6589553199708469E-3</v>
      </c>
    </row>
    <row r="3002" spans="2:5" x14ac:dyDescent="0.35">
      <c r="B3002" s="2">
        <v>44748</v>
      </c>
      <c r="C3002" s="4">
        <v>7973.85</v>
      </c>
      <c r="D3002">
        <f t="shared" si="49"/>
        <v>107.81345524017468</v>
      </c>
      <c r="E3002">
        <v>-3.6672830867652273E-3</v>
      </c>
    </row>
    <row r="3003" spans="2:5" x14ac:dyDescent="0.35">
      <c r="B3003" s="2">
        <v>39629</v>
      </c>
      <c r="C3003" s="4">
        <v>73.28</v>
      </c>
      <c r="D3003">
        <f t="shared" si="49"/>
        <v>-6.720977596741351E-2</v>
      </c>
      <c r="E3003">
        <v>-3.6709721278042062E-3</v>
      </c>
    </row>
    <row r="3004" spans="2:5" x14ac:dyDescent="0.35">
      <c r="B3004" s="2">
        <v>39616</v>
      </c>
      <c r="C3004" s="4">
        <v>78.56</v>
      </c>
      <c r="D3004">
        <f t="shared" si="49"/>
        <v>7.4986316365626804E-2</v>
      </c>
      <c r="E3004">
        <v>-3.677869372225695E-3</v>
      </c>
    </row>
    <row r="3005" spans="2:5" x14ac:dyDescent="0.35">
      <c r="B3005" s="2">
        <v>39594</v>
      </c>
      <c r="C3005" s="4">
        <v>73.08</v>
      </c>
      <c r="D3005">
        <f t="shared" si="49"/>
        <v>-0.92462793551913691</v>
      </c>
      <c r="E3005">
        <v>-3.6809815950920033E-3</v>
      </c>
    </row>
    <row r="3006" spans="2:5" x14ac:dyDescent="0.35">
      <c r="B3006" s="2">
        <v>43111</v>
      </c>
      <c r="C3006" s="4">
        <v>969.59</v>
      </c>
      <c r="D3006">
        <f t="shared" si="49"/>
        <v>10.996906706260829</v>
      </c>
      <c r="E3006">
        <v>-3.6889372983414104E-3</v>
      </c>
    </row>
    <row r="3007" spans="2:5" x14ac:dyDescent="0.35">
      <c r="B3007" s="2">
        <v>38974</v>
      </c>
      <c r="C3007" s="4">
        <v>80.819999999999993</v>
      </c>
      <c r="D3007">
        <f t="shared" si="49"/>
        <v>-0.13865501438772254</v>
      </c>
      <c r="E3007">
        <v>-3.6982248520711636E-3</v>
      </c>
    </row>
    <row r="3008" spans="2:5" x14ac:dyDescent="0.35">
      <c r="B3008" s="2">
        <v>40602</v>
      </c>
      <c r="C3008" s="4">
        <v>93.83</v>
      </c>
      <c r="D3008">
        <f t="shared" si="49"/>
        <v>2.8901326699834162</v>
      </c>
      <c r="E3008">
        <v>-3.7162879592270714E-3</v>
      </c>
    </row>
    <row r="3009" spans="2:5" x14ac:dyDescent="0.35">
      <c r="B3009" s="2">
        <v>37683</v>
      </c>
      <c r="C3009" s="4">
        <v>24.12</v>
      </c>
      <c r="D3009">
        <f t="shared" si="49"/>
        <v>-0.66583541147132164</v>
      </c>
      <c r="E3009">
        <v>-3.7174721189591198E-3</v>
      </c>
    </row>
    <row r="3010" spans="2:5" x14ac:dyDescent="0.35">
      <c r="B3010" s="2">
        <v>38587</v>
      </c>
      <c r="C3010" s="4">
        <v>72.180000000000007</v>
      </c>
      <c r="D3010">
        <f t="shared" si="49"/>
        <v>-6.720082708710251E-2</v>
      </c>
      <c r="E3010">
        <v>-3.7267080745341241E-3</v>
      </c>
    </row>
    <row r="3011" spans="2:5" x14ac:dyDescent="0.35">
      <c r="B3011" s="2">
        <v>41528</v>
      </c>
      <c r="C3011" s="4">
        <v>77.38</v>
      </c>
      <c r="D3011">
        <f t="shared" si="49"/>
        <v>7.6067306355166231E-2</v>
      </c>
      <c r="E3011">
        <v>-3.73374533281845E-3</v>
      </c>
    </row>
    <row r="3012" spans="2:5" x14ac:dyDescent="0.35">
      <c r="B3012" s="2">
        <v>38588</v>
      </c>
      <c r="C3012" s="4">
        <v>71.91</v>
      </c>
      <c r="D3012">
        <f t="shared" ref="D3012:D3075" si="50">C3012/C3013-1</f>
        <v>-0.26987511422479438</v>
      </c>
      <c r="E3012">
        <v>-3.7406483790525247E-3</v>
      </c>
    </row>
    <row r="3013" spans="2:5" x14ac:dyDescent="0.35">
      <c r="B3013" s="2">
        <v>40451</v>
      </c>
      <c r="C3013" s="4">
        <v>98.49</v>
      </c>
      <c r="D3013">
        <f t="shared" si="50"/>
        <v>-0.87839990122847089</v>
      </c>
      <c r="E3013">
        <v>-3.7426663969249985E-3</v>
      </c>
    </row>
    <row r="3014" spans="2:5" x14ac:dyDescent="0.35">
      <c r="B3014" s="2">
        <v>42321</v>
      </c>
      <c r="C3014" s="4">
        <v>809.95</v>
      </c>
      <c r="D3014">
        <f t="shared" si="50"/>
        <v>7.7194531165895146</v>
      </c>
      <c r="E3014">
        <v>-3.7515375153750474E-3</v>
      </c>
    </row>
    <row r="3015" spans="2:5" x14ac:dyDescent="0.35">
      <c r="B3015" s="2">
        <v>40162</v>
      </c>
      <c r="C3015" s="4">
        <v>92.89</v>
      </c>
      <c r="D3015">
        <f t="shared" si="50"/>
        <v>-0.9894601279898334</v>
      </c>
      <c r="E3015">
        <v>-3.7537537537536414E-3</v>
      </c>
    </row>
    <row r="3016" spans="2:5" x14ac:dyDescent="0.35">
      <c r="B3016" s="2">
        <v>44811</v>
      </c>
      <c r="C3016" s="4">
        <v>8813.2000000000007</v>
      </c>
      <c r="D3016">
        <f t="shared" si="50"/>
        <v>127.09883720930233</v>
      </c>
      <c r="E3016">
        <v>-3.7585698217929009E-3</v>
      </c>
    </row>
    <row r="3017" spans="2:5" x14ac:dyDescent="0.35">
      <c r="B3017" s="2">
        <v>39574</v>
      </c>
      <c r="C3017" s="4">
        <v>68.8</v>
      </c>
      <c r="D3017">
        <f t="shared" si="50"/>
        <v>-0.99066007985088711</v>
      </c>
      <c r="E3017">
        <v>-3.7648421662322962E-3</v>
      </c>
    </row>
    <row r="3018" spans="2:5" x14ac:dyDescent="0.35">
      <c r="B3018" s="2">
        <v>44641</v>
      </c>
      <c r="C3018" s="4">
        <v>7366.23</v>
      </c>
      <c r="D3018">
        <f t="shared" si="50"/>
        <v>76.539263157894737</v>
      </c>
      <c r="E3018">
        <v>-3.7678740724010895E-3</v>
      </c>
    </row>
    <row r="3019" spans="2:5" x14ac:dyDescent="0.35">
      <c r="B3019" s="2">
        <v>39430</v>
      </c>
      <c r="C3019" s="4">
        <v>95</v>
      </c>
      <c r="D3019">
        <f t="shared" si="50"/>
        <v>-0.24972358237245307</v>
      </c>
      <c r="E3019">
        <v>-3.7751677852349008E-3</v>
      </c>
    </row>
    <row r="3020" spans="2:5" x14ac:dyDescent="0.35">
      <c r="B3020" s="2">
        <v>40281</v>
      </c>
      <c r="C3020" s="4">
        <v>126.62</v>
      </c>
      <c r="D3020">
        <f t="shared" si="50"/>
        <v>0.72061421388775648</v>
      </c>
      <c r="E3020">
        <v>-3.7765538945710997E-3</v>
      </c>
    </row>
    <row r="3021" spans="2:5" x14ac:dyDescent="0.35">
      <c r="B3021" s="2">
        <v>38590</v>
      </c>
      <c r="C3021" s="4">
        <v>73.59</v>
      </c>
      <c r="D3021">
        <f t="shared" si="50"/>
        <v>1.159330985915493</v>
      </c>
      <c r="E3021">
        <v>-3.7904426695546389E-3</v>
      </c>
    </row>
    <row r="3022" spans="2:5" x14ac:dyDescent="0.35">
      <c r="B3022" s="2">
        <v>39804</v>
      </c>
      <c r="C3022" s="4">
        <v>34.08</v>
      </c>
      <c r="D3022">
        <f t="shared" si="50"/>
        <v>-0.65745301035279935</v>
      </c>
      <c r="E3022">
        <v>-3.8000584624379163E-3</v>
      </c>
    </row>
    <row r="3023" spans="2:5" x14ac:dyDescent="0.35">
      <c r="B3023" s="2">
        <v>40753</v>
      </c>
      <c r="C3023" s="4">
        <v>99.49</v>
      </c>
      <c r="D3023">
        <f t="shared" si="50"/>
        <v>3.2228353140916806</v>
      </c>
      <c r="E3023">
        <v>-3.804946430359557E-3</v>
      </c>
    </row>
    <row r="3024" spans="2:5" x14ac:dyDescent="0.35">
      <c r="B3024" s="2">
        <v>37795</v>
      </c>
      <c r="C3024" s="4">
        <v>23.56</v>
      </c>
      <c r="D3024">
        <f t="shared" si="50"/>
        <v>-0.62436224489795922</v>
      </c>
      <c r="E3024">
        <v>-3.8054968287526414E-3</v>
      </c>
    </row>
    <row r="3025" spans="2:5" x14ac:dyDescent="0.35">
      <c r="B3025" s="2">
        <v>39668</v>
      </c>
      <c r="C3025" s="4">
        <v>62.72</v>
      </c>
      <c r="D3025">
        <f t="shared" si="50"/>
        <v>-0.92610396342900225</v>
      </c>
      <c r="E3025">
        <v>-3.8119440914866631E-3</v>
      </c>
    </row>
    <row r="3026" spans="2:5" x14ac:dyDescent="0.35">
      <c r="B3026" s="2">
        <v>43521</v>
      </c>
      <c r="C3026" s="4">
        <v>848.76</v>
      </c>
      <c r="D3026">
        <f t="shared" si="50"/>
        <v>15.256655813062633</v>
      </c>
      <c r="E3026">
        <v>-3.8145092193753172E-3</v>
      </c>
    </row>
    <row r="3027" spans="2:5" x14ac:dyDescent="0.35">
      <c r="B3027" s="2">
        <v>38303</v>
      </c>
      <c r="C3027" s="4">
        <v>52.21</v>
      </c>
      <c r="D3027">
        <f t="shared" si="50"/>
        <v>-0.93893567251461985</v>
      </c>
      <c r="E3027">
        <v>-3.8160656363288581E-3</v>
      </c>
    </row>
    <row r="3028" spans="2:5" x14ac:dyDescent="0.35">
      <c r="B3028" s="2">
        <v>42467</v>
      </c>
      <c r="C3028" s="4">
        <v>855</v>
      </c>
      <c r="D3028">
        <f t="shared" si="50"/>
        <v>28.822113707708404</v>
      </c>
      <c r="E3028">
        <v>-3.8215966817355396E-3</v>
      </c>
    </row>
    <row r="3029" spans="2:5" x14ac:dyDescent="0.35">
      <c r="B3029" s="2">
        <v>37865</v>
      </c>
      <c r="C3029" s="4">
        <v>28.67</v>
      </c>
      <c r="D3029">
        <f t="shared" si="50"/>
        <v>-0.67597197106690776</v>
      </c>
      <c r="E3029">
        <v>-3.8220986796385636E-3</v>
      </c>
    </row>
    <row r="3030" spans="2:5" x14ac:dyDescent="0.35">
      <c r="B3030" s="2">
        <v>40969</v>
      </c>
      <c r="C3030" s="4">
        <v>88.48</v>
      </c>
      <c r="D3030">
        <f t="shared" si="50"/>
        <v>-0.87143272304562625</v>
      </c>
      <c r="E3030">
        <v>-3.8279666741724006E-3</v>
      </c>
    </row>
    <row r="3031" spans="2:5" x14ac:dyDescent="0.35">
      <c r="B3031" s="2">
        <v>42823</v>
      </c>
      <c r="C3031" s="4">
        <v>688.2</v>
      </c>
      <c r="D3031">
        <f t="shared" si="50"/>
        <v>-0.89671164207777387</v>
      </c>
      <c r="E3031">
        <v>-3.8502735720695735E-3</v>
      </c>
    </row>
    <row r="3032" spans="2:5" x14ac:dyDescent="0.35">
      <c r="B3032" s="2">
        <v>44974</v>
      </c>
      <c r="C3032" s="4">
        <v>6662.9</v>
      </c>
      <c r="D3032">
        <f t="shared" si="50"/>
        <v>85.318175929524543</v>
      </c>
      <c r="E3032">
        <v>-3.864698187254767E-3</v>
      </c>
    </row>
    <row r="3033" spans="2:5" x14ac:dyDescent="0.35">
      <c r="B3033" s="2">
        <v>39483</v>
      </c>
      <c r="C3033" s="4">
        <v>77.19</v>
      </c>
      <c r="D3033">
        <f t="shared" si="50"/>
        <v>-0.99112391334345251</v>
      </c>
      <c r="E3033">
        <v>-3.8714672861014376E-3</v>
      </c>
    </row>
    <row r="3034" spans="2:5" x14ac:dyDescent="0.35">
      <c r="B3034" s="2">
        <v>44823</v>
      </c>
      <c r="C3034" s="4">
        <v>8696.4</v>
      </c>
      <c r="D3034">
        <f t="shared" si="50"/>
        <v>30.646288209606983</v>
      </c>
      <c r="E3034">
        <v>-3.8830280746365853E-3</v>
      </c>
    </row>
    <row r="3035" spans="2:5" x14ac:dyDescent="0.35">
      <c r="B3035" s="2">
        <v>41963</v>
      </c>
      <c r="C3035" s="4">
        <v>274.8</v>
      </c>
      <c r="D3035">
        <f t="shared" si="50"/>
        <v>-0.66643198757010025</v>
      </c>
      <c r="E3035">
        <v>-3.9147455415396992E-3</v>
      </c>
    </row>
    <row r="3036" spans="2:5" x14ac:dyDescent="0.35">
      <c r="B3036" s="2">
        <v>42531</v>
      </c>
      <c r="C3036" s="4">
        <v>823.82</v>
      </c>
      <c r="D3036">
        <f t="shared" si="50"/>
        <v>0.50370532617822072</v>
      </c>
      <c r="E3036">
        <v>-3.9415775982976076E-3</v>
      </c>
    </row>
    <row r="3037" spans="2:5" x14ac:dyDescent="0.35">
      <c r="B3037" s="2">
        <v>42191</v>
      </c>
      <c r="C3037" s="4">
        <v>547.86</v>
      </c>
      <c r="D3037">
        <f t="shared" si="50"/>
        <v>4.7128258602711153</v>
      </c>
      <c r="E3037">
        <v>-3.9452393505807759E-3</v>
      </c>
    </row>
    <row r="3038" spans="2:5" x14ac:dyDescent="0.35">
      <c r="B3038" s="2">
        <v>40952</v>
      </c>
      <c r="C3038" s="4">
        <v>95.9</v>
      </c>
      <c r="D3038">
        <f t="shared" si="50"/>
        <v>-0.86557142656891739</v>
      </c>
      <c r="E3038">
        <v>-3.9468217698379604E-3</v>
      </c>
    </row>
    <row r="3039" spans="2:5" x14ac:dyDescent="0.35">
      <c r="B3039" s="2">
        <v>42901</v>
      </c>
      <c r="C3039" s="4">
        <v>713.39</v>
      </c>
      <c r="D3039">
        <f t="shared" si="50"/>
        <v>-0.12012974999691661</v>
      </c>
      <c r="E3039">
        <v>-3.9652067073426833E-3</v>
      </c>
    </row>
    <row r="3040" spans="2:5" x14ac:dyDescent="0.35">
      <c r="B3040" s="2">
        <v>43605</v>
      </c>
      <c r="C3040" s="4">
        <v>810.79</v>
      </c>
      <c r="D3040">
        <f t="shared" si="50"/>
        <v>7.1135795056539575</v>
      </c>
      <c r="E3040">
        <v>-3.9801972900261884E-3</v>
      </c>
    </row>
    <row r="3041" spans="2:5" x14ac:dyDescent="0.35">
      <c r="B3041" s="2">
        <v>40449</v>
      </c>
      <c r="C3041" s="4">
        <v>99.93</v>
      </c>
      <c r="D3041">
        <f t="shared" si="50"/>
        <v>-0.880263126362961</v>
      </c>
      <c r="E3041">
        <v>-3.986843416724728E-3</v>
      </c>
    </row>
    <row r="3042" spans="2:5" x14ac:dyDescent="0.35">
      <c r="B3042" s="2">
        <v>42310</v>
      </c>
      <c r="C3042" s="4">
        <v>834.58</v>
      </c>
      <c r="D3042">
        <f t="shared" si="50"/>
        <v>9.1703631489154276</v>
      </c>
      <c r="E3042">
        <v>-3.9979473225686402E-3</v>
      </c>
    </row>
    <row r="3043" spans="2:5" x14ac:dyDescent="0.35">
      <c r="B3043" s="2">
        <v>41373</v>
      </c>
      <c r="C3043" s="4">
        <v>82.06</v>
      </c>
      <c r="D3043">
        <f t="shared" si="50"/>
        <v>6.4746334501103009E-2</v>
      </c>
      <c r="E3043">
        <v>-4.0053404539385218E-3</v>
      </c>
    </row>
    <row r="3044" spans="2:5" x14ac:dyDescent="0.35">
      <c r="B3044" s="2">
        <v>41529</v>
      </c>
      <c r="C3044" s="4">
        <v>77.069999999999993</v>
      </c>
      <c r="D3044">
        <f t="shared" si="50"/>
        <v>-0.87381088825214903</v>
      </c>
      <c r="E3044">
        <v>-4.0062031532696052E-3</v>
      </c>
    </row>
    <row r="3045" spans="2:5" x14ac:dyDescent="0.35">
      <c r="B3045" s="2">
        <v>42657</v>
      </c>
      <c r="C3045" s="4">
        <v>610.75</v>
      </c>
      <c r="D3045">
        <f t="shared" si="50"/>
        <v>-0.7725749394898529</v>
      </c>
      <c r="E3045">
        <v>-4.0116762609873069E-3</v>
      </c>
    </row>
    <row r="3046" spans="2:5" x14ac:dyDescent="0.35">
      <c r="B3046" s="2">
        <v>44270</v>
      </c>
      <c r="C3046" s="4">
        <v>2685.5</v>
      </c>
      <c r="D3046">
        <f t="shared" si="50"/>
        <v>8.1921957898339901</v>
      </c>
      <c r="E3046">
        <v>-4.0165706719874628E-3</v>
      </c>
    </row>
    <row r="3047" spans="2:5" x14ac:dyDescent="0.35">
      <c r="B3047" s="2">
        <v>42012</v>
      </c>
      <c r="C3047" s="4">
        <v>292.14999999999998</v>
      </c>
      <c r="D3047">
        <f t="shared" si="50"/>
        <v>-0.66244165087581464</v>
      </c>
      <c r="E3047">
        <v>-4.0227729860566885E-3</v>
      </c>
    </row>
    <row r="3048" spans="2:5" x14ac:dyDescent="0.35">
      <c r="B3048" s="2">
        <v>42271</v>
      </c>
      <c r="C3048" s="4">
        <v>865.48</v>
      </c>
      <c r="D3048">
        <f t="shared" si="50"/>
        <v>15.733952049497294</v>
      </c>
      <c r="E3048">
        <v>-4.0391719122199188E-3</v>
      </c>
    </row>
    <row r="3049" spans="2:5" x14ac:dyDescent="0.35">
      <c r="B3049" s="2">
        <v>38322</v>
      </c>
      <c r="C3049" s="4">
        <v>51.72</v>
      </c>
      <c r="D3049">
        <f t="shared" si="50"/>
        <v>0.91060214259327665</v>
      </c>
      <c r="E3049">
        <v>-4.0439052570768741E-3</v>
      </c>
    </row>
    <row r="3050" spans="2:5" x14ac:dyDescent="0.35">
      <c r="B3050" s="2">
        <v>38085</v>
      </c>
      <c r="C3050" s="4">
        <v>27.07</v>
      </c>
      <c r="D3050">
        <f t="shared" si="50"/>
        <v>-0.64344046364594309</v>
      </c>
      <c r="E3050">
        <v>-4.0470934510669077E-3</v>
      </c>
    </row>
    <row r="3051" spans="2:5" x14ac:dyDescent="0.35">
      <c r="B3051" s="2">
        <v>41512</v>
      </c>
      <c r="C3051" s="4">
        <v>75.92</v>
      </c>
      <c r="D3051">
        <f t="shared" si="50"/>
        <v>-0.91124205013093906</v>
      </c>
      <c r="E3051">
        <v>-4.0666404302768244E-3</v>
      </c>
    </row>
    <row r="3052" spans="2:5" x14ac:dyDescent="0.35">
      <c r="B3052" s="2">
        <v>43083</v>
      </c>
      <c r="C3052" s="4">
        <v>855.36</v>
      </c>
      <c r="D3052">
        <f t="shared" si="50"/>
        <v>28.173260572987722</v>
      </c>
      <c r="E3052">
        <v>-4.0751694106140324E-3</v>
      </c>
    </row>
    <row r="3053" spans="2:5" x14ac:dyDescent="0.35">
      <c r="B3053" s="2">
        <v>38049</v>
      </c>
      <c r="C3053" s="4">
        <v>29.32</v>
      </c>
      <c r="D3053">
        <f t="shared" si="50"/>
        <v>-0.94946744338354416</v>
      </c>
      <c r="E3053">
        <v>-4.0760869565217295E-3</v>
      </c>
    </row>
    <row r="3054" spans="2:5" x14ac:dyDescent="0.35">
      <c r="B3054" s="2">
        <v>42703</v>
      </c>
      <c r="C3054" s="4">
        <v>580.22</v>
      </c>
      <c r="D3054">
        <f t="shared" si="50"/>
        <v>-0.1039488517906505</v>
      </c>
      <c r="E3054">
        <v>-4.0851355990387805E-3</v>
      </c>
    </row>
    <row r="3055" spans="2:5" x14ac:dyDescent="0.35">
      <c r="B3055" s="2">
        <v>42748</v>
      </c>
      <c r="C3055" s="4">
        <v>647.53</v>
      </c>
      <c r="D3055">
        <f t="shared" si="50"/>
        <v>9.6694677871148453</v>
      </c>
      <c r="E3055">
        <v>-4.0911118288501358E-3</v>
      </c>
    </row>
    <row r="3056" spans="2:5" x14ac:dyDescent="0.35">
      <c r="B3056" s="2">
        <v>39525</v>
      </c>
      <c r="C3056" s="4">
        <v>60.69</v>
      </c>
      <c r="D3056">
        <f t="shared" si="50"/>
        <v>-0.10697469099470269</v>
      </c>
      <c r="E3056">
        <v>-4.1023957991467297E-3</v>
      </c>
    </row>
    <row r="3057" spans="2:5" x14ac:dyDescent="0.35">
      <c r="B3057" s="2">
        <v>40099</v>
      </c>
      <c r="C3057" s="4">
        <v>67.959999999999994</v>
      </c>
      <c r="D3057">
        <f t="shared" si="50"/>
        <v>0.76244813278008272</v>
      </c>
      <c r="E3057">
        <v>-4.1031652989449441E-3</v>
      </c>
    </row>
    <row r="3058" spans="2:5" x14ac:dyDescent="0.35">
      <c r="B3058" s="2">
        <v>38000</v>
      </c>
      <c r="C3058" s="4">
        <v>38.56</v>
      </c>
      <c r="D3058">
        <f t="shared" si="50"/>
        <v>-0.94982172136480758</v>
      </c>
      <c r="E3058">
        <v>-4.1322314049585529E-3</v>
      </c>
    </row>
    <row r="3059" spans="2:5" x14ac:dyDescent="0.35">
      <c r="B3059" s="2">
        <v>42593</v>
      </c>
      <c r="C3059" s="4">
        <v>768.46</v>
      </c>
      <c r="D3059">
        <f t="shared" si="50"/>
        <v>7.3993879112471319</v>
      </c>
      <c r="E3059">
        <v>-4.1339985744831553E-3</v>
      </c>
    </row>
    <row r="3060" spans="2:5" x14ac:dyDescent="0.35">
      <c r="B3060" s="2">
        <v>41087</v>
      </c>
      <c r="C3060" s="4">
        <v>91.49</v>
      </c>
      <c r="D3060">
        <f t="shared" si="50"/>
        <v>-0.15427990386393053</v>
      </c>
      <c r="E3060">
        <v>-4.1362795254165086E-3</v>
      </c>
    </row>
    <row r="3061" spans="2:5" x14ac:dyDescent="0.35">
      <c r="B3061" s="2">
        <v>39356</v>
      </c>
      <c r="C3061" s="4">
        <v>108.18</v>
      </c>
      <c r="D3061">
        <f t="shared" si="50"/>
        <v>7.278857596192001E-2</v>
      </c>
      <c r="E3061">
        <v>-4.1425020712508864E-3</v>
      </c>
    </row>
    <row r="3062" spans="2:5" x14ac:dyDescent="0.35">
      <c r="B3062" s="2">
        <v>40751</v>
      </c>
      <c r="C3062" s="4">
        <v>100.84</v>
      </c>
      <c r="D3062">
        <f t="shared" si="50"/>
        <v>-0.85157054961876999</v>
      </c>
      <c r="E3062">
        <v>-4.1477384949635265E-3</v>
      </c>
    </row>
    <row r="3063" spans="2:5" x14ac:dyDescent="0.35">
      <c r="B3063" s="2">
        <v>42772</v>
      </c>
      <c r="C3063" s="4">
        <v>679.38</v>
      </c>
      <c r="D3063">
        <f t="shared" si="50"/>
        <v>12.498509835088417</v>
      </c>
      <c r="E3063">
        <v>-4.1482827868252192E-3</v>
      </c>
    </row>
    <row r="3064" spans="2:5" x14ac:dyDescent="0.35">
      <c r="B3064" s="2">
        <v>38257</v>
      </c>
      <c r="C3064" s="4">
        <v>50.33</v>
      </c>
      <c r="D3064">
        <f t="shared" si="50"/>
        <v>-0.71184014657047978</v>
      </c>
      <c r="E3064">
        <v>-4.1551246537396835E-3</v>
      </c>
    </row>
    <row r="3065" spans="2:5" x14ac:dyDescent="0.35">
      <c r="B3065" s="2">
        <v>41648</v>
      </c>
      <c r="C3065" s="4">
        <v>174.66</v>
      </c>
      <c r="D3065">
        <f t="shared" si="50"/>
        <v>0.78406537282941757</v>
      </c>
      <c r="E3065">
        <v>-4.1621529163577975E-3</v>
      </c>
    </row>
    <row r="3066" spans="2:5" x14ac:dyDescent="0.35">
      <c r="B3066" s="2">
        <v>40427</v>
      </c>
      <c r="C3066" s="4">
        <v>97.9</v>
      </c>
      <c r="D3066">
        <f t="shared" si="50"/>
        <v>0.52349828820417055</v>
      </c>
      <c r="E3066">
        <v>-4.1704811311158441E-3</v>
      </c>
    </row>
    <row r="3067" spans="2:5" x14ac:dyDescent="0.35">
      <c r="B3067" s="2">
        <v>38798</v>
      </c>
      <c r="C3067" s="4">
        <v>64.260000000000005</v>
      </c>
      <c r="D3067">
        <f t="shared" si="50"/>
        <v>-0.982180837051436</v>
      </c>
      <c r="E3067">
        <v>-4.1841004184099972E-3</v>
      </c>
    </row>
    <row r="3068" spans="2:5" x14ac:dyDescent="0.35">
      <c r="B3068" s="2">
        <v>44368</v>
      </c>
      <c r="C3068" s="4">
        <v>3606.23</v>
      </c>
      <c r="D3068">
        <f t="shared" si="50"/>
        <v>38.181116905693173</v>
      </c>
      <c r="E3068">
        <v>-4.2164848819550294E-3</v>
      </c>
    </row>
    <row r="3069" spans="2:5" x14ac:dyDescent="0.35">
      <c r="B3069" s="2">
        <v>41239</v>
      </c>
      <c r="C3069" s="4">
        <v>92.04</v>
      </c>
      <c r="D3069">
        <f t="shared" si="50"/>
        <v>0.14849014225106072</v>
      </c>
      <c r="E3069">
        <v>-4.2194092827004814E-3</v>
      </c>
    </row>
    <row r="3070" spans="2:5" x14ac:dyDescent="0.35">
      <c r="B3070" s="2">
        <v>41444</v>
      </c>
      <c r="C3070" s="4">
        <v>80.14</v>
      </c>
      <c r="D3070">
        <f t="shared" si="50"/>
        <v>-0.98826088548723767</v>
      </c>
      <c r="E3070">
        <v>-4.2246520874752447E-3</v>
      </c>
    </row>
    <row r="3071" spans="2:5" x14ac:dyDescent="0.35">
      <c r="B3071" s="2">
        <v>44887</v>
      </c>
      <c r="C3071" s="4">
        <v>6826.75</v>
      </c>
      <c r="D3071">
        <f t="shared" si="50"/>
        <v>59.467227635075282</v>
      </c>
      <c r="E3071">
        <v>-4.2300258906756705E-3</v>
      </c>
    </row>
    <row r="3072" spans="2:5" x14ac:dyDescent="0.35">
      <c r="B3072" s="2">
        <v>40372</v>
      </c>
      <c r="C3072" s="4">
        <v>112.9</v>
      </c>
      <c r="D3072">
        <f t="shared" si="50"/>
        <v>0.23092019188835589</v>
      </c>
      <c r="E3072">
        <v>-4.2335508908095676E-3</v>
      </c>
    </row>
    <row r="3073" spans="2:5" x14ac:dyDescent="0.35">
      <c r="B3073" s="2">
        <v>41157</v>
      </c>
      <c r="C3073" s="4">
        <v>91.72</v>
      </c>
      <c r="D3073">
        <f t="shared" si="50"/>
        <v>-9.2150846283282184E-2</v>
      </c>
      <c r="E3073">
        <v>-4.2340679622191457E-3</v>
      </c>
    </row>
    <row r="3074" spans="2:5" x14ac:dyDescent="0.35">
      <c r="B3074" s="2">
        <v>40443</v>
      </c>
      <c r="C3074" s="4">
        <v>101.03</v>
      </c>
      <c r="D3074">
        <f t="shared" si="50"/>
        <v>3.3064791133844844</v>
      </c>
      <c r="E3074">
        <v>-4.2381233983834754E-3</v>
      </c>
    </row>
    <row r="3075" spans="2:5" x14ac:dyDescent="0.35">
      <c r="B3075" s="2">
        <v>37796</v>
      </c>
      <c r="C3075" s="4">
        <v>23.46</v>
      </c>
      <c r="D3075">
        <f t="shared" si="50"/>
        <v>-0.54464285714285721</v>
      </c>
      <c r="E3075">
        <v>-4.2444821731747462E-3</v>
      </c>
    </row>
    <row r="3076" spans="2:5" x14ac:dyDescent="0.35">
      <c r="B3076" s="2">
        <v>38882</v>
      </c>
      <c r="C3076" s="4">
        <v>51.52</v>
      </c>
      <c r="D3076">
        <f t="shared" ref="D3076:D3139" si="51">C3076/C3077-1</f>
        <v>-0.93401216778738394</v>
      </c>
      <c r="E3076">
        <v>-4.2520293776574514E-3</v>
      </c>
    </row>
    <row r="3077" spans="2:5" x14ac:dyDescent="0.35">
      <c r="B3077" s="2">
        <v>42935</v>
      </c>
      <c r="C3077" s="4">
        <v>780.75</v>
      </c>
      <c r="D3077">
        <f t="shared" si="51"/>
        <v>-0.86636805225124691</v>
      </c>
      <c r="E3077">
        <v>-4.2597150837276887E-3</v>
      </c>
    </row>
    <row r="3078" spans="2:5" x14ac:dyDescent="0.35">
      <c r="B3078" s="2">
        <v>44498</v>
      </c>
      <c r="C3078" s="4">
        <v>5842.54</v>
      </c>
      <c r="D3078">
        <f t="shared" si="51"/>
        <v>57.320423238171287</v>
      </c>
      <c r="E3078">
        <v>-4.2726084385293905E-3</v>
      </c>
    </row>
    <row r="3079" spans="2:5" x14ac:dyDescent="0.35">
      <c r="B3079" s="2">
        <v>40171</v>
      </c>
      <c r="C3079" s="4">
        <v>100.18</v>
      </c>
      <c r="D3079">
        <f t="shared" si="51"/>
        <v>-4.3445049174066663E-2</v>
      </c>
      <c r="E3079">
        <v>-4.2739290328992485E-3</v>
      </c>
    </row>
    <row r="3080" spans="2:5" x14ac:dyDescent="0.35">
      <c r="B3080" s="2">
        <v>40388</v>
      </c>
      <c r="C3080" s="4">
        <v>104.73</v>
      </c>
      <c r="D3080">
        <f t="shared" si="51"/>
        <v>7.980204144757197E-2</v>
      </c>
      <c r="E3080">
        <v>-4.2783799201369099E-3</v>
      </c>
    </row>
    <row r="3081" spans="2:5" x14ac:dyDescent="0.35">
      <c r="B3081" s="2">
        <v>40758</v>
      </c>
      <c r="C3081" s="4">
        <v>96.99</v>
      </c>
      <c r="D3081">
        <f t="shared" si="51"/>
        <v>1.0014444903012794</v>
      </c>
      <c r="E3081">
        <v>-4.3116723129041912E-3</v>
      </c>
    </row>
    <row r="3082" spans="2:5" x14ac:dyDescent="0.35">
      <c r="B3082" s="2">
        <v>40007</v>
      </c>
      <c r="C3082" s="4">
        <v>48.46</v>
      </c>
      <c r="D3082">
        <f t="shared" si="51"/>
        <v>-0.58725832552593471</v>
      </c>
      <c r="E3082">
        <v>-4.3147729607561081E-3</v>
      </c>
    </row>
    <row r="3083" spans="2:5" x14ac:dyDescent="0.35">
      <c r="B3083" s="2">
        <v>39283</v>
      </c>
      <c r="C3083" s="4">
        <v>117.41</v>
      </c>
      <c r="D3083">
        <f t="shared" si="51"/>
        <v>-0.9803720631651448</v>
      </c>
      <c r="E3083">
        <v>-4.3249660786974786E-3</v>
      </c>
    </row>
    <row r="3084" spans="2:5" x14ac:dyDescent="0.35">
      <c r="B3084" s="2">
        <v>44524</v>
      </c>
      <c r="C3084" s="4">
        <v>5981.78</v>
      </c>
      <c r="D3084">
        <f t="shared" si="51"/>
        <v>63.02418923258054</v>
      </c>
      <c r="E3084">
        <v>-4.3393227194421513E-3</v>
      </c>
    </row>
    <row r="3085" spans="2:5" x14ac:dyDescent="0.35">
      <c r="B3085" s="2">
        <v>39127</v>
      </c>
      <c r="C3085" s="4">
        <v>93.43</v>
      </c>
      <c r="D3085">
        <f t="shared" si="51"/>
        <v>0.24258545019284483</v>
      </c>
      <c r="E3085">
        <v>-4.3691389599317398E-3</v>
      </c>
    </row>
    <row r="3086" spans="2:5" x14ac:dyDescent="0.35">
      <c r="B3086" s="2">
        <v>41506</v>
      </c>
      <c r="C3086" s="4">
        <v>75.19</v>
      </c>
      <c r="D3086">
        <f t="shared" si="51"/>
        <v>-0.89991347753743756</v>
      </c>
      <c r="E3086">
        <v>-4.3697033898304483E-3</v>
      </c>
    </row>
    <row r="3087" spans="2:5" x14ac:dyDescent="0.35">
      <c r="B3087" s="2">
        <v>42585</v>
      </c>
      <c r="C3087" s="4">
        <v>751.25</v>
      </c>
      <c r="D3087">
        <f t="shared" si="51"/>
        <v>10.43455098934551</v>
      </c>
      <c r="E3087">
        <v>-4.3866624257844489E-3</v>
      </c>
    </row>
    <row r="3088" spans="2:5" x14ac:dyDescent="0.35">
      <c r="B3088" s="2">
        <v>38807</v>
      </c>
      <c r="C3088" s="4">
        <v>65.7</v>
      </c>
      <c r="D3088">
        <f t="shared" si="51"/>
        <v>1.2331747110808973</v>
      </c>
      <c r="E3088">
        <v>-4.3946052432185523E-3</v>
      </c>
    </row>
    <row r="3089" spans="2:5" x14ac:dyDescent="0.35">
      <c r="B3089" s="2">
        <v>37630</v>
      </c>
      <c r="C3089" s="4">
        <v>29.42</v>
      </c>
      <c r="D3089">
        <f t="shared" si="51"/>
        <v>-0.53456731529821222</v>
      </c>
      <c r="E3089">
        <v>-4.3993231810490752E-3</v>
      </c>
    </row>
    <row r="3090" spans="2:5" x14ac:dyDescent="0.35">
      <c r="B3090" s="2">
        <v>39661</v>
      </c>
      <c r="C3090" s="4">
        <v>63.21</v>
      </c>
      <c r="D3090">
        <f t="shared" si="51"/>
        <v>0.2183885890516577</v>
      </c>
      <c r="E3090">
        <v>-4.4101433296582782E-3</v>
      </c>
    </row>
    <row r="3091" spans="2:5" x14ac:dyDescent="0.35">
      <c r="B3091" s="2">
        <v>38320</v>
      </c>
      <c r="C3091" s="4">
        <v>51.88</v>
      </c>
      <c r="D3091">
        <f t="shared" si="51"/>
        <v>-0.47622412922766277</v>
      </c>
      <c r="E3091">
        <v>-4.4137401650354846E-3</v>
      </c>
    </row>
    <row r="3092" spans="2:5" x14ac:dyDescent="0.35">
      <c r="B3092" s="2">
        <v>40756</v>
      </c>
      <c r="C3092" s="4">
        <v>99.05</v>
      </c>
      <c r="D3092">
        <f t="shared" si="51"/>
        <v>-0.87402546199142783</v>
      </c>
      <c r="E3092">
        <v>-4.422555030656361E-3</v>
      </c>
    </row>
    <row r="3093" spans="2:5" x14ac:dyDescent="0.35">
      <c r="B3093" s="2">
        <v>42937</v>
      </c>
      <c r="C3093" s="4">
        <v>786.27</v>
      </c>
      <c r="D3093">
        <f t="shared" si="51"/>
        <v>2.869824749368588E-3</v>
      </c>
      <c r="E3093">
        <v>-4.4316699798675474E-3</v>
      </c>
    </row>
    <row r="3094" spans="2:5" x14ac:dyDescent="0.35">
      <c r="B3094" s="2">
        <v>43780</v>
      </c>
      <c r="C3094" s="4">
        <v>784.02</v>
      </c>
      <c r="D3094">
        <f t="shared" si="51"/>
        <v>0.18274800868935559</v>
      </c>
      <c r="E3094">
        <v>-4.4316897563205782E-3</v>
      </c>
    </row>
    <row r="3095" spans="2:5" x14ac:dyDescent="0.35">
      <c r="B3095" s="2">
        <v>43735</v>
      </c>
      <c r="C3095" s="4">
        <v>662.88</v>
      </c>
      <c r="D3095">
        <f t="shared" si="51"/>
        <v>-0.86640143659570357</v>
      </c>
      <c r="E3095">
        <v>-4.4455124354200182E-3</v>
      </c>
    </row>
    <row r="3096" spans="2:5" x14ac:dyDescent="0.35">
      <c r="B3096" s="2">
        <v>44453</v>
      </c>
      <c r="C3096" s="4">
        <v>4961.7299999999996</v>
      </c>
      <c r="D3096">
        <f t="shared" si="51"/>
        <v>-0.20649773306999097</v>
      </c>
      <c r="E3096">
        <v>-4.4523186568004025E-3</v>
      </c>
    </row>
    <row r="3097" spans="2:5" x14ac:dyDescent="0.35">
      <c r="B3097" s="2">
        <v>45040</v>
      </c>
      <c r="C3097" s="4">
        <v>6252.95</v>
      </c>
      <c r="D3097">
        <f t="shared" si="51"/>
        <v>62.968797953964192</v>
      </c>
      <c r="E3097">
        <v>-4.4658493870403104E-3</v>
      </c>
    </row>
    <row r="3098" spans="2:5" x14ac:dyDescent="0.35">
      <c r="B3098" s="2">
        <v>41172</v>
      </c>
      <c r="C3098" s="4">
        <v>97.75</v>
      </c>
      <c r="D3098">
        <f t="shared" si="51"/>
        <v>-0.97227209934956449</v>
      </c>
      <c r="E3098">
        <v>-4.4811080558101457E-3</v>
      </c>
    </row>
    <row r="3099" spans="2:5" x14ac:dyDescent="0.35">
      <c r="B3099" s="2">
        <v>44341</v>
      </c>
      <c r="C3099" s="4">
        <v>3525.33</v>
      </c>
      <c r="D3099">
        <f t="shared" si="51"/>
        <v>36.097021993054824</v>
      </c>
      <c r="E3099">
        <v>-4.4927765415503362E-3</v>
      </c>
    </row>
    <row r="3100" spans="2:5" x14ac:dyDescent="0.35">
      <c r="B3100" s="2">
        <v>41222</v>
      </c>
      <c r="C3100" s="4">
        <v>95.03</v>
      </c>
      <c r="D3100">
        <f t="shared" si="51"/>
        <v>3.3</v>
      </c>
      <c r="E3100">
        <v>-4.5045045045044585E-3</v>
      </c>
    </row>
    <row r="3101" spans="2:5" x14ac:dyDescent="0.35">
      <c r="B3101" s="2">
        <v>37707</v>
      </c>
      <c r="C3101" s="4">
        <v>22.1</v>
      </c>
      <c r="D3101">
        <f t="shared" si="51"/>
        <v>-0.70442690918817696</v>
      </c>
      <c r="E3101">
        <v>-4.5045045045044585E-3</v>
      </c>
    </row>
    <row r="3102" spans="2:5" x14ac:dyDescent="0.35">
      <c r="B3102" s="2">
        <v>38698</v>
      </c>
      <c r="C3102" s="4">
        <v>74.77</v>
      </c>
      <c r="D3102">
        <f t="shared" si="51"/>
        <v>-0.97987581518155364</v>
      </c>
      <c r="E3102">
        <v>-4.5266941818666862E-3</v>
      </c>
    </row>
    <row r="3103" spans="2:5" x14ac:dyDescent="0.35">
      <c r="B3103" s="2">
        <v>44364</v>
      </c>
      <c r="C3103" s="4">
        <v>3715.43</v>
      </c>
      <c r="D3103">
        <f t="shared" si="51"/>
        <v>0.46471682790484969</v>
      </c>
      <c r="E3103">
        <v>-4.5573405064783801E-3</v>
      </c>
    </row>
    <row r="3104" spans="2:5" x14ac:dyDescent="0.35">
      <c r="B3104" s="2">
        <v>44218</v>
      </c>
      <c r="C3104" s="4">
        <v>2536.62</v>
      </c>
      <c r="D3104">
        <f t="shared" si="51"/>
        <v>2.3160598731943263</v>
      </c>
      <c r="E3104">
        <v>-4.5600100461494764E-3</v>
      </c>
    </row>
    <row r="3105" spans="2:5" x14ac:dyDescent="0.35">
      <c r="B3105" s="2">
        <v>42594</v>
      </c>
      <c r="C3105" s="4">
        <v>764.95</v>
      </c>
      <c r="D3105">
        <f t="shared" si="51"/>
        <v>0.13324247048191884</v>
      </c>
      <c r="E3105">
        <v>-4.567576711865251E-3</v>
      </c>
    </row>
    <row r="3106" spans="2:5" x14ac:dyDescent="0.35">
      <c r="B3106" s="2">
        <v>42783</v>
      </c>
      <c r="C3106" s="4">
        <v>675.01</v>
      </c>
      <c r="D3106">
        <f t="shared" si="51"/>
        <v>10.094838921761998</v>
      </c>
      <c r="E3106">
        <v>-4.5715296928227067E-3</v>
      </c>
    </row>
    <row r="3107" spans="2:5" x14ac:dyDescent="0.35">
      <c r="B3107" s="2">
        <v>39680</v>
      </c>
      <c r="C3107" s="4">
        <v>60.84</v>
      </c>
      <c r="D3107">
        <f t="shared" si="51"/>
        <v>-0.99027723620371144</v>
      </c>
      <c r="E3107">
        <v>-4.5811518324606615E-3</v>
      </c>
    </row>
    <row r="3108" spans="2:5" x14ac:dyDescent="0.35">
      <c r="B3108" s="2">
        <v>44488</v>
      </c>
      <c r="C3108" s="4">
        <v>6257.48</v>
      </c>
      <c r="D3108">
        <f t="shared" si="51"/>
        <v>73.061782459462663</v>
      </c>
      <c r="E3108">
        <v>-4.5814058552912096E-3</v>
      </c>
    </row>
    <row r="3109" spans="2:5" x14ac:dyDescent="0.35">
      <c r="B3109" s="2">
        <v>41400</v>
      </c>
      <c r="C3109" s="4">
        <v>84.49</v>
      </c>
      <c r="D3109">
        <f t="shared" si="51"/>
        <v>0.18366489212664616</v>
      </c>
      <c r="E3109">
        <v>-4.5947219604146605E-3</v>
      </c>
    </row>
    <row r="3110" spans="2:5" x14ac:dyDescent="0.35">
      <c r="B3110" s="2">
        <v>38730</v>
      </c>
      <c r="C3110" s="4">
        <v>71.38</v>
      </c>
      <c r="D3110">
        <f t="shared" si="51"/>
        <v>0.18120139003806046</v>
      </c>
      <c r="E3110">
        <v>-4.6018686375679518E-3</v>
      </c>
    </row>
    <row r="3111" spans="2:5" x14ac:dyDescent="0.35">
      <c r="B3111" s="2">
        <v>39686</v>
      </c>
      <c r="C3111" s="4">
        <v>60.43</v>
      </c>
      <c r="D3111">
        <f t="shared" si="51"/>
        <v>-0.92741402712214571</v>
      </c>
      <c r="E3111">
        <v>-4.6120902651951567E-3</v>
      </c>
    </row>
    <row r="3112" spans="2:5" x14ac:dyDescent="0.35">
      <c r="B3112" s="2">
        <v>43615</v>
      </c>
      <c r="C3112" s="4">
        <v>832.53</v>
      </c>
      <c r="D3112">
        <f t="shared" si="51"/>
        <v>11.873511674655944</v>
      </c>
      <c r="E3112">
        <v>-4.6150719162113552E-3</v>
      </c>
    </row>
    <row r="3113" spans="2:5" x14ac:dyDescent="0.35">
      <c r="B3113" s="2">
        <v>38790</v>
      </c>
      <c r="C3113" s="4">
        <v>64.67</v>
      </c>
      <c r="D3113">
        <f t="shared" si="51"/>
        <v>0.21446009389671361</v>
      </c>
      <c r="E3113">
        <v>-4.6175157765121488E-3</v>
      </c>
    </row>
    <row r="3114" spans="2:5" x14ac:dyDescent="0.35">
      <c r="B3114" s="2">
        <v>38348</v>
      </c>
      <c r="C3114" s="4">
        <v>53.25</v>
      </c>
      <c r="D3114">
        <f t="shared" si="51"/>
        <v>1.5070621468926557</v>
      </c>
      <c r="E3114">
        <v>-4.6728971962616273E-3</v>
      </c>
    </row>
    <row r="3115" spans="2:5" x14ac:dyDescent="0.35">
      <c r="B3115" s="2">
        <v>37749</v>
      </c>
      <c r="C3115" s="4">
        <v>21.24</v>
      </c>
      <c r="D3115">
        <f t="shared" si="51"/>
        <v>-0.76102610261026105</v>
      </c>
      <c r="E3115">
        <v>-4.6860356138707093E-3</v>
      </c>
    </row>
    <row r="3116" spans="2:5" x14ac:dyDescent="0.35">
      <c r="B3116" s="2">
        <v>41471</v>
      </c>
      <c r="C3116" s="4">
        <v>88.88</v>
      </c>
      <c r="D3116">
        <f t="shared" si="51"/>
        <v>-0.90812012198273639</v>
      </c>
      <c r="E3116">
        <v>-4.7032474804031832E-3</v>
      </c>
    </row>
    <row r="3117" spans="2:5" x14ac:dyDescent="0.35">
      <c r="B3117" s="2">
        <v>42408</v>
      </c>
      <c r="C3117" s="4">
        <v>967.35</v>
      </c>
      <c r="D3117">
        <f t="shared" si="51"/>
        <v>-3.1216199975964365E-2</v>
      </c>
      <c r="E3117">
        <v>-4.7225137354157676E-3</v>
      </c>
    </row>
    <row r="3118" spans="2:5" x14ac:dyDescent="0.35">
      <c r="B3118" s="2">
        <v>42354</v>
      </c>
      <c r="C3118" s="4">
        <v>998.52</v>
      </c>
      <c r="D3118">
        <f t="shared" si="51"/>
        <v>-2.1385885315691189E-3</v>
      </c>
      <c r="E3118">
        <v>-4.7543581616481534E-3</v>
      </c>
    </row>
    <row r="3119" spans="2:5" x14ac:dyDescent="0.35">
      <c r="B3119" s="2">
        <v>43868</v>
      </c>
      <c r="C3119" s="4">
        <v>1000.66</v>
      </c>
      <c r="D3119">
        <f t="shared" si="51"/>
        <v>15.002878618263232</v>
      </c>
      <c r="E3119">
        <v>-4.7739343186203875E-3</v>
      </c>
    </row>
    <row r="3120" spans="2:5" x14ac:dyDescent="0.35">
      <c r="B3120" s="2">
        <v>39673</v>
      </c>
      <c r="C3120" s="4">
        <v>62.53</v>
      </c>
      <c r="D3120">
        <f t="shared" si="51"/>
        <v>-3.1443618339529134E-2</v>
      </c>
      <c r="E3120">
        <v>-4.7747891134807263E-3</v>
      </c>
    </row>
    <row r="3121" spans="2:5" x14ac:dyDescent="0.35">
      <c r="B3121" s="2">
        <v>40053</v>
      </c>
      <c r="C3121" s="4">
        <v>64.56</v>
      </c>
      <c r="D3121">
        <f t="shared" si="51"/>
        <v>-0.91453760821794494</v>
      </c>
      <c r="E3121">
        <v>-4.7787883459226022E-3</v>
      </c>
    </row>
    <row r="3122" spans="2:5" x14ac:dyDescent="0.35">
      <c r="B3122" s="2">
        <v>42600</v>
      </c>
      <c r="C3122" s="4">
        <v>755.42</v>
      </c>
      <c r="D3122">
        <f t="shared" si="51"/>
        <v>8.0872127992301213</v>
      </c>
      <c r="E3122">
        <v>-4.7822936565443674E-3</v>
      </c>
    </row>
    <row r="3123" spans="2:5" x14ac:dyDescent="0.35">
      <c r="B3123" s="2">
        <v>41554</v>
      </c>
      <c r="C3123" s="4">
        <v>83.13</v>
      </c>
      <c r="D3123">
        <f t="shared" si="51"/>
        <v>-0.14528069093152385</v>
      </c>
      <c r="E3123">
        <v>-4.7886986711361823E-3</v>
      </c>
    </row>
    <row r="3124" spans="2:5" x14ac:dyDescent="0.35">
      <c r="B3124" s="2">
        <v>41180</v>
      </c>
      <c r="C3124" s="4">
        <v>97.26</v>
      </c>
      <c r="D3124">
        <f t="shared" si="51"/>
        <v>0.14788150596010863</v>
      </c>
      <c r="E3124">
        <v>-4.8091681162386601E-3</v>
      </c>
    </row>
    <row r="3125" spans="2:5" x14ac:dyDescent="0.35">
      <c r="B3125" s="2">
        <v>41403</v>
      </c>
      <c r="C3125" s="4">
        <v>84.73</v>
      </c>
      <c r="D3125">
        <f t="shared" si="51"/>
        <v>-0.10791745630659089</v>
      </c>
      <c r="E3125">
        <v>-4.815597838853658E-3</v>
      </c>
    </row>
    <row r="3126" spans="2:5" x14ac:dyDescent="0.35">
      <c r="B3126" s="2">
        <v>41138</v>
      </c>
      <c r="C3126" s="4">
        <v>94.98</v>
      </c>
      <c r="D3126">
        <f t="shared" si="51"/>
        <v>-0.86794026862434304</v>
      </c>
      <c r="E3126">
        <v>-4.8197820620284881E-3</v>
      </c>
    </row>
    <row r="3127" spans="2:5" x14ac:dyDescent="0.35">
      <c r="B3127" s="2">
        <v>42873</v>
      </c>
      <c r="C3127" s="4">
        <v>719.22</v>
      </c>
      <c r="D3127">
        <f t="shared" si="51"/>
        <v>5.5916964531207043</v>
      </c>
      <c r="E3127">
        <v>-4.829046228777778E-3</v>
      </c>
    </row>
    <row r="3128" spans="2:5" x14ac:dyDescent="0.35">
      <c r="B3128" s="2">
        <v>40568</v>
      </c>
      <c r="C3128" s="4">
        <v>109.11</v>
      </c>
      <c r="D3128">
        <f t="shared" si="51"/>
        <v>-0.82676002667428794</v>
      </c>
      <c r="E3128">
        <v>-4.8340021889821116E-3</v>
      </c>
    </row>
    <row r="3129" spans="2:5" x14ac:dyDescent="0.35">
      <c r="B3129" s="2">
        <v>43705</v>
      </c>
      <c r="C3129" s="4">
        <v>629.82000000000005</v>
      </c>
      <c r="D3129">
        <f t="shared" si="51"/>
        <v>1.2714223889209468</v>
      </c>
      <c r="E3129">
        <v>-4.8350398179748399E-3</v>
      </c>
    </row>
    <row r="3130" spans="2:5" x14ac:dyDescent="0.35">
      <c r="B3130" s="2">
        <v>41975</v>
      </c>
      <c r="C3130" s="4">
        <v>277.27999999999997</v>
      </c>
      <c r="D3130">
        <f t="shared" si="51"/>
        <v>4.4050682261208571</v>
      </c>
      <c r="E3130">
        <v>-4.8451351254352737E-3</v>
      </c>
    </row>
    <row r="3131" spans="2:5" x14ac:dyDescent="0.35">
      <c r="B3131" s="2">
        <v>38352</v>
      </c>
      <c r="C3131" s="4">
        <v>51.3</v>
      </c>
      <c r="D3131">
        <f t="shared" si="51"/>
        <v>-0.93120188826006489</v>
      </c>
      <c r="E3131">
        <v>-4.8496605237633439E-3</v>
      </c>
    </row>
    <row r="3132" spans="2:5" x14ac:dyDescent="0.35">
      <c r="B3132" s="2">
        <v>43012</v>
      </c>
      <c r="C3132" s="4">
        <v>745.66</v>
      </c>
      <c r="D3132">
        <f t="shared" si="51"/>
        <v>11.181996405816042</v>
      </c>
      <c r="E3132">
        <v>-4.857867342853317E-3</v>
      </c>
    </row>
    <row r="3133" spans="2:5" x14ac:dyDescent="0.35">
      <c r="B3133" s="2">
        <v>39678</v>
      </c>
      <c r="C3133" s="4">
        <v>61.21</v>
      </c>
      <c r="D3133">
        <f t="shared" si="51"/>
        <v>-0.44222708219427731</v>
      </c>
      <c r="E3133">
        <v>-4.8772557307754649E-3</v>
      </c>
    </row>
    <row r="3134" spans="2:5" x14ac:dyDescent="0.35">
      <c r="B3134" s="2">
        <v>40380</v>
      </c>
      <c r="C3134" s="4">
        <v>109.74</v>
      </c>
      <c r="D3134">
        <f t="shared" si="51"/>
        <v>0.12704118311594947</v>
      </c>
      <c r="E3134">
        <v>-4.8966267682264419E-3</v>
      </c>
    </row>
    <row r="3135" spans="2:5" x14ac:dyDescent="0.35">
      <c r="B3135" s="2">
        <v>39086</v>
      </c>
      <c r="C3135" s="4">
        <v>97.37</v>
      </c>
      <c r="D3135">
        <f t="shared" si="51"/>
        <v>4.3846483704974348E-2</v>
      </c>
      <c r="E3135">
        <v>-4.905467552375975E-3</v>
      </c>
    </row>
    <row r="3136" spans="2:5" x14ac:dyDescent="0.35">
      <c r="B3136" s="2">
        <v>40164</v>
      </c>
      <c r="C3136" s="4">
        <v>93.28</v>
      </c>
      <c r="D3136">
        <f t="shared" si="51"/>
        <v>0.84566679857538585</v>
      </c>
      <c r="E3136">
        <v>-4.9071901002772922E-3</v>
      </c>
    </row>
    <row r="3137" spans="2:5" x14ac:dyDescent="0.35">
      <c r="B3137" s="2">
        <v>38254</v>
      </c>
      <c r="C3137" s="4">
        <v>50.54</v>
      </c>
      <c r="D3137">
        <f t="shared" si="51"/>
        <v>-0.38776499091459715</v>
      </c>
      <c r="E3137">
        <v>-4.9222287851938828E-3</v>
      </c>
    </row>
    <row r="3138" spans="2:5" x14ac:dyDescent="0.35">
      <c r="B3138" s="2">
        <v>39020</v>
      </c>
      <c r="C3138" s="4">
        <v>82.55</v>
      </c>
      <c r="D3138">
        <f t="shared" si="51"/>
        <v>-0.92603576804530141</v>
      </c>
      <c r="E3138">
        <v>-4.9421407907425108E-3</v>
      </c>
    </row>
    <row r="3139" spans="2:5" x14ac:dyDescent="0.35">
      <c r="B3139" s="2">
        <v>43244</v>
      </c>
      <c r="C3139" s="4">
        <v>1116.08</v>
      </c>
      <c r="D3139">
        <f t="shared" si="51"/>
        <v>9.9408881482207612</v>
      </c>
      <c r="E3139">
        <v>-4.9570272101566726E-3</v>
      </c>
    </row>
    <row r="3140" spans="2:5" x14ac:dyDescent="0.35">
      <c r="B3140" s="2">
        <v>40407</v>
      </c>
      <c r="C3140" s="4">
        <v>102.01</v>
      </c>
      <c r="D3140">
        <f t="shared" ref="D3140:D3203" si="52">C3140/C3141-1</f>
        <v>-0.87635750993891204</v>
      </c>
      <c r="E3140">
        <v>-4.9746390948106622E-3</v>
      </c>
    </row>
    <row r="3141" spans="2:5" x14ac:dyDescent="0.35">
      <c r="B3141" s="2">
        <v>43656</v>
      </c>
      <c r="C3141" s="4">
        <v>825.04</v>
      </c>
      <c r="D3141">
        <f t="shared" si="52"/>
        <v>6.2480014056048487</v>
      </c>
      <c r="E3141">
        <v>-4.980884498956728E-3</v>
      </c>
    </row>
    <row r="3142" spans="2:5" x14ac:dyDescent="0.35">
      <c r="B3142" s="2">
        <v>40458</v>
      </c>
      <c r="C3142" s="4">
        <v>113.83</v>
      </c>
      <c r="D3142">
        <f t="shared" si="52"/>
        <v>0.29573136027319302</v>
      </c>
      <c r="E3142">
        <v>-4.9825174825175456E-3</v>
      </c>
    </row>
    <row r="3143" spans="2:5" x14ac:dyDescent="0.35">
      <c r="B3143" s="2">
        <v>41073</v>
      </c>
      <c r="C3143" s="4">
        <v>87.85</v>
      </c>
      <c r="D3143">
        <f t="shared" si="52"/>
        <v>-0.97525693636652966</v>
      </c>
      <c r="E3143">
        <v>-4.9835768490203991E-3</v>
      </c>
    </row>
    <row r="3144" spans="2:5" x14ac:dyDescent="0.35">
      <c r="B3144" s="2">
        <v>44349</v>
      </c>
      <c r="C3144" s="4">
        <v>3550.49</v>
      </c>
      <c r="D3144">
        <f t="shared" si="52"/>
        <v>54.948471478096437</v>
      </c>
      <c r="E3144">
        <v>-4.9855953008173248E-3</v>
      </c>
    </row>
    <row r="3145" spans="2:5" x14ac:dyDescent="0.35">
      <c r="B3145" s="2">
        <v>38772</v>
      </c>
      <c r="C3145" s="4">
        <v>63.46</v>
      </c>
      <c r="D3145">
        <f t="shared" si="52"/>
        <v>-0.95243948137600243</v>
      </c>
      <c r="E3145">
        <v>-5.0172467858262682E-3</v>
      </c>
    </row>
    <row r="3146" spans="2:5" x14ac:dyDescent="0.35">
      <c r="B3146" s="2">
        <v>43340</v>
      </c>
      <c r="C3146" s="4">
        <v>1334.3</v>
      </c>
      <c r="D3146">
        <f t="shared" si="52"/>
        <v>12.529709997972013</v>
      </c>
      <c r="E3146">
        <v>-5.0185305325011198E-3</v>
      </c>
    </row>
    <row r="3147" spans="2:5" x14ac:dyDescent="0.35">
      <c r="B3147" s="2">
        <v>41192</v>
      </c>
      <c r="C3147" s="4">
        <v>98.62</v>
      </c>
      <c r="D3147">
        <f t="shared" si="52"/>
        <v>-0.88308100866637418</v>
      </c>
      <c r="E3147">
        <v>-5.0443906376109737E-3</v>
      </c>
    </row>
    <row r="3148" spans="2:5" x14ac:dyDescent="0.35">
      <c r="B3148" s="2">
        <v>44007</v>
      </c>
      <c r="C3148" s="4">
        <v>843.49</v>
      </c>
      <c r="D3148">
        <f t="shared" si="52"/>
        <v>-0.85766644448756779</v>
      </c>
      <c r="E3148">
        <v>-5.0485391084845732E-3</v>
      </c>
    </row>
    <row r="3149" spans="2:5" x14ac:dyDescent="0.35">
      <c r="B3149" s="2">
        <v>45013</v>
      </c>
      <c r="C3149" s="4">
        <v>5926.15</v>
      </c>
      <c r="D3149">
        <f t="shared" si="52"/>
        <v>56.075508041991718</v>
      </c>
      <c r="E3149">
        <v>-5.0785709488953001E-3</v>
      </c>
    </row>
    <row r="3150" spans="2:5" x14ac:dyDescent="0.35">
      <c r="B3150" s="2">
        <v>40206</v>
      </c>
      <c r="C3150" s="4">
        <v>103.83</v>
      </c>
      <c r="D3150">
        <f t="shared" si="52"/>
        <v>-0.9828893484834752</v>
      </c>
      <c r="E3150">
        <v>-5.0785741663472717E-3</v>
      </c>
    </row>
    <row r="3151" spans="2:5" x14ac:dyDescent="0.35">
      <c r="B3151" s="2">
        <v>45022</v>
      </c>
      <c r="C3151" s="4">
        <v>6068.15</v>
      </c>
      <c r="D3151">
        <f t="shared" si="52"/>
        <v>6.7054894541021701</v>
      </c>
      <c r="E3151">
        <v>-5.0908315844701013E-3</v>
      </c>
    </row>
    <row r="3152" spans="2:5" x14ac:dyDescent="0.35">
      <c r="B3152" s="2">
        <v>43777</v>
      </c>
      <c r="C3152" s="4">
        <v>787.51</v>
      </c>
      <c r="D3152">
        <f t="shared" si="52"/>
        <v>0.45592530966907008</v>
      </c>
      <c r="E3152">
        <v>-5.0913409303382506E-3</v>
      </c>
    </row>
    <row r="3153" spans="2:5" x14ac:dyDescent="0.35">
      <c r="B3153" s="2">
        <v>42194</v>
      </c>
      <c r="C3153" s="4">
        <v>540.9</v>
      </c>
      <c r="D3153">
        <f t="shared" si="52"/>
        <v>-0.41063023012552302</v>
      </c>
      <c r="E3153">
        <v>-5.0950024831238894E-3</v>
      </c>
    </row>
    <row r="3154" spans="2:5" x14ac:dyDescent="0.35">
      <c r="B3154" s="2">
        <v>43558</v>
      </c>
      <c r="C3154" s="4">
        <v>917.76</v>
      </c>
      <c r="D3154">
        <f t="shared" si="52"/>
        <v>13.695916733386708</v>
      </c>
      <c r="E3154">
        <v>-5.0950718730351507E-3</v>
      </c>
    </row>
    <row r="3155" spans="2:5" x14ac:dyDescent="0.35">
      <c r="B3155" s="2">
        <v>38526</v>
      </c>
      <c r="C3155" s="4">
        <v>62.45</v>
      </c>
      <c r="D3155">
        <f t="shared" si="52"/>
        <v>-0.92146926046552569</v>
      </c>
      <c r="E3155">
        <v>-5.0979767404811804E-3</v>
      </c>
    </row>
    <row r="3156" spans="2:5" x14ac:dyDescent="0.35">
      <c r="B3156" s="2">
        <v>43769</v>
      </c>
      <c r="C3156" s="4">
        <v>795.23</v>
      </c>
      <c r="D3156">
        <f t="shared" si="52"/>
        <v>8.497551654126358</v>
      </c>
      <c r="E3156">
        <v>-5.1044025471969068E-3</v>
      </c>
    </row>
    <row r="3157" spans="2:5" x14ac:dyDescent="0.35">
      <c r="B3157" s="2">
        <v>41415</v>
      </c>
      <c r="C3157" s="4">
        <v>83.73</v>
      </c>
      <c r="D3157">
        <f t="shared" si="52"/>
        <v>-0.89707437000614632</v>
      </c>
      <c r="E3157">
        <v>-5.1093155893535691E-3</v>
      </c>
    </row>
    <row r="3158" spans="2:5" x14ac:dyDescent="0.35">
      <c r="B3158" s="2">
        <v>42538</v>
      </c>
      <c r="C3158" s="4">
        <v>813.5</v>
      </c>
      <c r="D3158">
        <f t="shared" si="52"/>
        <v>12.488642016249377</v>
      </c>
      <c r="E3158">
        <v>-5.1120242637705537E-3</v>
      </c>
    </row>
    <row r="3159" spans="2:5" x14ac:dyDescent="0.35">
      <c r="B3159" s="2">
        <v>38904</v>
      </c>
      <c r="C3159" s="4">
        <v>60.31</v>
      </c>
      <c r="D3159">
        <f t="shared" si="52"/>
        <v>-0.95250320924261878</v>
      </c>
      <c r="E3159">
        <v>-5.1138238205211684E-3</v>
      </c>
    </row>
    <row r="3160" spans="2:5" x14ac:dyDescent="0.35">
      <c r="B3160" s="2">
        <v>43285</v>
      </c>
      <c r="C3160" s="4">
        <v>1269.77</v>
      </c>
      <c r="D3160">
        <f t="shared" si="52"/>
        <v>26.259982825246887</v>
      </c>
      <c r="E3160">
        <v>-5.1241469548933827E-3</v>
      </c>
    </row>
    <row r="3161" spans="2:5" x14ac:dyDescent="0.35">
      <c r="B3161" s="2">
        <v>39948</v>
      </c>
      <c r="C3161" s="4">
        <v>46.58</v>
      </c>
      <c r="D3161">
        <f t="shared" si="52"/>
        <v>-0.83328561202576945</v>
      </c>
      <c r="E3161">
        <v>-5.1260145237078669E-3</v>
      </c>
    </row>
    <row r="3162" spans="2:5" x14ac:dyDescent="0.35">
      <c r="B3162" s="2">
        <v>41887</v>
      </c>
      <c r="C3162" s="4">
        <v>279.39999999999998</v>
      </c>
      <c r="D3162">
        <f t="shared" si="52"/>
        <v>10.078509119746233</v>
      </c>
      <c r="E3162">
        <v>-5.1274747187010083E-3</v>
      </c>
    </row>
    <row r="3163" spans="2:5" x14ac:dyDescent="0.35">
      <c r="B3163" s="2">
        <v>37831</v>
      </c>
      <c r="C3163" s="4">
        <v>25.22</v>
      </c>
      <c r="D3163">
        <f t="shared" si="52"/>
        <v>-0.99611072557637448</v>
      </c>
      <c r="E3163">
        <v>-5.128205128205221E-3</v>
      </c>
    </row>
    <row r="3164" spans="2:5" x14ac:dyDescent="0.35">
      <c r="B3164" s="2">
        <v>44980</v>
      </c>
      <c r="C3164" s="4">
        <v>6484.5</v>
      </c>
      <c r="D3164">
        <f t="shared" si="52"/>
        <v>53.8836225137537</v>
      </c>
      <c r="E3164">
        <v>-5.1319816813568675E-3</v>
      </c>
    </row>
    <row r="3165" spans="2:5" x14ac:dyDescent="0.35">
      <c r="B3165" s="2">
        <v>40535</v>
      </c>
      <c r="C3165" s="4">
        <v>118.15</v>
      </c>
      <c r="D3165">
        <f t="shared" si="52"/>
        <v>2.8860028860029363E-3</v>
      </c>
      <c r="E3165">
        <v>-5.1364095655103137E-3</v>
      </c>
    </row>
    <row r="3166" spans="2:5" x14ac:dyDescent="0.35">
      <c r="B3166" s="2">
        <v>39280</v>
      </c>
      <c r="C3166" s="4">
        <v>117.81</v>
      </c>
      <c r="D3166">
        <f t="shared" si="52"/>
        <v>-0.89712085090775717</v>
      </c>
      <c r="E3166">
        <v>-5.1511568991724488E-3</v>
      </c>
    </row>
    <row r="3167" spans="2:5" x14ac:dyDescent="0.35">
      <c r="B3167" s="2">
        <v>43262</v>
      </c>
      <c r="C3167" s="4">
        <v>1145.1300000000001</v>
      </c>
      <c r="D3167">
        <f t="shared" si="52"/>
        <v>52.939236928874237</v>
      </c>
      <c r="E3167">
        <v>-5.1517731482284557E-3</v>
      </c>
    </row>
    <row r="3168" spans="2:5" x14ac:dyDescent="0.35">
      <c r="B3168" s="2">
        <v>37743</v>
      </c>
      <c r="C3168" s="4">
        <v>21.23</v>
      </c>
      <c r="D3168">
        <f t="shared" si="52"/>
        <v>-0.99657569599019324</v>
      </c>
      <c r="E3168">
        <v>-5.1546391752577136E-3</v>
      </c>
    </row>
    <row r="3169" spans="2:5" x14ac:dyDescent="0.35">
      <c r="B3169" s="2">
        <v>44936</v>
      </c>
      <c r="C3169" s="4">
        <v>6199.8</v>
      </c>
      <c r="D3169">
        <f t="shared" si="52"/>
        <v>6.3554081790031915</v>
      </c>
      <c r="E3169">
        <v>-5.1668806161745406E-3</v>
      </c>
    </row>
    <row r="3170" spans="2:5" x14ac:dyDescent="0.35">
      <c r="B3170" s="2">
        <v>42495</v>
      </c>
      <c r="C3170" s="4">
        <v>842.89</v>
      </c>
      <c r="D3170">
        <f t="shared" si="52"/>
        <v>14.176269355419517</v>
      </c>
      <c r="E3170">
        <v>-5.1695445371605642E-3</v>
      </c>
    </row>
    <row r="3171" spans="2:5" x14ac:dyDescent="0.35">
      <c r="B3171" s="2">
        <v>38412</v>
      </c>
      <c r="C3171" s="4">
        <v>55.54</v>
      </c>
      <c r="D3171">
        <f t="shared" si="52"/>
        <v>3.6580813736468931E-2</v>
      </c>
      <c r="E3171">
        <v>-5.1943399605945961E-3</v>
      </c>
    </row>
    <row r="3172" spans="2:5" x14ac:dyDescent="0.35">
      <c r="B3172" s="2">
        <v>39987</v>
      </c>
      <c r="C3172" s="4">
        <v>53.58</v>
      </c>
      <c r="D3172">
        <f t="shared" si="52"/>
        <v>1.0014942099364958</v>
      </c>
      <c r="E3172">
        <v>-5.1986632008912403E-3</v>
      </c>
    </row>
    <row r="3173" spans="2:5" x14ac:dyDescent="0.35">
      <c r="B3173" s="2">
        <v>37643</v>
      </c>
      <c r="C3173" s="4">
        <v>26.77</v>
      </c>
      <c r="D3173">
        <f t="shared" si="52"/>
        <v>-0.96551679719703221</v>
      </c>
      <c r="E3173">
        <v>-5.2025269416573483E-3</v>
      </c>
    </row>
    <row r="3174" spans="2:5" x14ac:dyDescent="0.35">
      <c r="B3174" s="2">
        <v>42941</v>
      </c>
      <c r="C3174" s="4">
        <v>776.32</v>
      </c>
      <c r="D3174">
        <f t="shared" si="52"/>
        <v>5.1588258627528765</v>
      </c>
      <c r="E3174">
        <v>-5.2025936082420454E-3</v>
      </c>
    </row>
    <row r="3175" spans="2:5" x14ac:dyDescent="0.35">
      <c r="B3175" s="2">
        <v>40295</v>
      </c>
      <c r="C3175" s="4">
        <v>126.05</v>
      </c>
      <c r="D3175">
        <f t="shared" si="52"/>
        <v>-0.47588357588357588</v>
      </c>
      <c r="E3175">
        <v>-5.2087443769236463E-3</v>
      </c>
    </row>
    <row r="3176" spans="2:5" x14ac:dyDescent="0.35">
      <c r="B3176" s="2">
        <v>41809</v>
      </c>
      <c r="C3176" s="4">
        <v>240.5</v>
      </c>
      <c r="D3176">
        <f t="shared" si="52"/>
        <v>2.3195307108350587</v>
      </c>
      <c r="E3176">
        <v>-5.2117802779615419E-3</v>
      </c>
    </row>
    <row r="3177" spans="2:5" x14ac:dyDescent="0.35">
      <c r="B3177" s="2">
        <v>40899</v>
      </c>
      <c r="C3177" s="4">
        <v>72.45</v>
      </c>
      <c r="D3177">
        <f t="shared" si="52"/>
        <v>-0.9225423638210295</v>
      </c>
      <c r="E3177">
        <v>-5.2176300974872136E-3</v>
      </c>
    </row>
    <row r="3178" spans="2:5" x14ac:dyDescent="0.35">
      <c r="B3178" s="2">
        <v>43854</v>
      </c>
      <c r="C3178" s="4">
        <v>935.35</v>
      </c>
      <c r="D3178">
        <f t="shared" si="52"/>
        <v>7.7281888856896019E-2</v>
      </c>
      <c r="E3178">
        <v>-5.2219598834364334E-3</v>
      </c>
    </row>
    <row r="3179" spans="2:5" x14ac:dyDescent="0.35">
      <c r="B3179" s="2">
        <v>43581</v>
      </c>
      <c r="C3179" s="4">
        <v>868.25</v>
      </c>
      <c r="D3179">
        <f t="shared" si="52"/>
        <v>0.18819536627755795</v>
      </c>
      <c r="E3179">
        <v>-5.2245047604861927E-3</v>
      </c>
    </row>
    <row r="3180" spans="2:5" x14ac:dyDescent="0.35">
      <c r="B3180" s="2">
        <v>42613</v>
      </c>
      <c r="C3180" s="4">
        <v>730.73</v>
      </c>
      <c r="D3180">
        <f t="shared" si="52"/>
        <v>-0.73189533083352287</v>
      </c>
      <c r="E3180">
        <v>-5.2275480893584358E-3</v>
      </c>
    </row>
    <row r="3181" spans="2:5" x14ac:dyDescent="0.35">
      <c r="B3181" s="2">
        <v>44272</v>
      </c>
      <c r="C3181" s="4">
        <v>2725.54</v>
      </c>
      <c r="D3181">
        <f t="shared" si="52"/>
        <v>9.0119017007677318</v>
      </c>
      <c r="E3181">
        <v>-5.2338058601106852E-3</v>
      </c>
    </row>
    <row r="3182" spans="2:5" x14ac:dyDescent="0.35">
      <c r="B3182" s="2">
        <v>41968</v>
      </c>
      <c r="C3182" s="4">
        <v>272.23</v>
      </c>
      <c r="D3182">
        <f t="shared" si="52"/>
        <v>2.352586206896552</v>
      </c>
      <c r="E3182">
        <v>-5.2618116709906015E-3</v>
      </c>
    </row>
    <row r="3183" spans="2:5" x14ac:dyDescent="0.35">
      <c r="B3183" s="2">
        <v>41424</v>
      </c>
      <c r="C3183" s="4">
        <v>81.2</v>
      </c>
      <c r="D3183">
        <f t="shared" si="52"/>
        <v>-0.5370317577969097</v>
      </c>
      <c r="E3183">
        <v>-5.267671199313928E-3</v>
      </c>
    </row>
    <row r="3184" spans="2:5" x14ac:dyDescent="0.35">
      <c r="B3184" s="2">
        <v>41647</v>
      </c>
      <c r="C3184" s="4">
        <v>175.39</v>
      </c>
      <c r="D3184">
        <f t="shared" si="52"/>
        <v>-0.87273703534397062</v>
      </c>
      <c r="E3184">
        <v>-5.274500907441082E-3</v>
      </c>
    </row>
    <row r="3185" spans="2:5" x14ac:dyDescent="0.35">
      <c r="B3185" s="2">
        <v>44113</v>
      </c>
      <c r="C3185" s="4">
        <v>1378.17</v>
      </c>
      <c r="D3185">
        <f t="shared" si="52"/>
        <v>10.808499700111389</v>
      </c>
      <c r="E3185">
        <v>-5.2761497820249526E-3</v>
      </c>
    </row>
    <row r="3186" spans="2:5" x14ac:dyDescent="0.35">
      <c r="B3186" s="2">
        <v>39253</v>
      </c>
      <c r="C3186" s="4">
        <v>116.71</v>
      </c>
      <c r="D3186">
        <f t="shared" si="52"/>
        <v>0.17119919719016541</v>
      </c>
      <c r="E3186">
        <v>-5.2842410295746989E-3</v>
      </c>
    </row>
    <row r="3187" spans="2:5" x14ac:dyDescent="0.35">
      <c r="B3187" s="2">
        <v>40318</v>
      </c>
      <c r="C3187" s="4">
        <v>99.65</v>
      </c>
      <c r="D3187">
        <f t="shared" si="52"/>
        <v>0.66221851542952459</v>
      </c>
      <c r="E3187">
        <v>-5.2904771411459439E-3</v>
      </c>
    </row>
    <row r="3188" spans="2:5" x14ac:dyDescent="0.35">
      <c r="B3188" s="2">
        <v>38485</v>
      </c>
      <c r="C3188" s="4">
        <v>59.95</v>
      </c>
      <c r="D3188">
        <f t="shared" si="52"/>
        <v>-0.9931613889395875</v>
      </c>
      <c r="E3188">
        <v>-5.3094408495105716E-3</v>
      </c>
    </row>
    <row r="3189" spans="2:5" x14ac:dyDescent="0.35">
      <c r="B3189" s="2">
        <v>44812</v>
      </c>
      <c r="C3189" s="4">
        <v>8766.4</v>
      </c>
      <c r="D3189">
        <f t="shared" si="52"/>
        <v>12.808181202450895</v>
      </c>
      <c r="E3189">
        <v>-5.3102164934417662E-3</v>
      </c>
    </row>
    <row r="3190" spans="2:5" x14ac:dyDescent="0.35">
      <c r="B3190" s="2">
        <v>43671</v>
      </c>
      <c r="C3190" s="4">
        <v>634.87</v>
      </c>
      <c r="D3190">
        <f t="shared" si="52"/>
        <v>16.848467809952208</v>
      </c>
      <c r="E3190">
        <v>-5.3113151380315138E-3</v>
      </c>
    </row>
    <row r="3191" spans="2:5" x14ac:dyDescent="0.35">
      <c r="B3191" s="2">
        <v>37974</v>
      </c>
      <c r="C3191" s="4">
        <v>35.57</v>
      </c>
      <c r="D3191">
        <f t="shared" si="52"/>
        <v>-0.64081591436938301</v>
      </c>
      <c r="E3191">
        <v>-5.3131991051453831E-3</v>
      </c>
    </row>
    <row r="3192" spans="2:5" x14ac:dyDescent="0.35">
      <c r="B3192" s="2">
        <v>40707</v>
      </c>
      <c r="C3192" s="4">
        <v>99.03</v>
      </c>
      <c r="D3192">
        <f t="shared" si="52"/>
        <v>6.0732647814909946E-2</v>
      </c>
      <c r="E3192">
        <v>-5.3234230614704892E-3</v>
      </c>
    </row>
    <row r="3193" spans="2:5" x14ac:dyDescent="0.35">
      <c r="B3193" s="2">
        <v>41122</v>
      </c>
      <c r="C3193" s="4">
        <v>93.36</v>
      </c>
      <c r="D3193">
        <f t="shared" si="52"/>
        <v>-0.98672723007698382</v>
      </c>
      <c r="E3193">
        <v>-5.3270828894097511E-3</v>
      </c>
    </row>
    <row r="3194" spans="2:5" x14ac:dyDescent="0.35">
      <c r="B3194" s="2">
        <v>44897</v>
      </c>
      <c r="C3194" s="4">
        <v>7033.95</v>
      </c>
      <c r="D3194">
        <f t="shared" si="52"/>
        <v>113.3174061433447</v>
      </c>
      <c r="E3194">
        <v>-5.3311461964321571E-3</v>
      </c>
    </row>
    <row r="3195" spans="2:5" x14ac:dyDescent="0.35">
      <c r="B3195" s="2">
        <v>40130</v>
      </c>
      <c r="C3195" s="4">
        <v>61.53</v>
      </c>
      <c r="D3195">
        <f t="shared" si="52"/>
        <v>-0.10462747380675197</v>
      </c>
      <c r="E3195">
        <v>-5.3346265761395895E-3</v>
      </c>
    </row>
    <row r="3196" spans="2:5" x14ac:dyDescent="0.35">
      <c r="B3196" s="2">
        <v>40073</v>
      </c>
      <c r="C3196" s="4">
        <v>68.72</v>
      </c>
      <c r="D3196">
        <f t="shared" si="52"/>
        <v>-0.31430852125324282</v>
      </c>
      <c r="E3196">
        <v>-5.3553336228109316E-3</v>
      </c>
    </row>
    <row r="3197" spans="2:5" x14ac:dyDescent="0.35">
      <c r="B3197" s="2">
        <v>40232</v>
      </c>
      <c r="C3197" s="4">
        <v>100.22</v>
      </c>
      <c r="D3197">
        <f t="shared" si="52"/>
        <v>-0.98480859158879208</v>
      </c>
      <c r="E3197">
        <v>-5.3592695514093069E-3</v>
      </c>
    </row>
    <row r="3198" spans="2:5" x14ac:dyDescent="0.35">
      <c r="B3198" s="2">
        <v>44958</v>
      </c>
      <c r="C3198" s="4">
        <v>6597.15</v>
      </c>
      <c r="D3198">
        <f t="shared" si="52"/>
        <v>273.08184461985871</v>
      </c>
      <c r="E3198">
        <v>-5.3598082228957233E-3</v>
      </c>
    </row>
    <row r="3199" spans="2:5" x14ac:dyDescent="0.35">
      <c r="B3199" s="2">
        <v>37672</v>
      </c>
      <c r="C3199" s="4">
        <v>24.07</v>
      </c>
      <c r="D3199">
        <f t="shared" si="52"/>
        <v>-0.23221690590111643</v>
      </c>
      <c r="E3199">
        <v>-5.3719008264462298E-3</v>
      </c>
    </row>
    <row r="3200" spans="2:5" x14ac:dyDescent="0.35">
      <c r="B3200" s="2">
        <v>39870</v>
      </c>
      <c r="C3200" s="4">
        <v>31.35</v>
      </c>
      <c r="D3200">
        <f t="shared" si="52"/>
        <v>-0.96487473670057811</v>
      </c>
      <c r="E3200">
        <v>-5.3934010152283385E-3</v>
      </c>
    </row>
    <row r="3201" spans="2:5" x14ac:dyDescent="0.35">
      <c r="B3201" s="2">
        <v>44039</v>
      </c>
      <c r="C3201" s="4">
        <v>892.52</v>
      </c>
      <c r="D3201">
        <f t="shared" si="52"/>
        <v>36.281537176274014</v>
      </c>
      <c r="E3201">
        <v>-5.3935990015155921E-3</v>
      </c>
    </row>
    <row r="3202" spans="2:5" x14ac:dyDescent="0.35">
      <c r="B3202" s="2">
        <v>37673</v>
      </c>
      <c r="C3202" s="4">
        <v>23.94</v>
      </c>
      <c r="D3202">
        <f t="shared" si="52"/>
        <v>-0.56661839246922518</v>
      </c>
      <c r="E3202">
        <v>-5.4009140008308698E-3</v>
      </c>
    </row>
    <row r="3203" spans="2:5" x14ac:dyDescent="0.35">
      <c r="B3203" s="2">
        <v>38413</v>
      </c>
      <c r="C3203" s="4">
        <v>55.24</v>
      </c>
      <c r="D3203">
        <f t="shared" si="52"/>
        <v>-0.92168315989451899</v>
      </c>
      <c r="E3203">
        <v>-5.4015124234785272E-3</v>
      </c>
    </row>
    <row r="3204" spans="2:5" x14ac:dyDescent="0.35">
      <c r="B3204" s="2">
        <v>42843</v>
      </c>
      <c r="C3204" s="4">
        <v>705.34</v>
      </c>
      <c r="D3204">
        <f t="shared" ref="D3204:D3267" si="53">C3204/C3205-1</f>
        <v>-0.29090890812397585</v>
      </c>
      <c r="E3204">
        <v>-5.4147043063819122E-3</v>
      </c>
    </row>
    <row r="3205" spans="2:5" x14ac:dyDescent="0.35">
      <c r="B3205" s="2">
        <v>42375</v>
      </c>
      <c r="C3205" s="4">
        <v>994.71</v>
      </c>
      <c r="D3205">
        <f t="shared" si="53"/>
        <v>0.40107893402445205</v>
      </c>
      <c r="E3205">
        <v>-5.4192954915860403E-3</v>
      </c>
    </row>
    <row r="3206" spans="2:5" x14ac:dyDescent="0.35">
      <c r="B3206" s="2">
        <v>42621</v>
      </c>
      <c r="C3206" s="4">
        <v>709.96</v>
      </c>
      <c r="D3206">
        <f t="shared" si="53"/>
        <v>0.19024946351931327</v>
      </c>
      <c r="E3206">
        <v>-5.4493240876934967E-3</v>
      </c>
    </row>
    <row r="3207" spans="2:5" x14ac:dyDescent="0.35">
      <c r="B3207" s="2">
        <v>42107</v>
      </c>
      <c r="C3207" s="4">
        <v>596.48</v>
      </c>
      <c r="D3207">
        <f t="shared" si="53"/>
        <v>-0.3009153452175849</v>
      </c>
      <c r="E3207">
        <v>-5.4522717799082576E-3</v>
      </c>
    </row>
    <row r="3208" spans="2:5" x14ac:dyDescent="0.35">
      <c r="B3208" s="2">
        <v>42501</v>
      </c>
      <c r="C3208" s="4">
        <v>853.23</v>
      </c>
      <c r="D3208">
        <f t="shared" si="53"/>
        <v>-5.4519464113560012E-2</v>
      </c>
      <c r="E3208">
        <v>-5.4551176696855386E-3</v>
      </c>
    </row>
    <row r="3209" spans="2:5" x14ac:dyDescent="0.35">
      <c r="B3209" s="2">
        <v>43067</v>
      </c>
      <c r="C3209" s="4">
        <v>902.43</v>
      </c>
      <c r="D3209">
        <f t="shared" si="53"/>
        <v>7.2049704198246634E-2</v>
      </c>
      <c r="E3209">
        <v>-5.4552668121404801E-3</v>
      </c>
    </row>
    <row r="3210" spans="2:5" x14ac:dyDescent="0.35">
      <c r="B3210" s="2">
        <v>42513</v>
      </c>
      <c r="C3210" s="4">
        <v>841.78</v>
      </c>
      <c r="D3210">
        <f t="shared" si="53"/>
        <v>7.5869631745384059</v>
      </c>
      <c r="E3210">
        <v>-5.4584120982986706E-3</v>
      </c>
    </row>
    <row r="3211" spans="2:5" x14ac:dyDescent="0.35">
      <c r="B3211" s="2">
        <v>39456</v>
      </c>
      <c r="C3211" s="4">
        <v>98.03</v>
      </c>
      <c r="D3211">
        <f t="shared" si="53"/>
        <v>-0.72705757879496602</v>
      </c>
      <c r="E3211">
        <v>-5.4783402658008518E-3</v>
      </c>
    </row>
    <row r="3212" spans="2:5" x14ac:dyDescent="0.35">
      <c r="B3212" s="2">
        <v>42026</v>
      </c>
      <c r="C3212" s="4">
        <v>359.16</v>
      </c>
      <c r="D3212">
        <f t="shared" si="53"/>
        <v>4.2233856893542754</v>
      </c>
      <c r="E3212">
        <v>-5.4826383120119004E-3</v>
      </c>
    </row>
    <row r="3213" spans="2:5" x14ac:dyDescent="0.35">
      <c r="B3213" s="2">
        <v>38559</v>
      </c>
      <c r="C3213" s="4">
        <v>68.760000000000005</v>
      </c>
      <c r="D3213">
        <f t="shared" si="53"/>
        <v>0.15330426031533051</v>
      </c>
      <c r="E3213">
        <v>-5.4960948799536169E-3</v>
      </c>
    </row>
    <row r="3214" spans="2:5" x14ac:dyDescent="0.35">
      <c r="B3214" s="2">
        <v>38488</v>
      </c>
      <c r="C3214" s="4">
        <v>59.62</v>
      </c>
      <c r="D3214">
        <f t="shared" si="53"/>
        <v>-0.77380681387055161</v>
      </c>
      <c r="E3214">
        <v>-5.5045871559633586E-3</v>
      </c>
    </row>
    <row r="3215" spans="2:5" x14ac:dyDescent="0.35">
      <c r="B3215" s="2">
        <v>41996</v>
      </c>
      <c r="C3215" s="4">
        <v>263.58</v>
      </c>
      <c r="D3215">
        <f t="shared" si="53"/>
        <v>-0.69580020081480032</v>
      </c>
      <c r="E3215">
        <v>-5.5086024750982121E-3</v>
      </c>
    </row>
    <row r="3216" spans="2:5" x14ac:dyDescent="0.35">
      <c r="B3216" s="2">
        <v>43077</v>
      </c>
      <c r="C3216" s="4">
        <v>866.47</v>
      </c>
      <c r="D3216">
        <f t="shared" si="53"/>
        <v>7.0206424141442199</v>
      </c>
      <c r="E3216">
        <v>-5.520613350472825E-3</v>
      </c>
    </row>
    <row r="3217" spans="2:5" x14ac:dyDescent="0.35">
      <c r="B3217" s="2">
        <v>40360</v>
      </c>
      <c r="C3217" s="4">
        <v>108.03</v>
      </c>
      <c r="D3217">
        <f t="shared" si="53"/>
        <v>0.15441333618294517</v>
      </c>
      <c r="E3217">
        <v>-5.5233360950013299E-3</v>
      </c>
    </row>
    <row r="3218" spans="2:5" x14ac:dyDescent="0.35">
      <c r="B3218" s="2">
        <v>39462</v>
      </c>
      <c r="C3218" s="4">
        <v>93.58</v>
      </c>
      <c r="D3218">
        <f t="shared" si="53"/>
        <v>0.53284193284193293</v>
      </c>
      <c r="E3218">
        <v>-5.5260361317747142E-3</v>
      </c>
    </row>
    <row r="3219" spans="2:5" x14ac:dyDescent="0.35">
      <c r="B3219" s="2">
        <v>38531</v>
      </c>
      <c r="C3219" s="4">
        <v>61.05</v>
      </c>
      <c r="D3219">
        <f t="shared" si="53"/>
        <v>-0.65928116977341222</v>
      </c>
      <c r="E3219">
        <v>-5.5383612966282136E-3</v>
      </c>
    </row>
    <row r="3220" spans="2:5" x14ac:dyDescent="0.35">
      <c r="B3220" s="2">
        <v>41676</v>
      </c>
      <c r="C3220" s="4">
        <v>179.18</v>
      </c>
      <c r="D3220">
        <f t="shared" si="53"/>
        <v>0.81871701177425926</v>
      </c>
      <c r="E3220">
        <v>-5.5500055500055101E-3</v>
      </c>
    </row>
    <row r="3221" spans="2:5" x14ac:dyDescent="0.35">
      <c r="B3221" s="2">
        <v>41590</v>
      </c>
      <c r="C3221" s="4">
        <v>98.52</v>
      </c>
      <c r="D3221">
        <f t="shared" si="53"/>
        <v>-0.97628646870088265</v>
      </c>
      <c r="E3221">
        <v>-5.5516301604925378E-3</v>
      </c>
    </row>
    <row r="3222" spans="2:5" x14ac:dyDescent="0.35">
      <c r="B3222" s="2">
        <v>44404</v>
      </c>
      <c r="C3222" s="4">
        <v>4154.59</v>
      </c>
      <c r="D3222">
        <f t="shared" si="53"/>
        <v>3.3433520814602637</v>
      </c>
      <c r="E3222">
        <v>-5.5603161457409289E-3</v>
      </c>
    </row>
    <row r="3223" spans="2:5" x14ac:dyDescent="0.35">
      <c r="B3223" s="2">
        <v>43452</v>
      </c>
      <c r="C3223" s="4">
        <v>956.54</v>
      </c>
      <c r="D3223">
        <f t="shared" si="53"/>
        <v>7.8095238095237995E-2</v>
      </c>
      <c r="E3223">
        <v>-5.5723048133902164E-3</v>
      </c>
    </row>
    <row r="3224" spans="2:5" x14ac:dyDescent="0.35">
      <c r="B3224" s="2">
        <v>42452</v>
      </c>
      <c r="C3224" s="4">
        <v>887.25</v>
      </c>
      <c r="D3224">
        <f t="shared" si="53"/>
        <v>25.226721844516703</v>
      </c>
      <c r="E3224">
        <v>-5.5815204599710677E-3</v>
      </c>
    </row>
    <row r="3225" spans="2:5" x14ac:dyDescent="0.35">
      <c r="B3225" s="2">
        <v>37501</v>
      </c>
      <c r="C3225" s="4">
        <v>33.83</v>
      </c>
      <c r="D3225">
        <f t="shared" si="53"/>
        <v>-0.99458659369849423</v>
      </c>
      <c r="E3225">
        <v>-5.5849500293946308E-3</v>
      </c>
    </row>
    <row r="3226" spans="2:5" x14ac:dyDescent="0.35">
      <c r="B3226" s="2">
        <v>44995</v>
      </c>
      <c r="C3226" s="4">
        <v>6249.3</v>
      </c>
      <c r="D3226">
        <f t="shared" si="53"/>
        <v>71.237891573228524</v>
      </c>
      <c r="E3226">
        <v>-5.6089934840203304E-3</v>
      </c>
    </row>
    <row r="3227" spans="2:5" x14ac:dyDescent="0.35">
      <c r="B3227" s="2">
        <v>41564</v>
      </c>
      <c r="C3227" s="4">
        <v>86.51</v>
      </c>
      <c r="D3227">
        <f t="shared" si="53"/>
        <v>-0.98571357796347059</v>
      </c>
      <c r="E3227">
        <v>-5.6321839080458735E-3</v>
      </c>
    </row>
    <row r="3228" spans="2:5" x14ac:dyDescent="0.35">
      <c r="B3228" s="2">
        <v>45007</v>
      </c>
      <c r="C3228" s="4">
        <v>6055.4</v>
      </c>
      <c r="D3228">
        <f t="shared" si="53"/>
        <v>-0.11674142143456223</v>
      </c>
      <c r="E3228">
        <v>-5.6324613691971503E-3</v>
      </c>
    </row>
    <row r="3229" spans="2:5" x14ac:dyDescent="0.35">
      <c r="B3229" s="2">
        <v>44886</v>
      </c>
      <c r="C3229" s="4">
        <v>6855.75</v>
      </c>
      <c r="D3229">
        <f t="shared" si="53"/>
        <v>12.293293002152289</v>
      </c>
      <c r="E3229">
        <v>-5.6348446610391401E-3</v>
      </c>
    </row>
    <row r="3230" spans="2:5" x14ac:dyDescent="0.35">
      <c r="B3230" s="2">
        <v>42139</v>
      </c>
      <c r="C3230" s="4">
        <v>515.73</v>
      </c>
      <c r="D3230">
        <f t="shared" si="53"/>
        <v>6.5223162193698947</v>
      </c>
      <c r="E3230">
        <v>-5.6491728685458265E-3</v>
      </c>
    </row>
    <row r="3231" spans="2:5" x14ac:dyDescent="0.35">
      <c r="B3231" s="2">
        <v>38687</v>
      </c>
      <c r="C3231" s="4">
        <v>68.56</v>
      </c>
      <c r="D3231">
        <f t="shared" si="53"/>
        <v>-0.92435342925236119</v>
      </c>
      <c r="E3231">
        <v>-5.6562726613488268E-3</v>
      </c>
    </row>
    <row r="3232" spans="2:5" x14ac:dyDescent="0.35">
      <c r="B3232" s="2">
        <v>43483</v>
      </c>
      <c r="C3232" s="4">
        <v>906.32</v>
      </c>
      <c r="D3232">
        <f t="shared" si="53"/>
        <v>-0.85270777366610273</v>
      </c>
      <c r="E3232">
        <v>-5.6829402084475067E-3</v>
      </c>
    </row>
    <row r="3233" spans="2:5" x14ac:dyDescent="0.35">
      <c r="B3233" s="2">
        <v>44508</v>
      </c>
      <c r="C3233" s="4">
        <v>6153.21</v>
      </c>
      <c r="D3233">
        <f t="shared" si="53"/>
        <v>-0.25979537703675637</v>
      </c>
      <c r="E3233">
        <v>-5.7153660451993993E-3</v>
      </c>
    </row>
    <row r="3234" spans="2:5" x14ac:dyDescent="0.35">
      <c r="B3234" s="2">
        <v>44847</v>
      </c>
      <c r="C3234" s="4">
        <v>8312.85</v>
      </c>
      <c r="D3234">
        <f t="shared" si="53"/>
        <v>0.19509617872854301</v>
      </c>
      <c r="E3234">
        <v>-5.7172588255697265E-3</v>
      </c>
    </row>
    <row r="3235" spans="2:5" x14ac:dyDescent="0.35">
      <c r="B3235" s="2">
        <v>44866</v>
      </c>
      <c r="C3235" s="4">
        <v>6955.8</v>
      </c>
      <c r="D3235">
        <f t="shared" si="53"/>
        <v>26.334459857743546</v>
      </c>
      <c r="E3235">
        <v>-5.724822573382804E-3</v>
      </c>
    </row>
    <row r="3236" spans="2:5" x14ac:dyDescent="0.35">
      <c r="B3236" s="2">
        <v>41990</v>
      </c>
      <c r="C3236" s="4">
        <v>254.47</v>
      </c>
      <c r="D3236">
        <f t="shared" si="53"/>
        <v>3.915395016418775</v>
      </c>
      <c r="E3236">
        <v>-5.7435336406970183E-3</v>
      </c>
    </row>
    <row r="3237" spans="2:5" x14ac:dyDescent="0.35">
      <c r="B3237" s="2">
        <v>39715</v>
      </c>
      <c r="C3237" s="4">
        <v>51.77</v>
      </c>
      <c r="D3237">
        <f t="shared" si="53"/>
        <v>-0.93707381701936288</v>
      </c>
      <c r="E3237">
        <v>-5.7614749375839436E-3</v>
      </c>
    </row>
    <row r="3238" spans="2:5" x14ac:dyDescent="0.35">
      <c r="B3238" s="2">
        <v>42998</v>
      </c>
      <c r="C3238" s="4">
        <v>822.71</v>
      </c>
      <c r="D3238">
        <f t="shared" si="53"/>
        <v>12.636830764130616</v>
      </c>
      <c r="E3238">
        <v>-5.764489776187931E-3</v>
      </c>
    </row>
    <row r="3239" spans="2:5" x14ac:dyDescent="0.35">
      <c r="B3239" s="2">
        <v>38499</v>
      </c>
      <c r="C3239" s="4">
        <v>60.33</v>
      </c>
      <c r="D3239">
        <f t="shared" si="53"/>
        <v>-0.91277632396952302</v>
      </c>
      <c r="E3239">
        <v>-5.7679630850362429E-3</v>
      </c>
    </row>
    <row r="3240" spans="2:5" x14ac:dyDescent="0.35">
      <c r="B3240" s="2">
        <v>42795</v>
      </c>
      <c r="C3240" s="4">
        <v>691.67</v>
      </c>
      <c r="D3240">
        <f t="shared" si="53"/>
        <v>5.7113332039588585</v>
      </c>
      <c r="E3240">
        <v>-5.7784357975536604E-3</v>
      </c>
    </row>
    <row r="3241" spans="2:5" x14ac:dyDescent="0.35">
      <c r="B3241" s="2">
        <v>39380</v>
      </c>
      <c r="C3241" s="4">
        <v>103.06</v>
      </c>
      <c r="D3241">
        <f t="shared" si="53"/>
        <v>7.275944623711883E-2</v>
      </c>
      <c r="E3241">
        <v>-5.7881535790081928E-3</v>
      </c>
    </row>
    <row r="3242" spans="2:5" x14ac:dyDescent="0.35">
      <c r="B3242" s="2">
        <v>41212</v>
      </c>
      <c r="C3242" s="4">
        <v>96.07</v>
      </c>
      <c r="D3242">
        <f t="shared" si="53"/>
        <v>0.47550299493165404</v>
      </c>
      <c r="E3242">
        <v>-5.7953016661492773E-3</v>
      </c>
    </row>
    <row r="3243" spans="2:5" x14ac:dyDescent="0.35">
      <c r="B3243" s="2">
        <v>39580</v>
      </c>
      <c r="C3243" s="4">
        <v>65.11</v>
      </c>
      <c r="D3243">
        <f t="shared" si="53"/>
        <v>-0.70933035714285708</v>
      </c>
      <c r="E3243">
        <v>-5.8024125820734795E-3</v>
      </c>
    </row>
    <row r="3244" spans="2:5" x14ac:dyDescent="0.35">
      <c r="B3244" s="2">
        <v>41694</v>
      </c>
      <c r="C3244" s="4">
        <v>224</v>
      </c>
      <c r="D3244">
        <f t="shared" si="53"/>
        <v>6.7134986225895323</v>
      </c>
      <c r="E3244">
        <v>-5.8142115307798781E-3</v>
      </c>
    </row>
    <row r="3245" spans="2:5" x14ac:dyDescent="0.35">
      <c r="B3245" s="2">
        <v>37636</v>
      </c>
      <c r="C3245" s="4">
        <v>29.04</v>
      </c>
      <c r="D3245">
        <f t="shared" si="53"/>
        <v>-0.74115340048132627</v>
      </c>
      <c r="E3245">
        <v>-5.8199246833277041E-3</v>
      </c>
    </row>
    <row r="3246" spans="2:5" x14ac:dyDescent="0.35">
      <c r="B3246" s="2">
        <v>39217</v>
      </c>
      <c r="C3246" s="4">
        <v>112.19</v>
      </c>
      <c r="D3246">
        <f t="shared" si="53"/>
        <v>2.8887348353552857</v>
      </c>
      <c r="E3246">
        <v>-5.8484714222418743E-3</v>
      </c>
    </row>
    <row r="3247" spans="2:5" x14ac:dyDescent="0.35">
      <c r="B3247" s="2">
        <v>39896</v>
      </c>
      <c r="C3247" s="4">
        <v>28.85</v>
      </c>
      <c r="D3247">
        <f t="shared" si="53"/>
        <v>-0.99227047186291006</v>
      </c>
      <c r="E3247">
        <v>-5.8580289455547607E-3</v>
      </c>
    </row>
    <row r="3248" spans="2:5" x14ac:dyDescent="0.35">
      <c r="B3248" s="2">
        <v>44363</v>
      </c>
      <c r="C3248" s="4">
        <v>3732.44</v>
      </c>
      <c r="D3248">
        <f t="shared" si="53"/>
        <v>58.528548644338116</v>
      </c>
      <c r="E3248">
        <v>-5.8597287478292515E-3</v>
      </c>
    </row>
    <row r="3249" spans="2:5" x14ac:dyDescent="0.35">
      <c r="B3249" s="2">
        <v>40058</v>
      </c>
      <c r="C3249" s="4">
        <v>62.7</v>
      </c>
      <c r="D3249">
        <f t="shared" si="53"/>
        <v>0.19474085365853666</v>
      </c>
      <c r="E3249">
        <v>-5.866497542413196E-3</v>
      </c>
    </row>
    <row r="3250" spans="2:5" x14ac:dyDescent="0.35">
      <c r="B3250" s="2">
        <v>38267</v>
      </c>
      <c r="C3250" s="4">
        <v>52.48</v>
      </c>
      <c r="D3250">
        <f t="shared" si="53"/>
        <v>-0.18420643556660965</v>
      </c>
      <c r="E3250">
        <v>-5.8723243038454331E-3</v>
      </c>
    </row>
    <row r="3251" spans="2:5" x14ac:dyDescent="0.35">
      <c r="B3251" s="2">
        <v>39554</v>
      </c>
      <c r="C3251" s="4">
        <v>64.33</v>
      </c>
      <c r="D3251">
        <f t="shared" si="53"/>
        <v>-0.46445221445221452</v>
      </c>
      <c r="E3251">
        <v>-5.8723535774994895E-3</v>
      </c>
    </row>
    <row r="3252" spans="2:5" x14ac:dyDescent="0.35">
      <c r="B3252" s="2">
        <v>39241</v>
      </c>
      <c r="C3252" s="4">
        <v>120.12</v>
      </c>
      <c r="D3252">
        <f t="shared" si="53"/>
        <v>2.3922620728607744</v>
      </c>
      <c r="E3252">
        <v>-5.8760241661838242E-3</v>
      </c>
    </row>
    <row r="3253" spans="2:5" x14ac:dyDescent="0.35">
      <c r="B3253" s="2">
        <v>38006</v>
      </c>
      <c r="C3253" s="4">
        <v>35.409999999999997</v>
      </c>
      <c r="D3253">
        <f t="shared" si="53"/>
        <v>-0.896546686922987</v>
      </c>
      <c r="E3253">
        <v>-5.8955642897249305E-3</v>
      </c>
    </row>
    <row r="3254" spans="2:5" x14ac:dyDescent="0.35">
      <c r="B3254" s="2">
        <v>42037</v>
      </c>
      <c r="C3254" s="4">
        <v>342.28</v>
      </c>
      <c r="D3254">
        <f t="shared" si="53"/>
        <v>1.7814074435234843</v>
      </c>
      <c r="E3254">
        <v>-5.8958496703552798E-3</v>
      </c>
    </row>
    <row r="3255" spans="2:5" x14ac:dyDescent="0.35">
      <c r="B3255" s="2">
        <v>40549</v>
      </c>
      <c r="C3255" s="4">
        <v>123.06</v>
      </c>
      <c r="D3255">
        <f t="shared" si="53"/>
        <v>-0.8252236898167874</v>
      </c>
      <c r="E3255">
        <v>-5.8970837709023671E-3</v>
      </c>
    </row>
    <row r="3256" spans="2:5" x14ac:dyDescent="0.35">
      <c r="B3256" s="2">
        <v>43942</v>
      </c>
      <c r="C3256" s="4">
        <v>704.1</v>
      </c>
      <c r="D3256">
        <f t="shared" si="53"/>
        <v>5.0604234808056461</v>
      </c>
      <c r="E3256">
        <v>-5.9016208279211169E-3</v>
      </c>
    </row>
    <row r="3257" spans="2:5" x14ac:dyDescent="0.35">
      <c r="B3257" s="2">
        <v>39269</v>
      </c>
      <c r="C3257" s="4">
        <v>116.18</v>
      </c>
      <c r="D3257">
        <f t="shared" si="53"/>
        <v>3.0608178958406151</v>
      </c>
      <c r="E3257">
        <v>-5.9039958928723824E-3</v>
      </c>
    </row>
    <row r="3258" spans="2:5" x14ac:dyDescent="0.35">
      <c r="B3258" s="2">
        <v>39878</v>
      </c>
      <c r="C3258" s="4">
        <v>28.61</v>
      </c>
      <c r="D3258">
        <f t="shared" si="53"/>
        <v>-0.52695105820105814</v>
      </c>
      <c r="E3258">
        <v>-5.9068797776233861E-3</v>
      </c>
    </row>
    <row r="3259" spans="2:5" x14ac:dyDescent="0.35">
      <c r="B3259" s="2">
        <v>39681</v>
      </c>
      <c r="C3259" s="4">
        <v>60.48</v>
      </c>
      <c r="D3259">
        <f t="shared" si="53"/>
        <v>-0.99072327188728038</v>
      </c>
      <c r="E3259">
        <v>-5.9171597633137507E-3</v>
      </c>
    </row>
    <row r="3260" spans="2:5" x14ac:dyDescent="0.35">
      <c r="B3260" s="2">
        <v>44512</v>
      </c>
      <c r="C3260" s="4">
        <v>6519.54</v>
      </c>
      <c r="D3260">
        <f t="shared" si="53"/>
        <v>69.756891686563918</v>
      </c>
      <c r="E3260">
        <v>-5.925225664796252E-3</v>
      </c>
    </row>
    <row r="3261" spans="2:5" x14ac:dyDescent="0.35">
      <c r="B3261" s="2">
        <v>39387</v>
      </c>
      <c r="C3261" s="4">
        <v>92.14</v>
      </c>
      <c r="D3261">
        <f t="shared" si="53"/>
        <v>0.44783155248271522</v>
      </c>
      <c r="E3261">
        <v>-5.933757686913288E-3</v>
      </c>
    </row>
    <row r="3262" spans="2:5" x14ac:dyDescent="0.35">
      <c r="B3262" s="2">
        <v>38510</v>
      </c>
      <c r="C3262" s="4">
        <v>63.64</v>
      </c>
      <c r="D3262">
        <f t="shared" si="53"/>
        <v>-0.38583285080100371</v>
      </c>
      <c r="E3262">
        <v>-5.9356451109027208E-3</v>
      </c>
    </row>
    <row r="3263" spans="2:5" x14ac:dyDescent="0.35">
      <c r="B3263" s="2">
        <v>41584</v>
      </c>
      <c r="C3263" s="4">
        <v>103.62</v>
      </c>
      <c r="D3263">
        <f t="shared" si="53"/>
        <v>2.4528490503165612</v>
      </c>
      <c r="E3263">
        <v>-5.9478127398310265E-3</v>
      </c>
    </row>
    <row r="3264" spans="2:5" x14ac:dyDescent="0.35">
      <c r="B3264" s="2">
        <v>37620</v>
      </c>
      <c r="C3264" s="4">
        <v>30.01</v>
      </c>
      <c r="D3264">
        <f t="shared" si="53"/>
        <v>-0.68943392321225283</v>
      </c>
      <c r="E3264">
        <v>-5.9622391520370854E-3</v>
      </c>
    </row>
    <row r="3265" spans="2:5" x14ac:dyDescent="0.35">
      <c r="B3265" s="2">
        <v>41211</v>
      </c>
      <c r="C3265" s="4">
        <v>96.63</v>
      </c>
      <c r="D3265">
        <f t="shared" si="53"/>
        <v>0.11698069587330928</v>
      </c>
      <c r="E3265">
        <v>-5.9664643555189523E-3</v>
      </c>
    </row>
    <row r="3266" spans="2:5" x14ac:dyDescent="0.35">
      <c r="B3266" s="2">
        <v>40974</v>
      </c>
      <c r="C3266" s="4">
        <v>86.51</v>
      </c>
      <c r="D3266">
        <f t="shared" si="53"/>
        <v>2.0646531382727762E-2</v>
      </c>
      <c r="E3266">
        <v>-5.9749511662644528E-3</v>
      </c>
    </row>
    <row r="3267" spans="2:5" x14ac:dyDescent="0.35">
      <c r="B3267" s="2">
        <v>41022</v>
      </c>
      <c r="C3267" s="4">
        <v>84.76</v>
      </c>
      <c r="D3267">
        <f t="shared" si="53"/>
        <v>-5.3066696458496265E-2</v>
      </c>
      <c r="E3267">
        <v>-5.9810015245689296E-3</v>
      </c>
    </row>
    <row r="3268" spans="2:5" x14ac:dyDescent="0.35">
      <c r="B3268" s="2">
        <v>41324</v>
      </c>
      <c r="C3268" s="4">
        <v>89.51</v>
      </c>
      <c r="D3268">
        <f t="shared" ref="D3268:D3331" si="54">C3268/C3269-1</f>
        <v>-0.88926963234202583</v>
      </c>
      <c r="E3268">
        <v>-5.9966685174901446E-3</v>
      </c>
    </row>
    <row r="3269" spans="2:5" x14ac:dyDescent="0.35">
      <c r="B3269" s="2">
        <v>42328</v>
      </c>
      <c r="C3269" s="4">
        <v>808.36</v>
      </c>
      <c r="D3269">
        <f t="shared" si="54"/>
        <v>-1.7370692274965016E-2</v>
      </c>
      <c r="E3269">
        <v>-6.012911158930212E-3</v>
      </c>
    </row>
    <row r="3270" spans="2:5" x14ac:dyDescent="0.35">
      <c r="B3270" s="2">
        <v>43496</v>
      </c>
      <c r="C3270" s="4">
        <v>822.65</v>
      </c>
      <c r="D3270">
        <f t="shared" si="54"/>
        <v>8.9618551707435206</v>
      </c>
      <c r="E3270">
        <v>-6.0171815908075521E-3</v>
      </c>
    </row>
    <row r="3271" spans="2:5" x14ac:dyDescent="0.35">
      <c r="B3271" s="2">
        <v>40994</v>
      </c>
      <c r="C3271" s="4">
        <v>82.58</v>
      </c>
      <c r="D3271">
        <f t="shared" si="54"/>
        <v>0.22358867980441555</v>
      </c>
      <c r="E3271">
        <v>-6.0182956186808356E-3</v>
      </c>
    </row>
    <row r="3272" spans="2:5" x14ac:dyDescent="0.35">
      <c r="B3272" s="2">
        <v>38545</v>
      </c>
      <c r="C3272" s="4">
        <v>67.489999999999995</v>
      </c>
      <c r="D3272">
        <f t="shared" si="54"/>
        <v>0.14022638959283662</v>
      </c>
      <c r="E3272">
        <v>-6.0382916053021152E-3</v>
      </c>
    </row>
    <row r="3273" spans="2:5" x14ac:dyDescent="0.35">
      <c r="B3273" s="2">
        <v>38909</v>
      </c>
      <c r="C3273" s="4">
        <v>59.19</v>
      </c>
      <c r="D3273">
        <f t="shared" si="54"/>
        <v>1.4021915584415581</v>
      </c>
      <c r="E3273">
        <v>-6.0453400503778232E-3</v>
      </c>
    </row>
    <row r="3274" spans="2:5" x14ac:dyDescent="0.35">
      <c r="B3274" s="2">
        <v>37826</v>
      </c>
      <c r="C3274" s="4">
        <v>24.64</v>
      </c>
      <c r="D3274">
        <f t="shared" si="54"/>
        <v>-0.78221672264451125</v>
      </c>
      <c r="E3274">
        <v>-6.0508269463492859E-3</v>
      </c>
    </row>
    <row r="3275" spans="2:5" x14ac:dyDescent="0.35">
      <c r="B3275" s="2">
        <v>40459</v>
      </c>
      <c r="C3275" s="4">
        <v>113.14</v>
      </c>
      <c r="D3275">
        <f t="shared" si="54"/>
        <v>-0.8735498580593245</v>
      </c>
      <c r="E3275">
        <v>-6.0616709127646606E-3</v>
      </c>
    </row>
    <row r="3276" spans="2:5" x14ac:dyDescent="0.35">
      <c r="B3276" s="2">
        <v>43578</v>
      </c>
      <c r="C3276" s="4">
        <v>894.74</v>
      </c>
      <c r="D3276">
        <f t="shared" si="54"/>
        <v>2.3093168620778934</v>
      </c>
      <c r="E3276">
        <v>-6.0653188180405104E-3</v>
      </c>
    </row>
    <row r="3277" spans="2:5" x14ac:dyDescent="0.35">
      <c r="B3277" s="2">
        <v>41823</v>
      </c>
      <c r="C3277" s="4">
        <v>270.37</v>
      </c>
      <c r="D3277">
        <f t="shared" si="54"/>
        <v>-0.67936387462495407</v>
      </c>
      <c r="E3277">
        <v>-6.0657304609954554E-3</v>
      </c>
    </row>
    <row r="3278" spans="2:5" x14ac:dyDescent="0.35">
      <c r="B3278" s="2">
        <v>42303</v>
      </c>
      <c r="C3278" s="4">
        <v>843.23</v>
      </c>
      <c r="D3278">
        <f t="shared" si="54"/>
        <v>26.174669674508539</v>
      </c>
      <c r="E3278">
        <v>-6.0821084642675993E-3</v>
      </c>
    </row>
    <row r="3279" spans="2:5" x14ac:dyDescent="0.35">
      <c r="B3279" s="2">
        <v>37601</v>
      </c>
      <c r="C3279" s="4">
        <v>31.03</v>
      </c>
      <c r="D3279">
        <f t="shared" si="54"/>
        <v>-0.69832782422710471</v>
      </c>
      <c r="E3279">
        <v>-6.0858424087122387E-3</v>
      </c>
    </row>
    <row r="3280" spans="2:5" x14ac:dyDescent="0.35">
      <c r="B3280" s="2">
        <v>40739</v>
      </c>
      <c r="C3280" s="4">
        <v>102.86</v>
      </c>
      <c r="D3280">
        <f t="shared" si="54"/>
        <v>0.10996007337865543</v>
      </c>
      <c r="E3280">
        <v>-6.0875446903081443E-3</v>
      </c>
    </row>
    <row r="3281" spans="2:5" x14ac:dyDescent="0.35">
      <c r="B3281" s="2">
        <v>39080</v>
      </c>
      <c r="C3281" s="4">
        <v>92.67</v>
      </c>
      <c r="D3281">
        <f t="shared" si="54"/>
        <v>-0.96500298345128666</v>
      </c>
      <c r="E3281">
        <v>-6.1132561132560825E-3</v>
      </c>
    </row>
    <row r="3282" spans="2:5" x14ac:dyDescent="0.35">
      <c r="B3282" s="2">
        <v>44252</v>
      </c>
      <c r="C3282" s="4">
        <v>2647.94</v>
      </c>
      <c r="D3282">
        <f t="shared" si="54"/>
        <v>1.6064710456634939</v>
      </c>
      <c r="E3282">
        <v>-6.1217978793280947E-3</v>
      </c>
    </row>
    <row r="3283" spans="2:5" x14ac:dyDescent="0.35">
      <c r="B3283" s="2">
        <v>43125</v>
      </c>
      <c r="C3283" s="4">
        <v>1015.91</v>
      </c>
      <c r="D3283">
        <f t="shared" si="54"/>
        <v>0.18400289034182959</v>
      </c>
      <c r="E3283">
        <v>-6.124225911541159E-3</v>
      </c>
    </row>
    <row r="3284" spans="2:5" x14ac:dyDescent="0.35">
      <c r="B3284" s="2">
        <v>42276</v>
      </c>
      <c r="C3284" s="4">
        <v>858.03</v>
      </c>
      <c r="D3284">
        <f t="shared" si="54"/>
        <v>-0.86411212733103693</v>
      </c>
      <c r="E3284">
        <v>-6.1275077607376716E-3</v>
      </c>
    </row>
    <row r="3285" spans="2:5" x14ac:dyDescent="0.35">
      <c r="B3285" s="2">
        <v>44915</v>
      </c>
      <c r="C3285" s="4">
        <v>6314.25</v>
      </c>
      <c r="D3285">
        <f t="shared" si="54"/>
        <v>59.089931480776549</v>
      </c>
      <c r="E3285">
        <v>-6.1464121007980266E-3</v>
      </c>
    </row>
    <row r="3286" spans="2:5" x14ac:dyDescent="0.35">
      <c r="B3286" s="2">
        <v>40393</v>
      </c>
      <c r="C3286" s="4">
        <v>105.08</v>
      </c>
      <c r="D3286">
        <f t="shared" si="54"/>
        <v>-9.5202186822509471E-3</v>
      </c>
      <c r="E3286">
        <v>-6.1477347961790274E-3</v>
      </c>
    </row>
    <row r="3287" spans="2:5" x14ac:dyDescent="0.35">
      <c r="B3287" s="2">
        <v>40344</v>
      </c>
      <c r="C3287" s="4">
        <v>106.09</v>
      </c>
      <c r="D3287">
        <f t="shared" si="54"/>
        <v>0.27267274472168901</v>
      </c>
      <c r="E3287">
        <v>-6.1826697892271021E-3</v>
      </c>
    </row>
    <row r="3288" spans="2:5" x14ac:dyDescent="0.35">
      <c r="B3288" s="2">
        <v>40987</v>
      </c>
      <c r="C3288" s="4">
        <v>83.36</v>
      </c>
      <c r="D3288">
        <f t="shared" si="54"/>
        <v>6.1640346408558422E-2</v>
      </c>
      <c r="E3288">
        <v>-6.1993323795898059E-3</v>
      </c>
    </row>
    <row r="3289" spans="2:5" x14ac:dyDescent="0.35">
      <c r="B3289" s="2">
        <v>40891</v>
      </c>
      <c r="C3289" s="4">
        <v>78.52</v>
      </c>
      <c r="D3289">
        <f t="shared" si="54"/>
        <v>4.3455149501661072E-2</v>
      </c>
      <c r="E3289">
        <v>-6.2017466143526878E-3</v>
      </c>
    </row>
    <row r="3290" spans="2:5" x14ac:dyDescent="0.35">
      <c r="B3290" s="2">
        <v>41542</v>
      </c>
      <c r="C3290" s="4">
        <v>75.25</v>
      </c>
      <c r="D3290">
        <f t="shared" si="54"/>
        <v>1.6119402985074629</v>
      </c>
      <c r="E3290">
        <v>-6.2070787110406478E-3</v>
      </c>
    </row>
    <row r="3291" spans="2:5" x14ac:dyDescent="0.35">
      <c r="B3291" s="2">
        <v>38043</v>
      </c>
      <c r="C3291" s="4">
        <v>28.81</v>
      </c>
      <c r="D3291">
        <f t="shared" si="54"/>
        <v>-0.56068923452272035</v>
      </c>
      <c r="E3291">
        <v>-6.2090375991721292E-3</v>
      </c>
    </row>
    <row r="3292" spans="2:5" x14ac:dyDescent="0.35">
      <c r="B3292" s="2">
        <v>38784</v>
      </c>
      <c r="C3292" s="4">
        <v>65.58</v>
      </c>
      <c r="D3292">
        <f t="shared" si="54"/>
        <v>1.1679338842975207</v>
      </c>
      <c r="E3292">
        <v>-6.2130625852401256E-3</v>
      </c>
    </row>
    <row r="3293" spans="2:5" x14ac:dyDescent="0.35">
      <c r="B3293" s="2">
        <v>39875</v>
      </c>
      <c r="C3293" s="4">
        <v>30.25</v>
      </c>
      <c r="D3293">
        <f t="shared" si="54"/>
        <v>-0.68304694048616932</v>
      </c>
      <c r="E3293">
        <v>-6.2417871222076871E-3</v>
      </c>
    </row>
    <row r="3294" spans="2:5" x14ac:dyDescent="0.35">
      <c r="B3294" s="2">
        <v>41137</v>
      </c>
      <c r="C3294" s="4">
        <v>95.44</v>
      </c>
      <c r="D3294">
        <f t="shared" si="54"/>
        <v>0.30471633629528361</v>
      </c>
      <c r="E3294">
        <v>-6.2473969179509536E-3</v>
      </c>
    </row>
    <row r="3295" spans="2:5" x14ac:dyDescent="0.35">
      <c r="B3295" s="2">
        <v>38693</v>
      </c>
      <c r="C3295" s="4">
        <v>73.150000000000006</v>
      </c>
      <c r="D3295">
        <f t="shared" si="54"/>
        <v>-0.89399626124885878</v>
      </c>
      <c r="E3295">
        <v>-6.2491509305799831E-3</v>
      </c>
    </row>
    <row r="3296" spans="2:5" x14ac:dyDescent="0.35">
      <c r="B3296" s="2">
        <v>42776</v>
      </c>
      <c r="C3296" s="4">
        <v>690.07</v>
      </c>
      <c r="D3296">
        <f t="shared" si="54"/>
        <v>-0.3418941987659383</v>
      </c>
      <c r="E3296">
        <v>-6.2642205005615237E-3</v>
      </c>
    </row>
    <row r="3297" spans="2:5" x14ac:dyDescent="0.35">
      <c r="B3297" s="2">
        <v>44064</v>
      </c>
      <c r="C3297" s="4">
        <v>1048.57</v>
      </c>
      <c r="D3297">
        <f t="shared" si="54"/>
        <v>7.9460796860336149</v>
      </c>
      <c r="E3297">
        <v>-6.273751646623027E-3</v>
      </c>
    </row>
    <row r="3298" spans="2:5" x14ac:dyDescent="0.35">
      <c r="B3298" s="2">
        <v>39258</v>
      </c>
      <c r="C3298" s="4">
        <v>117.21</v>
      </c>
      <c r="D3298">
        <f t="shared" si="54"/>
        <v>1.1160859360895468</v>
      </c>
      <c r="E3298">
        <v>-6.2738448495125443E-3</v>
      </c>
    </row>
    <row r="3299" spans="2:5" x14ac:dyDescent="0.35">
      <c r="B3299" s="2">
        <v>39979</v>
      </c>
      <c r="C3299" s="4">
        <v>55.39</v>
      </c>
      <c r="D3299">
        <f t="shared" si="54"/>
        <v>1.0591078066914501</v>
      </c>
      <c r="E3299">
        <v>-6.2791532113384285E-3</v>
      </c>
    </row>
    <row r="3300" spans="2:5" x14ac:dyDescent="0.35">
      <c r="B3300" s="2">
        <v>38089</v>
      </c>
      <c r="C3300" s="4">
        <v>26.9</v>
      </c>
      <c r="D3300">
        <f t="shared" si="54"/>
        <v>-0.97385836872333598</v>
      </c>
      <c r="E3300">
        <v>-6.280014776505416E-3</v>
      </c>
    </row>
    <row r="3301" spans="2:5" x14ac:dyDescent="0.35">
      <c r="B3301" s="2">
        <v>42368</v>
      </c>
      <c r="C3301" s="4">
        <v>1029.01</v>
      </c>
      <c r="D3301">
        <f t="shared" si="54"/>
        <v>9.34180904522613</v>
      </c>
      <c r="E3301">
        <v>-6.2866965389369867E-3</v>
      </c>
    </row>
    <row r="3302" spans="2:5" x14ac:dyDescent="0.35">
      <c r="B3302" s="2">
        <v>40697</v>
      </c>
      <c r="C3302" s="4">
        <v>99.5</v>
      </c>
      <c r="D3302">
        <f t="shared" si="54"/>
        <v>-0.9717977715987971</v>
      </c>
      <c r="E3302">
        <v>-6.2918206331767923E-3</v>
      </c>
    </row>
    <row r="3303" spans="2:5" x14ac:dyDescent="0.35">
      <c r="B3303" s="2">
        <v>44350</v>
      </c>
      <c r="C3303" s="4">
        <v>3528.09</v>
      </c>
      <c r="D3303">
        <f t="shared" si="54"/>
        <v>42.930892790437056</v>
      </c>
      <c r="E3303">
        <v>-6.3089883368210309E-3</v>
      </c>
    </row>
    <row r="3304" spans="2:5" x14ac:dyDescent="0.35">
      <c r="B3304" s="2">
        <v>39022</v>
      </c>
      <c r="C3304" s="4">
        <v>80.31</v>
      </c>
      <c r="D3304">
        <f t="shared" si="54"/>
        <v>-0.91224101757146603</v>
      </c>
      <c r="E3304">
        <v>-6.3103192279138076E-3</v>
      </c>
    </row>
    <row r="3305" spans="2:5" x14ac:dyDescent="0.35">
      <c r="B3305" s="2">
        <v>43473</v>
      </c>
      <c r="C3305" s="4">
        <v>915.12</v>
      </c>
      <c r="D3305">
        <f t="shared" si="54"/>
        <v>7.8751818446319461</v>
      </c>
      <c r="E3305">
        <v>-6.3412091730368214E-3</v>
      </c>
    </row>
    <row r="3306" spans="2:5" x14ac:dyDescent="0.35">
      <c r="B3306" s="2">
        <v>40333</v>
      </c>
      <c r="C3306" s="4">
        <v>103.11</v>
      </c>
      <c r="D3306">
        <f t="shared" si="54"/>
        <v>0.94217366735731756</v>
      </c>
      <c r="E3306">
        <v>-6.3602197166811036E-3</v>
      </c>
    </row>
    <row r="3307" spans="2:5" x14ac:dyDescent="0.35">
      <c r="B3307" s="2">
        <v>39996</v>
      </c>
      <c r="C3307" s="4">
        <v>53.09</v>
      </c>
      <c r="D3307">
        <f t="shared" si="54"/>
        <v>-0.93585297777992582</v>
      </c>
      <c r="E3307">
        <v>-6.3634662174807399E-3</v>
      </c>
    </row>
    <row r="3308" spans="2:5" x14ac:dyDescent="0.35">
      <c r="B3308" s="2">
        <v>43495</v>
      </c>
      <c r="C3308" s="4">
        <v>827.63</v>
      </c>
      <c r="D3308">
        <f t="shared" si="54"/>
        <v>5.8224383810073368</v>
      </c>
      <c r="E3308">
        <v>-6.3869379914761604E-3</v>
      </c>
    </row>
    <row r="3309" spans="2:5" x14ac:dyDescent="0.35">
      <c r="B3309" s="2">
        <v>40259</v>
      </c>
      <c r="C3309" s="4">
        <v>121.31</v>
      </c>
      <c r="D3309">
        <f t="shared" si="54"/>
        <v>-0.86481456717482397</v>
      </c>
      <c r="E3309">
        <v>-6.3887296256859294E-3</v>
      </c>
    </row>
    <row r="3310" spans="2:5" x14ac:dyDescent="0.35">
      <c r="B3310" s="2">
        <v>44036</v>
      </c>
      <c r="C3310" s="4">
        <v>897.36</v>
      </c>
      <c r="D3310">
        <f t="shared" si="54"/>
        <v>7</v>
      </c>
      <c r="E3310">
        <v>-6.399893704187587E-3</v>
      </c>
    </row>
    <row r="3311" spans="2:5" x14ac:dyDescent="0.35">
      <c r="B3311" s="2">
        <v>40373</v>
      </c>
      <c r="C3311" s="4">
        <v>112.17</v>
      </c>
      <c r="D3311">
        <f t="shared" si="54"/>
        <v>-0.88716426918821045</v>
      </c>
      <c r="E3311">
        <v>-6.4658990256865057E-3</v>
      </c>
    </row>
    <row r="3312" spans="2:5" x14ac:dyDescent="0.35">
      <c r="B3312" s="2">
        <v>43208</v>
      </c>
      <c r="C3312" s="4">
        <v>994.1</v>
      </c>
      <c r="D3312">
        <f t="shared" si="54"/>
        <v>16.104267033723332</v>
      </c>
      <c r="E3312">
        <v>-6.4861731578368387E-3</v>
      </c>
    </row>
    <row r="3313" spans="2:5" x14ac:dyDescent="0.35">
      <c r="B3313" s="2">
        <v>38426</v>
      </c>
      <c r="C3313" s="4">
        <v>58.12</v>
      </c>
      <c r="D3313">
        <f t="shared" si="54"/>
        <v>-0.92983642180237824</v>
      </c>
      <c r="E3313">
        <v>-6.4957264957264949E-3</v>
      </c>
    </row>
    <row r="3314" spans="2:5" x14ac:dyDescent="0.35">
      <c r="B3314" s="2">
        <v>43815</v>
      </c>
      <c r="C3314" s="4">
        <v>828.35</v>
      </c>
      <c r="D3314">
        <f t="shared" si="54"/>
        <v>14.535446361590399</v>
      </c>
      <c r="E3314">
        <v>-6.5125092950177876E-3</v>
      </c>
    </row>
    <row r="3315" spans="2:5" x14ac:dyDescent="0.35">
      <c r="B3315" s="2">
        <v>38362</v>
      </c>
      <c r="C3315" s="4">
        <v>53.32</v>
      </c>
      <c r="D3315">
        <f t="shared" si="54"/>
        <v>-0.27058823529411757</v>
      </c>
      <c r="E3315">
        <v>-6.5213340786286489E-3</v>
      </c>
    </row>
    <row r="3316" spans="2:5" x14ac:dyDescent="0.35">
      <c r="B3316" s="2">
        <v>39633</v>
      </c>
      <c r="C3316" s="4">
        <v>73.099999999999994</v>
      </c>
      <c r="D3316">
        <f t="shared" si="54"/>
        <v>0.26470588235294112</v>
      </c>
      <c r="E3316">
        <v>-6.5235118238652356E-3</v>
      </c>
    </row>
    <row r="3317" spans="2:5" x14ac:dyDescent="0.35">
      <c r="B3317" s="2">
        <v>38400</v>
      </c>
      <c r="C3317" s="4">
        <v>57.8</v>
      </c>
      <c r="D3317">
        <f t="shared" si="54"/>
        <v>-0.93735775441638669</v>
      </c>
      <c r="E3317">
        <v>-6.5314541079408706E-3</v>
      </c>
    </row>
    <row r="3318" spans="2:5" x14ac:dyDescent="0.35">
      <c r="B3318" s="2">
        <v>43546</v>
      </c>
      <c r="C3318" s="4">
        <v>922.7</v>
      </c>
      <c r="D3318">
        <f t="shared" si="54"/>
        <v>30.949445983379505</v>
      </c>
      <c r="E3318">
        <v>-6.5355254799357443E-3</v>
      </c>
    </row>
    <row r="3319" spans="2:5" x14ac:dyDescent="0.35">
      <c r="B3319" s="2">
        <v>37875</v>
      </c>
      <c r="C3319" s="4">
        <v>28.88</v>
      </c>
      <c r="D3319">
        <f t="shared" si="54"/>
        <v>0</v>
      </c>
      <c r="E3319">
        <v>-6.5359477124183885E-3</v>
      </c>
    </row>
    <row r="3320" spans="2:5" x14ac:dyDescent="0.35">
      <c r="B3320" s="2">
        <v>37634</v>
      </c>
      <c r="C3320" s="4">
        <v>28.88</v>
      </c>
      <c r="D3320">
        <f t="shared" si="54"/>
        <v>-0.57684981684981684</v>
      </c>
      <c r="E3320">
        <v>-6.5359477124183885E-3</v>
      </c>
    </row>
    <row r="3321" spans="2:5" x14ac:dyDescent="0.35">
      <c r="B3321" s="2">
        <v>38622</v>
      </c>
      <c r="C3321" s="4">
        <v>68.25</v>
      </c>
      <c r="D3321">
        <f t="shared" si="54"/>
        <v>0.36472705458908217</v>
      </c>
      <c r="E3321">
        <v>-6.5502183406114245E-3</v>
      </c>
    </row>
    <row r="3322" spans="2:5" x14ac:dyDescent="0.35">
      <c r="B3322" s="2">
        <v>38243</v>
      </c>
      <c r="C3322" s="4">
        <v>50.01</v>
      </c>
      <c r="D3322">
        <f t="shared" si="54"/>
        <v>-0.69440879926672783</v>
      </c>
      <c r="E3322">
        <v>-6.5554231227653581E-3</v>
      </c>
    </row>
    <row r="3323" spans="2:5" x14ac:dyDescent="0.35">
      <c r="B3323" s="2">
        <v>41634</v>
      </c>
      <c r="C3323" s="4">
        <v>163.65</v>
      </c>
      <c r="D3323">
        <f t="shared" si="54"/>
        <v>-0.75852146967684819</v>
      </c>
      <c r="E3323">
        <v>-6.5561828446547565E-3</v>
      </c>
    </row>
    <row r="3324" spans="2:5" x14ac:dyDescent="0.35">
      <c r="B3324" s="2">
        <v>42825</v>
      </c>
      <c r="C3324" s="4">
        <v>677.7</v>
      </c>
      <c r="D3324">
        <f t="shared" si="54"/>
        <v>5.9019248395967008</v>
      </c>
      <c r="E3324">
        <v>-6.5671816822537865E-3</v>
      </c>
    </row>
    <row r="3325" spans="2:5" x14ac:dyDescent="0.35">
      <c r="B3325" s="2">
        <v>41170</v>
      </c>
      <c r="C3325" s="4">
        <v>98.19</v>
      </c>
      <c r="D3325">
        <f t="shared" si="54"/>
        <v>-0.88972495816533959</v>
      </c>
      <c r="E3325">
        <v>-6.5762849048968119E-3</v>
      </c>
    </row>
    <row r="3326" spans="2:5" x14ac:dyDescent="0.35">
      <c r="B3326" s="2">
        <v>42485</v>
      </c>
      <c r="C3326" s="4">
        <v>890.41</v>
      </c>
      <c r="D3326">
        <f t="shared" si="54"/>
        <v>7.4655828104202318</v>
      </c>
      <c r="E3326">
        <v>-6.6047103187443224E-3</v>
      </c>
    </row>
    <row r="3327" spans="2:5" x14ac:dyDescent="0.35">
      <c r="B3327" s="2">
        <v>40387</v>
      </c>
      <c r="C3327" s="4">
        <v>105.18</v>
      </c>
      <c r="D3327">
        <f t="shared" si="54"/>
        <v>-0.88249882699912863</v>
      </c>
      <c r="E3327">
        <v>-6.6112580279560351E-3</v>
      </c>
    </row>
    <row r="3328" spans="2:5" x14ac:dyDescent="0.35">
      <c r="B3328" s="2">
        <v>42440</v>
      </c>
      <c r="C3328" s="4">
        <v>895.14</v>
      </c>
      <c r="D3328">
        <f t="shared" si="54"/>
        <v>12.871687587168758</v>
      </c>
      <c r="E3328">
        <v>-6.614138275441217E-3</v>
      </c>
    </row>
    <row r="3329" spans="2:5" x14ac:dyDescent="0.35">
      <c r="B3329" s="2">
        <v>38797</v>
      </c>
      <c r="C3329" s="4">
        <v>64.53</v>
      </c>
      <c r="D3329">
        <f t="shared" si="54"/>
        <v>-0.99392037987026749</v>
      </c>
      <c r="E3329">
        <v>-6.6194581280787368E-3</v>
      </c>
    </row>
    <row r="3330" spans="2:5" x14ac:dyDescent="0.35">
      <c r="B3330" s="2">
        <v>44791</v>
      </c>
      <c r="C3330" s="4">
        <v>10614.15</v>
      </c>
      <c r="D3330">
        <f t="shared" si="54"/>
        <v>98.728929813022631</v>
      </c>
      <c r="E3330">
        <v>-6.6214938838922155E-3</v>
      </c>
    </row>
    <row r="3331" spans="2:5" x14ac:dyDescent="0.35">
      <c r="B3331" s="2">
        <v>40662</v>
      </c>
      <c r="C3331" s="4">
        <v>106.43</v>
      </c>
      <c r="D3331">
        <f t="shared" si="54"/>
        <v>0.39415771548336398</v>
      </c>
      <c r="E3331">
        <v>-6.6268433824900885E-3</v>
      </c>
    </row>
    <row r="3332" spans="2:5" x14ac:dyDescent="0.35">
      <c r="B3332" s="2">
        <v>39603</v>
      </c>
      <c r="C3332" s="4">
        <v>76.34</v>
      </c>
      <c r="D3332">
        <f t="shared" ref="D3332:D3395" si="55">C3332/C3333-1</f>
        <v>-0.98914329597815576</v>
      </c>
      <c r="E3332">
        <v>-6.6363044892646661E-3</v>
      </c>
    </row>
    <row r="3333" spans="2:5" x14ac:dyDescent="0.35">
      <c r="B3333" s="2">
        <v>45061</v>
      </c>
      <c r="C3333" s="4">
        <v>7031.6</v>
      </c>
      <c r="D3333">
        <f t="shared" si="55"/>
        <v>0.17179662372723192</v>
      </c>
      <c r="E3333">
        <v>-6.6397310202582771E-3</v>
      </c>
    </row>
    <row r="3334" spans="2:5" x14ac:dyDescent="0.35">
      <c r="B3334" s="2">
        <v>45009</v>
      </c>
      <c r="C3334" s="4">
        <v>6000.7</v>
      </c>
      <c r="D3334">
        <f t="shared" si="55"/>
        <v>80.987976499521793</v>
      </c>
      <c r="E3334">
        <v>-6.6464156534263852E-3</v>
      </c>
    </row>
    <row r="3335" spans="2:5" x14ac:dyDescent="0.35">
      <c r="B3335" s="2">
        <v>38582</v>
      </c>
      <c r="C3335" s="4">
        <v>73.19</v>
      </c>
      <c r="D3335">
        <f t="shared" si="55"/>
        <v>-0.90823260945884954</v>
      </c>
      <c r="E3335">
        <v>-6.6503800217156961E-3</v>
      </c>
    </row>
    <row r="3336" spans="2:5" x14ac:dyDescent="0.35">
      <c r="B3336" s="2">
        <v>43838</v>
      </c>
      <c r="C3336" s="4">
        <v>797.56</v>
      </c>
      <c r="D3336">
        <f t="shared" si="55"/>
        <v>0.11635849558389211</v>
      </c>
      <c r="E3336">
        <v>-6.6508905218582992E-3</v>
      </c>
    </row>
    <row r="3337" spans="2:5" x14ac:dyDescent="0.35">
      <c r="B3337" s="2">
        <v>42860</v>
      </c>
      <c r="C3337" s="4">
        <v>714.43</v>
      </c>
      <c r="D3337">
        <f t="shared" si="55"/>
        <v>1.5632534443168766</v>
      </c>
      <c r="E3337">
        <v>-6.6599927699453332E-3</v>
      </c>
    </row>
    <row r="3338" spans="2:5" x14ac:dyDescent="0.35">
      <c r="B3338" s="2">
        <v>41926</v>
      </c>
      <c r="C3338" s="4">
        <v>278.72000000000003</v>
      </c>
      <c r="D3338">
        <f t="shared" si="55"/>
        <v>-0.54819989949911652</v>
      </c>
      <c r="E3338">
        <v>-6.6645283153353718E-3</v>
      </c>
    </row>
    <row r="3339" spans="2:5" x14ac:dyDescent="0.35">
      <c r="B3339" s="2">
        <v>42667</v>
      </c>
      <c r="C3339" s="4">
        <v>616.91</v>
      </c>
      <c r="D3339">
        <f t="shared" si="55"/>
        <v>8.6392187499999995</v>
      </c>
      <c r="E3339">
        <v>-6.6661299412285047E-3</v>
      </c>
    </row>
    <row r="3340" spans="2:5" x14ac:dyDescent="0.35">
      <c r="B3340" s="2">
        <v>38800</v>
      </c>
      <c r="C3340" s="4">
        <v>64</v>
      </c>
      <c r="D3340">
        <f t="shared" si="55"/>
        <v>-0.9471196747859999</v>
      </c>
      <c r="E3340">
        <v>-6.6739096694087285E-3</v>
      </c>
    </row>
    <row r="3341" spans="2:5" x14ac:dyDescent="0.35">
      <c r="B3341" s="2">
        <v>43269</v>
      </c>
      <c r="C3341" s="4">
        <v>1210.28</v>
      </c>
      <c r="D3341">
        <f t="shared" si="55"/>
        <v>22.477788554801165</v>
      </c>
      <c r="E3341">
        <v>-6.705240264270218E-3</v>
      </c>
    </row>
    <row r="3342" spans="2:5" x14ac:dyDescent="0.35">
      <c r="B3342" s="2">
        <v>38351</v>
      </c>
      <c r="C3342" s="4">
        <v>51.55</v>
      </c>
      <c r="D3342">
        <f t="shared" si="55"/>
        <v>-0.85221180585418999</v>
      </c>
      <c r="E3342">
        <v>-6.7437379576108514E-3</v>
      </c>
    </row>
    <row r="3343" spans="2:5" x14ac:dyDescent="0.35">
      <c r="B3343" s="2">
        <v>42031</v>
      </c>
      <c r="C3343" s="4">
        <v>348.81</v>
      </c>
      <c r="D3343">
        <f t="shared" si="55"/>
        <v>9.3045790251107832</v>
      </c>
      <c r="E3343">
        <v>-6.7486758927045587E-3</v>
      </c>
    </row>
    <row r="3344" spans="2:5" x14ac:dyDescent="0.35">
      <c r="B3344" s="2">
        <v>39805</v>
      </c>
      <c r="C3344" s="4">
        <v>33.85</v>
      </c>
      <c r="D3344">
        <f t="shared" si="55"/>
        <v>0.21239255014326641</v>
      </c>
      <c r="E3344">
        <v>-6.748826291079757E-3</v>
      </c>
    </row>
    <row r="3345" spans="2:5" x14ac:dyDescent="0.35">
      <c r="B3345" s="2">
        <v>37867</v>
      </c>
      <c r="C3345" s="4">
        <v>27.92</v>
      </c>
      <c r="D3345">
        <f t="shared" si="55"/>
        <v>-0.45649211602102391</v>
      </c>
      <c r="E3345">
        <v>-6.7591604411241235E-3</v>
      </c>
    </row>
    <row r="3346" spans="2:5" x14ac:dyDescent="0.35">
      <c r="B3346" s="2">
        <v>38323</v>
      </c>
      <c r="C3346" s="4">
        <v>51.37</v>
      </c>
      <c r="D3346">
        <f t="shared" si="55"/>
        <v>-0.96919137094500984</v>
      </c>
      <c r="E3346">
        <v>-6.7672080433102133E-3</v>
      </c>
    </row>
    <row r="3347" spans="2:5" x14ac:dyDescent="0.35">
      <c r="B3347" s="2">
        <v>44173</v>
      </c>
      <c r="C3347" s="4">
        <v>1667.39</v>
      </c>
      <c r="D3347">
        <f t="shared" si="55"/>
        <v>1.4739825214772173</v>
      </c>
      <c r="E3347">
        <v>-6.772856155733975E-3</v>
      </c>
    </row>
    <row r="3348" spans="2:5" x14ac:dyDescent="0.35">
      <c r="B3348" s="2">
        <v>42801</v>
      </c>
      <c r="C3348" s="4">
        <v>673.97</v>
      </c>
      <c r="D3348">
        <f t="shared" si="55"/>
        <v>8.398549714126343</v>
      </c>
      <c r="E3348">
        <v>-6.778961639919312E-3</v>
      </c>
    </row>
    <row r="3349" spans="2:5" x14ac:dyDescent="0.35">
      <c r="B3349" s="2">
        <v>38729</v>
      </c>
      <c r="C3349" s="4">
        <v>71.709999999999994</v>
      </c>
      <c r="D3349">
        <f t="shared" si="55"/>
        <v>-0.93107524918061146</v>
      </c>
      <c r="E3349">
        <v>-6.7867036011081128E-3</v>
      </c>
    </row>
    <row r="3350" spans="2:5" x14ac:dyDescent="0.35">
      <c r="B3350" s="2">
        <v>42362</v>
      </c>
      <c r="C3350" s="4">
        <v>1040.4100000000001</v>
      </c>
      <c r="D3350">
        <f t="shared" si="55"/>
        <v>0.22633458668772621</v>
      </c>
      <c r="E3350">
        <v>-6.7874599053000528E-3</v>
      </c>
    </row>
    <row r="3351" spans="2:5" x14ac:dyDescent="0.35">
      <c r="B3351" s="2">
        <v>42300</v>
      </c>
      <c r="C3351" s="4">
        <v>848.39</v>
      </c>
      <c r="D3351">
        <f t="shared" si="55"/>
        <v>7.9360648830840539</v>
      </c>
      <c r="E3351">
        <v>-6.7900584179164669E-3</v>
      </c>
    </row>
    <row r="3352" spans="2:5" x14ac:dyDescent="0.35">
      <c r="B3352" s="2">
        <v>40716</v>
      </c>
      <c r="C3352" s="4">
        <v>94.94</v>
      </c>
      <c r="D3352">
        <f t="shared" si="55"/>
        <v>0.54827136333985638</v>
      </c>
      <c r="E3352">
        <v>-6.7998744638561037E-3</v>
      </c>
    </row>
    <row r="3353" spans="2:5" x14ac:dyDescent="0.35">
      <c r="B3353" s="2">
        <v>40127</v>
      </c>
      <c r="C3353" s="4">
        <v>61.32</v>
      </c>
      <c r="D3353">
        <f t="shared" si="55"/>
        <v>1.1000000000000001</v>
      </c>
      <c r="E3353">
        <v>-6.8027210884353817E-3</v>
      </c>
    </row>
    <row r="3354" spans="2:5" x14ac:dyDescent="0.35">
      <c r="B3354" s="2">
        <v>37872</v>
      </c>
      <c r="C3354" s="4">
        <v>29.2</v>
      </c>
      <c r="D3354">
        <f t="shared" si="55"/>
        <v>-0.60545872179435212</v>
      </c>
      <c r="E3354">
        <v>-6.8027210884353817E-3</v>
      </c>
    </row>
    <row r="3355" spans="2:5" x14ac:dyDescent="0.35">
      <c r="B3355" s="2">
        <v>39500</v>
      </c>
      <c r="C3355" s="4">
        <v>74.010000000000005</v>
      </c>
      <c r="D3355">
        <f t="shared" si="55"/>
        <v>-0.71341723136495649</v>
      </c>
      <c r="E3355">
        <v>-6.843800322061111E-3</v>
      </c>
    </row>
    <row r="3356" spans="2:5" x14ac:dyDescent="0.35">
      <c r="B3356" s="2">
        <v>41722</v>
      </c>
      <c r="C3356" s="4">
        <v>258.25</v>
      </c>
      <c r="D3356">
        <f t="shared" si="55"/>
        <v>-0.61038275274203047</v>
      </c>
      <c r="E3356">
        <v>-6.8453639964618507E-3</v>
      </c>
    </row>
    <row r="3357" spans="2:5" x14ac:dyDescent="0.35">
      <c r="B3357" s="2">
        <v>43742</v>
      </c>
      <c r="C3357" s="4">
        <v>662.83</v>
      </c>
      <c r="D3357">
        <f t="shared" si="55"/>
        <v>-0.84534348152745564</v>
      </c>
      <c r="E3357">
        <v>-6.847467785435879E-3</v>
      </c>
    </row>
    <row r="3358" spans="2:5" x14ac:dyDescent="0.35">
      <c r="B3358" s="2">
        <v>44390</v>
      </c>
      <c r="C3358" s="4">
        <v>4285.82</v>
      </c>
      <c r="D3358">
        <f t="shared" si="55"/>
        <v>39.200919238345371</v>
      </c>
      <c r="E3358">
        <v>-6.8706305454563354E-3</v>
      </c>
    </row>
    <row r="3359" spans="2:5" x14ac:dyDescent="0.35">
      <c r="B3359" s="2">
        <v>40638</v>
      </c>
      <c r="C3359" s="4">
        <v>106.61</v>
      </c>
      <c r="D3359">
        <f t="shared" si="55"/>
        <v>2.9153393184670362E-2</v>
      </c>
      <c r="E3359">
        <v>-6.893339543549093E-3</v>
      </c>
    </row>
    <row r="3360" spans="2:5" x14ac:dyDescent="0.35">
      <c r="B3360" s="2">
        <v>39182</v>
      </c>
      <c r="C3360" s="4">
        <v>103.59</v>
      </c>
      <c r="D3360">
        <f t="shared" si="55"/>
        <v>8.6956521739134374E-4</v>
      </c>
      <c r="E3360">
        <v>-6.90250215703192E-3</v>
      </c>
    </row>
    <row r="3361" spans="2:5" x14ac:dyDescent="0.35">
      <c r="B3361" s="2">
        <v>40395</v>
      </c>
      <c r="C3361" s="4">
        <v>103.5</v>
      </c>
      <c r="D3361">
        <f t="shared" si="55"/>
        <v>-0.86799984695634436</v>
      </c>
      <c r="E3361">
        <v>-6.9084628670120773E-3</v>
      </c>
    </row>
    <row r="3362" spans="2:5" x14ac:dyDescent="0.35">
      <c r="B3362" s="2">
        <v>42934</v>
      </c>
      <c r="C3362" s="4">
        <v>784.09</v>
      </c>
      <c r="D3362">
        <f t="shared" si="55"/>
        <v>8.2857650402652769</v>
      </c>
      <c r="E3362">
        <v>-6.9279092152589872E-3</v>
      </c>
    </row>
    <row r="3363" spans="2:5" x14ac:dyDescent="0.35">
      <c r="B3363" s="2">
        <v>41369</v>
      </c>
      <c r="C3363" s="4">
        <v>84.44</v>
      </c>
      <c r="D3363">
        <f t="shared" si="55"/>
        <v>-0.11931581143095538</v>
      </c>
      <c r="E3363">
        <v>-6.9387275079384469E-3</v>
      </c>
    </row>
    <row r="3364" spans="2:5" x14ac:dyDescent="0.35">
      <c r="B3364" s="2">
        <v>41099</v>
      </c>
      <c r="C3364" s="4">
        <v>95.88</v>
      </c>
      <c r="D3364">
        <f t="shared" si="55"/>
        <v>-0.87722802704363856</v>
      </c>
      <c r="E3364">
        <v>-6.9394096323148746E-3</v>
      </c>
    </row>
    <row r="3365" spans="2:5" x14ac:dyDescent="0.35">
      <c r="B3365" s="2">
        <v>43038</v>
      </c>
      <c r="C3365" s="4">
        <v>780.96</v>
      </c>
      <c r="D3365">
        <f t="shared" si="55"/>
        <v>-0.81481200440110779</v>
      </c>
      <c r="E3365">
        <v>-6.9554823696958978E-3</v>
      </c>
    </row>
    <row r="3366" spans="2:5" x14ac:dyDescent="0.35">
      <c r="B3366" s="2">
        <v>44418</v>
      </c>
      <c r="C3366" s="4">
        <v>4217.12</v>
      </c>
      <c r="D3366">
        <f t="shared" si="55"/>
        <v>4.186981870064697</v>
      </c>
      <c r="E3366">
        <v>-6.9583932822658845E-3</v>
      </c>
    </row>
    <row r="3367" spans="2:5" x14ac:dyDescent="0.35">
      <c r="B3367" s="2">
        <v>42948</v>
      </c>
      <c r="C3367" s="4">
        <v>813.02</v>
      </c>
      <c r="D3367">
        <f t="shared" si="55"/>
        <v>-0.88108005324206129</v>
      </c>
      <c r="E3367">
        <v>-6.9620871604456624E-3</v>
      </c>
    </row>
    <row r="3368" spans="2:5" x14ac:dyDescent="0.35">
      <c r="B3368" s="2">
        <v>44902</v>
      </c>
      <c r="C3368" s="4">
        <v>6836.7</v>
      </c>
      <c r="D3368">
        <f t="shared" si="55"/>
        <v>93.364389233954441</v>
      </c>
      <c r="E3368">
        <v>-6.9647694508798708E-3</v>
      </c>
    </row>
    <row r="3369" spans="2:5" x14ac:dyDescent="0.35">
      <c r="B3369" s="2">
        <v>38701</v>
      </c>
      <c r="C3369" s="4">
        <v>72.45</v>
      </c>
      <c r="D3369">
        <f t="shared" si="55"/>
        <v>-0.86682719702957556</v>
      </c>
      <c r="E3369">
        <v>-6.990131578947234E-3</v>
      </c>
    </row>
    <row r="3370" spans="2:5" x14ac:dyDescent="0.35">
      <c r="B3370" s="2">
        <v>42187</v>
      </c>
      <c r="C3370" s="4">
        <v>544.03</v>
      </c>
      <c r="D3370">
        <f t="shared" si="55"/>
        <v>-0.39848302245613254</v>
      </c>
      <c r="E3370">
        <v>-6.9908370751652349E-3</v>
      </c>
    </row>
    <row r="3371" spans="2:5" x14ac:dyDescent="0.35">
      <c r="B3371" s="2">
        <v>44034</v>
      </c>
      <c r="C3371" s="4">
        <v>904.43</v>
      </c>
      <c r="D3371">
        <f t="shared" si="55"/>
        <v>8.8083721939052158</v>
      </c>
      <c r="E3371">
        <v>-6.9938515590689532E-3</v>
      </c>
    </row>
    <row r="3372" spans="2:5" x14ac:dyDescent="0.35">
      <c r="B3372" s="2">
        <v>41155</v>
      </c>
      <c r="C3372" s="4">
        <v>92.21</v>
      </c>
      <c r="D3372">
        <f t="shared" si="55"/>
        <v>-0.84625260525218837</v>
      </c>
      <c r="E3372">
        <v>-6.9997846220116733E-3</v>
      </c>
    </row>
    <row r="3373" spans="2:5" x14ac:dyDescent="0.35">
      <c r="B3373" s="2">
        <v>42104</v>
      </c>
      <c r="C3373" s="4">
        <v>599.75</v>
      </c>
      <c r="D3373">
        <f t="shared" si="55"/>
        <v>-0.5922703015058296</v>
      </c>
      <c r="E3373">
        <v>-7.0364238410596247E-3</v>
      </c>
    </row>
    <row r="3374" spans="2:5" x14ac:dyDescent="0.35">
      <c r="B3374" s="2">
        <v>44147</v>
      </c>
      <c r="C3374" s="4">
        <v>1470.95</v>
      </c>
      <c r="D3374">
        <f t="shared" si="55"/>
        <v>16.10406976744186</v>
      </c>
      <c r="E3374">
        <v>-7.0407322901618885E-3</v>
      </c>
    </row>
    <row r="3375" spans="2:5" x14ac:dyDescent="0.35">
      <c r="B3375" s="2">
        <v>41345</v>
      </c>
      <c r="C3375" s="4">
        <v>86</v>
      </c>
      <c r="D3375">
        <f t="shared" si="55"/>
        <v>1.5443786982248522</v>
      </c>
      <c r="E3375">
        <v>-7.0430666204825965E-3</v>
      </c>
    </row>
    <row r="3376" spans="2:5" x14ac:dyDescent="0.35">
      <c r="B3376" s="2">
        <v>37959</v>
      </c>
      <c r="C3376" s="4">
        <v>33.799999999999997</v>
      </c>
      <c r="D3376">
        <f t="shared" si="55"/>
        <v>-0.71397139713971403</v>
      </c>
      <c r="E3376">
        <v>-7.0505287896592828E-3</v>
      </c>
    </row>
    <row r="3377" spans="2:5" x14ac:dyDescent="0.35">
      <c r="B3377" s="2">
        <v>40556</v>
      </c>
      <c r="C3377" s="4">
        <v>118.17</v>
      </c>
      <c r="D3377">
        <f t="shared" si="55"/>
        <v>0.10864058542077126</v>
      </c>
      <c r="E3377">
        <v>-7.0582304008066643E-3</v>
      </c>
    </row>
    <row r="3378" spans="2:5" x14ac:dyDescent="0.35">
      <c r="B3378" s="2">
        <v>40658</v>
      </c>
      <c r="C3378" s="4">
        <v>106.59</v>
      </c>
      <c r="D3378">
        <f t="shared" si="55"/>
        <v>-0.98080106342547646</v>
      </c>
      <c r="E3378">
        <v>-7.0796460176990594E-3</v>
      </c>
    </row>
    <row r="3379" spans="2:5" x14ac:dyDescent="0.35">
      <c r="B3379" s="2">
        <v>44461</v>
      </c>
      <c r="C3379" s="4">
        <v>5551.87</v>
      </c>
      <c r="D3379">
        <f t="shared" si="55"/>
        <v>83.387748898008809</v>
      </c>
      <c r="E3379">
        <v>-7.0822163044781394E-3</v>
      </c>
    </row>
    <row r="3380" spans="2:5" x14ac:dyDescent="0.35">
      <c r="B3380" s="2">
        <v>38869</v>
      </c>
      <c r="C3380" s="4">
        <v>65.790000000000006</v>
      </c>
      <c r="D3380">
        <f t="shared" si="55"/>
        <v>-0.989303395631285</v>
      </c>
      <c r="E3380">
        <v>-7.0932689405373006E-3</v>
      </c>
    </row>
    <row r="3381" spans="2:5" x14ac:dyDescent="0.35">
      <c r="B3381" s="2">
        <v>44987</v>
      </c>
      <c r="C3381" s="4">
        <v>6150.55</v>
      </c>
      <c r="D3381">
        <f t="shared" si="55"/>
        <v>258.62642465175179</v>
      </c>
      <c r="E3381">
        <v>-7.111032189326183E-3</v>
      </c>
    </row>
    <row r="3382" spans="2:5" x14ac:dyDescent="0.35">
      <c r="B3382" s="2">
        <v>37791</v>
      </c>
      <c r="C3382" s="4">
        <v>23.69</v>
      </c>
      <c r="D3382">
        <f t="shared" si="55"/>
        <v>-0.99725847944553936</v>
      </c>
      <c r="E3382">
        <v>-7.1248952221290018E-3</v>
      </c>
    </row>
    <row r="3383" spans="2:5" x14ac:dyDescent="0.35">
      <c r="B3383" s="2">
        <v>44659</v>
      </c>
      <c r="C3383" s="4">
        <v>8641.19</v>
      </c>
      <c r="D3383">
        <f t="shared" si="55"/>
        <v>134.52681932245923</v>
      </c>
      <c r="E3383">
        <v>-7.1557666080309668E-3</v>
      </c>
    </row>
    <row r="3384" spans="2:5" x14ac:dyDescent="0.35">
      <c r="B3384" s="2">
        <v>38769</v>
      </c>
      <c r="C3384" s="4">
        <v>63.76</v>
      </c>
      <c r="D3384">
        <f t="shared" si="55"/>
        <v>1.0006275494195167</v>
      </c>
      <c r="E3384">
        <v>-7.1628776082217627E-3</v>
      </c>
    </row>
    <row r="3385" spans="2:5" x14ac:dyDescent="0.35">
      <c r="B3385" s="2">
        <v>39848</v>
      </c>
      <c r="C3385" s="4">
        <v>31.87</v>
      </c>
      <c r="D3385">
        <f t="shared" si="55"/>
        <v>-0.81111835476797245</v>
      </c>
      <c r="E3385">
        <v>-7.1651090342679247E-3</v>
      </c>
    </row>
    <row r="3386" spans="2:5" x14ac:dyDescent="0.35">
      <c r="B3386" s="2">
        <v>41655</v>
      </c>
      <c r="C3386" s="4">
        <v>168.73</v>
      </c>
      <c r="D3386">
        <f t="shared" si="55"/>
        <v>-0.87289450688522618</v>
      </c>
      <c r="E3386">
        <v>-7.178581935863515E-3</v>
      </c>
    </row>
    <row r="3387" spans="2:5" x14ac:dyDescent="0.35">
      <c r="B3387" s="2">
        <v>43298</v>
      </c>
      <c r="C3387" s="4">
        <v>1327.48</v>
      </c>
      <c r="D3387">
        <f t="shared" si="55"/>
        <v>24.952688172043011</v>
      </c>
      <c r="E3387">
        <v>-7.1798246926136899E-3</v>
      </c>
    </row>
    <row r="3388" spans="2:5" x14ac:dyDescent="0.35">
      <c r="B3388" s="2">
        <v>38281</v>
      </c>
      <c r="C3388" s="4">
        <v>51.15</v>
      </c>
      <c r="D3388">
        <f t="shared" si="55"/>
        <v>-0.78597430854847483</v>
      </c>
      <c r="E3388">
        <v>-7.1816770186335921E-3</v>
      </c>
    </row>
    <row r="3389" spans="2:5" x14ac:dyDescent="0.35">
      <c r="B3389" s="2">
        <v>41782</v>
      </c>
      <c r="C3389" s="4">
        <v>238.99</v>
      </c>
      <c r="D3389">
        <f t="shared" si="55"/>
        <v>7.2438771990341504</v>
      </c>
      <c r="E3389">
        <v>-7.1867730142903818E-3</v>
      </c>
    </row>
    <row r="3390" spans="2:5" x14ac:dyDescent="0.35">
      <c r="B3390" s="2">
        <v>37893</v>
      </c>
      <c r="C3390" s="4">
        <v>28.99</v>
      </c>
      <c r="D3390">
        <f t="shared" si="55"/>
        <v>-0.7498058168637266</v>
      </c>
      <c r="E3390">
        <v>-7.1917808219178481E-3</v>
      </c>
    </row>
    <row r="3391" spans="2:5" x14ac:dyDescent="0.35">
      <c r="B3391" s="2">
        <v>39254</v>
      </c>
      <c r="C3391" s="4">
        <v>115.87</v>
      </c>
      <c r="D3391">
        <f t="shared" si="55"/>
        <v>0.53024300052826212</v>
      </c>
      <c r="E3391">
        <v>-7.1973267072229508E-3</v>
      </c>
    </row>
    <row r="3392" spans="2:5" x14ac:dyDescent="0.35">
      <c r="B3392" s="2">
        <v>41541</v>
      </c>
      <c r="C3392" s="4">
        <v>75.72</v>
      </c>
      <c r="D3392">
        <f t="shared" si="55"/>
        <v>-0.17579187983019484</v>
      </c>
      <c r="E3392">
        <v>-7.2112232856955671E-3</v>
      </c>
    </row>
    <row r="3393" spans="2:5" x14ac:dyDescent="0.35">
      <c r="B3393" s="2">
        <v>41086</v>
      </c>
      <c r="C3393" s="4">
        <v>91.87</v>
      </c>
      <c r="D3393">
        <f t="shared" si="55"/>
        <v>-0.88511079985993701</v>
      </c>
      <c r="E3393">
        <v>-7.2401123838340409E-3</v>
      </c>
    </row>
    <row r="3394" spans="2:5" x14ac:dyDescent="0.35">
      <c r="B3394" s="2">
        <v>43024</v>
      </c>
      <c r="C3394" s="4">
        <v>799.64</v>
      </c>
      <c r="D3394">
        <f t="shared" si="55"/>
        <v>6.4928785607196398</v>
      </c>
      <c r="E3394">
        <v>-7.2503352038536528E-3</v>
      </c>
    </row>
    <row r="3395" spans="2:5" x14ac:dyDescent="0.35">
      <c r="B3395" s="2">
        <v>39366</v>
      </c>
      <c r="C3395" s="4">
        <v>106.72</v>
      </c>
      <c r="D3395">
        <f t="shared" si="55"/>
        <v>-0.87142633398792813</v>
      </c>
      <c r="E3395">
        <v>-7.2558139534883992E-3</v>
      </c>
    </row>
    <row r="3396" spans="2:5" x14ac:dyDescent="0.35">
      <c r="B3396" s="2">
        <v>43510</v>
      </c>
      <c r="C3396" s="4">
        <v>830.03</v>
      </c>
      <c r="D3396">
        <f t="shared" ref="D3396:D3459" si="56">C3396/C3397-1</f>
        <v>22.400902170848603</v>
      </c>
      <c r="E3396">
        <v>-7.2717704608246114E-3</v>
      </c>
    </row>
    <row r="3397" spans="2:5" x14ac:dyDescent="0.35">
      <c r="B3397" s="2">
        <v>37972</v>
      </c>
      <c r="C3397" s="4">
        <v>35.47</v>
      </c>
      <c r="D3397">
        <f t="shared" si="56"/>
        <v>-0.99485393861577187</v>
      </c>
      <c r="E3397">
        <v>-7.2767982087881267E-3</v>
      </c>
    </row>
    <row r="3398" spans="2:5" x14ac:dyDescent="0.35">
      <c r="B3398" s="2">
        <v>44868</v>
      </c>
      <c r="C3398" s="4">
        <v>6892.65</v>
      </c>
      <c r="D3398">
        <f t="shared" si="56"/>
        <v>61.501360174102281</v>
      </c>
      <c r="E3398">
        <v>-7.2805046664362605E-3</v>
      </c>
    </row>
    <row r="3399" spans="2:5" x14ac:dyDescent="0.35">
      <c r="B3399" s="2">
        <v>40379</v>
      </c>
      <c r="C3399" s="4">
        <v>110.28</v>
      </c>
      <c r="D3399">
        <f t="shared" si="56"/>
        <v>1.7933130699088147</v>
      </c>
      <c r="E3399">
        <v>-7.2913853632190495E-3</v>
      </c>
    </row>
    <row r="3400" spans="2:5" x14ac:dyDescent="0.35">
      <c r="B3400" s="2">
        <v>37981</v>
      </c>
      <c r="C3400" s="4">
        <v>39.479999999999997</v>
      </c>
      <c r="D3400">
        <f t="shared" si="56"/>
        <v>-0.60265700483091789</v>
      </c>
      <c r="E3400">
        <v>-7.2919285893890962E-3</v>
      </c>
    </row>
    <row r="3401" spans="2:5" x14ac:dyDescent="0.35">
      <c r="B3401" s="2">
        <v>41271</v>
      </c>
      <c r="C3401" s="4">
        <v>99.36</v>
      </c>
      <c r="D3401">
        <f t="shared" si="56"/>
        <v>-1.2620490907284121E-2</v>
      </c>
      <c r="E3401">
        <v>-7.2934359076831656E-3</v>
      </c>
    </row>
    <row r="3402" spans="2:5" x14ac:dyDescent="0.35">
      <c r="B3402" s="2">
        <v>41164</v>
      </c>
      <c r="C3402" s="4">
        <v>100.63</v>
      </c>
      <c r="D3402">
        <f t="shared" si="56"/>
        <v>2.7023546725533478</v>
      </c>
      <c r="E3402">
        <v>-7.299990135148593E-3</v>
      </c>
    </row>
    <row r="3403" spans="2:5" x14ac:dyDescent="0.35">
      <c r="B3403" s="2">
        <v>38084</v>
      </c>
      <c r="C3403" s="4">
        <v>27.18</v>
      </c>
      <c r="D3403">
        <f t="shared" si="56"/>
        <v>-0.74916943521594681</v>
      </c>
      <c r="E3403">
        <v>-7.3046018991964612E-3</v>
      </c>
    </row>
    <row r="3404" spans="2:5" x14ac:dyDescent="0.35">
      <c r="B3404" s="2">
        <v>40351</v>
      </c>
      <c r="C3404" s="4">
        <v>108.36</v>
      </c>
      <c r="D3404">
        <f t="shared" si="56"/>
        <v>-0.98298780918589224</v>
      </c>
      <c r="E3404">
        <v>-7.3286918285085934E-3</v>
      </c>
    </row>
    <row r="3405" spans="2:5" x14ac:dyDescent="0.35">
      <c r="B3405" s="2">
        <v>44930</v>
      </c>
      <c r="C3405" s="4">
        <v>6369.55</v>
      </c>
      <c r="D3405">
        <f t="shared" si="56"/>
        <v>8.8180374868980831</v>
      </c>
      <c r="E3405">
        <v>-7.3402788059189206E-3</v>
      </c>
    </row>
    <row r="3406" spans="2:5" x14ac:dyDescent="0.35">
      <c r="B3406" s="2">
        <v>42738</v>
      </c>
      <c r="C3406" s="4">
        <v>648.76</v>
      </c>
      <c r="D3406">
        <f t="shared" si="56"/>
        <v>-0.8910818615270969</v>
      </c>
      <c r="E3406">
        <v>-7.3595789280415103E-3</v>
      </c>
    </row>
    <row r="3407" spans="2:5" x14ac:dyDescent="0.35">
      <c r="B3407" s="2">
        <v>45012</v>
      </c>
      <c r="C3407" s="4">
        <v>5956.4</v>
      </c>
      <c r="D3407">
        <f t="shared" si="56"/>
        <v>58.126464165177687</v>
      </c>
      <c r="E3407">
        <v>-7.3824720449281456E-3</v>
      </c>
    </row>
    <row r="3408" spans="2:5" x14ac:dyDescent="0.35">
      <c r="B3408" s="2">
        <v>41599</v>
      </c>
      <c r="C3408" s="4">
        <v>100.74</v>
      </c>
      <c r="D3408">
        <f t="shared" si="56"/>
        <v>-1.2836844683978499E-2</v>
      </c>
      <c r="E3408">
        <v>-7.3898906296187006E-3</v>
      </c>
    </row>
    <row r="3409" spans="2:5" x14ac:dyDescent="0.35">
      <c r="B3409" s="2">
        <v>40679</v>
      </c>
      <c r="C3409" s="4">
        <v>102.05</v>
      </c>
      <c r="D3409">
        <f t="shared" si="56"/>
        <v>0.20655001182312605</v>
      </c>
      <c r="E3409">
        <v>-7.3922770158545426E-3</v>
      </c>
    </row>
    <row r="3410" spans="2:5" x14ac:dyDescent="0.35">
      <c r="B3410" s="2">
        <v>40791</v>
      </c>
      <c r="C3410" s="4">
        <v>84.58</v>
      </c>
      <c r="D3410">
        <f t="shared" si="56"/>
        <v>-0.70666574183255881</v>
      </c>
      <c r="E3410">
        <v>-7.393498415678823E-3</v>
      </c>
    </row>
    <row r="3411" spans="2:5" x14ac:dyDescent="0.35">
      <c r="B3411" s="2">
        <v>41913</v>
      </c>
      <c r="C3411" s="4">
        <v>288.33999999999997</v>
      </c>
      <c r="D3411">
        <f t="shared" si="56"/>
        <v>-0.58001602213968395</v>
      </c>
      <c r="E3411">
        <v>-7.4012874797756423E-3</v>
      </c>
    </row>
    <row r="3412" spans="2:5" x14ac:dyDescent="0.35">
      <c r="B3412" s="2">
        <v>42796</v>
      </c>
      <c r="C3412" s="4">
        <v>686.55</v>
      </c>
      <c r="D3412">
        <f t="shared" si="56"/>
        <v>9.4545454545454533</v>
      </c>
      <c r="E3412">
        <v>-7.4023739644628606E-3</v>
      </c>
    </row>
    <row r="3413" spans="2:5" x14ac:dyDescent="0.35">
      <c r="B3413" s="2">
        <v>38649</v>
      </c>
      <c r="C3413" s="4">
        <v>65.67</v>
      </c>
      <c r="D3413">
        <f t="shared" si="56"/>
        <v>-0.19571341090018379</v>
      </c>
      <c r="E3413">
        <v>-7.4062877871825528E-3</v>
      </c>
    </row>
    <row r="3414" spans="2:5" x14ac:dyDescent="0.35">
      <c r="B3414" s="2">
        <v>40997</v>
      </c>
      <c r="C3414" s="4">
        <v>81.650000000000006</v>
      </c>
      <c r="D3414">
        <f t="shared" si="56"/>
        <v>-3.1205505457997051E-2</v>
      </c>
      <c r="E3414">
        <v>-7.4155117918793811E-3</v>
      </c>
    </row>
    <row r="3415" spans="2:5" x14ac:dyDescent="0.35">
      <c r="B3415" s="2">
        <v>41038</v>
      </c>
      <c r="C3415" s="4">
        <v>84.28</v>
      </c>
      <c r="D3415">
        <f t="shared" si="56"/>
        <v>-0.21063969279760231</v>
      </c>
      <c r="E3415">
        <v>-7.4196207749380738E-3</v>
      </c>
    </row>
    <row r="3416" spans="2:5" x14ac:dyDescent="0.35">
      <c r="B3416" s="2">
        <v>40315</v>
      </c>
      <c r="C3416" s="4">
        <v>106.77</v>
      </c>
      <c r="D3416">
        <f t="shared" si="56"/>
        <v>2.6390593047034763</v>
      </c>
      <c r="E3416">
        <v>-7.4370177558799044E-3</v>
      </c>
    </row>
    <row r="3417" spans="2:5" x14ac:dyDescent="0.35">
      <c r="B3417" s="2">
        <v>37533</v>
      </c>
      <c r="C3417" s="4">
        <v>29.34</v>
      </c>
      <c r="D3417">
        <f t="shared" si="56"/>
        <v>-0.56852941176470595</v>
      </c>
      <c r="E3417">
        <v>-7.4424898511501469E-3</v>
      </c>
    </row>
    <row r="3418" spans="2:5" x14ac:dyDescent="0.35">
      <c r="B3418" s="2">
        <v>38635</v>
      </c>
      <c r="C3418" s="4">
        <v>68</v>
      </c>
      <c r="D3418">
        <f t="shared" si="56"/>
        <v>-1.861740510896237E-2</v>
      </c>
      <c r="E3418">
        <v>-7.4441687344913854E-3</v>
      </c>
    </row>
    <row r="3419" spans="2:5" x14ac:dyDescent="0.35">
      <c r="B3419" s="2">
        <v>39512</v>
      </c>
      <c r="C3419" s="4">
        <v>69.290000000000006</v>
      </c>
      <c r="D3419">
        <f t="shared" si="56"/>
        <v>6.3056152193924575E-2</v>
      </c>
      <c r="E3419">
        <v>-7.4487895716945918E-3</v>
      </c>
    </row>
    <row r="3420" spans="2:5" x14ac:dyDescent="0.35">
      <c r="B3420" s="2">
        <v>38650</v>
      </c>
      <c r="C3420" s="4">
        <v>65.180000000000007</v>
      </c>
      <c r="D3420">
        <f t="shared" si="56"/>
        <v>-0.91647658832876289</v>
      </c>
      <c r="E3420">
        <v>-7.4615501751179591E-3</v>
      </c>
    </row>
    <row r="3421" spans="2:5" x14ac:dyDescent="0.35">
      <c r="B3421" s="2">
        <v>42940</v>
      </c>
      <c r="C3421" s="4">
        <v>780.38</v>
      </c>
      <c r="D3421">
        <f t="shared" si="56"/>
        <v>-0.83946894208062139</v>
      </c>
      <c r="E3421">
        <v>-7.4910654101008056E-3</v>
      </c>
    </row>
    <row r="3422" spans="2:5" x14ac:dyDescent="0.35">
      <c r="B3422" s="2">
        <v>44442</v>
      </c>
      <c r="C3422" s="4">
        <v>4861.24</v>
      </c>
      <c r="D3422">
        <f t="shared" si="56"/>
        <v>4.6485324533475865</v>
      </c>
      <c r="E3422">
        <v>-7.4949723864066176E-3</v>
      </c>
    </row>
    <row r="3423" spans="2:5" x14ac:dyDescent="0.35">
      <c r="B3423" s="2">
        <v>43650</v>
      </c>
      <c r="C3423" s="4">
        <v>860.62</v>
      </c>
      <c r="D3423">
        <f t="shared" si="56"/>
        <v>39.633616619452312</v>
      </c>
      <c r="E3423">
        <v>-7.4960789740751155E-3</v>
      </c>
    </row>
    <row r="3424" spans="2:5" x14ac:dyDescent="0.35">
      <c r="B3424" s="2">
        <v>37691</v>
      </c>
      <c r="C3424" s="4">
        <v>21.18</v>
      </c>
      <c r="D3424">
        <f t="shared" si="56"/>
        <v>-0.96969133240795069</v>
      </c>
      <c r="E3424">
        <v>-7.4976569821930683E-3</v>
      </c>
    </row>
    <row r="3425" spans="2:5" x14ac:dyDescent="0.35">
      <c r="B3425" s="2">
        <v>43943</v>
      </c>
      <c r="C3425" s="4">
        <v>698.81</v>
      </c>
      <c r="D3425">
        <f t="shared" si="56"/>
        <v>-5.9589013443862915E-2</v>
      </c>
      <c r="E3425">
        <v>-7.5131373384463851E-3</v>
      </c>
    </row>
    <row r="3426" spans="2:5" x14ac:dyDescent="0.35">
      <c r="B3426" s="2">
        <v>43957</v>
      </c>
      <c r="C3426" s="4">
        <v>743.09</v>
      </c>
      <c r="D3426">
        <f t="shared" si="56"/>
        <v>24.606133700895935</v>
      </c>
      <c r="E3426">
        <v>-7.5194999465755252E-3</v>
      </c>
    </row>
    <row r="3427" spans="2:5" x14ac:dyDescent="0.35">
      <c r="B3427" s="2">
        <v>39892</v>
      </c>
      <c r="C3427" s="4">
        <v>29.02</v>
      </c>
      <c r="D3427">
        <f t="shared" si="56"/>
        <v>0.10468214693566802</v>
      </c>
      <c r="E3427">
        <v>-7.523939808481539E-3</v>
      </c>
    </row>
    <row r="3428" spans="2:5" x14ac:dyDescent="0.35">
      <c r="B3428" s="2">
        <v>37574</v>
      </c>
      <c r="C3428" s="4">
        <v>26.27</v>
      </c>
      <c r="D3428">
        <f t="shared" si="56"/>
        <v>-0.68211519845111335</v>
      </c>
      <c r="E3428">
        <v>-7.5557234605213575E-3</v>
      </c>
    </row>
    <row r="3429" spans="2:5" x14ac:dyDescent="0.35">
      <c r="B3429" s="2">
        <v>41485</v>
      </c>
      <c r="C3429" s="4">
        <v>82.64</v>
      </c>
      <c r="D3429">
        <f t="shared" si="56"/>
        <v>0.19077809798270895</v>
      </c>
      <c r="E3429">
        <v>-7.5657499699771646E-3</v>
      </c>
    </row>
    <row r="3430" spans="2:5" x14ac:dyDescent="0.35">
      <c r="B3430" s="2">
        <v>40101</v>
      </c>
      <c r="C3430" s="4">
        <v>69.400000000000006</v>
      </c>
      <c r="D3430">
        <f t="shared" si="56"/>
        <v>-0.9382781928139452</v>
      </c>
      <c r="E3430">
        <v>-7.5790075790076461E-3</v>
      </c>
    </row>
    <row r="3431" spans="2:5" x14ac:dyDescent="0.35">
      <c r="B3431" s="2">
        <v>43255</v>
      </c>
      <c r="C3431" s="4">
        <v>1124.4000000000001</v>
      </c>
      <c r="D3431">
        <f t="shared" si="56"/>
        <v>0.63625251025932106</v>
      </c>
      <c r="E3431">
        <v>-7.5817085764215975E-3</v>
      </c>
    </row>
    <row r="3432" spans="2:5" x14ac:dyDescent="0.35">
      <c r="B3432" s="2">
        <v>42788</v>
      </c>
      <c r="C3432" s="4">
        <v>687.18</v>
      </c>
      <c r="D3432">
        <f t="shared" si="56"/>
        <v>0.12785582983193278</v>
      </c>
      <c r="E3432">
        <v>-7.5819938477535986E-3</v>
      </c>
    </row>
    <row r="3433" spans="2:5" x14ac:dyDescent="0.35">
      <c r="B3433" s="2">
        <v>43711</v>
      </c>
      <c r="C3433" s="4">
        <v>609.28</v>
      </c>
      <c r="D3433">
        <f t="shared" si="56"/>
        <v>3.9206913261185594</v>
      </c>
      <c r="E3433">
        <v>-7.5903182721439588E-3</v>
      </c>
    </row>
    <row r="3434" spans="2:5" x14ac:dyDescent="0.35">
      <c r="B3434" s="2">
        <v>40298</v>
      </c>
      <c r="C3434" s="4">
        <v>123.82</v>
      </c>
      <c r="D3434">
        <f t="shared" si="56"/>
        <v>0.30680738786279682</v>
      </c>
      <c r="E3434">
        <v>-7.6140097779915372E-3</v>
      </c>
    </row>
    <row r="3435" spans="2:5" x14ac:dyDescent="0.35">
      <c r="B3435" s="2">
        <v>41228</v>
      </c>
      <c r="C3435" s="4">
        <v>94.75</v>
      </c>
      <c r="D3435">
        <f t="shared" si="56"/>
        <v>8.9957437018290509E-2</v>
      </c>
      <c r="E3435">
        <v>-7.6455802262254124E-3</v>
      </c>
    </row>
    <row r="3436" spans="2:5" x14ac:dyDescent="0.35">
      <c r="B3436" s="2">
        <v>41058</v>
      </c>
      <c r="C3436" s="4">
        <v>86.93</v>
      </c>
      <c r="D3436">
        <f t="shared" si="56"/>
        <v>-0.87006367522645056</v>
      </c>
      <c r="E3436">
        <v>-7.6484018264838527E-3</v>
      </c>
    </row>
    <row r="3437" spans="2:5" x14ac:dyDescent="0.35">
      <c r="B3437" s="2">
        <v>42720</v>
      </c>
      <c r="C3437" s="4">
        <v>669.02</v>
      </c>
      <c r="D3437">
        <f t="shared" si="56"/>
        <v>6.2703760052162574</v>
      </c>
      <c r="E3437">
        <v>-7.6537423240083946E-3</v>
      </c>
    </row>
    <row r="3438" spans="2:5" x14ac:dyDescent="0.35">
      <c r="B3438" s="2">
        <v>41233</v>
      </c>
      <c r="C3438" s="4">
        <v>92.02</v>
      </c>
      <c r="D3438">
        <f t="shared" si="56"/>
        <v>0.4205001543686322</v>
      </c>
      <c r="E3438">
        <v>-7.6566375498761108E-3</v>
      </c>
    </row>
    <row r="3439" spans="2:5" x14ac:dyDescent="0.35">
      <c r="B3439" s="2">
        <v>40136</v>
      </c>
      <c r="C3439" s="4">
        <v>64.78</v>
      </c>
      <c r="D3439">
        <f t="shared" si="56"/>
        <v>0.47461871158661517</v>
      </c>
      <c r="E3439">
        <v>-7.6593137254902244E-3</v>
      </c>
    </row>
    <row r="3440" spans="2:5" x14ac:dyDescent="0.35">
      <c r="B3440" s="2">
        <v>39944</v>
      </c>
      <c r="C3440" s="4">
        <v>43.93</v>
      </c>
      <c r="D3440">
        <f t="shared" si="56"/>
        <v>-0.93431420924355923</v>
      </c>
      <c r="E3440">
        <v>-7.6801445674272717E-3</v>
      </c>
    </row>
    <row r="3441" spans="2:5" x14ac:dyDescent="0.35">
      <c r="B3441" s="2">
        <v>42802</v>
      </c>
      <c r="C3441" s="4">
        <v>668.79</v>
      </c>
      <c r="D3441">
        <f t="shared" si="56"/>
        <v>-0.4692184982658868</v>
      </c>
      <c r="E3441">
        <v>-7.6858020386665338E-3</v>
      </c>
    </row>
    <row r="3442" spans="2:5" x14ac:dyDescent="0.35">
      <c r="B3442" s="2">
        <v>43286</v>
      </c>
      <c r="C3442" s="4">
        <v>1260.01</v>
      </c>
      <c r="D3442">
        <f t="shared" si="56"/>
        <v>12.017977063746255</v>
      </c>
      <c r="E3442">
        <v>-7.686431400962368E-3</v>
      </c>
    </row>
    <row r="3443" spans="2:5" x14ac:dyDescent="0.35">
      <c r="B3443" s="2">
        <v>39427</v>
      </c>
      <c r="C3443" s="4">
        <v>96.79</v>
      </c>
      <c r="D3443">
        <f t="shared" si="56"/>
        <v>-0.9631636835555285</v>
      </c>
      <c r="E3443">
        <v>-7.6891531679310621E-3</v>
      </c>
    </row>
    <row r="3444" spans="2:5" x14ac:dyDescent="0.35">
      <c r="B3444" s="2">
        <v>44253</v>
      </c>
      <c r="C3444" s="4">
        <v>2627.57</v>
      </c>
      <c r="D3444">
        <f t="shared" si="56"/>
        <v>25.189275391209012</v>
      </c>
      <c r="E3444">
        <v>-7.6927724948450127E-3</v>
      </c>
    </row>
    <row r="3445" spans="2:5" x14ac:dyDescent="0.35">
      <c r="B3445" s="2">
        <v>41263</v>
      </c>
      <c r="C3445" s="4">
        <v>100.33</v>
      </c>
      <c r="D3445">
        <f t="shared" si="56"/>
        <v>-0.8887620019070005</v>
      </c>
      <c r="E3445">
        <v>-7.7143704875878294E-3</v>
      </c>
    </row>
    <row r="3446" spans="2:5" x14ac:dyDescent="0.35">
      <c r="B3446" s="2">
        <v>43566</v>
      </c>
      <c r="C3446" s="4">
        <v>901.94</v>
      </c>
      <c r="D3446">
        <f t="shared" si="56"/>
        <v>-0.87015626911975352</v>
      </c>
      <c r="E3446">
        <v>-7.7231121281464699E-3</v>
      </c>
    </row>
    <row r="3447" spans="2:5" x14ac:dyDescent="0.35">
      <c r="B3447" s="2">
        <v>44881</v>
      </c>
      <c r="C3447" s="4">
        <v>6946.35</v>
      </c>
      <c r="D3447">
        <f t="shared" si="56"/>
        <v>6.4488493791151056</v>
      </c>
      <c r="E3447">
        <v>-7.7564226178996609E-3</v>
      </c>
    </row>
    <row r="3448" spans="2:5" x14ac:dyDescent="0.35">
      <c r="B3448" s="2">
        <v>43458</v>
      </c>
      <c r="C3448" s="4">
        <v>932.54</v>
      </c>
      <c r="D3448">
        <f t="shared" si="56"/>
        <v>0.13913319652105938</v>
      </c>
      <c r="E3448">
        <v>-7.7567219603545956E-3</v>
      </c>
    </row>
    <row r="3449" spans="2:5" x14ac:dyDescent="0.35">
      <c r="B3449" s="2">
        <v>43657</v>
      </c>
      <c r="C3449" s="4">
        <v>818.64</v>
      </c>
      <c r="D3449">
        <f t="shared" si="56"/>
        <v>7.01174398120963</v>
      </c>
      <c r="E3449">
        <v>-7.7571996509260277E-3</v>
      </c>
    </row>
    <row r="3450" spans="2:5" x14ac:dyDescent="0.35">
      <c r="B3450" s="2">
        <v>40217</v>
      </c>
      <c r="C3450" s="4">
        <v>102.18</v>
      </c>
      <c r="D3450">
        <f t="shared" si="56"/>
        <v>-0.88578773822165091</v>
      </c>
      <c r="E3450">
        <v>-7.7684987376189785E-3</v>
      </c>
    </row>
    <row r="3451" spans="2:5" x14ac:dyDescent="0.35">
      <c r="B3451" s="2">
        <v>43551</v>
      </c>
      <c r="C3451" s="4">
        <v>894.65</v>
      </c>
      <c r="D3451">
        <f t="shared" si="56"/>
        <v>-1.190594524148747E-2</v>
      </c>
      <c r="E3451">
        <v>-7.7745491648736342E-3</v>
      </c>
    </row>
    <row r="3452" spans="2:5" x14ac:dyDescent="0.35">
      <c r="B3452" s="2">
        <v>43476</v>
      </c>
      <c r="C3452" s="4">
        <v>905.43</v>
      </c>
      <c r="D3452">
        <f t="shared" si="56"/>
        <v>32.809932785660941</v>
      </c>
      <c r="E3452">
        <v>-7.7805661183741881E-3</v>
      </c>
    </row>
    <row r="3453" spans="2:5" x14ac:dyDescent="0.35">
      <c r="B3453" s="2">
        <v>37571</v>
      </c>
      <c r="C3453" s="4">
        <v>26.78</v>
      </c>
      <c r="D3453">
        <f t="shared" si="56"/>
        <v>-0.90410370264269857</v>
      </c>
      <c r="E3453">
        <v>-7.7806595035196935E-3</v>
      </c>
    </row>
    <row r="3454" spans="2:5" x14ac:dyDescent="0.35">
      <c r="B3454" s="2">
        <v>41922</v>
      </c>
      <c r="C3454" s="4">
        <v>279.26</v>
      </c>
      <c r="D3454">
        <f t="shared" si="56"/>
        <v>-0.92333077092027238</v>
      </c>
      <c r="E3454">
        <v>-7.781133416237318E-3</v>
      </c>
    </row>
    <row r="3455" spans="2:5" x14ac:dyDescent="0.35">
      <c r="B3455" s="2">
        <v>44370</v>
      </c>
      <c r="C3455" s="4">
        <v>3642.4</v>
      </c>
      <c r="D3455">
        <f t="shared" si="56"/>
        <v>35.271659032065322</v>
      </c>
      <c r="E3455">
        <v>-7.7907926995368637E-3</v>
      </c>
    </row>
    <row r="3456" spans="2:5" x14ac:dyDescent="0.35">
      <c r="B3456" s="2">
        <v>40630</v>
      </c>
      <c r="C3456" s="4">
        <v>100.42</v>
      </c>
      <c r="D3456">
        <f t="shared" si="56"/>
        <v>0.16199953714417958</v>
      </c>
      <c r="E3456">
        <v>-7.8055528109869377E-3</v>
      </c>
    </row>
    <row r="3457" spans="2:5" x14ac:dyDescent="0.35">
      <c r="B3457" s="2">
        <v>40980</v>
      </c>
      <c r="C3457" s="4">
        <v>86.42</v>
      </c>
      <c r="D3457">
        <f t="shared" si="56"/>
        <v>-8.0736091905116547E-2</v>
      </c>
      <c r="E3457">
        <v>-7.8071182548793416E-3</v>
      </c>
    </row>
    <row r="3458" spans="2:5" x14ac:dyDescent="0.35">
      <c r="B3458" s="2">
        <v>41229</v>
      </c>
      <c r="C3458" s="4">
        <v>94.01</v>
      </c>
      <c r="D3458">
        <f t="shared" si="56"/>
        <v>-0.97745087692366739</v>
      </c>
      <c r="E3458">
        <v>-7.8100263852242113E-3</v>
      </c>
    </row>
    <row r="3459" spans="2:5" x14ac:dyDescent="0.35">
      <c r="B3459" s="2">
        <v>44397</v>
      </c>
      <c r="C3459" s="4">
        <v>4169.12</v>
      </c>
      <c r="D3459">
        <f t="shared" si="56"/>
        <v>58.78947368421052</v>
      </c>
      <c r="E3459">
        <v>-7.8130391841882973E-3</v>
      </c>
    </row>
    <row r="3460" spans="2:5" x14ac:dyDescent="0.35">
      <c r="B3460" s="2">
        <v>38734</v>
      </c>
      <c r="C3460" s="4">
        <v>69.73</v>
      </c>
      <c r="D3460">
        <f t="shared" ref="D3460:D3523" si="57">C3460/C3461-1</f>
        <v>-0.69081718618365628</v>
      </c>
      <c r="E3460">
        <v>-7.825839499146281E-3</v>
      </c>
    </row>
    <row r="3461" spans="2:5" x14ac:dyDescent="0.35">
      <c r="B3461" s="2">
        <v>41773</v>
      </c>
      <c r="C3461" s="4">
        <v>225.53</v>
      </c>
      <c r="D3461">
        <f t="shared" si="57"/>
        <v>0.87613343315863923</v>
      </c>
      <c r="E3461">
        <v>-7.8307157626149593E-3</v>
      </c>
    </row>
    <row r="3462" spans="2:5" x14ac:dyDescent="0.35">
      <c r="B3462" s="2">
        <v>39267</v>
      </c>
      <c r="C3462" s="4">
        <v>120.21</v>
      </c>
      <c r="D3462">
        <f t="shared" si="57"/>
        <v>-0.98395552767507977</v>
      </c>
      <c r="E3462">
        <v>-7.8408715747771973E-3</v>
      </c>
    </row>
    <row r="3463" spans="2:5" x14ac:dyDescent="0.35">
      <c r="B3463" s="2">
        <v>44734</v>
      </c>
      <c r="C3463" s="4">
        <v>7492.3</v>
      </c>
      <c r="D3463">
        <f t="shared" si="57"/>
        <v>57.758528742843694</v>
      </c>
      <c r="E3463">
        <v>-7.852640500026542E-3</v>
      </c>
    </row>
    <row r="3464" spans="2:5" x14ac:dyDescent="0.35">
      <c r="B3464" s="2">
        <v>40276</v>
      </c>
      <c r="C3464" s="4">
        <v>127.51</v>
      </c>
      <c r="D3464">
        <f t="shared" si="57"/>
        <v>5.2410036315615693E-2</v>
      </c>
      <c r="E3464">
        <v>-7.8586990351696695E-3</v>
      </c>
    </row>
    <row r="3465" spans="2:5" x14ac:dyDescent="0.35">
      <c r="B3465" s="2">
        <v>39266</v>
      </c>
      <c r="C3465" s="4">
        <v>121.16</v>
      </c>
      <c r="D3465">
        <f t="shared" si="57"/>
        <v>3.0199071001990712</v>
      </c>
      <c r="E3465">
        <v>-7.8611202096299237E-3</v>
      </c>
    </row>
    <row r="3466" spans="2:5" x14ac:dyDescent="0.35">
      <c r="B3466" s="2">
        <v>38141</v>
      </c>
      <c r="C3466" s="4">
        <v>30.14</v>
      </c>
      <c r="D3466">
        <f t="shared" si="57"/>
        <v>-0.5293566520924422</v>
      </c>
      <c r="E3466">
        <v>-7.899934167215239E-3</v>
      </c>
    </row>
    <row r="3467" spans="2:5" x14ac:dyDescent="0.35">
      <c r="B3467" s="2">
        <v>38749</v>
      </c>
      <c r="C3467" s="4">
        <v>64.040000000000006</v>
      </c>
      <c r="D3467">
        <f t="shared" si="57"/>
        <v>-0.90262149504288058</v>
      </c>
      <c r="E3467">
        <v>-7.9008520526722137E-3</v>
      </c>
    </row>
    <row r="3468" spans="2:5" x14ac:dyDescent="0.35">
      <c r="B3468" s="2">
        <v>43738</v>
      </c>
      <c r="C3468" s="4">
        <v>657.64</v>
      </c>
      <c r="D3468">
        <f t="shared" si="57"/>
        <v>9.4819891616193814</v>
      </c>
      <c r="E3468">
        <v>-7.9048998310403684E-3</v>
      </c>
    </row>
    <row r="3469" spans="2:5" x14ac:dyDescent="0.35">
      <c r="B3469" s="2">
        <v>40114</v>
      </c>
      <c r="C3469" s="4">
        <v>62.74</v>
      </c>
      <c r="D3469">
        <f t="shared" si="57"/>
        <v>-0.92052896246849147</v>
      </c>
      <c r="E3469">
        <v>-7.9063883617963571E-3</v>
      </c>
    </row>
    <row r="3470" spans="2:5" x14ac:dyDescent="0.35">
      <c r="B3470" s="2">
        <v>43599</v>
      </c>
      <c r="C3470" s="4">
        <v>789.47</v>
      </c>
      <c r="D3470">
        <f t="shared" si="57"/>
        <v>32.212873369793861</v>
      </c>
      <c r="E3470">
        <v>-7.9168603993615694E-3</v>
      </c>
    </row>
    <row r="3471" spans="2:5" x14ac:dyDescent="0.35">
      <c r="B3471" s="2">
        <v>37663</v>
      </c>
      <c r="C3471" s="4">
        <v>23.77</v>
      </c>
      <c r="D3471">
        <f t="shared" si="57"/>
        <v>-0.99644813029997381</v>
      </c>
      <c r="E3471">
        <v>-7.9298831385643531E-3</v>
      </c>
    </row>
    <row r="3472" spans="2:5" x14ac:dyDescent="0.35">
      <c r="B3472" s="2">
        <v>44907</v>
      </c>
      <c r="C3472" s="4">
        <v>6692.25</v>
      </c>
      <c r="D3472">
        <f t="shared" si="57"/>
        <v>81.416871921182263</v>
      </c>
      <c r="E3472">
        <v>-7.9309194678131023E-3</v>
      </c>
    </row>
    <row r="3473" spans="2:5" x14ac:dyDescent="0.35">
      <c r="B3473" s="2">
        <v>41548</v>
      </c>
      <c r="C3473" s="4">
        <v>81.2</v>
      </c>
      <c r="D3473">
        <f t="shared" si="57"/>
        <v>1.7084723148765844</v>
      </c>
      <c r="E3473">
        <v>-7.9413561392790433E-3</v>
      </c>
    </row>
    <row r="3474" spans="2:5" x14ac:dyDescent="0.35">
      <c r="B3474" s="2">
        <v>37624</v>
      </c>
      <c r="C3474" s="4">
        <v>29.98</v>
      </c>
      <c r="D3474">
        <f t="shared" si="57"/>
        <v>-0.98874730224265739</v>
      </c>
      <c r="E3474">
        <v>-7.9417604235605399E-3</v>
      </c>
    </row>
    <row r="3475" spans="2:5" x14ac:dyDescent="0.35">
      <c r="B3475" s="2">
        <v>44251</v>
      </c>
      <c r="C3475" s="4">
        <v>2664.25</v>
      </c>
      <c r="D3475">
        <f t="shared" si="57"/>
        <v>1.1163485292599034</v>
      </c>
      <c r="E3475">
        <v>-7.9867446103436546E-3</v>
      </c>
    </row>
    <row r="3476" spans="2:5" x14ac:dyDescent="0.35">
      <c r="B3476" s="2">
        <v>44092</v>
      </c>
      <c r="C3476" s="4">
        <v>1258.8900000000001</v>
      </c>
      <c r="D3476">
        <f t="shared" si="57"/>
        <v>55.351387645478965</v>
      </c>
      <c r="E3476">
        <v>-7.9903548379469669E-3</v>
      </c>
    </row>
    <row r="3477" spans="2:5" x14ac:dyDescent="0.35">
      <c r="B3477" s="2">
        <v>37761</v>
      </c>
      <c r="C3477" s="4">
        <v>22.34</v>
      </c>
      <c r="D3477">
        <f t="shared" si="57"/>
        <v>-0.70949284785435629</v>
      </c>
      <c r="E3477">
        <v>-7.9928952042628287E-3</v>
      </c>
    </row>
    <row r="3478" spans="2:5" x14ac:dyDescent="0.35">
      <c r="B3478" s="2">
        <v>38960</v>
      </c>
      <c r="C3478" s="4">
        <v>76.900000000000006</v>
      </c>
      <c r="D3478">
        <f t="shared" si="57"/>
        <v>-0.9053212183891064</v>
      </c>
      <c r="E3478">
        <v>-7.9979360165117752E-3</v>
      </c>
    </row>
    <row r="3479" spans="2:5" x14ac:dyDescent="0.35">
      <c r="B3479" s="2">
        <v>42425</v>
      </c>
      <c r="C3479" s="4">
        <v>812.22</v>
      </c>
      <c r="D3479">
        <f t="shared" si="57"/>
        <v>-0.24004940212204562</v>
      </c>
      <c r="E3479">
        <v>-8.0119201739172752E-3</v>
      </c>
    </row>
    <row r="3480" spans="2:5" x14ac:dyDescent="0.35">
      <c r="B3480" s="2">
        <v>43235</v>
      </c>
      <c r="C3480" s="4">
        <v>1068.78</v>
      </c>
      <c r="D3480">
        <f t="shared" si="57"/>
        <v>14.440335163247616</v>
      </c>
      <c r="E3480">
        <v>-8.0191568747564057E-3</v>
      </c>
    </row>
    <row r="3481" spans="2:5" x14ac:dyDescent="0.35">
      <c r="B3481" s="2">
        <v>38832</v>
      </c>
      <c r="C3481" s="4">
        <v>69.22</v>
      </c>
      <c r="D3481">
        <f t="shared" si="57"/>
        <v>0.86980010804970265</v>
      </c>
      <c r="E3481">
        <v>-8.0252221266838841E-3</v>
      </c>
    </row>
    <row r="3482" spans="2:5" x14ac:dyDescent="0.35">
      <c r="B3482" s="2">
        <v>39757</v>
      </c>
      <c r="C3482" s="4">
        <v>37.020000000000003</v>
      </c>
      <c r="D3482">
        <f t="shared" si="57"/>
        <v>-0.63379167078840637</v>
      </c>
      <c r="E3482">
        <v>-8.0385852090031351E-3</v>
      </c>
    </row>
    <row r="3483" spans="2:5" x14ac:dyDescent="0.35">
      <c r="B3483" s="2">
        <v>40157</v>
      </c>
      <c r="C3483" s="4">
        <v>101.09</v>
      </c>
      <c r="D3483">
        <f t="shared" si="57"/>
        <v>-0.83722727638676431</v>
      </c>
      <c r="E3483">
        <v>-8.0463153763123962E-3</v>
      </c>
    </row>
    <row r="3484" spans="2:5" x14ac:dyDescent="0.35">
      <c r="B3484" s="2">
        <v>42664</v>
      </c>
      <c r="C3484" s="4">
        <v>621.04999999999995</v>
      </c>
      <c r="D3484">
        <f t="shared" si="57"/>
        <v>4.5003985475157204</v>
      </c>
      <c r="E3484">
        <v>-8.0499608682459423E-3</v>
      </c>
    </row>
    <row r="3485" spans="2:5" x14ac:dyDescent="0.35">
      <c r="B3485" s="2">
        <v>39339</v>
      </c>
      <c r="C3485" s="4">
        <v>112.91</v>
      </c>
      <c r="D3485">
        <f t="shared" si="57"/>
        <v>2.8404761904761906</v>
      </c>
      <c r="E3485">
        <v>-8.0822278836861772E-3</v>
      </c>
    </row>
    <row r="3486" spans="2:5" x14ac:dyDescent="0.35">
      <c r="B3486" s="2">
        <v>38022</v>
      </c>
      <c r="C3486" s="4">
        <v>29.4</v>
      </c>
      <c r="D3486">
        <f t="shared" si="57"/>
        <v>-0.9808507728080974</v>
      </c>
      <c r="E3486">
        <v>-8.0971659919029104E-3</v>
      </c>
    </row>
    <row r="3487" spans="2:5" x14ac:dyDescent="0.35">
      <c r="B3487" s="2">
        <v>44141</v>
      </c>
      <c r="C3487" s="4">
        <v>1535.31</v>
      </c>
      <c r="D3487">
        <f t="shared" si="57"/>
        <v>0.93571203429363936</v>
      </c>
      <c r="E3487">
        <v>-8.1079684209165448E-3</v>
      </c>
    </row>
    <row r="3488" spans="2:5" x14ac:dyDescent="0.35">
      <c r="B3488" s="2">
        <v>43025</v>
      </c>
      <c r="C3488" s="4">
        <v>793.15</v>
      </c>
      <c r="D3488">
        <f t="shared" si="57"/>
        <v>-0.20695309609750734</v>
      </c>
      <c r="E3488">
        <v>-8.1161522685208043E-3</v>
      </c>
    </row>
    <row r="3489" spans="2:5" x14ac:dyDescent="0.35">
      <c r="B3489" s="2">
        <v>44054</v>
      </c>
      <c r="C3489" s="4">
        <v>1000.13</v>
      </c>
      <c r="D3489">
        <f t="shared" si="57"/>
        <v>11.813965406790519</v>
      </c>
      <c r="E3489">
        <v>-8.1322582884572059E-3</v>
      </c>
    </row>
    <row r="3490" spans="2:5" x14ac:dyDescent="0.35">
      <c r="B3490" s="2">
        <v>38995</v>
      </c>
      <c r="C3490" s="4">
        <v>78.05</v>
      </c>
      <c r="D3490">
        <f t="shared" si="57"/>
        <v>0.23751387347391772</v>
      </c>
      <c r="E3490">
        <v>-8.1331808361926328E-3</v>
      </c>
    </row>
    <row r="3491" spans="2:5" x14ac:dyDescent="0.35">
      <c r="B3491" s="2">
        <v>40057</v>
      </c>
      <c r="C3491" s="4">
        <v>63.07</v>
      </c>
      <c r="D3491">
        <f t="shared" si="57"/>
        <v>-0.99086746750689247</v>
      </c>
      <c r="E3491">
        <v>-8.1773863815065573E-3</v>
      </c>
    </row>
    <row r="3492" spans="2:5" x14ac:dyDescent="0.35">
      <c r="B3492" s="2">
        <v>44609</v>
      </c>
      <c r="C3492" s="4">
        <v>6906.08</v>
      </c>
      <c r="D3492">
        <f t="shared" si="57"/>
        <v>65.264440606409522</v>
      </c>
      <c r="E3492">
        <v>-8.1789106179349647E-3</v>
      </c>
    </row>
    <row r="3493" spans="2:5" x14ac:dyDescent="0.35">
      <c r="B3493" s="2">
        <v>40394</v>
      </c>
      <c r="C3493" s="4">
        <v>104.22</v>
      </c>
      <c r="D3493">
        <f t="shared" si="57"/>
        <v>-0.1224317952172449</v>
      </c>
      <c r="E3493">
        <v>-8.1842405786067829E-3</v>
      </c>
    </row>
    <row r="3494" spans="2:5" x14ac:dyDescent="0.35">
      <c r="B3494" s="2">
        <v>40534</v>
      </c>
      <c r="C3494" s="4">
        <v>118.76</v>
      </c>
      <c r="D3494">
        <f t="shared" si="57"/>
        <v>0.63603802176608348</v>
      </c>
      <c r="E3494">
        <v>-8.1843995323199747E-3</v>
      </c>
    </row>
    <row r="3495" spans="2:5" x14ac:dyDescent="0.35">
      <c r="B3495" s="2">
        <v>38583</v>
      </c>
      <c r="C3495" s="4">
        <v>72.59</v>
      </c>
      <c r="D3495">
        <f t="shared" si="57"/>
        <v>0.39784325052955904</v>
      </c>
      <c r="E3495">
        <v>-8.1978412351413343E-3</v>
      </c>
    </row>
    <row r="3496" spans="2:5" x14ac:dyDescent="0.35">
      <c r="B3496" s="2">
        <v>38308</v>
      </c>
      <c r="C3496" s="4">
        <v>51.93</v>
      </c>
      <c r="D3496">
        <f t="shared" si="57"/>
        <v>-0.89500818826954576</v>
      </c>
      <c r="E3496">
        <v>-8.2123758594346841E-3</v>
      </c>
    </row>
    <row r="3497" spans="2:5" x14ac:dyDescent="0.35">
      <c r="B3497" s="2">
        <v>42690</v>
      </c>
      <c r="C3497" s="4">
        <v>494.61</v>
      </c>
      <c r="D3497">
        <f t="shared" si="57"/>
        <v>2.5357066266352137</v>
      </c>
      <c r="E3497">
        <v>-8.221210723666994E-3</v>
      </c>
    </row>
    <row r="3498" spans="2:5" x14ac:dyDescent="0.35">
      <c r="B3498" s="2">
        <v>41621</v>
      </c>
      <c r="C3498" s="4">
        <v>139.88999999999999</v>
      </c>
      <c r="D3498">
        <f t="shared" si="57"/>
        <v>0.38108401619113419</v>
      </c>
      <c r="E3498">
        <v>-8.2240340304857718E-3</v>
      </c>
    </row>
    <row r="3499" spans="2:5" x14ac:dyDescent="0.35">
      <c r="B3499" s="2">
        <v>41586</v>
      </c>
      <c r="C3499" s="4">
        <v>101.29</v>
      </c>
      <c r="D3499">
        <f t="shared" si="57"/>
        <v>-2.2957461174881844E-2</v>
      </c>
      <c r="E3499">
        <v>-8.2248115147359746E-3</v>
      </c>
    </row>
    <row r="3500" spans="2:5" x14ac:dyDescent="0.35">
      <c r="B3500" s="2">
        <v>40730</v>
      </c>
      <c r="C3500" s="4">
        <v>103.67</v>
      </c>
      <c r="D3500">
        <f t="shared" si="57"/>
        <v>-0.97536371024852542</v>
      </c>
      <c r="E3500">
        <v>-8.2273031665550667E-3</v>
      </c>
    </row>
    <row r="3501" spans="2:5" x14ac:dyDescent="0.35">
      <c r="B3501" s="2">
        <v>44414</v>
      </c>
      <c r="C3501" s="4">
        <v>4208.0200000000004</v>
      </c>
      <c r="D3501">
        <f t="shared" si="57"/>
        <v>64.977108811539679</v>
      </c>
      <c r="E3501">
        <v>-8.2301423069850443E-3</v>
      </c>
    </row>
    <row r="3502" spans="2:5" x14ac:dyDescent="0.35">
      <c r="B3502" s="2">
        <v>38771</v>
      </c>
      <c r="C3502" s="4">
        <v>63.78</v>
      </c>
      <c r="D3502">
        <f t="shared" si="57"/>
        <v>-0.42363997831194644</v>
      </c>
      <c r="E3502">
        <v>-8.2413310527134076E-3</v>
      </c>
    </row>
    <row r="3503" spans="2:5" x14ac:dyDescent="0.35">
      <c r="B3503" s="2">
        <v>40564</v>
      </c>
      <c r="C3503" s="4">
        <v>110.66</v>
      </c>
      <c r="D3503">
        <f t="shared" si="57"/>
        <v>4.5540438397581262E-2</v>
      </c>
      <c r="E3503">
        <v>-8.2452052339129223E-3</v>
      </c>
    </row>
    <row r="3504" spans="2:5" x14ac:dyDescent="0.35">
      <c r="B3504" s="2">
        <v>39367</v>
      </c>
      <c r="C3504" s="4">
        <v>105.84</v>
      </c>
      <c r="D3504">
        <f t="shared" si="57"/>
        <v>4.8439821693907925E-2</v>
      </c>
      <c r="E3504">
        <v>-8.2458770614691757E-3</v>
      </c>
    </row>
    <row r="3505" spans="2:5" x14ac:dyDescent="0.35">
      <c r="B3505" s="2">
        <v>40675</v>
      </c>
      <c r="C3505" s="4">
        <v>100.95</v>
      </c>
      <c r="D3505">
        <f t="shared" si="57"/>
        <v>-0.89652627586843103</v>
      </c>
      <c r="E3505">
        <v>-8.2522841143530812E-3</v>
      </c>
    </row>
    <row r="3506" spans="2:5" x14ac:dyDescent="0.35">
      <c r="B3506" s="2">
        <v>43160</v>
      </c>
      <c r="C3506" s="4">
        <v>975.61</v>
      </c>
      <c r="D3506">
        <f t="shared" si="57"/>
        <v>0.21642581948306172</v>
      </c>
      <c r="E3506">
        <v>-8.2643787992762174E-3</v>
      </c>
    </row>
    <row r="3507" spans="2:5" x14ac:dyDescent="0.35">
      <c r="B3507" s="2">
        <v>43830</v>
      </c>
      <c r="C3507" s="4">
        <v>802.03</v>
      </c>
      <c r="D3507">
        <f t="shared" si="57"/>
        <v>29.507036896158237</v>
      </c>
      <c r="E3507">
        <v>-8.2845943640028619E-3</v>
      </c>
    </row>
    <row r="3508" spans="2:5" x14ac:dyDescent="0.35">
      <c r="B3508" s="2">
        <v>37844</v>
      </c>
      <c r="C3508" s="4">
        <v>26.29</v>
      </c>
      <c r="D3508">
        <f t="shared" si="57"/>
        <v>-0.97276071077034654</v>
      </c>
      <c r="E3508">
        <v>-8.2987551867220732E-3</v>
      </c>
    </row>
    <row r="3509" spans="2:5" x14ac:dyDescent="0.35">
      <c r="B3509" s="2">
        <v>43200</v>
      </c>
      <c r="C3509" s="4">
        <v>965.15</v>
      </c>
      <c r="D3509">
        <f t="shared" si="57"/>
        <v>17.799181924425397</v>
      </c>
      <c r="E3509">
        <v>-8.3022512664016057E-3</v>
      </c>
    </row>
    <row r="3510" spans="2:5" x14ac:dyDescent="0.35">
      <c r="B3510" s="2">
        <v>39716</v>
      </c>
      <c r="C3510" s="4">
        <v>51.34</v>
      </c>
      <c r="D3510">
        <f t="shared" si="57"/>
        <v>-0.46218311334590401</v>
      </c>
      <c r="E3510">
        <v>-8.3059687077458033E-3</v>
      </c>
    </row>
    <row r="3511" spans="2:5" x14ac:dyDescent="0.35">
      <c r="B3511" s="2">
        <v>41221</v>
      </c>
      <c r="C3511" s="4">
        <v>95.46</v>
      </c>
      <c r="D3511">
        <f t="shared" si="57"/>
        <v>-0.92434377377631249</v>
      </c>
      <c r="E3511">
        <v>-8.310824849366405E-3</v>
      </c>
    </row>
    <row r="3512" spans="2:5" x14ac:dyDescent="0.35">
      <c r="B3512" s="2">
        <v>44105</v>
      </c>
      <c r="C3512" s="4">
        <v>1261.76</v>
      </c>
      <c r="D3512">
        <f t="shared" si="57"/>
        <v>0.94911562524136861</v>
      </c>
      <c r="E3512">
        <v>-8.3153873964505465E-3</v>
      </c>
    </row>
    <row r="3513" spans="2:5" x14ac:dyDescent="0.35">
      <c r="B3513" s="2">
        <v>42746</v>
      </c>
      <c r="C3513" s="4">
        <v>647.35</v>
      </c>
      <c r="D3513">
        <f t="shared" si="57"/>
        <v>-0.3159001564019106</v>
      </c>
      <c r="E3513">
        <v>-8.3182695548269514E-3</v>
      </c>
    </row>
    <row r="3514" spans="2:5" x14ac:dyDescent="0.35">
      <c r="B3514" s="2">
        <v>43146</v>
      </c>
      <c r="C3514" s="4">
        <v>946.28</v>
      </c>
      <c r="D3514">
        <f t="shared" si="57"/>
        <v>2.5944693458937933</v>
      </c>
      <c r="E3514">
        <v>-8.3209322797678231E-3</v>
      </c>
    </row>
    <row r="3515" spans="2:5" x14ac:dyDescent="0.35">
      <c r="B3515" s="2">
        <v>41863</v>
      </c>
      <c r="C3515" s="4">
        <v>263.26</v>
      </c>
      <c r="D3515">
        <f t="shared" si="57"/>
        <v>-0.96520058637924033</v>
      </c>
      <c r="E3515">
        <v>-8.3248577993748629E-3</v>
      </c>
    </row>
    <row r="3516" spans="2:5" x14ac:dyDescent="0.35">
      <c r="B3516" s="2">
        <v>44602</v>
      </c>
      <c r="C3516" s="4">
        <v>7565.07</v>
      </c>
      <c r="D3516">
        <f t="shared" si="57"/>
        <v>4.5406739565099574</v>
      </c>
      <c r="E3516">
        <v>-8.3590690065593609E-3</v>
      </c>
    </row>
    <row r="3517" spans="2:5" x14ac:dyDescent="0.35">
      <c r="B3517" s="2">
        <v>44111</v>
      </c>
      <c r="C3517" s="4">
        <v>1365.37</v>
      </c>
      <c r="D3517">
        <f t="shared" si="57"/>
        <v>16.180948785705297</v>
      </c>
      <c r="E3517">
        <v>-8.359479402707759E-3</v>
      </c>
    </row>
    <row r="3518" spans="2:5" x14ac:dyDescent="0.35">
      <c r="B3518" s="2">
        <v>41445</v>
      </c>
      <c r="C3518" s="4">
        <v>79.47</v>
      </c>
      <c r="D3518">
        <f t="shared" si="57"/>
        <v>0.31398809523809534</v>
      </c>
      <c r="E3518">
        <v>-8.3603693536311585E-3</v>
      </c>
    </row>
    <row r="3519" spans="2:5" x14ac:dyDescent="0.35">
      <c r="B3519" s="2">
        <v>40123</v>
      </c>
      <c r="C3519" s="4">
        <v>60.48</v>
      </c>
      <c r="D3519">
        <f t="shared" si="57"/>
        <v>-0.9346098539317339</v>
      </c>
      <c r="E3519">
        <v>-8.3620265617314615E-3</v>
      </c>
    </row>
    <row r="3520" spans="2:5" x14ac:dyDescent="0.35">
      <c r="B3520" s="2">
        <v>43392</v>
      </c>
      <c r="C3520" s="4">
        <v>924.91</v>
      </c>
      <c r="D3520">
        <f t="shared" si="57"/>
        <v>42.484250117536433</v>
      </c>
      <c r="E3520">
        <v>-8.3733596363324558E-3</v>
      </c>
    </row>
    <row r="3521" spans="2:5" x14ac:dyDescent="0.35">
      <c r="B3521" s="2">
        <v>37771</v>
      </c>
      <c r="C3521" s="4">
        <v>21.27</v>
      </c>
      <c r="D3521">
        <f t="shared" si="57"/>
        <v>-0.99633941709476725</v>
      </c>
      <c r="E3521">
        <v>-8.3916083916083517E-3</v>
      </c>
    </row>
    <row r="3522" spans="2:5" x14ac:dyDescent="0.35">
      <c r="B3522" s="2">
        <v>44474</v>
      </c>
      <c r="C3522" s="4">
        <v>5810.55</v>
      </c>
      <c r="D3522">
        <f t="shared" si="57"/>
        <v>174.81089258698944</v>
      </c>
      <c r="E3522">
        <v>-8.3962626391910211E-3</v>
      </c>
    </row>
    <row r="3523" spans="2:5" x14ac:dyDescent="0.35">
      <c r="B3523" s="2">
        <v>39833</v>
      </c>
      <c r="C3523" s="4">
        <v>33.049999999999997</v>
      </c>
      <c r="D3523">
        <f t="shared" si="57"/>
        <v>-0.68175252768415984</v>
      </c>
      <c r="E3523">
        <v>-8.4008400840084319E-3</v>
      </c>
    </row>
    <row r="3524" spans="2:5" x14ac:dyDescent="0.35">
      <c r="B3524" s="2">
        <v>40633</v>
      </c>
      <c r="C3524" s="4">
        <v>103.85</v>
      </c>
      <c r="D3524">
        <f t="shared" ref="D3524:D3587" si="58">C3524/C3525-1</f>
        <v>0.26246049112569891</v>
      </c>
      <c r="E3524">
        <v>-8.4025589611382845E-3</v>
      </c>
    </row>
    <row r="3525" spans="2:5" x14ac:dyDescent="0.35">
      <c r="B3525" s="2">
        <v>40996</v>
      </c>
      <c r="C3525" s="4">
        <v>82.26</v>
      </c>
      <c r="D3525">
        <f t="shared" si="58"/>
        <v>-0.12442788717402875</v>
      </c>
      <c r="E3525">
        <v>-8.4378013500481241E-3</v>
      </c>
    </row>
    <row r="3526" spans="2:5" x14ac:dyDescent="0.35">
      <c r="B3526" s="2">
        <v>41127</v>
      </c>
      <c r="C3526" s="4">
        <v>93.95</v>
      </c>
      <c r="D3526">
        <f t="shared" si="58"/>
        <v>2.0863994743758214</v>
      </c>
      <c r="E3526">
        <v>-8.4432717678100122E-3</v>
      </c>
    </row>
    <row r="3527" spans="2:5" x14ac:dyDescent="0.35">
      <c r="B3527" s="2">
        <v>39874</v>
      </c>
      <c r="C3527" s="4">
        <v>30.44</v>
      </c>
      <c r="D3527">
        <f t="shared" si="58"/>
        <v>-0.95536395096486593</v>
      </c>
      <c r="E3527">
        <v>-8.4690553745927488E-3</v>
      </c>
    </row>
    <row r="3528" spans="2:5" x14ac:dyDescent="0.35">
      <c r="B3528" s="2">
        <v>43760</v>
      </c>
      <c r="C3528" s="4">
        <v>681.96</v>
      </c>
      <c r="D3528">
        <f t="shared" si="58"/>
        <v>18.467884670282615</v>
      </c>
      <c r="E3528">
        <v>-8.4764244900331631E-3</v>
      </c>
    </row>
    <row r="3529" spans="2:5" x14ac:dyDescent="0.35">
      <c r="B3529" s="2">
        <v>39771</v>
      </c>
      <c r="C3529" s="4">
        <v>35.03</v>
      </c>
      <c r="D3529">
        <f t="shared" si="58"/>
        <v>-0.9472678006924582</v>
      </c>
      <c r="E3529">
        <v>-8.491367110104675E-3</v>
      </c>
    </row>
    <row r="3530" spans="2:5" x14ac:dyDescent="0.35">
      <c r="B3530" s="2">
        <v>42809</v>
      </c>
      <c r="C3530" s="4">
        <v>664.3</v>
      </c>
      <c r="D3530">
        <f t="shared" si="58"/>
        <v>21.836026125816431</v>
      </c>
      <c r="E3530">
        <v>-8.4926640696130207E-3</v>
      </c>
    </row>
    <row r="3531" spans="2:5" x14ac:dyDescent="0.35">
      <c r="B3531" s="2">
        <v>39890</v>
      </c>
      <c r="C3531" s="4">
        <v>29.09</v>
      </c>
      <c r="D3531">
        <f t="shared" si="58"/>
        <v>-0.66174418604651164</v>
      </c>
      <c r="E3531">
        <v>-8.5207907293797236E-3</v>
      </c>
    </row>
    <row r="3532" spans="2:5" x14ac:dyDescent="0.35">
      <c r="B3532" s="2">
        <v>40809</v>
      </c>
      <c r="C3532" s="4">
        <v>86</v>
      </c>
      <c r="D3532">
        <f t="shared" si="58"/>
        <v>0.17711470024637288</v>
      </c>
      <c r="E3532">
        <v>-8.5312427945584135E-3</v>
      </c>
    </row>
    <row r="3533" spans="2:5" x14ac:dyDescent="0.35">
      <c r="B3533" s="2">
        <v>40910</v>
      </c>
      <c r="C3533" s="4">
        <v>73.06</v>
      </c>
      <c r="D3533">
        <f t="shared" si="58"/>
        <v>-0.73479018440540145</v>
      </c>
      <c r="E3533">
        <v>-8.5493282670646709E-3</v>
      </c>
    </row>
    <row r="3534" spans="2:5" x14ac:dyDescent="0.35">
      <c r="B3534" s="2">
        <v>41879</v>
      </c>
      <c r="C3534" s="4">
        <v>275.48</v>
      </c>
      <c r="D3534">
        <f t="shared" si="58"/>
        <v>11.533212010919017</v>
      </c>
      <c r="E3534">
        <v>-8.5654646224717634E-3</v>
      </c>
    </row>
    <row r="3535" spans="2:5" x14ac:dyDescent="0.35">
      <c r="B3535" s="2">
        <v>37733</v>
      </c>
      <c r="C3535" s="4">
        <v>21.98</v>
      </c>
      <c r="D3535">
        <f t="shared" si="58"/>
        <v>-0.63458021612635074</v>
      </c>
      <c r="E3535">
        <v>-8.570139828597223E-3</v>
      </c>
    </row>
    <row r="3536" spans="2:5" x14ac:dyDescent="0.35">
      <c r="B3536" s="2">
        <v>39702</v>
      </c>
      <c r="C3536" s="4">
        <v>60.15</v>
      </c>
      <c r="D3536">
        <f t="shared" si="58"/>
        <v>-0.91135770812149075</v>
      </c>
      <c r="E3536">
        <v>-8.5709576396901799E-3</v>
      </c>
    </row>
    <row r="3537" spans="2:5" x14ac:dyDescent="0.35">
      <c r="B3537" s="2">
        <v>42800</v>
      </c>
      <c r="C3537" s="4">
        <v>678.57</v>
      </c>
      <c r="D3537">
        <f t="shared" si="58"/>
        <v>8.8002599653379558</v>
      </c>
      <c r="E3537">
        <v>-8.5908393600701016E-3</v>
      </c>
    </row>
    <row r="3538" spans="2:5" x14ac:dyDescent="0.35">
      <c r="B3538" s="2">
        <v>38714</v>
      </c>
      <c r="C3538" s="4">
        <v>69.239999999999995</v>
      </c>
      <c r="D3538">
        <f t="shared" si="58"/>
        <v>-0.37486457204767076</v>
      </c>
      <c r="E3538">
        <v>-8.5910652920963004E-3</v>
      </c>
    </row>
    <row r="3539" spans="2:5" x14ac:dyDescent="0.35">
      <c r="B3539" s="2">
        <v>39360</v>
      </c>
      <c r="C3539" s="4">
        <v>110.76</v>
      </c>
      <c r="D3539">
        <f t="shared" si="58"/>
        <v>2.6932310770256755</v>
      </c>
      <c r="E3539">
        <v>-8.5929108485498507E-3</v>
      </c>
    </row>
    <row r="3540" spans="2:5" x14ac:dyDescent="0.35">
      <c r="B3540" s="2">
        <v>39876</v>
      </c>
      <c r="C3540" s="4">
        <v>29.99</v>
      </c>
      <c r="D3540">
        <f t="shared" si="58"/>
        <v>-0.99375506268884217</v>
      </c>
      <c r="E3540">
        <v>-8.5950413223141453E-3</v>
      </c>
    </row>
    <row r="3541" spans="2:5" x14ac:dyDescent="0.35">
      <c r="B3541" s="2">
        <v>44438</v>
      </c>
      <c r="C3541" s="4">
        <v>4802.29</v>
      </c>
      <c r="D3541">
        <f t="shared" si="58"/>
        <v>2.5936407923192628</v>
      </c>
      <c r="E3541">
        <v>-8.6065590691950522E-3</v>
      </c>
    </row>
    <row r="3542" spans="2:5" x14ac:dyDescent="0.35">
      <c r="B3542" s="2">
        <v>43332</v>
      </c>
      <c r="C3542" s="4">
        <v>1336.33</v>
      </c>
      <c r="D3542">
        <f t="shared" si="58"/>
        <v>3.8625645877301507</v>
      </c>
      <c r="E3542">
        <v>-8.6204977929449367E-3</v>
      </c>
    </row>
    <row r="3543" spans="2:5" x14ac:dyDescent="0.35">
      <c r="B3543" s="2">
        <v>41897</v>
      </c>
      <c r="C3543" s="4">
        <v>274.82</v>
      </c>
      <c r="D3543">
        <f t="shared" si="58"/>
        <v>8.1974564926372153</v>
      </c>
      <c r="E3543">
        <v>-8.6216225965873861E-3</v>
      </c>
    </row>
    <row r="3544" spans="2:5" x14ac:dyDescent="0.35">
      <c r="B3544" s="2">
        <v>38142</v>
      </c>
      <c r="C3544" s="4">
        <v>29.88</v>
      </c>
      <c r="D3544">
        <f t="shared" si="58"/>
        <v>1.0050251256281673E-3</v>
      </c>
      <c r="E3544">
        <v>-8.6264100862641913E-3</v>
      </c>
    </row>
    <row r="3545" spans="2:5" x14ac:dyDescent="0.35">
      <c r="B3545" s="2">
        <v>37545</v>
      </c>
      <c r="C3545" s="4">
        <v>29.85</v>
      </c>
      <c r="D3545">
        <f t="shared" si="58"/>
        <v>-0.65318926455210868</v>
      </c>
      <c r="E3545">
        <v>-8.6350049817335295E-3</v>
      </c>
    </row>
    <row r="3546" spans="2:5" x14ac:dyDescent="0.35">
      <c r="B3546" s="2">
        <v>40982</v>
      </c>
      <c r="C3546" s="4">
        <v>86.07</v>
      </c>
      <c r="D3546">
        <f t="shared" si="58"/>
        <v>-0.98988589760161694</v>
      </c>
      <c r="E3546">
        <v>-8.6385625431928403E-3</v>
      </c>
    </row>
    <row r="3547" spans="2:5" x14ac:dyDescent="0.35">
      <c r="B3547" s="2">
        <v>44845</v>
      </c>
      <c r="C3547" s="4">
        <v>8509.9</v>
      </c>
      <c r="D3547">
        <f t="shared" si="58"/>
        <v>5.3022991065904357E-2</v>
      </c>
      <c r="E3547">
        <v>-8.6554367326018289E-3</v>
      </c>
    </row>
    <row r="3548" spans="2:5" x14ac:dyDescent="0.35">
      <c r="B3548" s="2">
        <v>44746</v>
      </c>
      <c r="C3548" s="4">
        <v>8081.4</v>
      </c>
      <c r="D3548">
        <f t="shared" si="58"/>
        <v>132.31243813922796</v>
      </c>
      <c r="E3548">
        <v>-8.6665317312824008E-3</v>
      </c>
    </row>
    <row r="3549" spans="2:5" x14ac:dyDescent="0.35">
      <c r="B3549" s="2">
        <v>38903</v>
      </c>
      <c r="C3549" s="4">
        <v>60.62</v>
      </c>
      <c r="D3549">
        <f t="shared" si="58"/>
        <v>-0.39050874723506934</v>
      </c>
      <c r="E3549">
        <v>-8.6672117743255006E-3</v>
      </c>
    </row>
    <row r="3550" spans="2:5" x14ac:dyDescent="0.35">
      <c r="B3550" s="2">
        <v>41285</v>
      </c>
      <c r="C3550" s="4">
        <v>99.46</v>
      </c>
      <c r="D3550">
        <f t="shared" si="58"/>
        <v>-3.126521866173182E-2</v>
      </c>
      <c r="E3550">
        <v>-8.6713844313764943E-3</v>
      </c>
    </row>
    <row r="3551" spans="2:5" x14ac:dyDescent="0.35">
      <c r="B3551" s="2">
        <v>40575</v>
      </c>
      <c r="C3551" s="4">
        <v>102.67</v>
      </c>
      <c r="D3551">
        <f t="shared" si="58"/>
        <v>-0.96729035978374112</v>
      </c>
      <c r="E3551">
        <v>-8.6897750313796873E-3</v>
      </c>
    </row>
    <row r="3552" spans="2:5" x14ac:dyDescent="0.35">
      <c r="B3552" s="2">
        <v>44313</v>
      </c>
      <c r="C3552" s="4">
        <v>3138.83</v>
      </c>
      <c r="D3552">
        <f t="shared" si="58"/>
        <v>-0.14408928785680786</v>
      </c>
      <c r="E3552">
        <v>-8.6945262067484874E-3</v>
      </c>
    </row>
    <row r="3553" spans="2:5" x14ac:dyDescent="0.35">
      <c r="B3553" s="2">
        <v>44356</v>
      </c>
      <c r="C3553" s="4">
        <v>3667.24</v>
      </c>
      <c r="D3553">
        <f t="shared" si="58"/>
        <v>3.5003436088749265</v>
      </c>
      <c r="E3553">
        <v>-8.6986608711636659E-3</v>
      </c>
    </row>
    <row r="3554" spans="2:5" x14ac:dyDescent="0.35">
      <c r="B3554" s="2">
        <v>42527</v>
      </c>
      <c r="C3554" s="4">
        <v>814.88</v>
      </c>
      <c r="D3554">
        <f t="shared" si="58"/>
        <v>-0.11590413470614402</v>
      </c>
      <c r="E3554">
        <v>-8.7100384409517506E-3</v>
      </c>
    </row>
    <row r="3555" spans="2:5" x14ac:dyDescent="0.35">
      <c r="B3555" s="2">
        <v>43861</v>
      </c>
      <c r="C3555" s="4">
        <v>921.71</v>
      </c>
      <c r="D3555">
        <f t="shared" si="58"/>
        <v>9.6778266913809095</v>
      </c>
      <c r="E3555">
        <v>-8.7221182594481306E-3</v>
      </c>
    </row>
    <row r="3556" spans="2:5" x14ac:dyDescent="0.35">
      <c r="B3556" s="2">
        <v>41051</v>
      </c>
      <c r="C3556" s="4">
        <v>86.32</v>
      </c>
      <c r="D3556">
        <f t="shared" si="58"/>
        <v>-0.87346448151514267</v>
      </c>
      <c r="E3556">
        <v>-8.7276067983463879E-3</v>
      </c>
    </row>
    <row r="3557" spans="2:5" x14ac:dyDescent="0.35">
      <c r="B3557" s="2">
        <v>42824</v>
      </c>
      <c r="C3557" s="4">
        <v>682.18</v>
      </c>
      <c r="D3557">
        <f t="shared" si="58"/>
        <v>-0.22600043114696444</v>
      </c>
      <c r="E3557">
        <v>-8.7474571345540486E-3</v>
      </c>
    </row>
    <row r="3558" spans="2:5" x14ac:dyDescent="0.35">
      <c r="B3558" s="2">
        <v>43097</v>
      </c>
      <c r="C3558" s="4">
        <v>881.37</v>
      </c>
      <c r="D3558">
        <f t="shared" si="58"/>
        <v>9.9184375935348568E-2</v>
      </c>
      <c r="E3558">
        <v>-8.7722257835959327E-3</v>
      </c>
    </row>
    <row r="3559" spans="2:5" x14ac:dyDescent="0.35">
      <c r="B3559" s="2">
        <v>43042</v>
      </c>
      <c r="C3559" s="4">
        <v>801.84</v>
      </c>
      <c r="D3559">
        <f t="shared" si="58"/>
        <v>-0.87241091247583358</v>
      </c>
      <c r="E3559">
        <v>-8.7769179419981969E-3</v>
      </c>
    </row>
    <row r="3560" spans="2:5" x14ac:dyDescent="0.35">
      <c r="B3560" s="2">
        <v>44994</v>
      </c>
      <c r="C3560" s="4">
        <v>6284.55</v>
      </c>
      <c r="D3560">
        <f t="shared" si="58"/>
        <v>65.376742712294046</v>
      </c>
      <c r="E3560">
        <v>-8.7773256364152008E-3</v>
      </c>
    </row>
    <row r="3561" spans="2:5" x14ac:dyDescent="0.35">
      <c r="B3561" s="2">
        <v>41145</v>
      </c>
      <c r="C3561" s="4">
        <v>94.68</v>
      </c>
      <c r="D3561">
        <f t="shared" si="58"/>
        <v>2.0038071065989849</v>
      </c>
      <c r="E3561">
        <v>-8.7939698492460749E-3</v>
      </c>
    </row>
    <row r="3562" spans="2:5" x14ac:dyDescent="0.35">
      <c r="B3562" s="2">
        <v>39869</v>
      </c>
      <c r="C3562" s="4">
        <v>31.52</v>
      </c>
      <c r="D3562">
        <f t="shared" si="58"/>
        <v>-0.99495813105340192</v>
      </c>
      <c r="E3562">
        <v>-8.8050314465408785E-3</v>
      </c>
    </row>
    <row r="3563" spans="2:5" x14ac:dyDescent="0.35">
      <c r="B3563" s="2">
        <v>45036</v>
      </c>
      <c r="C3563" s="4">
        <v>6251.65</v>
      </c>
      <c r="D3563">
        <f t="shared" si="58"/>
        <v>72.11871345029239</v>
      </c>
      <c r="E3563">
        <v>-8.8073947234906802E-3</v>
      </c>
    </row>
    <row r="3564" spans="2:5" x14ac:dyDescent="0.35">
      <c r="B3564" s="2">
        <v>39035</v>
      </c>
      <c r="C3564" s="4">
        <v>85.5</v>
      </c>
      <c r="D3564">
        <f t="shared" si="58"/>
        <v>-0.88668893129770987</v>
      </c>
      <c r="E3564">
        <v>-8.8105726872247381E-3</v>
      </c>
    </row>
    <row r="3565" spans="2:5" x14ac:dyDescent="0.35">
      <c r="B3565" s="2">
        <v>42584</v>
      </c>
      <c r="C3565" s="4">
        <v>754.56</v>
      </c>
      <c r="D3565">
        <f t="shared" si="58"/>
        <v>-0.18455037662239426</v>
      </c>
      <c r="E3565">
        <v>-8.8142183456593193E-3</v>
      </c>
    </row>
    <row r="3566" spans="2:5" x14ac:dyDescent="0.35">
      <c r="B3566" s="2">
        <v>43571</v>
      </c>
      <c r="C3566" s="4">
        <v>925.33</v>
      </c>
      <c r="D3566">
        <f t="shared" si="58"/>
        <v>-0.49000490522985685</v>
      </c>
      <c r="E3566">
        <v>-8.8263333226217267E-3</v>
      </c>
    </row>
    <row r="3567" spans="2:5" x14ac:dyDescent="0.35">
      <c r="B3567" s="2">
        <v>44196</v>
      </c>
      <c r="C3567" s="4">
        <v>1814.39</v>
      </c>
      <c r="D3567">
        <f t="shared" si="58"/>
        <v>18.538983415894897</v>
      </c>
      <c r="E3567">
        <v>-8.8333624683156753E-3</v>
      </c>
    </row>
    <row r="3568" spans="2:5" x14ac:dyDescent="0.35">
      <c r="B3568" s="2">
        <v>41152</v>
      </c>
      <c r="C3568" s="4">
        <v>92.86</v>
      </c>
      <c r="D3568">
        <f t="shared" si="58"/>
        <v>0.38411089581159619</v>
      </c>
      <c r="E3568">
        <v>-8.8590030953142884E-3</v>
      </c>
    </row>
    <row r="3569" spans="2:5" x14ac:dyDescent="0.35">
      <c r="B3569" s="2">
        <v>40080</v>
      </c>
      <c r="C3569" s="4">
        <v>67.09</v>
      </c>
      <c r="D3569">
        <f t="shared" si="58"/>
        <v>-0.91803098426351282</v>
      </c>
      <c r="E3569">
        <v>-8.8639385433593176E-3</v>
      </c>
    </row>
    <row r="3570" spans="2:5" x14ac:dyDescent="0.35">
      <c r="B3570" s="2">
        <v>42325</v>
      </c>
      <c r="C3570" s="4">
        <v>818.48</v>
      </c>
      <c r="D3570">
        <f t="shared" si="58"/>
        <v>10.812382739212007</v>
      </c>
      <c r="E3570">
        <v>-8.8641317510291806E-3</v>
      </c>
    </row>
    <row r="3571" spans="2:5" x14ac:dyDescent="0.35">
      <c r="B3571" s="2">
        <v>40109</v>
      </c>
      <c r="C3571" s="4">
        <v>69.290000000000006</v>
      </c>
      <c r="D3571">
        <f t="shared" si="58"/>
        <v>-0.18395948651513361</v>
      </c>
      <c r="E3571">
        <v>-8.8685452724930336E-3</v>
      </c>
    </row>
    <row r="3572" spans="2:5" x14ac:dyDescent="0.35">
      <c r="B3572" s="2">
        <v>41037</v>
      </c>
      <c r="C3572" s="4">
        <v>84.91</v>
      </c>
      <c r="D3572">
        <f t="shared" si="58"/>
        <v>-0.90704777335026487</v>
      </c>
      <c r="E3572">
        <v>-8.8712501459087267E-3</v>
      </c>
    </row>
    <row r="3573" spans="2:5" x14ac:dyDescent="0.35">
      <c r="B3573" s="2">
        <v>43481</v>
      </c>
      <c r="C3573" s="4">
        <v>913.48</v>
      </c>
      <c r="D3573">
        <f t="shared" si="58"/>
        <v>15.705925384052669</v>
      </c>
      <c r="E3573">
        <v>-8.8752902371806996E-3</v>
      </c>
    </row>
    <row r="3574" spans="2:5" x14ac:dyDescent="0.35">
      <c r="B3574" s="2">
        <v>38407</v>
      </c>
      <c r="C3574" s="4">
        <v>54.68</v>
      </c>
      <c r="D3574">
        <f t="shared" si="58"/>
        <v>0.81600797077382925</v>
      </c>
      <c r="E3574">
        <v>-8.8816385716875557E-3</v>
      </c>
    </row>
    <row r="3575" spans="2:5" x14ac:dyDescent="0.35">
      <c r="B3575" s="2">
        <v>37543</v>
      </c>
      <c r="C3575" s="4">
        <v>30.11</v>
      </c>
      <c r="D3575">
        <f t="shared" si="58"/>
        <v>-0.99639152709949963</v>
      </c>
      <c r="E3575">
        <v>-8.8874259381171994E-3</v>
      </c>
    </row>
    <row r="3576" spans="2:5" x14ac:dyDescent="0.35">
      <c r="B3576" s="2">
        <v>44726</v>
      </c>
      <c r="C3576" s="4">
        <v>8344.25</v>
      </c>
      <c r="D3576">
        <f t="shared" si="58"/>
        <v>121.74566048837893</v>
      </c>
      <c r="E3576">
        <v>-8.8928534098576817E-3</v>
      </c>
    </row>
    <row r="3577" spans="2:5" x14ac:dyDescent="0.35">
      <c r="B3577" s="2">
        <v>38673</v>
      </c>
      <c r="C3577" s="4">
        <v>67.98</v>
      </c>
      <c r="D3577">
        <f t="shared" si="58"/>
        <v>-0.92351399093149111</v>
      </c>
      <c r="E3577">
        <v>-8.8934246974777809E-3</v>
      </c>
    </row>
    <row r="3578" spans="2:5" x14ac:dyDescent="0.35">
      <c r="B3578" s="2">
        <v>43090</v>
      </c>
      <c r="C3578" s="4">
        <v>888.79</v>
      </c>
      <c r="D3578">
        <f t="shared" si="58"/>
        <v>-0.86599674335856225</v>
      </c>
      <c r="E3578">
        <v>-8.9096545418051454E-3</v>
      </c>
    </row>
    <row r="3579" spans="2:5" x14ac:dyDescent="0.35">
      <c r="B3579" s="2">
        <v>44908</v>
      </c>
      <c r="C3579" s="4">
        <v>6632.6</v>
      </c>
      <c r="D3579">
        <f t="shared" si="58"/>
        <v>131.97113071371291</v>
      </c>
      <c r="E3579">
        <v>-8.9132952295565282E-3</v>
      </c>
    </row>
    <row r="3580" spans="2:5" x14ac:dyDescent="0.35">
      <c r="B3580" s="2">
        <v>38258</v>
      </c>
      <c r="C3580" s="4">
        <v>49.88</v>
      </c>
      <c r="D3580">
        <f t="shared" si="58"/>
        <v>-0.94386107078142056</v>
      </c>
      <c r="E3580">
        <v>-8.9409894695011705E-3</v>
      </c>
    </row>
    <row r="3581" spans="2:5" x14ac:dyDescent="0.35">
      <c r="B3581" s="2">
        <v>42444</v>
      </c>
      <c r="C3581" s="4">
        <v>888.51</v>
      </c>
      <c r="D3581">
        <f t="shared" si="58"/>
        <v>-0.89637980659336558</v>
      </c>
      <c r="E3581">
        <v>-8.9566555870346232E-3</v>
      </c>
    </row>
    <row r="3582" spans="2:5" x14ac:dyDescent="0.35">
      <c r="B3582" s="2">
        <v>44719</v>
      </c>
      <c r="C3582" s="4">
        <v>8574.68</v>
      </c>
      <c r="D3582">
        <f t="shared" si="58"/>
        <v>297.35351426583162</v>
      </c>
      <c r="E3582">
        <v>-8.957280130556744E-3</v>
      </c>
    </row>
    <row r="3583" spans="2:5" x14ac:dyDescent="0.35">
      <c r="B3583" s="2">
        <v>39898</v>
      </c>
      <c r="C3583" s="4">
        <v>28.74</v>
      </c>
      <c r="D3583">
        <f t="shared" si="58"/>
        <v>-0.89801639402434263</v>
      </c>
      <c r="E3583">
        <v>-8.9655172413793949E-3</v>
      </c>
    </row>
    <row r="3584" spans="2:5" x14ac:dyDescent="0.35">
      <c r="B3584" s="2">
        <v>41844</v>
      </c>
      <c r="C3584" s="4">
        <v>281.81</v>
      </c>
      <c r="D3584">
        <f t="shared" si="58"/>
        <v>-0.88877530883687883</v>
      </c>
      <c r="E3584">
        <v>-8.9675059783373978E-3</v>
      </c>
    </row>
    <row r="3585" spans="2:5" x14ac:dyDescent="0.35">
      <c r="B3585" s="2">
        <v>44258</v>
      </c>
      <c r="C3585" s="4">
        <v>2533.6999999999998</v>
      </c>
      <c r="D3585">
        <f t="shared" si="58"/>
        <v>2.6221069034038109</v>
      </c>
      <c r="E3585">
        <v>-8.9727141873710003E-3</v>
      </c>
    </row>
    <row r="3586" spans="2:5" x14ac:dyDescent="0.35">
      <c r="B3586" s="2">
        <v>42853</v>
      </c>
      <c r="C3586" s="4">
        <v>699.51</v>
      </c>
      <c r="D3586">
        <f t="shared" si="58"/>
        <v>20.139619220308248</v>
      </c>
      <c r="E3586">
        <v>-8.9820783452575492E-3</v>
      </c>
    </row>
    <row r="3587" spans="2:5" x14ac:dyDescent="0.35">
      <c r="B3587" s="2">
        <v>39829</v>
      </c>
      <c r="C3587" s="4">
        <v>33.090000000000003</v>
      </c>
      <c r="D3587">
        <f t="shared" si="58"/>
        <v>-0.62431880108991822</v>
      </c>
      <c r="E3587">
        <v>-8.9847259658579759E-3</v>
      </c>
    </row>
    <row r="3588" spans="2:5" x14ac:dyDescent="0.35">
      <c r="B3588" s="2">
        <v>41472</v>
      </c>
      <c r="C3588" s="4">
        <v>88.08</v>
      </c>
      <c r="D3588">
        <f t="shared" ref="D3588:D3651" si="59">C3588/C3589-1</f>
        <v>3.0127562642369021</v>
      </c>
      <c r="E3588">
        <v>-9.0009000900089786E-3</v>
      </c>
    </row>
    <row r="3589" spans="2:5" x14ac:dyDescent="0.35">
      <c r="B3589" s="2">
        <v>37775</v>
      </c>
      <c r="C3589" s="4">
        <v>21.95</v>
      </c>
      <c r="D3589">
        <f t="shared" si="59"/>
        <v>-0.99746000520727862</v>
      </c>
      <c r="E3589">
        <v>-9.0293453724604733E-3</v>
      </c>
    </row>
    <row r="3590" spans="2:5" x14ac:dyDescent="0.35">
      <c r="B3590" s="2">
        <v>44775</v>
      </c>
      <c r="C3590" s="4">
        <v>8641.75</v>
      </c>
      <c r="D3590">
        <f t="shared" si="59"/>
        <v>0.46255665413139369</v>
      </c>
      <c r="E3590">
        <v>-9.0418090498360915E-3</v>
      </c>
    </row>
    <row r="3591" spans="2:5" x14ac:dyDescent="0.35">
      <c r="B3591" s="2">
        <v>44572</v>
      </c>
      <c r="C3591" s="4">
        <v>5908.66</v>
      </c>
      <c r="D3591">
        <f t="shared" si="59"/>
        <v>215.43443223443222</v>
      </c>
      <c r="E3591">
        <v>-9.0430652502775377E-3</v>
      </c>
    </row>
    <row r="3592" spans="2:5" x14ac:dyDescent="0.35">
      <c r="B3592" s="2">
        <v>37924</v>
      </c>
      <c r="C3592" s="4">
        <v>27.3</v>
      </c>
      <c r="D3592">
        <f t="shared" si="59"/>
        <v>-0.95206826322073179</v>
      </c>
      <c r="E3592">
        <v>-9.0744101633394303E-3</v>
      </c>
    </row>
    <row r="3593" spans="2:5" x14ac:dyDescent="0.35">
      <c r="B3593" s="2">
        <v>42681</v>
      </c>
      <c r="C3593" s="4">
        <v>569.55999999999995</v>
      </c>
      <c r="D3593">
        <f t="shared" si="59"/>
        <v>-0.9144836905521565</v>
      </c>
      <c r="E3593">
        <v>-9.0817356205853406E-3</v>
      </c>
    </row>
    <row r="3594" spans="2:5" x14ac:dyDescent="0.35">
      <c r="B3594" s="2">
        <v>45051</v>
      </c>
      <c r="C3594" s="4">
        <v>6660.25</v>
      </c>
      <c r="D3594">
        <f t="shared" si="59"/>
        <v>99.184265944645006</v>
      </c>
      <c r="E3594">
        <v>-9.0830642881585266E-3</v>
      </c>
    </row>
    <row r="3595" spans="2:5" x14ac:dyDescent="0.35">
      <c r="B3595" s="2">
        <v>39563</v>
      </c>
      <c r="C3595" s="4">
        <v>66.48</v>
      </c>
      <c r="D3595">
        <f t="shared" si="59"/>
        <v>-0.94153085724839713</v>
      </c>
      <c r="E3595">
        <v>-9.0922641228200485E-3</v>
      </c>
    </row>
    <row r="3596" spans="2:5" x14ac:dyDescent="0.35">
      <c r="B3596" s="2">
        <v>43216</v>
      </c>
      <c r="C3596" s="4">
        <v>1137.01</v>
      </c>
      <c r="D3596">
        <f t="shared" si="59"/>
        <v>42.647216890595011</v>
      </c>
      <c r="E3596">
        <v>-9.1157067287161997E-3</v>
      </c>
    </row>
    <row r="3597" spans="2:5" x14ac:dyDescent="0.35">
      <c r="B3597" s="2">
        <v>37845</v>
      </c>
      <c r="C3597" s="4">
        <v>26.05</v>
      </c>
      <c r="D3597">
        <f t="shared" si="59"/>
        <v>-0.72025343642611683</v>
      </c>
      <c r="E3597">
        <v>-9.128946367439994E-3</v>
      </c>
    </row>
    <row r="3598" spans="2:5" x14ac:dyDescent="0.35">
      <c r="B3598" s="2">
        <v>40168</v>
      </c>
      <c r="C3598" s="4">
        <v>93.12</v>
      </c>
      <c r="D3598">
        <f t="shared" si="59"/>
        <v>-0.87559118236472944</v>
      </c>
      <c r="E3598">
        <v>-9.1508831666311519E-3</v>
      </c>
    </row>
    <row r="3599" spans="2:5" x14ac:dyDescent="0.35">
      <c r="B3599" s="2">
        <v>42601</v>
      </c>
      <c r="C3599" s="4">
        <v>748.5</v>
      </c>
      <c r="D3599">
        <f t="shared" si="59"/>
        <v>7.6541796739507468</v>
      </c>
      <c r="E3599">
        <v>-9.1604670249662012E-3</v>
      </c>
    </row>
    <row r="3600" spans="2:5" x14ac:dyDescent="0.35">
      <c r="B3600" s="2">
        <v>40835</v>
      </c>
      <c r="C3600" s="4">
        <v>86.49</v>
      </c>
      <c r="D3600">
        <f t="shared" si="59"/>
        <v>-0.65366595923597481</v>
      </c>
      <c r="E3600">
        <v>-9.164852789552147E-3</v>
      </c>
    </row>
    <row r="3601" spans="2:5" x14ac:dyDescent="0.35">
      <c r="B3601" s="2">
        <v>41758</v>
      </c>
      <c r="C3601" s="4">
        <v>249.73</v>
      </c>
      <c r="D3601">
        <f t="shared" si="59"/>
        <v>2.4488330341113107</v>
      </c>
      <c r="E3601">
        <v>-9.1652118711316177E-3</v>
      </c>
    </row>
    <row r="3602" spans="2:5" x14ac:dyDescent="0.35">
      <c r="B3602" s="2">
        <v>39595</v>
      </c>
      <c r="C3602" s="4">
        <v>72.41</v>
      </c>
      <c r="D3602">
        <f t="shared" si="59"/>
        <v>-0.89268299912557614</v>
      </c>
      <c r="E3602">
        <v>-9.1680350301039937E-3</v>
      </c>
    </row>
    <row r="3603" spans="2:5" x14ac:dyDescent="0.35">
      <c r="B3603" s="2">
        <v>42765</v>
      </c>
      <c r="C3603" s="4">
        <v>674.73</v>
      </c>
      <c r="D3603">
        <f t="shared" si="59"/>
        <v>6.0255102040816322</v>
      </c>
      <c r="E3603">
        <v>-9.1779494258275029E-3</v>
      </c>
    </row>
    <row r="3604" spans="2:5" x14ac:dyDescent="0.35">
      <c r="B3604" s="2">
        <v>41135</v>
      </c>
      <c r="C3604" s="4">
        <v>96.04</v>
      </c>
      <c r="D3604">
        <f t="shared" si="59"/>
        <v>-0.17540997681806469</v>
      </c>
      <c r="E3604">
        <v>-9.1818838336944486E-3</v>
      </c>
    </row>
    <row r="3605" spans="2:5" x14ac:dyDescent="0.35">
      <c r="B3605" s="2">
        <v>40466</v>
      </c>
      <c r="C3605" s="4">
        <v>116.47</v>
      </c>
      <c r="D3605">
        <f t="shared" si="59"/>
        <v>-0.86148210696573624</v>
      </c>
      <c r="E3605">
        <v>-9.1875797532964265E-3</v>
      </c>
    </row>
    <row r="3606" spans="2:5" x14ac:dyDescent="0.35">
      <c r="B3606" s="2">
        <v>43049</v>
      </c>
      <c r="C3606" s="4">
        <v>840.83</v>
      </c>
      <c r="D3606">
        <f t="shared" si="59"/>
        <v>0.2349528537437946</v>
      </c>
      <c r="E3606">
        <v>-9.1912847766399963E-3</v>
      </c>
    </row>
    <row r="3607" spans="2:5" x14ac:dyDescent="0.35">
      <c r="B3607" s="2">
        <v>42789</v>
      </c>
      <c r="C3607" s="4">
        <v>680.86</v>
      </c>
      <c r="D3607">
        <f t="shared" si="59"/>
        <v>5.6646436961628819</v>
      </c>
      <c r="E3607">
        <v>-9.197008061934242E-3</v>
      </c>
    </row>
    <row r="3608" spans="2:5" x14ac:dyDescent="0.35">
      <c r="B3608" s="2">
        <v>40336</v>
      </c>
      <c r="C3608" s="4">
        <v>102.16</v>
      </c>
      <c r="D3608">
        <f t="shared" si="59"/>
        <v>-0.86065037101702313</v>
      </c>
      <c r="E3608">
        <v>-9.2134613519542219E-3</v>
      </c>
    </row>
    <row r="3609" spans="2:5" x14ac:dyDescent="0.35">
      <c r="B3609" s="2">
        <v>42916</v>
      </c>
      <c r="C3609" s="4">
        <v>733.12</v>
      </c>
      <c r="D3609">
        <f t="shared" si="59"/>
        <v>5.6866107260124039</v>
      </c>
      <c r="E3609">
        <v>-9.2169635375841663E-3</v>
      </c>
    </row>
    <row r="3610" spans="2:5" x14ac:dyDescent="0.35">
      <c r="B3610" s="2">
        <v>40567</v>
      </c>
      <c r="C3610" s="4">
        <v>109.64</v>
      </c>
      <c r="D3610">
        <f t="shared" si="59"/>
        <v>-0.90094054083356667</v>
      </c>
      <c r="E3610">
        <v>-9.217422736309433E-3</v>
      </c>
    </row>
    <row r="3611" spans="2:5" x14ac:dyDescent="0.35">
      <c r="B3611" s="2">
        <v>43370</v>
      </c>
      <c r="C3611" s="4">
        <v>1106.81</v>
      </c>
      <c r="D3611">
        <f t="shared" si="59"/>
        <v>0.14394236930772886</v>
      </c>
      <c r="E3611">
        <v>-9.2202200320469219E-3</v>
      </c>
    </row>
    <row r="3612" spans="2:5" x14ac:dyDescent="0.35">
      <c r="B3612" s="2">
        <v>43881</v>
      </c>
      <c r="C3612" s="4">
        <v>967.54</v>
      </c>
      <c r="D3612">
        <f t="shared" si="59"/>
        <v>7.9421441774491672</v>
      </c>
      <c r="E3612">
        <v>-9.2466489857359058E-3</v>
      </c>
    </row>
    <row r="3613" spans="2:5" x14ac:dyDescent="0.35">
      <c r="B3613" s="2">
        <v>39300</v>
      </c>
      <c r="C3613" s="4">
        <v>108.2</v>
      </c>
      <c r="D3613">
        <f t="shared" si="59"/>
        <v>-0.88236573168080012</v>
      </c>
      <c r="E3613">
        <v>-9.248237340902743E-3</v>
      </c>
    </row>
    <row r="3614" spans="2:5" x14ac:dyDescent="0.35">
      <c r="B3614" s="2">
        <v>42339</v>
      </c>
      <c r="C3614" s="4">
        <v>919.8</v>
      </c>
      <c r="D3614">
        <f t="shared" si="59"/>
        <v>16.617314690672284</v>
      </c>
      <c r="E3614">
        <v>-9.2632485997414804E-3</v>
      </c>
    </row>
    <row r="3615" spans="2:5" x14ac:dyDescent="0.35">
      <c r="B3615" s="2">
        <v>39713</v>
      </c>
      <c r="C3615" s="4">
        <v>52.21</v>
      </c>
      <c r="D3615">
        <f t="shared" si="59"/>
        <v>-0.47836946747926867</v>
      </c>
      <c r="E3615">
        <v>-9.2979127134725781E-3</v>
      </c>
    </row>
    <row r="3616" spans="2:5" x14ac:dyDescent="0.35">
      <c r="B3616" s="2">
        <v>40444</v>
      </c>
      <c r="C3616" s="4">
        <v>100.09</v>
      </c>
      <c r="D3616">
        <f t="shared" si="59"/>
        <v>0.38628808864265918</v>
      </c>
      <c r="E3616">
        <v>-9.3041670790854347E-3</v>
      </c>
    </row>
    <row r="3617" spans="2:5" x14ac:dyDescent="0.35">
      <c r="B3617" s="2">
        <v>38727</v>
      </c>
      <c r="C3617" s="4">
        <v>72.2</v>
      </c>
      <c r="D3617">
        <f t="shared" si="59"/>
        <v>1.7214474180173389</v>
      </c>
      <c r="E3617">
        <v>-9.3304061470910193E-3</v>
      </c>
    </row>
    <row r="3618" spans="2:5" x14ac:dyDescent="0.35">
      <c r="B3618" s="2">
        <v>37572</v>
      </c>
      <c r="C3618" s="4">
        <v>26.53</v>
      </c>
      <c r="D3618">
        <f t="shared" si="59"/>
        <v>-3.8071065989847663E-2</v>
      </c>
      <c r="E3618">
        <v>-9.3353248693054391E-3</v>
      </c>
    </row>
    <row r="3619" spans="2:5" x14ac:dyDescent="0.35">
      <c r="B3619" s="2">
        <v>37565</v>
      </c>
      <c r="C3619" s="4">
        <v>27.58</v>
      </c>
      <c r="D3619">
        <f t="shared" si="59"/>
        <v>-0.97157668009852316</v>
      </c>
      <c r="E3619">
        <v>-9.339080459770166E-3</v>
      </c>
    </row>
    <row r="3620" spans="2:5" x14ac:dyDescent="0.35">
      <c r="B3620" s="2">
        <v>43158</v>
      </c>
      <c r="C3620" s="4">
        <v>970.33</v>
      </c>
      <c r="D3620">
        <f t="shared" si="59"/>
        <v>8.5420395319107101</v>
      </c>
      <c r="E3620">
        <v>-9.3518055314499859E-3</v>
      </c>
    </row>
    <row r="3621" spans="2:5" x14ac:dyDescent="0.35">
      <c r="B3621" s="2">
        <v>40184</v>
      </c>
      <c r="C3621" s="4">
        <v>101.69</v>
      </c>
      <c r="D3621">
        <f t="shared" si="59"/>
        <v>0.45604238258877428</v>
      </c>
      <c r="E3621">
        <v>-9.3521675596688336E-3</v>
      </c>
    </row>
    <row r="3622" spans="2:5" x14ac:dyDescent="0.35">
      <c r="B3622" s="2">
        <v>38572</v>
      </c>
      <c r="C3622" s="4">
        <v>69.84</v>
      </c>
      <c r="D3622">
        <f t="shared" si="59"/>
        <v>-0.98042754492360462</v>
      </c>
      <c r="E3622">
        <v>-9.3617021276595214E-3</v>
      </c>
    </row>
    <row r="3623" spans="2:5" x14ac:dyDescent="0.35">
      <c r="B3623" s="2">
        <v>44348</v>
      </c>
      <c r="C3623" s="4">
        <v>3568.28</v>
      </c>
      <c r="D3623">
        <f t="shared" si="59"/>
        <v>3.4503922473465627</v>
      </c>
      <c r="E3623">
        <v>-9.3724667133068262E-3</v>
      </c>
    </row>
    <row r="3624" spans="2:5" x14ac:dyDescent="0.35">
      <c r="B3624" s="2">
        <v>42955</v>
      </c>
      <c r="C3624" s="4">
        <v>801.79</v>
      </c>
      <c r="D3624">
        <f t="shared" si="59"/>
        <v>8.4920089972771393</v>
      </c>
      <c r="E3624">
        <v>-9.3775482468062554E-3</v>
      </c>
    </row>
    <row r="3625" spans="2:5" x14ac:dyDescent="0.35">
      <c r="B3625" s="2">
        <v>41024</v>
      </c>
      <c r="C3625" s="4">
        <v>84.47</v>
      </c>
      <c r="D3625">
        <f t="shared" si="59"/>
        <v>-0.91804042187788049</v>
      </c>
      <c r="E3625">
        <v>-9.3819631757945388E-3</v>
      </c>
    </row>
    <row r="3626" spans="2:5" x14ac:dyDescent="0.35">
      <c r="B3626" s="2">
        <v>42366</v>
      </c>
      <c r="C3626" s="4">
        <v>1030.6300000000001</v>
      </c>
      <c r="D3626">
        <f t="shared" si="59"/>
        <v>0.15292025102636697</v>
      </c>
      <c r="E3626">
        <v>-9.4001403292932606E-3</v>
      </c>
    </row>
    <row r="3627" spans="2:5" x14ac:dyDescent="0.35">
      <c r="B3627" s="2">
        <v>43068</v>
      </c>
      <c r="C3627" s="4">
        <v>893.93</v>
      </c>
      <c r="D3627">
        <f t="shared" si="59"/>
        <v>0.26314822664971027</v>
      </c>
      <c r="E3627">
        <v>-9.4190131090500229E-3</v>
      </c>
    </row>
    <row r="3628" spans="2:5" x14ac:dyDescent="0.35">
      <c r="B3628" s="2">
        <v>42863</v>
      </c>
      <c r="C3628" s="4">
        <v>707.7</v>
      </c>
      <c r="D3628">
        <f t="shared" si="59"/>
        <v>-0.887794901065449</v>
      </c>
      <c r="E3628">
        <v>-9.4200971403775036E-3</v>
      </c>
    </row>
    <row r="3629" spans="2:5" x14ac:dyDescent="0.35">
      <c r="B3629" s="2">
        <v>45035</v>
      </c>
      <c r="C3629" s="4">
        <v>6307.2</v>
      </c>
      <c r="D3629">
        <f t="shared" si="59"/>
        <v>-0.28469520839240148</v>
      </c>
      <c r="E3629">
        <v>-9.4388516325601968E-3</v>
      </c>
    </row>
    <row r="3630" spans="2:5" x14ac:dyDescent="0.35">
      <c r="B3630" s="2">
        <v>44825</v>
      </c>
      <c r="C3630" s="4">
        <v>8817.5</v>
      </c>
      <c r="D3630">
        <f t="shared" si="59"/>
        <v>322.45928099779894</v>
      </c>
      <c r="E3630">
        <v>-9.4421758008436107E-3</v>
      </c>
    </row>
    <row r="3631" spans="2:5" x14ac:dyDescent="0.35">
      <c r="B3631" s="2">
        <v>38057</v>
      </c>
      <c r="C3631" s="4">
        <v>27.26</v>
      </c>
      <c r="D3631">
        <f t="shared" si="59"/>
        <v>0.13158987131589872</v>
      </c>
      <c r="E3631">
        <v>-9.4476744186046124E-3</v>
      </c>
    </row>
    <row r="3632" spans="2:5" x14ac:dyDescent="0.35">
      <c r="B3632" s="2">
        <v>37785</v>
      </c>
      <c r="C3632" s="4">
        <v>24.09</v>
      </c>
      <c r="D3632">
        <f t="shared" si="59"/>
        <v>-0.43846153846153846</v>
      </c>
      <c r="E3632">
        <v>-9.4572368421053099E-3</v>
      </c>
    </row>
    <row r="3633" spans="2:5" x14ac:dyDescent="0.35">
      <c r="B3633" s="2">
        <v>38225</v>
      </c>
      <c r="C3633" s="4">
        <v>42.9</v>
      </c>
      <c r="D3633">
        <f t="shared" si="59"/>
        <v>-0.44343539180072655</v>
      </c>
      <c r="E3633">
        <v>-9.4666358808590534E-3</v>
      </c>
    </row>
    <row r="3634" spans="2:5" x14ac:dyDescent="0.35">
      <c r="B3634" s="2">
        <v>38987</v>
      </c>
      <c r="C3634" s="4">
        <v>77.08</v>
      </c>
      <c r="D3634">
        <f t="shared" si="59"/>
        <v>-0.3209408862655273</v>
      </c>
      <c r="E3634">
        <v>-9.5091236186070072E-3</v>
      </c>
    </row>
    <row r="3635" spans="2:5" x14ac:dyDescent="0.35">
      <c r="B3635" s="2">
        <v>40203</v>
      </c>
      <c r="C3635" s="4">
        <v>113.51</v>
      </c>
      <c r="D3635">
        <f t="shared" si="59"/>
        <v>-3.4368353891960801E-2</v>
      </c>
      <c r="E3635">
        <v>-9.5113438045374421E-3</v>
      </c>
    </row>
    <row r="3636" spans="2:5" x14ac:dyDescent="0.35">
      <c r="B3636" s="2">
        <v>40465</v>
      </c>
      <c r="C3636" s="4">
        <v>117.55</v>
      </c>
      <c r="D3636">
        <f t="shared" si="59"/>
        <v>-0.98460051065256893</v>
      </c>
      <c r="E3636">
        <v>-9.5214020896529084E-3</v>
      </c>
    </row>
    <row r="3637" spans="2:5" x14ac:dyDescent="0.35">
      <c r="B3637" s="2">
        <v>44683</v>
      </c>
      <c r="C3637" s="4">
        <v>7633.37</v>
      </c>
      <c r="D3637">
        <f t="shared" si="59"/>
        <v>27.133158884015774</v>
      </c>
      <c r="E3637">
        <v>-9.5215233399292831E-3</v>
      </c>
    </row>
    <row r="3638" spans="2:5" x14ac:dyDescent="0.35">
      <c r="B3638" s="2">
        <v>41984</v>
      </c>
      <c r="C3638" s="4">
        <v>271.33</v>
      </c>
      <c r="D3638">
        <f t="shared" si="59"/>
        <v>1.6973854259866785</v>
      </c>
      <c r="E3638">
        <v>-9.5276337884209195E-3</v>
      </c>
    </row>
    <row r="3639" spans="2:5" x14ac:dyDescent="0.35">
      <c r="B3639" s="2">
        <v>41292</v>
      </c>
      <c r="C3639" s="4">
        <v>100.59</v>
      </c>
      <c r="D3639">
        <f t="shared" si="59"/>
        <v>-0.87705338809034905</v>
      </c>
      <c r="E3639">
        <v>-9.5510043324142924E-3</v>
      </c>
    </row>
    <row r="3640" spans="2:5" x14ac:dyDescent="0.35">
      <c r="B3640" s="2">
        <v>42522</v>
      </c>
      <c r="C3640" s="4">
        <v>818.16</v>
      </c>
      <c r="D3640">
        <f t="shared" si="59"/>
        <v>5.2241685315224995E-2</v>
      </c>
      <c r="E3640">
        <v>-9.5514799346286816E-3</v>
      </c>
    </row>
    <row r="3641" spans="2:5" x14ac:dyDescent="0.35">
      <c r="B3641" s="2">
        <v>42548</v>
      </c>
      <c r="C3641" s="4">
        <v>777.54</v>
      </c>
      <c r="D3641">
        <f t="shared" si="59"/>
        <v>9.1945719155631309</v>
      </c>
      <c r="E3641">
        <v>-9.5788856902656594E-3</v>
      </c>
    </row>
    <row r="3642" spans="2:5" x14ac:dyDescent="0.35">
      <c r="B3642" s="2">
        <v>41540</v>
      </c>
      <c r="C3642" s="4">
        <v>76.27</v>
      </c>
      <c r="D3642">
        <f t="shared" si="59"/>
        <v>4.3079868708971514E-2</v>
      </c>
      <c r="E3642">
        <v>-9.6091416699131127E-3</v>
      </c>
    </row>
    <row r="3643" spans="2:5" x14ac:dyDescent="0.35">
      <c r="B3643" s="2">
        <v>38554</v>
      </c>
      <c r="C3643" s="4">
        <v>73.12</v>
      </c>
      <c r="D3643">
        <f t="shared" si="59"/>
        <v>-0.26784820266346254</v>
      </c>
      <c r="E3643">
        <v>-9.6166869836109559E-3</v>
      </c>
    </row>
    <row r="3644" spans="2:5" x14ac:dyDescent="0.35">
      <c r="B3644" s="2">
        <v>40752</v>
      </c>
      <c r="C3644" s="4">
        <v>99.87</v>
      </c>
      <c r="D3644">
        <f t="shared" si="59"/>
        <v>0.67398592021454928</v>
      </c>
      <c r="E3644">
        <v>-9.6191987306624149E-3</v>
      </c>
    </row>
    <row r="3645" spans="2:5" x14ac:dyDescent="0.35">
      <c r="B3645" s="2">
        <v>39542</v>
      </c>
      <c r="C3645" s="4">
        <v>59.66</v>
      </c>
      <c r="D3645">
        <f t="shared" si="59"/>
        <v>-0.52041800643086822</v>
      </c>
      <c r="E3645">
        <v>-9.6281540504649099E-3</v>
      </c>
    </row>
    <row r="3646" spans="2:5" x14ac:dyDescent="0.35">
      <c r="B3646" s="2">
        <v>40268</v>
      </c>
      <c r="C3646" s="4">
        <v>124.4</v>
      </c>
      <c r="D3646">
        <f t="shared" si="59"/>
        <v>2.668534355647302</v>
      </c>
      <c r="E3646">
        <v>-9.6329910039009148E-3</v>
      </c>
    </row>
    <row r="3647" spans="2:5" x14ac:dyDescent="0.35">
      <c r="B3647" s="2">
        <v>39793</v>
      </c>
      <c r="C3647" s="4">
        <v>33.909999999999997</v>
      </c>
      <c r="D3647">
        <f t="shared" si="59"/>
        <v>-0.99398432482871912</v>
      </c>
      <c r="E3647">
        <v>-9.6378504672898213E-3</v>
      </c>
    </row>
    <row r="3648" spans="2:5" x14ac:dyDescent="0.35">
      <c r="B3648" s="2">
        <v>44467</v>
      </c>
      <c r="C3648" s="4">
        <v>5636.94</v>
      </c>
      <c r="D3648">
        <f t="shared" si="59"/>
        <v>0.57558969944125637</v>
      </c>
      <c r="E3648">
        <v>-9.6575666164785412E-3</v>
      </c>
    </row>
    <row r="3649" spans="2:5" x14ac:dyDescent="0.35">
      <c r="B3649" s="2">
        <v>44336</v>
      </c>
      <c r="C3649" s="4">
        <v>3577.67</v>
      </c>
      <c r="D3649">
        <f t="shared" si="59"/>
        <v>133.39782118707737</v>
      </c>
      <c r="E3649">
        <v>-9.660712456782905E-3</v>
      </c>
    </row>
    <row r="3650" spans="2:5" x14ac:dyDescent="0.35">
      <c r="B3650" s="2">
        <v>37917</v>
      </c>
      <c r="C3650" s="4">
        <v>26.62</v>
      </c>
      <c r="D3650">
        <f t="shared" si="59"/>
        <v>-0.90474486509697272</v>
      </c>
      <c r="E3650">
        <v>-9.6726190476189577E-3</v>
      </c>
    </row>
    <row r="3651" spans="2:5" x14ac:dyDescent="0.35">
      <c r="B3651" s="2">
        <v>41920</v>
      </c>
      <c r="C3651" s="4">
        <v>279.45999999999998</v>
      </c>
      <c r="D3651">
        <f t="shared" si="59"/>
        <v>-0.9650814674130348</v>
      </c>
      <c r="E3651">
        <v>-9.674332896275617E-3</v>
      </c>
    </row>
    <row r="3652" spans="2:5" x14ac:dyDescent="0.35">
      <c r="B3652" s="2">
        <v>44747</v>
      </c>
      <c r="C3652" s="4">
        <v>8003.2</v>
      </c>
      <c r="D3652">
        <f t="shared" ref="D3652:D3715" si="60">C3652/C3653-1</f>
        <v>78.036144578313241</v>
      </c>
      <c r="E3652">
        <v>-9.6765411933575907E-3</v>
      </c>
    </row>
    <row r="3653" spans="2:5" x14ac:dyDescent="0.35">
      <c r="B3653" s="2">
        <v>40750</v>
      </c>
      <c r="C3653" s="4">
        <v>101.26</v>
      </c>
      <c r="D3653">
        <f t="shared" si="60"/>
        <v>2.208491761723701</v>
      </c>
      <c r="E3653">
        <v>-9.6821515892420162E-3</v>
      </c>
    </row>
    <row r="3654" spans="2:5" x14ac:dyDescent="0.35">
      <c r="B3654" s="2">
        <v>39849</v>
      </c>
      <c r="C3654" s="4">
        <v>31.56</v>
      </c>
      <c r="D3654">
        <f t="shared" si="60"/>
        <v>-0.68653158522050062</v>
      </c>
      <c r="E3654">
        <v>-9.727016002510247E-3</v>
      </c>
    </row>
    <row r="3655" spans="2:5" x14ac:dyDescent="0.35">
      <c r="B3655" s="2">
        <v>39374</v>
      </c>
      <c r="C3655" s="4">
        <v>100.68</v>
      </c>
      <c r="D3655">
        <f t="shared" si="60"/>
        <v>-0.8955027141478199</v>
      </c>
      <c r="E3655">
        <v>-9.7373856594865638E-3</v>
      </c>
    </row>
    <row r="3656" spans="2:5" x14ac:dyDescent="0.35">
      <c r="B3656" s="2">
        <v>43165</v>
      </c>
      <c r="C3656" s="4">
        <v>963.47</v>
      </c>
      <c r="D3656">
        <f t="shared" si="60"/>
        <v>0.13647569505880131</v>
      </c>
      <c r="E3656">
        <v>-9.7435633896911789E-3</v>
      </c>
    </row>
    <row r="3657" spans="2:5" x14ac:dyDescent="0.35">
      <c r="B3657" s="2">
        <v>44006</v>
      </c>
      <c r="C3657" s="4">
        <v>847.77</v>
      </c>
      <c r="D3657">
        <f t="shared" si="60"/>
        <v>6.9842853579447084E-3</v>
      </c>
      <c r="E3657">
        <v>-9.7533056113628946E-3</v>
      </c>
    </row>
    <row r="3658" spans="2:5" x14ac:dyDescent="0.35">
      <c r="B3658" s="2">
        <v>43999</v>
      </c>
      <c r="C3658" s="4">
        <v>841.89</v>
      </c>
      <c r="D3658">
        <f t="shared" si="60"/>
        <v>24.968229487970387</v>
      </c>
      <c r="E3658">
        <v>-9.7625236711794683E-3</v>
      </c>
    </row>
    <row r="3659" spans="2:5" x14ac:dyDescent="0.35">
      <c r="B3659" s="2">
        <v>38160</v>
      </c>
      <c r="C3659" s="4">
        <v>32.42</v>
      </c>
      <c r="D3659">
        <f t="shared" si="60"/>
        <v>-0.61885727721608275</v>
      </c>
      <c r="E3659">
        <v>-9.7739767868051386E-3</v>
      </c>
    </row>
    <row r="3660" spans="2:5" x14ac:dyDescent="0.35">
      <c r="B3660" s="2">
        <v>41017</v>
      </c>
      <c r="C3660" s="4">
        <v>85.06</v>
      </c>
      <c r="D3660">
        <f t="shared" si="60"/>
        <v>-0.81566001343649086</v>
      </c>
      <c r="E3660">
        <v>-9.7788125727590325E-3</v>
      </c>
    </row>
    <row r="3661" spans="2:5" x14ac:dyDescent="0.35">
      <c r="B3661" s="2">
        <v>42060</v>
      </c>
      <c r="C3661" s="4">
        <v>461.43</v>
      </c>
      <c r="D3661">
        <f t="shared" si="60"/>
        <v>4.4997616209773534</v>
      </c>
      <c r="E3661">
        <v>-9.7856177171183889E-3</v>
      </c>
    </row>
    <row r="3662" spans="2:5" x14ac:dyDescent="0.35">
      <c r="B3662" s="2">
        <v>41404</v>
      </c>
      <c r="C3662" s="4">
        <v>83.9</v>
      </c>
      <c r="D3662">
        <f t="shared" si="60"/>
        <v>-0.9911324842783914</v>
      </c>
      <c r="E3662">
        <v>-9.7958220228961945E-3</v>
      </c>
    </row>
    <row r="3663" spans="2:5" x14ac:dyDescent="0.35">
      <c r="B3663" s="2">
        <v>44783</v>
      </c>
      <c r="C3663" s="4">
        <v>9461.5</v>
      </c>
      <c r="D3663">
        <f t="shared" si="60"/>
        <v>12.655519794478041</v>
      </c>
      <c r="E3663">
        <v>-9.8061788345613632E-3</v>
      </c>
    </row>
    <row r="3664" spans="2:5" x14ac:dyDescent="0.35">
      <c r="B3664" s="2">
        <v>42640</v>
      </c>
      <c r="C3664" s="4">
        <v>692.87</v>
      </c>
      <c r="D3664">
        <f t="shared" si="60"/>
        <v>-0.45458338253237296</v>
      </c>
      <c r="E3664">
        <v>-9.8179323748821545E-3</v>
      </c>
    </row>
    <row r="3665" spans="2:5" x14ac:dyDescent="0.35">
      <c r="B3665" s="2">
        <v>43353</v>
      </c>
      <c r="C3665" s="4">
        <v>1270.3499999999999</v>
      </c>
      <c r="D3665">
        <f t="shared" si="60"/>
        <v>15.623266160690918</v>
      </c>
      <c r="E3665">
        <v>-9.828833322940822E-3</v>
      </c>
    </row>
    <row r="3666" spans="2:5" x14ac:dyDescent="0.35">
      <c r="B3666" s="2">
        <v>40904</v>
      </c>
      <c r="C3666" s="4">
        <v>76.42</v>
      </c>
      <c r="D3666">
        <f t="shared" si="60"/>
        <v>-0.86873024598048643</v>
      </c>
      <c r="E3666">
        <v>-9.8471106504276484E-3</v>
      </c>
    </row>
    <row r="3667" spans="2:5" x14ac:dyDescent="0.35">
      <c r="B3667" s="2">
        <v>42677</v>
      </c>
      <c r="C3667" s="4">
        <v>582.16</v>
      </c>
      <c r="D3667">
        <f t="shared" si="60"/>
        <v>-0.93081499404602031</v>
      </c>
      <c r="E3667">
        <v>-9.8477761714432788E-3</v>
      </c>
    </row>
    <row r="3668" spans="2:5" x14ac:dyDescent="0.35">
      <c r="B3668" s="2">
        <v>44705</v>
      </c>
      <c r="C3668" s="4">
        <v>8414.5400000000009</v>
      </c>
      <c r="D3668">
        <f t="shared" si="60"/>
        <v>69.14454818272759</v>
      </c>
      <c r="E3668">
        <v>-9.8747302452442121E-3</v>
      </c>
    </row>
    <row r="3669" spans="2:5" x14ac:dyDescent="0.35">
      <c r="B3669" s="2">
        <v>39276</v>
      </c>
      <c r="C3669" s="4">
        <v>119.96</v>
      </c>
      <c r="D3669">
        <f t="shared" si="60"/>
        <v>0.97108116989812676</v>
      </c>
      <c r="E3669">
        <v>-9.9042588312975299E-3</v>
      </c>
    </row>
    <row r="3670" spans="2:5" x14ac:dyDescent="0.35">
      <c r="B3670" s="2">
        <v>38930</v>
      </c>
      <c r="C3670" s="4">
        <v>60.86</v>
      </c>
      <c r="D3670">
        <f t="shared" si="60"/>
        <v>-0.4244917257683215</v>
      </c>
      <c r="E3670">
        <v>-9.9235399381811806E-3</v>
      </c>
    </row>
    <row r="3671" spans="2:5" x14ac:dyDescent="0.35">
      <c r="B3671" s="2">
        <v>39323</v>
      </c>
      <c r="C3671" s="4">
        <v>105.75</v>
      </c>
      <c r="D3671">
        <f t="shared" si="60"/>
        <v>-0.87017212168831493</v>
      </c>
      <c r="E3671">
        <v>-9.9241644040820587E-3</v>
      </c>
    </row>
    <row r="3672" spans="2:5" x14ac:dyDescent="0.35">
      <c r="B3672" s="2">
        <v>42999</v>
      </c>
      <c r="C3672" s="4">
        <v>814.54</v>
      </c>
      <c r="D3672">
        <f t="shared" si="60"/>
        <v>-8.3932206439713442E-2</v>
      </c>
      <c r="E3672">
        <v>-9.9305952279662435E-3</v>
      </c>
    </row>
    <row r="3673" spans="2:5" x14ac:dyDescent="0.35">
      <c r="B3673" s="2">
        <v>43096</v>
      </c>
      <c r="C3673" s="4">
        <v>889.17</v>
      </c>
      <c r="D3673">
        <f t="shared" si="60"/>
        <v>7.5852080718354742</v>
      </c>
      <c r="E3673">
        <v>-9.9321894242225817E-3</v>
      </c>
    </row>
    <row r="3674" spans="2:5" x14ac:dyDescent="0.35">
      <c r="B3674" s="2">
        <v>40574</v>
      </c>
      <c r="C3674" s="4">
        <v>103.57</v>
      </c>
      <c r="D3674">
        <f t="shared" si="60"/>
        <v>7.34867330016582E-2</v>
      </c>
      <c r="E3674">
        <v>-9.9416881751267505E-3</v>
      </c>
    </row>
    <row r="3675" spans="2:5" x14ac:dyDescent="0.35">
      <c r="B3675" s="2">
        <v>41130</v>
      </c>
      <c r="C3675" s="4">
        <v>96.48</v>
      </c>
      <c r="D3675">
        <f t="shared" si="60"/>
        <v>0.27652818205874574</v>
      </c>
      <c r="E3675">
        <v>-9.9538224730630898E-3</v>
      </c>
    </row>
    <row r="3676" spans="2:5" x14ac:dyDescent="0.35">
      <c r="B3676" s="2">
        <v>39604</v>
      </c>
      <c r="C3676" s="4">
        <v>75.58</v>
      </c>
      <c r="D3676">
        <f t="shared" si="60"/>
        <v>-0.91408044017006573</v>
      </c>
      <c r="E3676">
        <v>-9.9554624050302021E-3</v>
      </c>
    </row>
    <row r="3677" spans="2:5" x14ac:dyDescent="0.35">
      <c r="B3677" s="2">
        <v>42445</v>
      </c>
      <c r="C3677" s="4">
        <v>879.66</v>
      </c>
      <c r="D3677">
        <f t="shared" si="60"/>
        <v>6.918444504455846</v>
      </c>
      <c r="E3677">
        <v>-9.960495661275659E-3</v>
      </c>
    </row>
    <row r="3678" spans="2:5" x14ac:dyDescent="0.35">
      <c r="B3678" s="2">
        <v>40378</v>
      </c>
      <c r="C3678" s="4">
        <v>111.09</v>
      </c>
      <c r="D3678">
        <f t="shared" si="60"/>
        <v>-0.97616892199177963</v>
      </c>
      <c r="E3678">
        <v>-9.9812850904552608E-3</v>
      </c>
    </row>
    <row r="3679" spans="2:5" x14ac:dyDescent="0.35">
      <c r="B3679" s="2">
        <v>44431</v>
      </c>
      <c r="C3679" s="4">
        <v>4661.5600000000004</v>
      </c>
      <c r="D3679">
        <f t="shared" si="60"/>
        <v>15.81598787922514</v>
      </c>
      <c r="E3679">
        <v>-9.9944357370098658E-3</v>
      </c>
    </row>
    <row r="3680" spans="2:5" x14ac:dyDescent="0.35">
      <c r="B3680" s="2">
        <v>41894</v>
      </c>
      <c r="C3680" s="4">
        <v>277.20999999999998</v>
      </c>
      <c r="D3680">
        <f t="shared" si="60"/>
        <v>8.3462575859743762</v>
      </c>
      <c r="E3680">
        <v>-9.9996428698975182E-3</v>
      </c>
    </row>
    <row r="3681" spans="2:5" x14ac:dyDescent="0.35">
      <c r="B3681" s="2">
        <v>38112</v>
      </c>
      <c r="C3681" s="4">
        <v>29.66</v>
      </c>
      <c r="D3681">
        <f t="shared" si="60"/>
        <v>0.42870905587668573</v>
      </c>
      <c r="E3681">
        <v>-1.0013351134846471E-2</v>
      </c>
    </row>
    <row r="3682" spans="2:5" x14ac:dyDescent="0.35">
      <c r="B3682" s="2">
        <v>37753</v>
      </c>
      <c r="C3682" s="4">
        <v>20.76</v>
      </c>
      <c r="D3682">
        <f t="shared" si="60"/>
        <v>-0.96868494886415057</v>
      </c>
      <c r="E3682">
        <v>-1.0014306151645114E-2</v>
      </c>
    </row>
    <row r="3683" spans="2:5" x14ac:dyDescent="0.35">
      <c r="B3683" s="2">
        <v>42804</v>
      </c>
      <c r="C3683" s="4">
        <v>662.94</v>
      </c>
      <c r="D3683">
        <f t="shared" si="60"/>
        <v>0.22766666666666668</v>
      </c>
      <c r="E3683">
        <v>-1.0020159784962179E-2</v>
      </c>
    </row>
    <row r="3684" spans="2:5" x14ac:dyDescent="0.35">
      <c r="B3684" s="2">
        <v>42082</v>
      </c>
      <c r="C3684" s="4">
        <v>540</v>
      </c>
      <c r="D3684">
        <f t="shared" si="60"/>
        <v>5.4362336114421925</v>
      </c>
      <c r="E3684">
        <v>-1.002804920527256E-2</v>
      </c>
    </row>
    <row r="3685" spans="2:5" x14ac:dyDescent="0.35">
      <c r="B3685" s="2">
        <v>41390</v>
      </c>
      <c r="C3685" s="4">
        <v>83.9</v>
      </c>
      <c r="D3685">
        <f t="shared" si="60"/>
        <v>-1.0963102675940029E-2</v>
      </c>
      <c r="E3685">
        <v>-1.0029498525073732E-2</v>
      </c>
    </row>
    <row r="3686" spans="2:5" x14ac:dyDescent="0.35">
      <c r="B3686" s="2">
        <v>40840</v>
      </c>
      <c r="C3686" s="4">
        <v>84.83</v>
      </c>
      <c r="D3686">
        <f t="shared" si="60"/>
        <v>-0.90225156710914456</v>
      </c>
      <c r="E3686">
        <v>-1.0036176916793038E-2</v>
      </c>
    </row>
    <row r="3687" spans="2:5" x14ac:dyDescent="0.35">
      <c r="B3687" s="2">
        <v>42465</v>
      </c>
      <c r="C3687" s="4">
        <v>867.84</v>
      </c>
      <c r="D3687">
        <f t="shared" si="60"/>
        <v>6.8801416507763555</v>
      </c>
      <c r="E3687">
        <v>-1.004962071522264E-2</v>
      </c>
    </row>
    <row r="3688" spans="2:5" x14ac:dyDescent="0.35">
      <c r="B3688" s="2">
        <v>39311</v>
      </c>
      <c r="C3688" s="4">
        <v>110.13</v>
      </c>
      <c r="D3688">
        <f t="shared" si="60"/>
        <v>0.49369320493693181</v>
      </c>
      <c r="E3688">
        <v>-1.0067415730337093E-2</v>
      </c>
    </row>
    <row r="3689" spans="2:5" x14ac:dyDescent="0.35">
      <c r="B3689" s="2">
        <v>39486</v>
      </c>
      <c r="C3689" s="4">
        <v>73.73</v>
      </c>
      <c r="D3689">
        <f t="shared" si="60"/>
        <v>-0.91739120691973286</v>
      </c>
      <c r="E3689">
        <v>-1.0069817400644498E-2</v>
      </c>
    </row>
    <row r="3690" spans="2:5" x14ac:dyDescent="0.35">
      <c r="B3690" s="2">
        <v>44025</v>
      </c>
      <c r="C3690" s="4">
        <v>892.52</v>
      </c>
      <c r="D3690">
        <f t="shared" si="60"/>
        <v>10.983351235230934</v>
      </c>
      <c r="E3690">
        <v>-1.008196448575327E-2</v>
      </c>
    </row>
    <row r="3691" spans="2:5" x14ac:dyDescent="0.35">
      <c r="B3691" s="2">
        <v>39485</v>
      </c>
      <c r="C3691" s="4">
        <v>74.48</v>
      </c>
      <c r="D3691">
        <f t="shared" si="60"/>
        <v>0.52</v>
      </c>
      <c r="E3691">
        <v>-1.0101010101009944E-2</v>
      </c>
    </row>
    <row r="3692" spans="2:5" x14ac:dyDescent="0.35">
      <c r="B3692" s="2">
        <v>38369</v>
      </c>
      <c r="C3692" s="4">
        <v>49</v>
      </c>
      <c r="D3692">
        <f t="shared" si="60"/>
        <v>-0.24207269914926532</v>
      </c>
      <c r="E3692">
        <v>-1.0101010101010055E-2</v>
      </c>
    </row>
    <row r="3693" spans="2:5" x14ac:dyDescent="0.35">
      <c r="B3693" s="2">
        <v>38890</v>
      </c>
      <c r="C3693" s="4">
        <v>64.650000000000006</v>
      </c>
      <c r="D3693">
        <f t="shared" si="60"/>
        <v>-0.9502420552763432</v>
      </c>
      <c r="E3693">
        <v>-1.010564997703256E-2</v>
      </c>
    </row>
    <row r="3694" spans="2:5" x14ac:dyDescent="0.35">
      <c r="B3694" s="2">
        <v>43304</v>
      </c>
      <c r="C3694" s="4">
        <v>1299.29</v>
      </c>
      <c r="D3694">
        <f t="shared" si="60"/>
        <v>0.82556342381835535</v>
      </c>
      <c r="E3694">
        <v>-1.0110014018406721E-2</v>
      </c>
    </row>
    <row r="3695" spans="2:5" x14ac:dyDescent="0.35">
      <c r="B3695" s="2">
        <v>42838</v>
      </c>
      <c r="C3695" s="4">
        <v>711.72</v>
      </c>
      <c r="D3695">
        <f t="shared" si="60"/>
        <v>5.3478415982875491</v>
      </c>
      <c r="E3695">
        <v>-1.0138941043935312E-2</v>
      </c>
    </row>
    <row r="3696" spans="2:5" x14ac:dyDescent="0.35">
      <c r="B3696" s="2">
        <v>39224</v>
      </c>
      <c r="C3696" s="4">
        <v>112.12</v>
      </c>
      <c r="D3696">
        <f t="shared" si="60"/>
        <v>-0.98106381756950756</v>
      </c>
      <c r="E3696">
        <v>-1.015273240928749E-2</v>
      </c>
    </row>
    <row r="3697" spans="2:5" x14ac:dyDescent="0.35">
      <c r="B3697" s="2">
        <v>44525</v>
      </c>
      <c r="C3697" s="4">
        <v>5920.94</v>
      </c>
      <c r="D3697">
        <f t="shared" si="60"/>
        <v>88.724806788907415</v>
      </c>
      <c r="E3697">
        <v>-1.0170885589239398E-2</v>
      </c>
    </row>
    <row r="3698" spans="2:5" x14ac:dyDescent="0.35">
      <c r="B3698" s="2">
        <v>38783</v>
      </c>
      <c r="C3698" s="4">
        <v>65.989999999999995</v>
      </c>
      <c r="D3698">
        <f t="shared" si="60"/>
        <v>-0.92978517391443138</v>
      </c>
      <c r="E3698">
        <v>-1.0199490025498803E-2</v>
      </c>
    </row>
    <row r="3699" spans="2:5" x14ac:dyDescent="0.35">
      <c r="B3699" s="2">
        <v>43455</v>
      </c>
      <c r="C3699" s="4">
        <v>939.83</v>
      </c>
      <c r="D3699">
        <f t="shared" si="60"/>
        <v>-0.77483924447298058</v>
      </c>
      <c r="E3699">
        <v>-1.0205156289493589E-2</v>
      </c>
    </row>
    <row r="3700" spans="2:5" x14ac:dyDescent="0.35">
      <c r="B3700" s="2">
        <v>44419</v>
      </c>
      <c r="C3700" s="4">
        <v>4174.04</v>
      </c>
      <c r="D3700">
        <f t="shared" si="60"/>
        <v>66.334086142926282</v>
      </c>
      <c r="E3700">
        <v>-1.0215502523048925E-2</v>
      </c>
    </row>
    <row r="3701" spans="2:5" x14ac:dyDescent="0.35">
      <c r="B3701" s="2">
        <v>38520</v>
      </c>
      <c r="C3701" s="4">
        <v>61.99</v>
      </c>
      <c r="D3701">
        <f t="shared" si="60"/>
        <v>-5.8045889682419083E-2</v>
      </c>
      <c r="E3701">
        <v>-1.0218745010378449E-2</v>
      </c>
    </row>
    <row r="3702" spans="2:5" x14ac:dyDescent="0.35">
      <c r="B3702" s="2">
        <v>40051</v>
      </c>
      <c r="C3702" s="4">
        <v>65.81</v>
      </c>
      <c r="D3702">
        <f t="shared" si="60"/>
        <v>-0.89113136693741835</v>
      </c>
      <c r="E3702">
        <v>-1.0227101819822448E-2</v>
      </c>
    </row>
    <row r="3703" spans="2:5" x14ac:dyDescent="0.35">
      <c r="B3703" s="2">
        <v>42660</v>
      </c>
      <c r="C3703" s="4">
        <v>604.49</v>
      </c>
      <c r="D3703">
        <f t="shared" si="60"/>
        <v>3.6424237769756544</v>
      </c>
      <c r="E3703">
        <v>-1.0249693000409343E-2</v>
      </c>
    </row>
    <row r="3704" spans="2:5" x14ac:dyDescent="0.35">
      <c r="B3704" s="2">
        <v>40491</v>
      </c>
      <c r="C3704" s="4">
        <v>130.21</v>
      </c>
      <c r="D3704">
        <f t="shared" si="60"/>
        <v>-0.76452184606481488</v>
      </c>
      <c r="E3704">
        <v>-1.0261477652781958E-2</v>
      </c>
    </row>
    <row r="3705" spans="2:5" x14ac:dyDescent="0.35">
      <c r="B3705" s="2">
        <v>42181</v>
      </c>
      <c r="C3705" s="4">
        <v>552.96</v>
      </c>
      <c r="D3705">
        <f t="shared" si="60"/>
        <v>14.949235650418229</v>
      </c>
      <c r="E3705">
        <v>-1.0273850008949315E-2</v>
      </c>
    </row>
    <row r="3706" spans="2:5" x14ac:dyDescent="0.35">
      <c r="B3706" s="2">
        <v>39772</v>
      </c>
      <c r="C3706" s="4">
        <v>34.67</v>
      </c>
      <c r="D3706">
        <f t="shared" si="60"/>
        <v>-0.99501967994943541</v>
      </c>
      <c r="E3706">
        <v>-1.0276905509563172E-2</v>
      </c>
    </row>
    <row r="3707" spans="2:5" x14ac:dyDescent="0.35">
      <c r="B3707" s="2">
        <v>44900</v>
      </c>
      <c r="C3707" s="4">
        <v>6961.4</v>
      </c>
      <c r="D3707">
        <f t="shared" si="60"/>
        <v>6.6786640046768655</v>
      </c>
      <c r="E3707">
        <v>-1.0314261545788628E-2</v>
      </c>
    </row>
    <row r="3708" spans="2:5" x14ac:dyDescent="0.35">
      <c r="B3708" s="2">
        <v>42342</v>
      </c>
      <c r="C3708" s="4">
        <v>906.59</v>
      </c>
      <c r="D3708">
        <f t="shared" si="60"/>
        <v>6.6395887755961915</v>
      </c>
      <c r="E3708">
        <v>-1.033775080234911E-2</v>
      </c>
    </row>
    <row r="3709" spans="2:5" x14ac:dyDescent="0.35">
      <c r="B3709" s="2">
        <v>39261</v>
      </c>
      <c r="C3709" s="4">
        <v>118.67</v>
      </c>
      <c r="D3709">
        <f t="shared" si="60"/>
        <v>1.384847266881029</v>
      </c>
      <c r="E3709">
        <v>-1.0341089150195937E-2</v>
      </c>
    </row>
    <row r="3710" spans="2:5" x14ac:dyDescent="0.35">
      <c r="B3710" s="2">
        <v>38338</v>
      </c>
      <c r="C3710" s="4">
        <v>49.76</v>
      </c>
      <c r="D3710">
        <f t="shared" si="60"/>
        <v>-0.99081327275311959</v>
      </c>
      <c r="E3710">
        <v>-1.0342084327764622E-2</v>
      </c>
    </row>
    <row r="3711" spans="2:5" x14ac:dyDescent="0.35">
      <c r="B3711" s="2">
        <v>44557</v>
      </c>
      <c r="C3711" s="4">
        <v>5416.51</v>
      </c>
      <c r="D3711">
        <f t="shared" si="60"/>
        <v>74.523006134969336</v>
      </c>
      <c r="E3711">
        <v>-1.0343277691700514E-2</v>
      </c>
    </row>
    <row r="3712" spans="2:5" x14ac:dyDescent="0.35">
      <c r="B3712" s="2">
        <v>38707</v>
      </c>
      <c r="C3712" s="4">
        <v>71.72</v>
      </c>
      <c r="D3712">
        <f t="shared" si="60"/>
        <v>-0.43165068547428476</v>
      </c>
      <c r="E3712">
        <v>-1.0349109976542037E-2</v>
      </c>
    </row>
    <row r="3713" spans="2:5" x14ac:dyDescent="0.35">
      <c r="B3713" s="2">
        <v>40277</v>
      </c>
      <c r="C3713" s="4">
        <v>126.19</v>
      </c>
      <c r="D3713">
        <f t="shared" si="60"/>
        <v>1.166351931330472</v>
      </c>
      <c r="E3713">
        <v>-1.035212924476514E-2</v>
      </c>
    </row>
    <row r="3714" spans="2:5" x14ac:dyDescent="0.35">
      <c r="B3714" s="2">
        <v>38470</v>
      </c>
      <c r="C3714" s="4">
        <v>58.25</v>
      </c>
      <c r="D3714">
        <f t="shared" si="60"/>
        <v>0.6487404472120013</v>
      </c>
      <c r="E3714">
        <v>-1.0363574583758028E-2</v>
      </c>
    </row>
    <row r="3715" spans="2:5" x14ac:dyDescent="0.35">
      <c r="B3715" s="2">
        <v>39770</v>
      </c>
      <c r="C3715" s="4">
        <v>35.33</v>
      </c>
      <c r="D3715">
        <f t="shared" si="60"/>
        <v>0.19519621109607588</v>
      </c>
      <c r="E3715">
        <v>-1.036414565826338E-2</v>
      </c>
    </row>
    <row r="3716" spans="2:5" x14ac:dyDescent="0.35">
      <c r="B3716" s="2">
        <v>37608</v>
      </c>
      <c r="C3716" s="4">
        <v>29.56</v>
      </c>
      <c r="D3716">
        <f t="shared" ref="D3716:D3779" si="61">C3716/C3717-1</f>
        <v>-0.96328360804382118</v>
      </c>
      <c r="E3716">
        <v>-1.0378305992634784E-2</v>
      </c>
    </row>
    <row r="3717" spans="2:5" x14ac:dyDescent="0.35">
      <c r="B3717" s="2">
        <v>43990</v>
      </c>
      <c r="C3717" s="4">
        <v>805.09</v>
      </c>
      <c r="D3717">
        <f t="shared" si="61"/>
        <v>-8.9676616915422835E-2</v>
      </c>
      <c r="E3717">
        <v>-1.0386705017577436E-2</v>
      </c>
    </row>
    <row r="3718" spans="2:5" x14ac:dyDescent="0.35">
      <c r="B3718" s="2">
        <v>42257</v>
      </c>
      <c r="C3718" s="4">
        <v>884.4</v>
      </c>
      <c r="D3718">
        <f t="shared" si="61"/>
        <v>-0.89667379341768605</v>
      </c>
      <c r="E3718">
        <v>-1.0428322069552021E-2</v>
      </c>
    </row>
    <row r="3719" spans="2:5" x14ac:dyDescent="0.35">
      <c r="B3719" s="2">
        <v>44722</v>
      </c>
      <c r="C3719" s="4">
        <v>8559.2999999999993</v>
      </c>
      <c r="D3719">
        <f t="shared" si="61"/>
        <v>290.13265306122446</v>
      </c>
      <c r="E3719">
        <v>-1.0432924756692441E-2</v>
      </c>
    </row>
    <row r="3720" spans="2:5" x14ac:dyDescent="0.35">
      <c r="B3720" s="2">
        <v>37552</v>
      </c>
      <c r="C3720" s="4">
        <v>29.4</v>
      </c>
      <c r="D3720">
        <f t="shared" si="61"/>
        <v>-0.95702822397942033</v>
      </c>
      <c r="E3720">
        <v>-1.043419723998662E-2</v>
      </c>
    </row>
    <row r="3721" spans="2:5" x14ac:dyDescent="0.35">
      <c r="B3721" s="2">
        <v>42780</v>
      </c>
      <c r="C3721" s="4">
        <v>684.17</v>
      </c>
      <c r="D3721">
        <f t="shared" si="61"/>
        <v>7.701131883505024</v>
      </c>
      <c r="E3721">
        <v>-1.0442731309391218E-2</v>
      </c>
    </row>
    <row r="3722" spans="2:5" x14ac:dyDescent="0.35">
      <c r="B3722" s="2">
        <v>39008</v>
      </c>
      <c r="C3722" s="4">
        <v>78.63</v>
      </c>
      <c r="D3722">
        <f t="shared" si="61"/>
        <v>-0.98771264177420515</v>
      </c>
      <c r="E3722">
        <v>-1.0445507173420521E-2</v>
      </c>
    </row>
    <row r="3723" spans="2:5" x14ac:dyDescent="0.35">
      <c r="B3723" s="2">
        <v>44620</v>
      </c>
      <c r="C3723" s="4">
        <v>6399.26</v>
      </c>
      <c r="D3723">
        <f t="shared" si="61"/>
        <v>8.5187421907538532</v>
      </c>
      <c r="E3723">
        <v>-1.0445644761482131E-2</v>
      </c>
    </row>
    <row r="3724" spans="2:5" x14ac:dyDescent="0.35">
      <c r="B3724" s="2">
        <v>42773</v>
      </c>
      <c r="C3724" s="4">
        <v>672.28</v>
      </c>
      <c r="D3724">
        <f t="shared" si="61"/>
        <v>-0.17782017415125717</v>
      </c>
      <c r="E3724">
        <v>-1.0450705054608656E-2</v>
      </c>
    </row>
    <row r="3725" spans="2:5" x14ac:dyDescent="0.35">
      <c r="B3725" s="2">
        <v>42537</v>
      </c>
      <c r="C3725" s="4">
        <v>817.68</v>
      </c>
      <c r="D3725">
        <f t="shared" si="61"/>
        <v>-0.12676477498451488</v>
      </c>
      <c r="E3725">
        <v>-1.0455997676445117E-2</v>
      </c>
    </row>
    <row r="3726" spans="2:5" x14ac:dyDescent="0.35">
      <c r="B3726" s="2">
        <v>43147</v>
      </c>
      <c r="C3726" s="4">
        <v>936.38</v>
      </c>
      <c r="D3726">
        <f t="shared" si="61"/>
        <v>11.69495661605206</v>
      </c>
      <c r="E3726">
        <v>-1.0462019698186609E-2</v>
      </c>
    </row>
    <row r="3727" spans="2:5" x14ac:dyDescent="0.35">
      <c r="B3727" s="2">
        <v>39498</v>
      </c>
      <c r="C3727" s="4">
        <v>73.760000000000005</v>
      </c>
      <c r="D3727">
        <f t="shared" si="61"/>
        <v>2.7154992340899575E-2</v>
      </c>
      <c r="E3727">
        <v>-1.0464180305876036E-2</v>
      </c>
    </row>
    <row r="3728" spans="2:5" x14ac:dyDescent="0.35">
      <c r="B3728" s="2">
        <v>40107</v>
      </c>
      <c r="C3728" s="4">
        <v>71.81</v>
      </c>
      <c r="D3728">
        <f t="shared" si="61"/>
        <v>-0.57746395998823186</v>
      </c>
      <c r="E3728">
        <v>-1.047264709935225E-2</v>
      </c>
    </row>
    <row r="3729" spans="2:5" x14ac:dyDescent="0.35">
      <c r="B3729" s="2">
        <v>41654</v>
      </c>
      <c r="C3729" s="4">
        <v>169.95</v>
      </c>
      <c r="D3729">
        <f t="shared" si="61"/>
        <v>-0.37018233026978953</v>
      </c>
      <c r="E3729">
        <v>-1.0480349344978213E-2</v>
      </c>
    </row>
    <row r="3730" spans="2:5" x14ac:dyDescent="0.35">
      <c r="B3730" s="2">
        <v>41988</v>
      </c>
      <c r="C3730" s="4">
        <v>269.83999999999997</v>
      </c>
      <c r="D3730">
        <f t="shared" si="61"/>
        <v>3.0286652732158847</v>
      </c>
      <c r="E3730">
        <v>-1.0487715438210587E-2</v>
      </c>
    </row>
    <row r="3731" spans="2:5" x14ac:dyDescent="0.35">
      <c r="B3731" s="2">
        <v>38665</v>
      </c>
      <c r="C3731" s="4">
        <v>66.98</v>
      </c>
      <c r="D3731">
        <f t="shared" si="61"/>
        <v>-0.32206477732793515</v>
      </c>
      <c r="E3731">
        <v>-1.04889939429752E-2</v>
      </c>
    </row>
    <row r="3732" spans="2:5" x14ac:dyDescent="0.35">
      <c r="B3732" s="2">
        <v>41597</v>
      </c>
      <c r="C3732" s="4">
        <v>98.8</v>
      </c>
      <c r="D3732">
        <f t="shared" si="61"/>
        <v>-4.5226130653266416E-2</v>
      </c>
      <c r="E3732">
        <v>-1.0515773660490724E-2</v>
      </c>
    </row>
    <row r="3733" spans="2:5" x14ac:dyDescent="0.35">
      <c r="B3733" s="2">
        <v>39318</v>
      </c>
      <c r="C3733" s="4">
        <v>103.48</v>
      </c>
      <c r="D3733">
        <f t="shared" si="61"/>
        <v>-0.98505855003826326</v>
      </c>
      <c r="E3733">
        <v>-1.0518263530311711E-2</v>
      </c>
    </row>
    <row r="3734" spans="2:5" x14ac:dyDescent="0.35">
      <c r="B3734" s="2">
        <v>44875</v>
      </c>
      <c r="C3734" s="4">
        <v>6925.7</v>
      </c>
      <c r="D3734">
        <f t="shared" si="61"/>
        <v>118.03918872464764</v>
      </c>
      <c r="E3734">
        <v>-1.0543610257875535E-2</v>
      </c>
    </row>
    <row r="3735" spans="2:5" x14ac:dyDescent="0.35">
      <c r="B3735" s="2">
        <v>38399</v>
      </c>
      <c r="C3735" s="4">
        <v>58.18</v>
      </c>
      <c r="D3735">
        <f t="shared" si="61"/>
        <v>-0.92402815319726828</v>
      </c>
      <c r="E3735">
        <v>-1.0544217687074808E-2</v>
      </c>
    </row>
    <row r="3736" spans="2:5" x14ac:dyDescent="0.35">
      <c r="B3736" s="2">
        <v>42978</v>
      </c>
      <c r="C3736" s="4">
        <v>765.81</v>
      </c>
      <c r="D3736">
        <f t="shared" si="61"/>
        <v>-0.11436336301607508</v>
      </c>
      <c r="E3736">
        <v>-1.0555828315977234E-2</v>
      </c>
    </row>
    <row r="3737" spans="2:5" x14ac:dyDescent="0.35">
      <c r="B3737" s="2">
        <v>42493</v>
      </c>
      <c r="C3737" s="4">
        <v>864.7</v>
      </c>
      <c r="D3737">
        <f t="shared" si="61"/>
        <v>7.8771395778232556E-2</v>
      </c>
      <c r="E3737">
        <v>-1.0572808201936068E-2</v>
      </c>
    </row>
    <row r="3738" spans="2:5" x14ac:dyDescent="0.35">
      <c r="B3738" s="2">
        <v>43640</v>
      </c>
      <c r="C3738" s="4">
        <v>801.56</v>
      </c>
      <c r="D3738">
        <f t="shared" si="61"/>
        <v>8.4367789027548863</v>
      </c>
      <c r="E3738">
        <v>-1.0578549121745939E-2</v>
      </c>
    </row>
    <row r="3739" spans="2:5" x14ac:dyDescent="0.35">
      <c r="B3739" s="2">
        <v>41367</v>
      </c>
      <c r="C3739" s="4">
        <v>84.94</v>
      </c>
      <c r="D3739">
        <f t="shared" si="61"/>
        <v>-0.14063132335087014</v>
      </c>
      <c r="E3739">
        <v>-1.0599883517763531E-2</v>
      </c>
    </row>
    <row r="3740" spans="2:5" x14ac:dyDescent="0.35">
      <c r="B3740" s="2">
        <v>41169</v>
      </c>
      <c r="C3740" s="4">
        <v>98.84</v>
      </c>
      <c r="D3740">
        <f t="shared" si="61"/>
        <v>4.0859309182813996E-2</v>
      </c>
      <c r="E3740">
        <v>-1.0610610610610638E-2</v>
      </c>
    </row>
    <row r="3741" spans="2:5" x14ac:dyDescent="0.35">
      <c r="B3741" s="2">
        <v>41306</v>
      </c>
      <c r="C3741" s="4">
        <v>94.96</v>
      </c>
      <c r="D3741">
        <f t="shared" si="61"/>
        <v>-0.86215105898064948</v>
      </c>
      <c r="E3741">
        <v>-1.0627214002917329E-2</v>
      </c>
    </row>
    <row r="3742" spans="2:5" x14ac:dyDescent="0.35">
      <c r="B3742" s="2">
        <v>42821</v>
      </c>
      <c r="C3742" s="4">
        <v>688.87</v>
      </c>
      <c r="D3742">
        <f t="shared" si="61"/>
        <v>-0.49520759749681242</v>
      </c>
      <c r="E3742">
        <v>-1.062806095336577E-2</v>
      </c>
    </row>
    <row r="3743" spans="2:5" x14ac:dyDescent="0.35">
      <c r="B3743" s="2">
        <v>43307</v>
      </c>
      <c r="C3743" s="4">
        <v>1364.66</v>
      </c>
      <c r="D3743">
        <f t="shared" si="61"/>
        <v>0.62442119296742016</v>
      </c>
      <c r="E3743">
        <v>-1.0642771180419452E-2</v>
      </c>
    </row>
    <row r="3744" spans="2:5" x14ac:dyDescent="0.35">
      <c r="B3744" s="2">
        <v>42222</v>
      </c>
      <c r="C3744" s="4">
        <v>840.09</v>
      </c>
      <c r="D3744">
        <f t="shared" si="61"/>
        <v>-0.87174883784835921</v>
      </c>
      <c r="E3744">
        <v>-1.066949302243414E-2</v>
      </c>
    </row>
    <row r="3745" spans="2:5" x14ac:dyDescent="0.35">
      <c r="B3745" s="2">
        <v>44910</v>
      </c>
      <c r="C3745" s="4">
        <v>6550.35</v>
      </c>
      <c r="D3745">
        <f t="shared" si="61"/>
        <v>65.258850900262999</v>
      </c>
      <c r="E3745">
        <v>-1.0700477254878216E-2</v>
      </c>
    </row>
    <row r="3746" spans="2:5" x14ac:dyDescent="0.35">
      <c r="B3746" s="2">
        <v>40450</v>
      </c>
      <c r="C3746" s="4">
        <v>98.86</v>
      </c>
      <c r="D3746">
        <f t="shared" si="61"/>
        <v>-6.8413117225782138E-2</v>
      </c>
      <c r="E3746">
        <v>-1.0707495246672694E-2</v>
      </c>
    </row>
    <row r="3747" spans="2:5" x14ac:dyDescent="0.35">
      <c r="B3747" s="2">
        <v>40430</v>
      </c>
      <c r="C3747" s="4">
        <v>106.12</v>
      </c>
      <c r="D3747">
        <f t="shared" si="61"/>
        <v>3.801809954751131</v>
      </c>
      <c r="E3747">
        <v>-1.0720611540971259E-2</v>
      </c>
    </row>
    <row r="3748" spans="2:5" x14ac:dyDescent="0.35">
      <c r="B3748" s="2">
        <v>37762</v>
      </c>
      <c r="C3748" s="4">
        <v>22.1</v>
      </c>
      <c r="D3748">
        <f t="shared" si="61"/>
        <v>-0.67998841587025771</v>
      </c>
      <c r="E3748">
        <v>-1.0743061772605089E-2</v>
      </c>
    </row>
    <row r="3749" spans="2:5" x14ac:dyDescent="0.35">
      <c r="B3749" s="2">
        <v>39573</v>
      </c>
      <c r="C3749" s="4">
        <v>69.06</v>
      </c>
      <c r="D3749">
        <f t="shared" si="61"/>
        <v>-0.79283035848207595</v>
      </c>
      <c r="E3749">
        <v>-1.0743446497636477E-2</v>
      </c>
    </row>
    <row r="3750" spans="2:5" x14ac:dyDescent="0.35">
      <c r="B3750" s="2">
        <v>42024</v>
      </c>
      <c r="C3750" s="4">
        <v>333.35</v>
      </c>
      <c r="D3750">
        <f t="shared" si="61"/>
        <v>2.9571462488129159</v>
      </c>
      <c r="E3750">
        <v>-1.0772152650008859E-2</v>
      </c>
    </row>
    <row r="3751" spans="2:5" x14ac:dyDescent="0.35">
      <c r="B3751" s="2">
        <v>40816</v>
      </c>
      <c r="C3751" s="4">
        <v>84.24</v>
      </c>
      <c r="D3751">
        <f t="shared" si="61"/>
        <v>0.31686728153822097</v>
      </c>
      <c r="E3751">
        <v>-1.0803193987787729E-2</v>
      </c>
    </row>
    <row r="3752" spans="2:5" x14ac:dyDescent="0.35">
      <c r="B3752" s="2">
        <v>38792</v>
      </c>
      <c r="C3752" s="4">
        <v>63.97</v>
      </c>
      <c r="D3752">
        <f t="shared" si="61"/>
        <v>-0.91149940510777239</v>
      </c>
      <c r="E3752">
        <v>-1.0824184320395891E-2</v>
      </c>
    </row>
    <row r="3753" spans="2:5" x14ac:dyDescent="0.35">
      <c r="B3753" s="2">
        <v>42614</v>
      </c>
      <c r="C3753" s="4">
        <v>722.82</v>
      </c>
      <c r="D3753">
        <f t="shared" si="61"/>
        <v>9.5644548377667356</v>
      </c>
      <c r="E3753">
        <v>-1.0824791646709464E-2</v>
      </c>
    </row>
    <row r="3754" spans="2:5" x14ac:dyDescent="0.35">
      <c r="B3754" s="2">
        <v>38625</v>
      </c>
      <c r="C3754" s="4">
        <v>68.42</v>
      </c>
      <c r="D3754">
        <f t="shared" si="61"/>
        <v>-0.62026862026862029</v>
      </c>
      <c r="E3754">
        <v>-1.0842850946942262E-2</v>
      </c>
    </row>
    <row r="3755" spans="2:5" x14ac:dyDescent="0.35">
      <c r="B3755" s="2">
        <v>41675</v>
      </c>
      <c r="C3755" s="4">
        <v>180.18</v>
      </c>
      <c r="D3755">
        <f t="shared" si="61"/>
        <v>0.83464005702067023</v>
      </c>
      <c r="E3755">
        <v>-1.0869565217391242E-2</v>
      </c>
    </row>
    <row r="3756" spans="2:5" x14ac:dyDescent="0.35">
      <c r="B3756" s="2">
        <v>41176</v>
      </c>
      <c r="C3756" s="4">
        <v>98.21</v>
      </c>
      <c r="D3756">
        <f t="shared" si="61"/>
        <v>-0.92643004824259134</v>
      </c>
      <c r="E3756">
        <v>-1.0877228321079846E-2</v>
      </c>
    </row>
    <row r="3757" spans="2:5" x14ac:dyDescent="0.35">
      <c r="B3757" s="2">
        <v>43293</v>
      </c>
      <c r="C3757" s="4">
        <v>1334.92</v>
      </c>
      <c r="D3757">
        <f t="shared" si="61"/>
        <v>25.298660362490153</v>
      </c>
      <c r="E3757">
        <v>-1.0899283507331714E-2</v>
      </c>
    </row>
    <row r="3758" spans="2:5" x14ac:dyDescent="0.35">
      <c r="B3758" s="2">
        <v>39952</v>
      </c>
      <c r="C3758" s="4">
        <v>50.76</v>
      </c>
      <c r="D3758">
        <f t="shared" si="61"/>
        <v>-0.99362151294295054</v>
      </c>
      <c r="E3758">
        <v>-1.0911925175370318E-2</v>
      </c>
    </row>
    <row r="3759" spans="2:5" x14ac:dyDescent="0.35">
      <c r="B3759" s="2">
        <v>44754</v>
      </c>
      <c r="C3759" s="4">
        <v>7958</v>
      </c>
      <c r="D3759">
        <f t="shared" si="61"/>
        <v>302.97249809014517</v>
      </c>
      <c r="E3759">
        <v>-1.0937111608252503E-2</v>
      </c>
    </row>
    <row r="3760" spans="2:5" x14ac:dyDescent="0.35">
      <c r="B3760" s="2">
        <v>37883</v>
      </c>
      <c r="C3760" s="4">
        <v>26.18</v>
      </c>
      <c r="D3760">
        <f t="shared" si="61"/>
        <v>-0.98015253286431248</v>
      </c>
      <c r="E3760">
        <v>-1.0955799017755896E-2</v>
      </c>
    </row>
    <row r="3761" spans="2:5" x14ac:dyDescent="0.35">
      <c r="B3761" s="2">
        <v>43318</v>
      </c>
      <c r="C3761" s="4">
        <v>1319.06</v>
      </c>
      <c r="D3761">
        <f t="shared" si="61"/>
        <v>21.868585298196948</v>
      </c>
      <c r="E3761">
        <v>-1.0969565641191115E-2</v>
      </c>
    </row>
    <row r="3762" spans="2:5" x14ac:dyDescent="0.35">
      <c r="B3762" s="2">
        <v>39967</v>
      </c>
      <c r="C3762" s="4">
        <v>57.68</v>
      </c>
      <c r="D3762">
        <f t="shared" si="61"/>
        <v>0.10371220818982008</v>
      </c>
      <c r="E3762">
        <v>-1.0973936899862813E-2</v>
      </c>
    </row>
    <row r="3763" spans="2:5" x14ac:dyDescent="0.35">
      <c r="B3763" s="2">
        <v>38296</v>
      </c>
      <c r="C3763" s="4">
        <v>52.26</v>
      </c>
      <c r="D3763">
        <f t="shared" si="61"/>
        <v>-0.9425474373914382</v>
      </c>
      <c r="E3763">
        <v>-1.0976532929598881E-2</v>
      </c>
    </row>
    <row r="3764" spans="2:5" x14ac:dyDescent="0.35">
      <c r="B3764" s="2">
        <v>43850</v>
      </c>
      <c r="C3764" s="4">
        <v>909.62</v>
      </c>
      <c r="D3764">
        <f t="shared" si="61"/>
        <v>0.46722369185108703</v>
      </c>
      <c r="E3764">
        <v>-1.0981603096594683E-2</v>
      </c>
    </row>
    <row r="3765" spans="2:5" x14ac:dyDescent="0.35">
      <c r="B3765" s="2">
        <v>43675</v>
      </c>
      <c r="C3765" s="4">
        <v>619.96</v>
      </c>
      <c r="D3765">
        <f t="shared" si="61"/>
        <v>6.4113568439928272</v>
      </c>
      <c r="E3765">
        <v>-1.099146526282202E-2</v>
      </c>
    </row>
    <row r="3766" spans="2:5" x14ac:dyDescent="0.35">
      <c r="B3766" s="2">
        <v>40792</v>
      </c>
      <c r="C3766" s="4">
        <v>83.65</v>
      </c>
      <c r="D3766">
        <f t="shared" si="61"/>
        <v>7.0788530465949906E-2</v>
      </c>
      <c r="E3766">
        <v>-1.0995507212106848E-2</v>
      </c>
    </row>
    <row r="3767" spans="2:5" x14ac:dyDescent="0.35">
      <c r="B3767" s="2">
        <v>38978</v>
      </c>
      <c r="C3767" s="4">
        <v>78.12</v>
      </c>
      <c r="D3767">
        <f t="shared" si="61"/>
        <v>-0.23681125439624851</v>
      </c>
      <c r="E3767">
        <v>-1.1014052411697617E-2</v>
      </c>
    </row>
    <row r="3768" spans="2:5" x14ac:dyDescent="0.35">
      <c r="B3768" s="2">
        <v>40396</v>
      </c>
      <c r="C3768" s="4">
        <v>102.36</v>
      </c>
      <c r="D3768">
        <f t="shared" si="61"/>
        <v>-0.88073822062730112</v>
      </c>
      <c r="E3768">
        <v>-1.1014492753623206E-2</v>
      </c>
    </row>
    <row r="3769" spans="2:5" x14ac:dyDescent="0.35">
      <c r="B3769" s="2">
        <v>42466</v>
      </c>
      <c r="C3769" s="4">
        <v>858.28</v>
      </c>
      <c r="D3769">
        <f t="shared" si="61"/>
        <v>-0.87533425809590903</v>
      </c>
      <c r="E3769">
        <v>-1.1015855457227164E-2</v>
      </c>
    </row>
    <row r="3770" spans="2:5" x14ac:dyDescent="0.35">
      <c r="B3770" s="2">
        <v>44901</v>
      </c>
      <c r="C3770" s="4">
        <v>6884.65</v>
      </c>
      <c r="D3770">
        <f t="shared" si="61"/>
        <v>71.447121961485848</v>
      </c>
      <c r="E3770">
        <v>-1.1025081161835315E-2</v>
      </c>
    </row>
    <row r="3771" spans="2:5" x14ac:dyDescent="0.35">
      <c r="B3771" s="2">
        <v>41218</v>
      </c>
      <c r="C3771" s="4">
        <v>95.03</v>
      </c>
      <c r="D3771">
        <f t="shared" si="61"/>
        <v>-0.88648254772200585</v>
      </c>
      <c r="E3771">
        <v>-1.1031324799666953E-2</v>
      </c>
    </row>
    <row r="3772" spans="2:5" x14ac:dyDescent="0.35">
      <c r="B3772" s="2">
        <v>43053</v>
      </c>
      <c r="C3772" s="4">
        <v>837.14</v>
      </c>
      <c r="D3772">
        <f t="shared" si="61"/>
        <v>9.8705362939877936</v>
      </c>
      <c r="E3772">
        <v>-1.1033928740194709E-2</v>
      </c>
    </row>
    <row r="3773" spans="2:5" x14ac:dyDescent="0.35">
      <c r="B3773" s="2">
        <v>38985</v>
      </c>
      <c r="C3773" s="4">
        <v>77.010000000000005</v>
      </c>
      <c r="D3773">
        <f t="shared" si="61"/>
        <v>-0.98982473062160181</v>
      </c>
      <c r="E3773">
        <v>-1.1044047771927579E-2</v>
      </c>
    </row>
    <row r="3774" spans="2:5" x14ac:dyDescent="0.35">
      <c r="B3774" s="2">
        <v>44644</v>
      </c>
      <c r="C3774" s="4">
        <v>7568.35</v>
      </c>
      <c r="D3774">
        <f t="shared" si="61"/>
        <v>28.634480598300641</v>
      </c>
      <c r="E3774">
        <v>-1.1063606262625703E-2</v>
      </c>
    </row>
    <row r="3775" spans="2:5" x14ac:dyDescent="0.35">
      <c r="B3775" s="2">
        <v>41723</v>
      </c>
      <c r="C3775" s="4">
        <v>255.39</v>
      </c>
      <c r="D3775">
        <f t="shared" si="61"/>
        <v>-3.0410022779043255E-2</v>
      </c>
      <c r="E3775">
        <v>-1.1074540174249803E-2</v>
      </c>
    </row>
    <row r="3776" spans="2:5" x14ac:dyDescent="0.35">
      <c r="B3776" s="2">
        <v>41834</v>
      </c>
      <c r="C3776" s="4">
        <v>263.39999999999998</v>
      </c>
      <c r="D3776">
        <f t="shared" si="61"/>
        <v>0.18100703941173824</v>
      </c>
      <c r="E3776">
        <v>-1.1075652337150577E-2</v>
      </c>
    </row>
    <row r="3777" spans="2:5" x14ac:dyDescent="0.35">
      <c r="B3777" s="2">
        <v>41774</v>
      </c>
      <c r="C3777" s="4">
        <v>223.03</v>
      </c>
      <c r="D3777">
        <f t="shared" si="61"/>
        <v>2.4729056368732483</v>
      </c>
      <c r="E3777">
        <v>-1.108499977830002E-2</v>
      </c>
    </row>
    <row r="3778" spans="2:5" x14ac:dyDescent="0.35">
      <c r="B3778" s="2">
        <v>38768</v>
      </c>
      <c r="C3778" s="4">
        <v>64.22</v>
      </c>
      <c r="D3778">
        <f t="shared" si="61"/>
        <v>-0.99196562056260673</v>
      </c>
      <c r="E3778">
        <v>-1.108715737603938E-2</v>
      </c>
    </row>
    <row r="3779" spans="2:5" x14ac:dyDescent="0.35">
      <c r="B3779" s="2">
        <v>44750</v>
      </c>
      <c r="C3779" s="4">
        <v>7993.15</v>
      </c>
      <c r="D3779">
        <f t="shared" si="61"/>
        <v>11.245721814532807</v>
      </c>
      <c r="E3779">
        <v>-1.1103688032760517E-2</v>
      </c>
    </row>
    <row r="3780" spans="2:5" x14ac:dyDescent="0.35">
      <c r="B3780" s="2">
        <v>43669</v>
      </c>
      <c r="C3780" s="4">
        <v>652.73</v>
      </c>
      <c r="D3780">
        <f t="shared" ref="D3780:D3843" si="62">C3780/C3781-1</f>
        <v>21.910845910845914</v>
      </c>
      <c r="E3780">
        <v>-1.1105051055964488E-2</v>
      </c>
    </row>
    <row r="3781" spans="2:5" x14ac:dyDescent="0.35">
      <c r="B3781" s="2">
        <v>37582</v>
      </c>
      <c r="C3781" s="4">
        <v>28.49</v>
      </c>
      <c r="D3781">
        <f t="shared" si="62"/>
        <v>-0.52206005703740987</v>
      </c>
      <c r="E3781">
        <v>-1.110725442554672E-2</v>
      </c>
    </row>
    <row r="3782" spans="2:5" x14ac:dyDescent="0.35">
      <c r="B3782" s="2">
        <v>38482</v>
      </c>
      <c r="C3782" s="4">
        <v>59.61</v>
      </c>
      <c r="D3782">
        <f t="shared" si="62"/>
        <v>-0.47632434331898443</v>
      </c>
      <c r="E3782">
        <v>-1.1114797611147975E-2</v>
      </c>
    </row>
    <row r="3783" spans="2:5" x14ac:dyDescent="0.35">
      <c r="B3783" s="2">
        <v>39338</v>
      </c>
      <c r="C3783" s="4">
        <v>113.83</v>
      </c>
      <c r="D3783">
        <f t="shared" si="62"/>
        <v>0.88273238504796558</v>
      </c>
      <c r="E3783">
        <v>-1.1119798453653074E-2</v>
      </c>
    </row>
    <row r="3784" spans="2:5" x14ac:dyDescent="0.35">
      <c r="B3784" s="2">
        <v>40116</v>
      </c>
      <c r="C3784" s="4">
        <v>60.46</v>
      </c>
      <c r="D3784">
        <f t="shared" si="62"/>
        <v>-0.38002461033634127</v>
      </c>
      <c r="E3784">
        <v>-1.1122015047432154E-2</v>
      </c>
    </row>
    <row r="3785" spans="2:5" x14ac:dyDescent="0.35">
      <c r="B3785" s="2">
        <v>41178</v>
      </c>
      <c r="C3785" s="4">
        <v>97.52</v>
      </c>
      <c r="D3785">
        <f t="shared" si="62"/>
        <v>-0.85032844250721351</v>
      </c>
      <c r="E3785">
        <v>-1.1153924153315842E-2</v>
      </c>
    </row>
    <row r="3786" spans="2:5" x14ac:dyDescent="0.35">
      <c r="B3786" s="2">
        <v>42725</v>
      </c>
      <c r="C3786" s="4">
        <v>651.55999999999995</v>
      </c>
      <c r="D3786">
        <f t="shared" si="62"/>
        <v>-0.86537877457411749</v>
      </c>
      <c r="E3786">
        <v>-1.1154785934346156E-2</v>
      </c>
    </row>
    <row r="3787" spans="2:5" x14ac:dyDescent="0.35">
      <c r="B3787" s="2">
        <v>44447</v>
      </c>
      <c r="C3787" s="4">
        <v>4839.95</v>
      </c>
      <c r="D3787">
        <f t="shared" si="62"/>
        <v>-0.20165773195876291</v>
      </c>
      <c r="E3787">
        <v>-1.1159305107496631E-2</v>
      </c>
    </row>
    <row r="3788" spans="2:5" x14ac:dyDescent="0.35">
      <c r="B3788" s="2">
        <v>44999</v>
      </c>
      <c r="C3788" s="4">
        <v>6062.5</v>
      </c>
      <c r="D3788">
        <f t="shared" si="62"/>
        <v>162.14585575888054</v>
      </c>
      <c r="E3788">
        <v>-1.1164664529966783E-2</v>
      </c>
    </row>
    <row r="3789" spans="2:5" x14ac:dyDescent="0.35">
      <c r="B3789" s="2">
        <v>39764</v>
      </c>
      <c r="C3789" s="4">
        <v>37.159999999999997</v>
      </c>
      <c r="D3789">
        <f t="shared" si="62"/>
        <v>-0.86698643376167805</v>
      </c>
      <c r="E3789">
        <v>-1.1176157530601416E-2</v>
      </c>
    </row>
    <row r="3790" spans="2:5" x14ac:dyDescent="0.35">
      <c r="B3790" s="2">
        <v>41942</v>
      </c>
      <c r="C3790" s="4">
        <v>279.37</v>
      </c>
      <c r="D3790">
        <f t="shared" si="62"/>
        <v>1.7483521888834233</v>
      </c>
      <c r="E3790">
        <v>-1.1184652957207941E-2</v>
      </c>
    </row>
    <row r="3791" spans="2:5" x14ac:dyDescent="0.35">
      <c r="B3791" s="2">
        <v>41282</v>
      </c>
      <c r="C3791" s="4">
        <v>101.65</v>
      </c>
      <c r="D3791">
        <f t="shared" si="62"/>
        <v>5.5774823431657738E-2</v>
      </c>
      <c r="E3791">
        <v>-1.1186770428015524E-2</v>
      </c>
    </row>
    <row r="3792" spans="2:5" x14ac:dyDescent="0.35">
      <c r="B3792" s="2">
        <v>40949</v>
      </c>
      <c r="C3792" s="4">
        <v>96.28</v>
      </c>
      <c r="D3792">
        <f t="shared" si="62"/>
        <v>2.1148495632481397</v>
      </c>
      <c r="E3792">
        <v>-1.119441306357194E-2</v>
      </c>
    </row>
    <row r="3793" spans="2:5" x14ac:dyDescent="0.35">
      <c r="B3793" s="2">
        <v>37487</v>
      </c>
      <c r="C3793" s="4">
        <v>30.91</v>
      </c>
      <c r="D3793">
        <f t="shared" si="62"/>
        <v>0</v>
      </c>
      <c r="E3793">
        <v>-1.1196417146513205E-2</v>
      </c>
    </row>
    <row r="3794" spans="2:5" x14ac:dyDescent="0.35">
      <c r="B3794" s="2">
        <v>37482</v>
      </c>
      <c r="C3794" s="4">
        <v>30.91</v>
      </c>
      <c r="D3794">
        <f t="shared" si="62"/>
        <v>-0.9926012274637841</v>
      </c>
      <c r="E3794">
        <v>-1.1196417146513205E-2</v>
      </c>
    </row>
    <row r="3795" spans="2:5" x14ac:dyDescent="0.35">
      <c r="B3795" s="2">
        <v>44385</v>
      </c>
      <c r="C3795" s="4">
        <v>4177.72</v>
      </c>
      <c r="D3795">
        <f t="shared" si="62"/>
        <v>2.8997825011435028</v>
      </c>
      <c r="E3795">
        <v>-1.1209255209368774E-2</v>
      </c>
    </row>
    <row r="3796" spans="2:5" x14ac:dyDescent="0.35">
      <c r="B3796" s="2">
        <v>43378</v>
      </c>
      <c r="C3796" s="4">
        <v>1071.27</v>
      </c>
      <c r="D3796">
        <f t="shared" si="62"/>
        <v>13.30267022696929</v>
      </c>
      <c r="E3796">
        <v>-1.12144874563882E-2</v>
      </c>
    </row>
    <row r="3797" spans="2:5" x14ac:dyDescent="0.35">
      <c r="B3797" s="2">
        <v>39631</v>
      </c>
      <c r="C3797" s="4">
        <v>74.900000000000006</v>
      </c>
      <c r="D3797">
        <f t="shared" si="62"/>
        <v>-0.90593288455741983</v>
      </c>
      <c r="E3797">
        <v>-1.1221122112211157E-2</v>
      </c>
    </row>
    <row r="3798" spans="2:5" x14ac:dyDescent="0.35">
      <c r="B3798" s="2">
        <v>43629</v>
      </c>
      <c r="C3798" s="4">
        <v>796.24</v>
      </c>
      <c r="D3798">
        <f t="shared" si="62"/>
        <v>6.0208976280751259</v>
      </c>
      <c r="E3798">
        <v>-1.1225909000596057E-2</v>
      </c>
    </row>
    <row r="3799" spans="2:5" x14ac:dyDescent="0.35">
      <c r="B3799" s="2">
        <v>39209</v>
      </c>
      <c r="C3799" s="4">
        <v>113.41</v>
      </c>
      <c r="D3799">
        <f t="shared" si="62"/>
        <v>-0.92964945690943945</v>
      </c>
      <c r="E3799">
        <v>-1.1246730601569332E-2</v>
      </c>
    </row>
    <row r="3800" spans="2:5" x14ac:dyDescent="0.35">
      <c r="B3800" s="2">
        <v>44182</v>
      </c>
      <c r="C3800" s="4">
        <v>1612.07</v>
      </c>
      <c r="D3800">
        <f t="shared" si="62"/>
        <v>15.53235565583017</v>
      </c>
      <c r="E3800">
        <v>-1.1248704313639002E-2</v>
      </c>
    </row>
    <row r="3801" spans="2:5" x14ac:dyDescent="0.35">
      <c r="B3801" s="2">
        <v>40711</v>
      </c>
      <c r="C3801" s="4">
        <v>97.51</v>
      </c>
      <c r="D3801">
        <f t="shared" si="62"/>
        <v>1.6432637571157498</v>
      </c>
      <c r="E3801">
        <v>-1.1255323463800426E-2</v>
      </c>
    </row>
    <row r="3802" spans="2:5" x14ac:dyDescent="0.35">
      <c r="B3802" s="2">
        <v>37453</v>
      </c>
      <c r="C3802" s="4">
        <v>36.89</v>
      </c>
      <c r="D3802">
        <f t="shared" si="62"/>
        <v>-0.57114624505928857</v>
      </c>
      <c r="E3802">
        <v>-1.1257035647279645E-2</v>
      </c>
    </row>
    <row r="3803" spans="2:5" x14ac:dyDescent="0.35">
      <c r="B3803" s="2">
        <v>41354</v>
      </c>
      <c r="C3803" s="4">
        <v>86.02</v>
      </c>
      <c r="D3803">
        <f t="shared" si="62"/>
        <v>-0.21478776814240075</v>
      </c>
      <c r="E3803">
        <v>-1.1264367816091969E-2</v>
      </c>
    </row>
    <row r="3804" spans="2:5" x14ac:dyDescent="0.35">
      <c r="B3804" s="2">
        <v>39343</v>
      </c>
      <c r="C3804" s="4">
        <v>109.55</v>
      </c>
      <c r="D3804">
        <f t="shared" si="62"/>
        <v>0.52449206790982461</v>
      </c>
      <c r="E3804">
        <v>-1.1281588447653479E-2</v>
      </c>
    </row>
    <row r="3805" spans="2:5" x14ac:dyDescent="0.35">
      <c r="B3805" s="2">
        <v>40897</v>
      </c>
      <c r="C3805" s="4">
        <v>71.86</v>
      </c>
      <c r="D3805">
        <f t="shared" si="62"/>
        <v>-9.3820933165195464E-2</v>
      </c>
      <c r="E3805">
        <v>-1.1282333516785981E-2</v>
      </c>
    </row>
    <row r="3806" spans="2:5" x14ac:dyDescent="0.35">
      <c r="B3806" s="2">
        <v>39001</v>
      </c>
      <c r="C3806" s="4">
        <v>79.3</v>
      </c>
      <c r="D3806">
        <f t="shared" si="62"/>
        <v>1.529505582137161</v>
      </c>
      <c r="E3806">
        <v>-1.1345218800648205E-2</v>
      </c>
    </row>
    <row r="3807" spans="2:5" x14ac:dyDescent="0.35">
      <c r="B3807" s="2">
        <v>39909</v>
      </c>
      <c r="C3807" s="4">
        <v>31.35</v>
      </c>
      <c r="D3807">
        <f t="shared" si="62"/>
        <v>-0.67183083848005865</v>
      </c>
      <c r="E3807">
        <v>-1.1352885525070966E-2</v>
      </c>
    </row>
    <row r="3808" spans="2:5" x14ac:dyDescent="0.35">
      <c r="B3808" s="2">
        <v>40687</v>
      </c>
      <c r="C3808" s="4">
        <v>95.53</v>
      </c>
      <c r="D3808">
        <f t="shared" si="62"/>
        <v>-0.92674304469188062</v>
      </c>
      <c r="E3808">
        <v>-1.1383628272793045E-2</v>
      </c>
    </row>
    <row r="3809" spans="2:5" x14ac:dyDescent="0.35">
      <c r="B3809" s="2">
        <v>43319</v>
      </c>
      <c r="C3809" s="4">
        <v>1304.04</v>
      </c>
      <c r="D3809">
        <f t="shared" si="62"/>
        <v>-0.70069270070647205</v>
      </c>
      <c r="E3809">
        <v>-1.1386896729489115E-2</v>
      </c>
    </row>
    <row r="3810" spans="2:5" x14ac:dyDescent="0.35">
      <c r="B3810" s="2">
        <v>44382</v>
      </c>
      <c r="C3810" s="4">
        <v>4356.8599999999997</v>
      </c>
      <c r="D3810">
        <f t="shared" si="62"/>
        <v>58.164312873438341</v>
      </c>
      <c r="E3810">
        <v>-1.1399786707812498E-2</v>
      </c>
    </row>
    <row r="3811" spans="2:5" x14ac:dyDescent="0.35">
      <c r="B3811" s="2">
        <v>38604</v>
      </c>
      <c r="C3811" s="4">
        <v>73.64</v>
      </c>
      <c r="D3811">
        <f t="shared" si="62"/>
        <v>-0.91252182796593051</v>
      </c>
      <c r="E3811">
        <v>-1.1410927641294033E-2</v>
      </c>
    </row>
    <row r="3812" spans="2:5" x14ac:dyDescent="0.35">
      <c r="B3812" s="2">
        <v>42996</v>
      </c>
      <c r="C3812" s="4">
        <v>841.81</v>
      </c>
      <c r="D3812">
        <f t="shared" si="62"/>
        <v>0.15435035995886182</v>
      </c>
      <c r="E3812">
        <v>-1.1437966061887184E-2</v>
      </c>
    </row>
    <row r="3813" spans="2:5" x14ac:dyDescent="0.35">
      <c r="B3813" s="2">
        <v>43978</v>
      </c>
      <c r="C3813" s="4">
        <v>729.25</v>
      </c>
      <c r="D3813">
        <f t="shared" si="62"/>
        <v>3.0188732553540154E-2</v>
      </c>
      <c r="E3813">
        <v>-1.1454520807916535E-2</v>
      </c>
    </row>
    <row r="3814" spans="2:5" x14ac:dyDescent="0.35">
      <c r="B3814" s="2">
        <v>42636</v>
      </c>
      <c r="C3814" s="4">
        <v>707.88</v>
      </c>
      <c r="D3814">
        <f t="shared" si="62"/>
        <v>9.2695488176410841</v>
      </c>
      <c r="E3814">
        <v>-1.1465039310701197E-2</v>
      </c>
    </row>
    <row r="3815" spans="2:5" x14ac:dyDescent="0.35">
      <c r="B3815" s="2">
        <v>38735</v>
      </c>
      <c r="C3815" s="4">
        <v>68.930000000000007</v>
      </c>
      <c r="D3815">
        <f t="shared" si="62"/>
        <v>-0.38444365065190211</v>
      </c>
      <c r="E3815">
        <v>-1.1472823748745142E-2</v>
      </c>
    </row>
    <row r="3816" spans="2:5" x14ac:dyDescent="0.35">
      <c r="B3816" s="2">
        <v>40304</v>
      </c>
      <c r="C3816" s="4">
        <v>111.98</v>
      </c>
      <c r="D3816">
        <f t="shared" si="62"/>
        <v>3.0646098003629767</v>
      </c>
      <c r="E3816">
        <v>-1.1475988700564987E-2</v>
      </c>
    </row>
    <row r="3817" spans="2:5" x14ac:dyDescent="0.35">
      <c r="B3817" s="2">
        <v>37902</v>
      </c>
      <c r="C3817" s="4">
        <v>27.55</v>
      </c>
      <c r="D3817">
        <f t="shared" si="62"/>
        <v>-0.99199623488944344</v>
      </c>
      <c r="E3817">
        <v>-1.1481880157875879E-2</v>
      </c>
    </row>
    <row r="3818" spans="2:5" x14ac:dyDescent="0.35">
      <c r="B3818" s="2">
        <v>44330</v>
      </c>
      <c r="C3818" s="4">
        <v>3442.13</v>
      </c>
      <c r="D3818">
        <f t="shared" si="62"/>
        <v>33.797108774767487</v>
      </c>
      <c r="E3818">
        <v>-1.1484383076976079E-2</v>
      </c>
    </row>
    <row r="3819" spans="2:5" x14ac:dyDescent="0.35">
      <c r="B3819" s="2">
        <v>41576</v>
      </c>
      <c r="C3819" s="4">
        <v>98.92</v>
      </c>
      <c r="D3819">
        <f t="shared" si="62"/>
        <v>-0.85863320661960163</v>
      </c>
      <c r="E3819">
        <v>-1.1491955631058204E-2</v>
      </c>
    </row>
    <row r="3820" spans="2:5" x14ac:dyDescent="0.35">
      <c r="B3820" s="2">
        <v>42639</v>
      </c>
      <c r="C3820" s="4">
        <v>699.74</v>
      </c>
      <c r="D3820">
        <f t="shared" si="62"/>
        <v>1.6345632530120482</v>
      </c>
      <c r="E3820">
        <v>-1.1499124145335382E-2</v>
      </c>
    </row>
    <row r="3821" spans="2:5" x14ac:dyDescent="0.35">
      <c r="B3821" s="2">
        <v>41858</v>
      </c>
      <c r="C3821" s="4">
        <v>265.60000000000002</v>
      </c>
      <c r="D3821">
        <f t="shared" si="62"/>
        <v>6.5518908160363951</v>
      </c>
      <c r="E3821">
        <v>-1.1500241914473852E-2</v>
      </c>
    </row>
    <row r="3822" spans="2:5" x14ac:dyDescent="0.35">
      <c r="B3822" s="2">
        <v>38167</v>
      </c>
      <c r="C3822" s="4">
        <v>35.17</v>
      </c>
      <c r="D3822">
        <f t="shared" si="62"/>
        <v>-0.51762446852283639</v>
      </c>
      <c r="E3822">
        <v>-1.1523327712197773E-2</v>
      </c>
    </row>
    <row r="3823" spans="2:5" x14ac:dyDescent="0.35">
      <c r="B3823" s="2">
        <v>38722</v>
      </c>
      <c r="C3823" s="4">
        <v>72.91</v>
      </c>
      <c r="D3823">
        <f t="shared" si="62"/>
        <v>-0.98464008157125793</v>
      </c>
      <c r="E3823">
        <v>-1.1523861171366723E-2</v>
      </c>
    </row>
    <row r="3824" spans="2:5" x14ac:dyDescent="0.35">
      <c r="B3824" s="2">
        <v>44439</v>
      </c>
      <c r="C3824" s="4">
        <v>4746.7700000000004</v>
      </c>
      <c r="D3824">
        <f t="shared" si="62"/>
        <v>72.094702802587008</v>
      </c>
      <c r="E3824">
        <v>-1.1561151034193973E-2</v>
      </c>
    </row>
    <row r="3825" spans="2:5" x14ac:dyDescent="0.35">
      <c r="B3825" s="2">
        <v>38765</v>
      </c>
      <c r="C3825" s="4">
        <v>64.94</v>
      </c>
      <c r="D3825">
        <f t="shared" si="62"/>
        <v>0.11811294765840219</v>
      </c>
      <c r="E3825">
        <v>-1.1567732115677409E-2</v>
      </c>
    </row>
    <row r="3826" spans="2:5" x14ac:dyDescent="0.35">
      <c r="B3826" s="2">
        <v>38440</v>
      </c>
      <c r="C3826" s="4">
        <v>58.08</v>
      </c>
      <c r="D3826">
        <f t="shared" si="62"/>
        <v>-0.4073469387755102</v>
      </c>
      <c r="E3826">
        <v>-1.1572498298161982E-2</v>
      </c>
    </row>
    <row r="3827" spans="2:5" x14ac:dyDescent="0.35">
      <c r="B3827" s="2">
        <v>40682</v>
      </c>
      <c r="C3827" s="4">
        <v>98</v>
      </c>
      <c r="D3827">
        <f t="shared" si="62"/>
        <v>0.95102528369500305</v>
      </c>
      <c r="E3827">
        <v>-1.1598587997982857E-2</v>
      </c>
    </row>
    <row r="3828" spans="2:5" x14ac:dyDescent="0.35">
      <c r="B3828" s="2">
        <v>38328</v>
      </c>
      <c r="C3828" s="4">
        <v>50.23</v>
      </c>
      <c r="D3828">
        <f t="shared" si="62"/>
        <v>-0.93930936155816536</v>
      </c>
      <c r="E3828">
        <v>-1.1609602518693474E-2</v>
      </c>
    </row>
    <row r="3829" spans="2:5" x14ac:dyDescent="0.35">
      <c r="B3829" s="2">
        <v>42986</v>
      </c>
      <c r="C3829" s="4">
        <v>827.64</v>
      </c>
      <c r="D3829">
        <f t="shared" si="62"/>
        <v>2.153034401310526</v>
      </c>
      <c r="E3829">
        <v>-1.1631517351739951E-2</v>
      </c>
    </row>
    <row r="3830" spans="2:5" x14ac:dyDescent="0.35">
      <c r="B3830" s="2">
        <v>41859</v>
      </c>
      <c r="C3830" s="4">
        <v>262.49</v>
      </c>
      <c r="D3830">
        <f t="shared" si="62"/>
        <v>-0.82636449630555719</v>
      </c>
      <c r="E3830">
        <v>-1.1709337349397608E-2</v>
      </c>
    </row>
    <row r="3831" spans="2:5" x14ac:dyDescent="0.35">
      <c r="B3831" s="2">
        <v>44154</v>
      </c>
      <c r="C3831" s="4">
        <v>1511.73</v>
      </c>
      <c r="D3831">
        <f t="shared" si="62"/>
        <v>0.69053822841998147</v>
      </c>
      <c r="E3831">
        <v>-1.1728019768969866E-2</v>
      </c>
    </row>
    <row r="3832" spans="2:5" x14ac:dyDescent="0.35">
      <c r="B3832" s="2">
        <v>43538</v>
      </c>
      <c r="C3832" s="4">
        <v>894.23</v>
      </c>
      <c r="D3832">
        <f t="shared" si="62"/>
        <v>6.087500990726797</v>
      </c>
      <c r="E3832">
        <v>-1.1747673673275449E-2</v>
      </c>
    </row>
    <row r="3833" spans="2:5" x14ac:dyDescent="0.35">
      <c r="B3833" s="2">
        <v>40273</v>
      </c>
      <c r="C3833" s="4">
        <v>126.17</v>
      </c>
      <c r="D3833">
        <f t="shared" si="62"/>
        <v>-0.91247858267607296</v>
      </c>
      <c r="E3833">
        <v>-1.1749040495026231E-2</v>
      </c>
    </row>
    <row r="3834" spans="2:5" x14ac:dyDescent="0.35">
      <c r="B3834" s="2">
        <v>44117</v>
      </c>
      <c r="C3834" s="4">
        <v>1441.59</v>
      </c>
      <c r="D3834">
        <f t="shared" si="62"/>
        <v>14.596559558584874</v>
      </c>
      <c r="E3834">
        <v>-1.1756721554218141E-2</v>
      </c>
    </row>
    <row r="3835" spans="2:5" x14ac:dyDescent="0.35">
      <c r="B3835" s="2">
        <v>41236</v>
      </c>
      <c r="C3835" s="4">
        <v>92.43</v>
      </c>
      <c r="D3835">
        <f t="shared" si="62"/>
        <v>3.0862068965517242</v>
      </c>
      <c r="E3835">
        <v>-1.1760932321180362E-2</v>
      </c>
    </row>
    <row r="3836" spans="2:5" x14ac:dyDescent="0.35">
      <c r="B3836" s="2">
        <v>37686</v>
      </c>
      <c r="C3836" s="4">
        <v>22.62</v>
      </c>
      <c r="D3836">
        <f t="shared" si="62"/>
        <v>-0.79521998913633896</v>
      </c>
      <c r="E3836">
        <v>-1.1795543905635641E-2</v>
      </c>
    </row>
    <row r="3837" spans="2:5" x14ac:dyDescent="0.35">
      <c r="B3837" s="2">
        <v>40366</v>
      </c>
      <c r="C3837" s="4">
        <v>110.46</v>
      </c>
      <c r="D3837">
        <f t="shared" si="62"/>
        <v>1.1641849529780561</v>
      </c>
      <c r="E3837">
        <v>-1.180891035963505E-2</v>
      </c>
    </row>
    <row r="3838" spans="2:5" x14ac:dyDescent="0.35">
      <c r="B3838" s="2">
        <v>38260</v>
      </c>
      <c r="C3838" s="4">
        <v>51.04</v>
      </c>
      <c r="D3838">
        <f t="shared" si="62"/>
        <v>-0.207576463282099</v>
      </c>
      <c r="E3838">
        <v>-1.1810261374636921E-2</v>
      </c>
    </row>
    <row r="3839" spans="2:5" x14ac:dyDescent="0.35">
      <c r="B3839" s="2">
        <v>40046</v>
      </c>
      <c r="C3839" s="4">
        <v>64.41</v>
      </c>
      <c r="D3839">
        <f t="shared" si="62"/>
        <v>-0.98458286857739208</v>
      </c>
      <c r="E3839">
        <v>-1.181343970543125E-2</v>
      </c>
    </row>
    <row r="3840" spans="2:5" x14ac:dyDescent="0.35">
      <c r="B3840" s="2">
        <v>44403</v>
      </c>
      <c r="C3840" s="4">
        <v>4177.82</v>
      </c>
      <c r="D3840">
        <f t="shared" si="62"/>
        <v>-0.34241732642878508</v>
      </c>
      <c r="E3840">
        <v>-1.1814739212398173E-2</v>
      </c>
    </row>
    <row r="3841" spans="2:5" x14ac:dyDescent="0.35">
      <c r="B3841" s="2">
        <v>44914</v>
      </c>
      <c r="C3841" s="4">
        <v>6353.3</v>
      </c>
      <c r="D3841">
        <f t="shared" si="62"/>
        <v>66.444798301486202</v>
      </c>
      <c r="E3841">
        <v>-1.183625221638096E-2</v>
      </c>
    </row>
    <row r="3842" spans="2:5" x14ac:dyDescent="0.35">
      <c r="B3842" s="2">
        <v>41310</v>
      </c>
      <c r="C3842" s="4">
        <v>94.2</v>
      </c>
      <c r="D3842">
        <f t="shared" si="62"/>
        <v>0.30326508024349752</v>
      </c>
      <c r="E3842">
        <v>-1.1853561313332595E-2</v>
      </c>
    </row>
    <row r="3843" spans="2:5" x14ac:dyDescent="0.35">
      <c r="B3843" s="2">
        <v>39491</v>
      </c>
      <c r="C3843" s="4">
        <v>72.28</v>
      </c>
      <c r="D3843">
        <f t="shared" si="62"/>
        <v>1.4864121087031306</v>
      </c>
      <c r="E3843">
        <v>-1.1893369788106734E-2</v>
      </c>
    </row>
    <row r="3844" spans="2:5" x14ac:dyDescent="0.35">
      <c r="B3844" s="2">
        <v>37631</v>
      </c>
      <c r="C3844" s="4">
        <v>29.07</v>
      </c>
      <c r="D3844">
        <f t="shared" ref="D3844:D3907" si="63">C3844/C3845-1</f>
        <v>-0.69021739130434789</v>
      </c>
      <c r="E3844">
        <v>-1.1896668932698917E-2</v>
      </c>
    </row>
    <row r="3845" spans="2:5" x14ac:dyDescent="0.35">
      <c r="B3845" s="2">
        <v>39126</v>
      </c>
      <c r="C3845" s="4">
        <v>93.84</v>
      </c>
      <c r="D3845">
        <f t="shared" si="63"/>
        <v>-0.85458602575426523</v>
      </c>
      <c r="E3845">
        <v>-1.1898494261345594E-2</v>
      </c>
    </row>
    <row r="3846" spans="2:5" x14ac:dyDescent="0.35">
      <c r="B3846" s="2">
        <v>42648</v>
      </c>
      <c r="C3846" s="4">
        <v>645.33000000000004</v>
      </c>
      <c r="D3846">
        <f t="shared" si="63"/>
        <v>16.704526748971194</v>
      </c>
      <c r="E3846">
        <v>-1.1912235304925578E-2</v>
      </c>
    </row>
    <row r="3847" spans="2:5" x14ac:dyDescent="0.35">
      <c r="B3847" s="2">
        <v>37454</v>
      </c>
      <c r="C3847" s="4">
        <v>36.450000000000003</v>
      </c>
      <c r="D3847">
        <f t="shared" si="63"/>
        <v>0.46739130434782616</v>
      </c>
      <c r="E3847">
        <v>-1.1927351585795498E-2</v>
      </c>
    </row>
    <row r="3848" spans="2:5" x14ac:dyDescent="0.35">
      <c r="B3848" s="2">
        <v>37657</v>
      </c>
      <c r="C3848" s="4">
        <v>24.84</v>
      </c>
      <c r="D3848">
        <f t="shared" si="63"/>
        <v>-0.99409201613517006</v>
      </c>
      <c r="E3848">
        <v>-1.1933174224343701E-2</v>
      </c>
    </row>
    <row r="3849" spans="2:5" x14ac:dyDescent="0.35">
      <c r="B3849" s="2">
        <v>44407</v>
      </c>
      <c r="C3849" s="4">
        <v>4204.4799999999996</v>
      </c>
      <c r="D3849">
        <f t="shared" si="63"/>
        <v>4.3789115472200182</v>
      </c>
      <c r="E3849">
        <v>-1.1938109830610499E-2</v>
      </c>
    </row>
    <row r="3850" spans="2:5" x14ac:dyDescent="0.35">
      <c r="B3850" s="2">
        <v>42228</v>
      </c>
      <c r="C3850" s="4">
        <v>781.66</v>
      </c>
      <c r="D3850">
        <f t="shared" si="63"/>
        <v>-0.87506233616776419</v>
      </c>
      <c r="E3850">
        <v>-1.1945241496125747E-2</v>
      </c>
    </row>
    <row r="3851" spans="2:5" x14ac:dyDescent="0.35">
      <c r="B3851" s="2">
        <v>44924</v>
      </c>
      <c r="C3851" s="4">
        <v>6256.4</v>
      </c>
      <c r="D3851">
        <f t="shared" si="63"/>
        <v>8.9717887824548548</v>
      </c>
      <c r="E3851">
        <v>-1.1947157713536827E-2</v>
      </c>
    </row>
    <row r="3852" spans="2:5" x14ac:dyDescent="0.35">
      <c r="B3852" s="2">
        <v>42888</v>
      </c>
      <c r="C3852" s="4">
        <v>627.41</v>
      </c>
      <c r="D3852">
        <f t="shared" si="63"/>
        <v>5.1710435723418904</v>
      </c>
      <c r="E3852">
        <v>-1.1952755905511814E-2</v>
      </c>
    </row>
    <row r="3853" spans="2:5" x14ac:dyDescent="0.35">
      <c r="B3853" s="2">
        <v>39373</v>
      </c>
      <c r="C3853" s="4">
        <v>101.67</v>
      </c>
      <c r="D3853">
        <f t="shared" si="63"/>
        <v>-0.88670477718717611</v>
      </c>
      <c r="E3853">
        <v>-1.1953352769679348E-2</v>
      </c>
    </row>
    <row r="3854" spans="2:5" x14ac:dyDescent="0.35">
      <c r="B3854" s="2">
        <v>42346</v>
      </c>
      <c r="C3854" s="4">
        <v>897.39</v>
      </c>
      <c r="D3854">
        <f t="shared" si="63"/>
        <v>0.49298750561498639</v>
      </c>
      <c r="E3854">
        <v>-1.1967938695968128E-2</v>
      </c>
    </row>
    <row r="3855" spans="2:5" x14ac:dyDescent="0.35">
      <c r="B3855" s="2">
        <v>43684</v>
      </c>
      <c r="C3855" s="4">
        <v>601.07000000000005</v>
      </c>
      <c r="D3855">
        <f t="shared" si="63"/>
        <v>-0.89207595818565077</v>
      </c>
      <c r="E3855">
        <v>-1.1983036360049937E-2</v>
      </c>
    </row>
    <row r="3856" spans="2:5" x14ac:dyDescent="0.35">
      <c r="B3856" s="2">
        <v>44468</v>
      </c>
      <c r="C3856" s="4">
        <v>5569.38</v>
      </c>
      <c r="D3856">
        <f t="shared" si="63"/>
        <v>50.664007421150281</v>
      </c>
      <c r="E3856">
        <v>-1.1985226026886786E-2</v>
      </c>
    </row>
    <row r="3857" spans="2:5" x14ac:dyDescent="0.35">
      <c r="B3857" s="2">
        <v>40570</v>
      </c>
      <c r="C3857" s="4">
        <v>107.8</v>
      </c>
      <c r="D3857">
        <f t="shared" si="63"/>
        <v>-4.1095890410958957E-2</v>
      </c>
      <c r="E3857">
        <v>-1.2006232242690928E-2</v>
      </c>
    </row>
    <row r="3858" spans="2:5" x14ac:dyDescent="0.35">
      <c r="B3858" s="2">
        <v>40471</v>
      </c>
      <c r="C3858" s="4">
        <v>112.42</v>
      </c>
      <c r="D3858">
        <f t="shared" si="63"/>
        <v>-0.12116948092557844</v>
      </c>
      <c r="E3858">
        <v>-1.2039722295456579E-2</v>
      </c>
    </row>
    <row r="3859" spans="2:5" x14ac:dyDescent="0.35">
      <c r="B3859" s="2">
        <v>40547</v>
      </c>
      <c r="C3859" s="4">
        <v>127.92</v>
      </c>
      <c r="D3859">
        <f t="shared" si="63"/>
        <v>-0.51225835970564682</v>
      </c>
      <c r="E3859">
        <v>-1.2048192771084265E-2</v>
      </c>
    </row>
    <row r="3860" spans="2:5" x14ac:dyDescent="0.35">
      <c r="B3860" s="2">
        <v>41829</v>
      </c>
      <c r="C3860" s="4">
        <v>262.27</v>
      </c>
      <c r="D3860">
        <f t="shared" si="63"/>
        <v>3.6378426171529616</v>
      </c>
      <c r="E3860">
        <v>-1.2054092741176192E-2</v>
      </c>
    </row>
    <row r="3861" spans="2:5" x14ac:dyDescent="0.35">
      <c r="B3861" s="2">
        <v>38474</v>
      </c>
      <c r="C3861" s="4">
        <v>56.55</v>
      </c>
      <c r="D3861">
        <f t="shared" si="63"/>
        <v>-0.4728255803113639</v>
      </c>
      <c r="E3861">
        <v>-1.2054507337526332E-2</v>
      </c>
    </row>
    <row r="3862" spans="2:5" x14ac:dyDescent="0.35">
      <c r="B3862" s="2">
        <v>40310</v>
      </c>
      <c r="C3862" s="4">
        <v>107.27</v>
      </c>
      <c r="D3862">
        <f t="shared" si="63"/>
        <v>-0.85596122084513848</v>
      </c>
      <c r="E3862">
        <v>-1.2064836986553695E-2</v>
      </c>
    </row>
    <row r="3863" spans="2:5" x14ac:dyDescent="0.35">
      <c r="B3863" s="2">
        <v>42909</v>
      </c>
      <c r="C3863" s="4">
        <v>744.73</v>
      </c>
      <c r="D3863">
        <f t="shared" si="63"/>
        <v>7.7656544256120537</v>
      </c>
      <c r="E3863">
        <v>-1.2084792528918586E-2</v>
      </c>
    </row>
    <row r="3864" spans="2:5" x14ac:dyDescent="0.35">
      <c r="B3864" s="2">
        <v>41346</v>
      </c>
      <c r="C3864" s="4">
        <v>84.96</v>
      </c>
      <c r="D3864">
        <f t="shared" si="63"/>
        <v>-0.90762405949636848</v>
      </c>
      <c r="E3864">
        <v>-1.2093023255814073E-2</v>
      </c>
    </row>
    <row r="3865" spans="2:5" x14ac:dyDescent="0.35">
      <c r="B3865" s="2">
        <v>43847</v>
      </c>
      <c r="C3865" s="4">
        <v>919.72</v>
      </c>
      <c r="D3865">
        <f t="shared" si="63"/>
        <v>11.117523056653491</v>
      </c>
      <c r="E3865">
        <v>-1.2094781842789337E-2</v>
      </c>
    </row>
    <row r="3866" spans="2:5" x14ac:dyDescent="0.35">
      <c r="B3866" s="2">
        <v>38953</v>
      </c>
      <c r="C3866" s="4">
        <v>75.900000000000006</v>
      </c>
      <c r="D3866">
        <f t="shared" si="63"/>
        <v>1.6594253679046953</v>
      </c>
      <c r="E3866">
        <v>-1.2104646622413062E-2</v>
      </c>
    </row>
    <row r="3867" spans="2:5" x14ac:dyDescent="0.35">
      <c r="B3867" s="2">
        <v>38051</v>
      </c>
      <c r="C3867" s="4">
        <v>28.54</v>
      </c>
      <c r="D3867">
        <f t="shared" si="63"/>
        <v>-0.91717453131348303</v>
      </c>
      <c r="E3867">
        <v>-1.2114918656974782E-2</v>
      </c>
    </row>
    <row r="3868" spans="2:5" x14ac:dyDescent="0.35">
      <c r="B3868" s="2">
        <v>42032</v>
      </c>
      <c r="C3868" s="4">
        <v>344.58</v>
      </c>
      <c r="D3868">
        <f t="shared" si="63"/>
        <v>0.39207368803781351</v>
      </c>
      <c r="E3868">
        <v>-1.2126945901780428E-2</v>
      </c>
    </row>
    <row r="3869" spans="2:5" x14ac:dyDescent="0.35">
      <c r="B3869" s="2">
        <v>41815</v>
      </c>
      <c r="C3869" s="4">
        <v>247.53</v>
      </c>
      <c r="D3869">
        <f t="shared" si="63"/>
        <v>2.55289220611454</v>
      </c>
      <c r="E3869">
        <v>-1.2132338268747267E-2</v>
      </c>
    </row>
    <row r="3870" spans="2:5" x14ac:dyDescent="0.35">
      <c r="B3870" s="2">
        <v>38863</v>
      </c>
      <c r="C3870" s="4">
        <v>69.67</v>
      </c>
      <c r="D3870">
        <f t="shared" si="63"/>
        <v>-0.1805457539402493</v>
      </c>
      <c r="E3870">
        <v>-1.2193392882461351E-2</v>
      </c>
    </row>
    <row r="3871" spans="2:5" x14ac:dyDescent="0.35">
      <c r="B3871" s="2">
        <v>40983</v>
      </c>
      <c r="C3871" s="4">
        <v>85.02</v>
      </c>
      <c r="D3871">
        <f t="shared" si="63"/>
        <v>-0.1379030622591767</v>
      </c>
      <c r="E3871">
        <v>-1.2199372603694636E-2</v>
      </c>
    </row>
    <row r="3872" spans="2:5" x14ac:dyDescent="0.35">
      <c r="B3872" s="2">
        <v>40710</v>
      </c>
      <c r="C3872" s="4">
        <v>98.62</v>
      </c>
      <c r="D3872">
        <f t="shared" si="63"/>
        <v>2.2123778501628668</v>
      </c>
      <c r="E3872">
        <v>-1.2219551282051322E-2</v>
      </c>
    </row>
    <row r="3873" spans="2:5" x14ac:dyDescent="0.35">
      <c r="B3873" s="2">
        <v>37519</v>
      </c>
      <c r="C3873" s="4">
        <v>30.7</v>
      </c>
      <c r="D3873">
        <f t="shared" si="63"/>
        <v>-0.7007797270955165</v>
      </c>
      <c r="E3873">
        <v>-1.2226512226512165E-2</v>
      </c>
    </row>
    <row r="3874" spans="2:5" x14ac:dyDescent="0.35">
      <c r="B3874" s="2">
        <v>40589</v>
      </c>
      <c r="C3874" s="4">
        <v>102.6</v>
      </c>
      <c r="D3874">
        <f t="shared" si="63"/>
        <v>0.62857142857142856</v>
      </c>
      <c r="E3874">
        <v>-1.2226821989024805E-2</v>
      </c>
    </row>
    <row r="3875" spans="2:5" x14ac:dyDescent="0.35">
      <c r="B3875" s="2">
        <v>38516</v>
      </c>
      <c r="C3875" s="4">
        <v>63</v>
      </c>
      <c r="D3875">
        <f t="shared" si="63"/>
        <v>-0.34422816696159042</v>
      </c>
      <c r="E3875">
        <v>-1.2229539040451542E-2</v>
      </c>
    </row>
    <row r="3876" spans="2:5" x14ac:dyDescent="0.35">
      <c r="B3876" s="2">
        <v>41204</v>
      </c>
      <c r="C3876" s="4">
        <v>96.07</v>
      </c>
      <c r="D3876">
        <f t="shared" si="63"/>
        <v>3.4129536058796504</v>
      </c>
      <c r="E3876">
        <v>-1.2235245733086653E-2</v>
      </c>
    </row>
    <row r="3877" spans="2:5" x14ac:dyDescent="0.35">
      <c r="B3877" s="2">
        <v>37735</v>
      </c>
      <c r="C3877" s="4">
        <v>21.77</v>
      </c>
      <c r="D3877">
        <f t="shared" si="63"/>
        <v>-0.97530458062027814</v>
      </c>
      <c r="E3877">
        <v>-1.2250453720508148E-2</v>
      </c>
    </row>
    <row r="3878" spans="2:5" x14ac:dyDescent="0.35">
      <c r="B3878" s="2">
        <v>44026</v>
      </c>
      <c r="C3878" s="4">
        <v>881.54</v>
      </c>
      <c r="D3878">
        <f t="shared" si="63"/>
        <v>-6.6926341860982008E-2</v>
      </c>
      <c r="E3878">
        <v>-1.2302245327835859E-2</v>
      </c>
    </row>
    <row r="3879" spans="2:5" x14ac:dyDescent="0.35">
      <c r="B3879" s="2">
        <v>43453</v>
      </c>
      <c r="C3879" s="4">
        <v>944.77</v>
      </c>
      <c r="D3879">
        <f t="shared" si="63"/>
        <v>-0.25690577316344199</v>
      </c>
      <c r="E3879">
        <v>-1.2304765090848213E-2</v>
      </c>
    </row>
    <row r="3880" spans="2:5" x14ac:dyDescent="0.35">
      <c r="B3880" s="2">
        <v>44089</v>
      </c>
      <c r="C3880" s="4">
        <v>1271.4000000000001</v>
      </c>
      <c r="D3880">
        <f t="shared" si="63"/>
        <v>13.880617977528091</v>
      </c>
      <c r="E3880">
        <v>-1.2328415950033755E-2</v>
      </c>
    </row>
    <row r="3881" spans="2:5" x14ac:dyDescent="0.35">
      <c r="B3881" s="2">
        <v>40975</v>
      </c>
      <c r="C3881" s="4">
        <v>85.44</v>
      </c>
      <c r="D3881">
        <f t="shared" si="63"/>
        <v>0.69894611254722605</v>
      </c>
      <c r="E3881">
        <v>-1.2368512310715563E-2</v>
      </c>
    </row>
    <row r="3882" spans="2:5" x14ac:dyDescent="0.35">
      <c r="B3882" s="2">
        <v>38247</v>
      </c>
      <c r="C3882" s="4">
        <v>50.29</v>
      </c>
      <c r="D3882">
        <f t="shared" si="63"/>
        <v>-0.9925449357002557</v>
      </c>
      <c r="E3882">
        <v>-1.2372348782403786E-2</v>
      </c>
    </row>
    <row r="3883" spans="2:5" x14ac:dyDescent="0.35">
      <c r="B3883" s="2">
        <v>44904</v>
      </c>
      <c r="C3883" s="4">
        <v>6745.75</v>
      </c>
      <c r="D3883">
        <f t="shared" si="63"/>
        <v>3.5792264038231787</v>
      </c>
      <c r="E3883">
        <v>-1.2385895305511485E-2</v>
      </c>
    </row>
    <row r="3884" spans="2:5" x14ac:dyDescent="0.35">
      <c r="B3884" s="2">
        <v>44123</v>
      </c>
      <c r="C3884" s="4">
        <v>1473.12</v>
      </c>
      <c r="D3884">
        <f t="shared" si="63"/>
        <v>-0.80885327797061013</v>
      </c>
      <c r="E3884">
        <v>-1.2429105828406062E-2</v>
      </c>
    </row>
    <row r="3885" spans="2:5" x14ac:dyDescent="0.35">
      <c r="B3885" s="2">
        <v>44680</v>
      </c>
      <c r="C3885" s="4">
        <v>7706.75</v>
      </c>
      <c r="D3885">
        <f t="shared" si="63"/>
        <v>69.834099264705884</v>
      </c>
      <c r="E3885">
        <v>-1.2429921512093545E-2</v>
      </c>
    </row>
    <row r="3886" spans="2:5" x14ac:dyDescent="0.35">
      <c r="B3886" s="2">
        <v>40648</v>
      </c>
      <c r="C3886" s="4">
        <v>108.8</v>
      </c>
      <c r="D3886">
        <f t="shared" si="63"/>
        <v>7.1287908625442986E-2</v>
      </c>
      <c r="E3886">
        <v>-1.2435327221566705E-2</v>
      </c>
    </row>
    <row r="3887" spans="2:5" x14ac:dyDescent="0.35">
      <c r="B3887" s="2">
        <v>41291</v>
      </c>
      <c r="C3887" s="4">
        <v>101.56</v>
      </c>
      <c r="D3887">
        <f t="shared" si="63"/>
        <v>-0.87382126750239164</v>
      </c>
      <c r="E3887">
        <v>-1.2446518864255185E-2</v>
      </c>
    </row>
    <row r="3888" spans="2:5" x14ac:dyDescent="0.35">
      <c r="B3888" s="2">
        <v>43810</v>
      </c>
      <c r="C3888" s="4">
        <v>804.89</v>
      </c>
      <c r="D3888">
        <f t="shared" si="63"/>
        <v>7.4877148581672461</v>
      </c>
      <c r="E3888">
        <v>-1.2453376521397663E-2</v>
      </c>
    </row>
    <row r="3889" spans="2:5" x14ac:dyDescent="0.35">
      <c r="B3889" s="2">
        <v>40856</v>
      </c>
      <c r="C3889" s="4">
        <v>94.83</v>
      </c>
      <c r="D3889">
        <f t="shared" si="63"/>
        <v>-9.737292975442613E-2</v>
      </c>
      <c r="E3889">
        <v>-1.2496094970321781E-2</v>
      </c>
    </row>
    <row r="3890" spans="2:5" x14ac:dyDescent="0.35">
      <c r="B3890" s="2">
        <v>40652</v>
      </c>
      <c r="C3890" s="4">
        <v>105.06</v>
      </c>
      <c r="D3890">
        <f t="shared" si="63"/>
        <v>-0.62576140775834432</v>
      </c>
      <c r="E3890">
        <v>-1.2501174922455061E-2</v>
      </c>
    </row>
    <row r="3891" spans="2:5" x14ac:dyDescent="0.35">
      <c r="B3891" s="2">
        <v>41954</v>
      </c>
      <c r="C3891" s="4">
        <v>280.73</v>
      </c>
      <c r="D3891">
        <f t="shared" si="63"/>
        <v>2.8309224890829698</v>
      </c>
      <c r="E3891">
        <v>-1.2522424285061007E-2</v>
      </c>
    </row>
    <row r="3892" spans="2:5" x14ac:dyDescent="0.35">
      <c r="B3892" s="2">
        <v>41514</v>
      </c>
      <c r="C3892" s="4">
        <v>73.28</v>
      </c>
      <c r="D3892">
        <f t="shared" si="63"/>
        <v>-0.89808208508921994</v>
      </c>
      <c r="E3892">
        <v>-1.2532003773076283E-2</v>
      </c>
    </row>
    <row r="3893" spans="2:5" x14ac:dyDescent="0.35">
      <c r="B3893" s="2">
        <v>42837</v>
      </c>
      <c r="C3893" s="4">
        <v>719.01</v>
      </c>
      <c r="D3893">
        <f t="shared" si="63"/>
        <v>4.9688693342188284</v>
      </c>
      <c r="E3893">
        <v>-1.253879748400033E-2</v>
      </c>
    </row>
    <row r="3894" spans="2:5" x14ac:dyDescent="0.35">
      <c r="B3894" s="2">
        <v>40528</v>
      </c>
      <c r="C3894" s="4">
        <v>120.46</v>
      </c>
      <c r="D3894">
        <f t="shared" si="63"/>
        <v>2.5628512274475002</v>
      </c>
      <c r="E3894">
        <v>-1.2542011640298445E-2</v>
      </c>
    </row>
    <row r="3895" spans="2:5" x14ac:dyDescent="0.35">
      <c r="B3895" s="2">
        <v>39825</v>
      </c>
      <c r="C3895" s="4">
        <v>33.81</v>
      </c>
      <c r="D3895">
        <f t="shared" si="63"/>
        <v>-0.99414054376308458</v>
      </c>
      <c r="E3895">
        <v>-1.2558411214953269E-2</v>
      </c>
    </row>
    <row r="3896" spans="2:5" x14ac:dyDescent="0.35">
      <c r="B3896" s="2">
        <v>44568</v>
      </c>
      <c r="C3896" s="4">
        <v>5770.16</v>
      </c>
      <c r="D3896">
        <f t="shared" si="63"/>
        <v>73.434468524251812</v>
      </c>
      <c r="E3896">
        <v>-1.2599699852321899E-2</v>
      </c>
    </row>
    <row r="3897" spans="2:5" x14ac:dyDescent="0.35">
      <c r="B3897" s="2">
        <v>38959</v>
      </c>
      <c r="C3897" s="4">
        <v>77.52</v>
      </c>
      <c r="D3897">
        <f t="shared" si="63"/>
        <v>-0.33929941191511126</v>
      </c>
      <c r="E3897">
        <v>-1.2609858616736802E-2</v>
      </c>
    </row>
    <row r="3898" spans="2:5" x14ac:dyDescent="0.35">
      <c r="B3898" s="2">
        <v>39252</v>
      </c>
      <c r="C3898" s="4">
        <v>117.33</v>
      </c>
      <c r="D3898">
        <f t="shared" si="63"/>
        <v>9.5109202912077695E-2</v>
      </c>
      <c r="E3898">
        <v>-1.2623074981065407E-2</v>
      </c>
    </row>
    <row r="3899" spans="2:5" x14ac:dyDescent="0.35">
      <c r="B3899" s="2">
        <v>40661</v>
      </c>
      <c r="C3899" s="4">
        <v>107.14</v>
      </c>
      <c r="D3899">
        <f t="shared" si="63"/>
        <v>-0.82908191752412863</v>
      </c>
      <c r="E3899">
        <v>-1.2625564464104677E-2</v>
      </c>
    </row>
    <row r="3900" spans="2:5" x14ac:dyDescent="0.35">
      <c r="B3900" s="2">
        <v>43672</v>
      </c>
      <c r="C3900" s="4">
        <v>626.85</v>
      </c>
      <c r="D3900">
        <f t="shared" si="63"/>
        <v>-0.26269422129171127</v>
      </c>
      <c r="E3900">
        <v>-1.2632507442468466E-2</v>
      </c>
    </row>
    <row r="3901" spans="2:5" x14ac:dyDescent="0.35">
      <c r="B3901" s="2">
        <v>43998</v>
      </c>
      <c r="C3901" s="4">
        <v>850.19</v>
      </c>
      <c r="D3901">
        <f t="shared" si="63"/>
        <v>9.790582561238736</v>
      </c>
      <c r="E3901">
        <v>-1.2635441950131776E-2</v>
      </c>
    </row>
    <row r="3902" spans="2:5" x14ac:dyDescent="0.35">
      <c r="B3902" s="2">
        <v>39003</v>
      </c>
      <c r="C3902" s="4">
        <v>78.790000000000006</v>
      </c>
      <c r="D3902">
        <f t="shared" si="63"/>
        <v>-0.89422599309965234</v>
      </c>
      <c r="E3902">
        <v>-1.2656641604009922E-2</v>
      </c>
    </row>
    <row r="3903" spans="2:5" x14ac:dyDescent="0.35">
      <c r="B3903" s="2">
        <v>42607</v>
      </c>
      <c r="C3903" s="4">
        <v>744.89</v>
      </c>
      <c r="D3903">
        <f t="shared" si="63"/>
        <v>7.1676535087719291</v>
      </c>
      <c r="E3903">
        <v>-1.265839563119675E-2</v>
      </c>
    </row>
    <row r="3904" spans="2:5" x14ac:dyDescent="0.35">
      <c r="B3904" s="2">
        <v>41326</v>
      </c>
      <c r="C3904" s="4">
        <v>91.2</v>
      </c>
      <c r="D3904">
        <f t="shared" si="63"/>
        <v>-0.8413305960541424</v>
      </c>
      <c r="E3904">
        <v>-1.266645014615142E-2</v>
      </c>
    </row>
    <row r="3905" spans="2:5" x14ac:dyDescent="0.35">
      <c r="B3905" s="2">
        <v>42678</v>
      </c>
      <c r="C3905" s="4">
        <v>574.78</v>
      </c>
      <c r="D3905">
        <f t="shared" si="63"/>
        <v>17.96337842296272</v>
      </c>
      <c r="E3905">
        <v>-1.2676927305208197E-2</v>
      </c>
    </row>
    <row r="3906" spans="2:5" x14ac:dyDescent="0.35">
      <c r="B3906" s="2">
        <v>37550</v>
      </c>
      <c r="C3906" s="4">
        <v>30.31</v>
      </c>
      <c r="D3906">
        <f t="shared" si="63"/>
        <v>0.44539818788745822</v>
      </c>
      <c r="E3906">
        <v>-1.2703583061889234E-2</v>
      </c>
    </row>
    <row r="3907" spans="2:5" x14ac:dyDescent="0.35">
      <c r="B3907" s="2">
        <v>37750</v>
      </c>
      <c r="C3907" s="4">
        <v>20.97</v>
      </c>
      <c r="D3907">
        <f t="shared" si="63"/>
        <v>-0.81504674545775269</v>
      </c>
      <c r="E3907">
        <v>-1.2711864406779627E-2</v>
      </c>
    </row>
    <row r="3908" spans="2:5" x14ac:dyDescent="0.35">
      <c r="B3908" s="2">
        <v>40371</v>
      </c>
      <c r="C3908" s="4">
        <v>113.38</v>
      </c>
      <c r="D3908">
        <f t="shared" ref="D3908:D3971" si="64">C3908/C3909-1</f>
        <v>0.50851516764236293</v>
      </c>
      <c r="E3908">
        <v>-1.2713340299547293E-2</v>
      </c>
    </row>
    <row r="3909" spans="2:5" x14ac:dyDescent="0.35">
      <c r="B3909" s="2">
        <v>38614</v>
      </c>
      <c r="C3909" s="4">
        <v>75.16</v>
      </c>
      <c r="D3909">
        <f t="shared" si="64"/>
        <v>-0.93325459340893546</v>
      </c>
      <c r="E3909">
        <v>-1.2741363457244193E-2</v>
      </c>
    </row>
    <row r="3910" spans="2:5" x14ac:dyDescent="0.35">
      <c r="B3910" s="2">
        <v>44071</v>
      </c>
      <c r="C3910" s="4">
        <v>1126.07</v>
      </c>
      <c r="D3910">
        <f t="shared" si="64"/>
        <v>-0.31785580149989701</v>
      </c>
      <c r="E3910">
        <v>-1.2747564899483588E-2</v>
      </c>
    </row>
    <row r="3911" spans="2:5" x14ac:dyDescent="0.35">
      <c r="B3911" s="2">
        <v>44169</v>
      </c>
      <c r="C3911" s="4">
        <v>1650.78</v>
      </c>
      <c r="D3911">
        <f t="shared" si="64"/>
        <v>25.703008735037205</v>
      </c>
      <c r="E3911">
        <v>-1.2768146017355209E-2</v>
      </c>
    </row>
    <row r="3912" spans="2:5" x14ac:dyDescent="0.35">
      <c r="B3912" s="2">
        <v>38455</v>
      </c>
      <c r="C3912" s="4">
        <v>61.82</v>
      </c>
      <c r="D3912">
        <f t="shared" si="64"/>
        <v>-0.2659700783661838</v>
      </c>
      <c r="E3912">
        <v>-1.2775471095496593E-2</v>
      </c>
    </row>
    <row r="3913" spans="2:5" x14ac:dyDescent="0.35">
      <c r="B3913" s="2">
        <v>40827</v>
      </c>
      <c r="C3913" s="4">
        <v>84.22</v>
      </c>
      <c r="D3913">
        <f t="shared" si="64"/>
        <v>0.45583405358686258</v>
      </c>
      <c r="E3913">
        <v>-1.2776931192122865E-2</v>
      </c>
    </row>
    <row r="3914" spans="2:5" x14ac:dyDescent="0.35">
      <c r="B3914" s="2">
        <v>38490</v>
      </c>
      <c r="C3914" s="4">
        <v>57.85</v>
      </c>
      <c r="D3914">
        <f t="shared" si="64"/>
        <v>0.36438679245283034</v>
      </c>
      <c r="E3914">
        <v>-1.2798634812286713E-2</v>
      </c>
    </row>
    <row r="3915" spans="2:5" x14ac:dyDescent="0.35">
      <c r="B3915" s="2">
        <v>37445</v>
      </c>
      <c r="C3915" s="4">
        <v>42.4</v>
      </c>
      <c r="D3915">
        <f t="shared" si="64"/>
        <v>0.62079510703363905</v>
      </c>
      <c r="E3915">
        <v>-1.2805587892898873E-2</v>
      </c>
    </row>
    <row r="3916" spans="2:5" x14ac:dyDescent="0.35">
      <c r="B3916" s="2">
        <v>37806</v>
      </c>
      <c r="C3916" s="4">
        <v>26.16</v>
      </c>
      <c r="D3916">
        <f t="shared" si="64"/>
        <v>-0.44245524296675198</v>
      </c>
      <c r="E3916">
        <v>-1.2830188679245236E-2</v>
      </c>
    </row>
    <row r="3917" spans="2:5" x14ac:dyDescent="0.35">
      <c r="B3917" s="2">
        <v>38232</v>
      </c>
      <c r="C3917" s="4">
        <v>46.92</v>
      </c>
      <c r="D3917">
        <f t="shared" si="64"/>
        <v>-0.85910333023032337</v>
      </c>
      <c r="E3917">
        <v>-1.2833999579213162E-2</v>
      </c>
    </row>
    <row r="3918" spans="2:5" x14ac:dyDescent="0.35">
      <c r="B3918" s="2">
        <v>42020</v>
      </c>
      <c r="C3918" s="4">
        <v>333.01</v>
      </c>
      <c r="D3918">
        <f t="shared" si="64"/>
        <v>1.8121094409728085</v>
      </c>
      <c r="E3918">
        <v>-1.2835714709195423E-2</v>
      </c>
    </row>
    <row r="3919" spans="2:5" x14ac:dyDescent="0.35">
      <c r="B3919" s="2">
        <v>39279</v>
      </c>
      <c r="C3919" s="4">
        <v>118.42</v>
      </c>
      <c r="D3919">
        <f t="shared" si="64"/>
        <v>0.13309731126208013</v>
      </c>
      <c r="E3919">
        <v>-1.2837612537512477E-2</v>
      </c>
    </row>
    <row r="3920" spans="2:5" x14ac:dyDescent="0.35">
      <c r="B3920" s="2">
        <v>41278</v>
      </c>
      <c r="C3920" s="4">
        <v>104.51</v>
      </c>
      <c r="D3920">
        <f t="shared" si="64"/>
        <v>-0.86701193596823867</v>
      </c>
      <c r="E3920">
        <v>-1.2845943137810512E-2</v>
      </c>
    </row>
    <row r="3921" spans="2:5" x14ac:dyDescent="0.35">
      <c r="B3921" s="2">
        <v>42558</v>
      </c>
      <c r="C3921" s="4">
        <v>785.86</v>
      </c>
      <c r="D3921">
        <f t="shared" si="64"/>
        <v>1.8580884492289789</v>
      </c>
      <c r="E3921">
        <v>-1.2850305869939405E-2</v>
      </c>
    </row>
    <row r="3922" spans="2:5" x14ac:dyDescent="0.35">
      <c r="B3922" s="2">
        <v>41981</v>
      </c>
      <c r="C3922" s="4">
        <v>274.95999999999998</v>
      </c>
      <c r="D3922">
        <f t="shared" si="64"/>
        <v>-0.65277128821650021</v>
      </c>
      <c r="E3922">
        <v>-1.2852732103109221E-2</v>
      </c>
    </row>
    <row r="3923" spans="2:5" x14ac:dyDescent="0.35">
      <c r="B3923" s="2">
        <v>42930</v>
      </c>
      <c r="C3923" s="4">
        <v>791.87</v>
      </c>
      <c r="D3923">
        <f t="shared" si="64"/>
        <v>8.4709962923095325</v>
      </c>
      <c r="E3923">
        <v>-1.286478265747526E-2</v>
      </c>
    </row>
    <row r="3924" spans="2:5" x14ac:dyDescent="0.35">
      <c r="B3924" s="2">
        <v>41040</v>
      </c>
      <c r="C3924" s="4">
        <v>83.61</v>
      </c>
      <c r="D3924">
        <f t="shared" si="64"/>
        <v>0.25314748201438841</v>
      </c>
      <c r="E3924">
        <v>-1.2868949232585636E-2</v>
      </c>
    </row>
    <row r="3925" spans="2:5" x14ac:dyDescent="0.35">
      <c r="B3925" s="2">
        <v>38744</v>
      </c>
      <c r="C3925" s="4">
        <v>66.72</v>
      </c>
      <c r="D3925">
        <f t="shared" si="64"/>
        <v>-0.22982800415560423</v>
      </c>
      <c r="E3925">
        <v>-1.2871726586773269E-2</v>
      </c>
    </row>
    <row r="3926" spans="2:5" x14ac:dyDescent="0.35">
      <c r="B3926" s="2">
        <v>41396</v>
      </c>
      <c r="C3926" s="4">
        <v>86.63</v>
      </c>
      <c r="D3926">
        <f t="shared" si="64"/>
        <v>-0.98622175921876121</v>
      </c>
      <c r="E3926">
        <v>-1.2876025524156898E-2</v>
      </c>
    </row>
    <row r="3927" spans="2:5" x14ac:dyDescent="0.35">
      <c r="B3927" s="2">
        <v>44931</v>
      </c>
      <c r="C3927" s="4">
        <v>6287.45</v>
      </c>
      <c r="D3927">
        <f t="shared" si="64"/>
        <v>82.899786495863353</v>
      </c>
      <c r="E3927">
        <v>-1.2889450589131157E-2</v>
      </c>
    </row>
    <row r="3928" spans="2:5" x14ac:dyDescent="0.35">
      <c r="B3928" s="2">
        <v>41534</v>
      </c>
      <c r="C3928" s="4">
        <v>74.94</v>
      </c>
      <c r="D3928">
        <f t="shared" si="64"/>
        <v>-0.24554515252189668</v>
      </c>
      <c r="E3928">
        <v>-1.2908324552160177E-2</v>
      </c>
    </row>
    <row r="3929" spans="2:5" x14ac:dyDescent="0.35">
      <c r="B3929" s="2">
        <v>41165</v>
      </c>
      <c r="C3929" s="4">
        <v>99.33</v>
      </c>
      <c r="D3929">
        <f t="shared" si="64"/>
        <v>-1.5071888943976153E-2</v>
      </c>
      <c r="E3929">
        <v>-1.2918612739739599E-2</v>
      </c>
    </row>
    <row r="3930" spans="2:5" x14ac:dyDescent="0.35">
      <c r="B3930" s="2">
        <v>41256</v>
      </c>
      <c r="C3930" s="4">
        <v>100.85</v>
      </c>
      <c r="D3930">
        <f t="shared" si="64"/>
        <v>0.51813939485172344</v>
      </c>
      <c r="E3930">
        <v>-1.2919643731036601E-2</v>
      </c>
    </row>
    <row r="3931" spans="2:5" x14ac:dyDescent="0.35">
      <c r="B3931" s="2">
        <v>38873</v>
      </c>
      <c r="C3931" s="4">
        <v>66.430000000000007</v>
      </c>
      <c r="D3931">
        <f t="shared" si="64"/>
        <v>-0.17906574394463659</v>
      </c>
      <c r="E3931">
        <v>-1.2927191679048877E-2</v>
      </c>
    </row>
    <row r="3932" spans="2:5" x14ac:dyDescent="0.35">
      <c r="B3932" s="2">
        <v>38846</v>
      </c>
      <c r="C3932" s="4">
        <v>80.92</v>
      </c>
      <c r="D3932">
        <f t="shared" si="64"/>
        <v>-0.9876986690786923</v>
      </c>
      <c r="E3932">
        <v>-1.2929982922664118E-2</v>
      </c>
    </row>
    <row r="3933" spans="2:5" x14ac:dyDescent="0.35">
      <c r="B3933" s="2">
        <v>44956</v>
      </c>
      <c r="C3933" s="4">
        <v>6578.15</v>
      </c>
      <c r="D3933">
        <f t="shared" si="64"/>
        <v>56.860409886533553</v>
      </c>
      <c r="E3933">
        <v>-1.2934494736921209E-2</v>
      </c>
    </row>
    <row r="3934" spans="2:5" x14ac:dyDescent="0.35">
      <c r="B3934" s="2">
        <v>40479</v>
      </c>
      <c r="C3934" s="4">
        <v>113.69</v>
      </c>
      <c r="D3934">
        <f t="shared" si="64"/>
        <v>-0.8633993367616668</v>
      </c>
      <c r="E3934">
        <v>-1.2936273658621378E-2</v>
      </c>
    </row>
    <row r="3935" spans="2:5" x14ac:dyDescent="0.35">
      <c r="B3935" s="2">
        <v>43818</v>
      </c>
      <c r="C3935" s="4">
        <v>832.28</v>
      </c>
      <c r="D3935">
        <f t="shared" si="64"/>
        <v>2.0596279685317258</v>
      </c>
      <c r="E3935">
        <v>-1.2950664136622492E-2</v>
      </c>
    </row>
    <row r="3936" spans="2:5" x14ac:dyDescent="0.35">
      <c r="B3936" s="2">
        <v>41822</v>
      </c>
      <c r="C3936" s="4">
        <v>272.02</v>
      </c>
      <c r="D3936">
        <f t="shared" si="64"/>
        <v>7.3288426209430497</v>
      </c>
      <c r="E3936">
        <v>-1.2954025908051836E-2</v>
      </c>
    </row>
    <row r="3937" spans="2:5" x14ac:dyDescent="0.35">
      <c r="B3937" s="2">
        <v>39812</v>
      </c>
      <c r="C3937" s="4">
        <v>32.659999999999997</v>
      </c>
      <c r="D3937">
        <f t="shared" si="64"/>
        <v>-0.97373795854039014</v>
      </c>
      <c r="E3937">
        <v>-1.2994862496222614E-2</v>
      </c>
    </row>
    <row r="3938" spans="2:5" x14ac:dyDescent="0.35">
      <c r="B3938" s="2">
        <v>43278</v>
      </c>
      <c r="C3938" s="4">
        <v>1243.6199999999999</v>
      </c>
      <c r="D3938">
        <f t="shared" si="64"/>
        <v>10.110694183864913</v>
      </c>
      <c r="E3938">
        <v>-1.3007833271164615E-2</v>
      </c>
    </row>
    <row r="3939" spans="2:5" x14ac:dyDescent="0.35">
      <c r="B3939" s="2">
        <v>39210</v>
      </c>
      <c r="C3939" s="4">
        <v>111.93</v>
      </c>
      <c r="D3939">
        <f t="shared" si="64"/>
        <v>0.89744024410917111</v>
      </c>
      <c r="E3939">
        <v>-1.3049995591217667E-2</v>
      </c>
    </row>
    <row r="3940" spans="2:5" x14ac:dyDescent="0.35">
      <c r="B3940" s="2">
        <v>38912</v>
      </c>
      <c r="C3940" s="4">
        <v>58.99</v>
      </c>
      <c r="D3940">
        <f t="shared" si="64"/>
        <v>-0.34939891915738386</v>
      </c>
      <c r="E3940">
        <v>-1.3050025096202122E-2</v>
      </c>
    </row>
    <row r="3941" spans="2:5" x14ac:dyDescent="0.35">
      <c r="B3941" s="2">
        <v>40861</v>
      </c>
      <c r="C3941" s="4">
        <v>90.67</v>
      </c>
      <c r="D3941">
        <f t="shared" si="64"/>
        <v>0.14352377348972123</v>
      </c>
      <c r="E3941">
        <v>-1.3061935343420039E-2</v>
      </c>
    </row>
    <row r="3942" spans="2:5" x14ac:dyDescent="0.35">
      <c r="B3942" s="2">
        <v>41522</v>
      </c>
      <c r="C3942" s="4">
        <v>79.290000000000006</v>
      </c>
      <c r="D3942">
        <f t="shared" si="64"/>
        <v>-0.67566572585593321</v>
      </c>
      <c r="E3942">
        <v>-1.3069454817027593E-2</v>
      </c>
    </row>
    <row r="3943" spans="2:5" x14ac:dyDescent="0.35">
      <c r="B3943" s="2">
        <v>41799</v>
      </c>
      <c r="C3943" s="4">
        <v>244.47</v>
      </c>
      <c r="D3943">
        <f t="shared" si="64"/>
        <v>7.5508919202518356</v>
      </c>
      <c r="E3943">
        <v>-1.3079811069395708E-2</v>
      </c>
    </row>
    <row r="3944" spans="2:5" x14ac:dyDescent="0.35">
      <c r="B3944" s="2">
        <v>37895</v>
      </c>
      <c r="C3944" s="4">
        <v>28.59</v>
      </c>
      <c r="D3944">
        <f t="shared" si="64"/>
        <v>-0.69790786136939986</v>
      </c>
      <c r="E3944">
        <v>-1.3117017604418302E-2</v>
      </c>
    </row>
    <row r="3945" spans="2:5" x14ac:dyDescent="0.35">
      <c r="B3945" s="2">
        <v>40953</v>
      </c>
      <c r="C3945" s="4">
        <v>94.64</v>
      </c>
      <c r="D3945">
        <f t="shared" si="64"/>
        <v>0.8822593476531424</v>
      </c>
      <c r="E3945">
        <v>-1.3138686131386912E-2</v>
      </c>
    </row>
    <row r="3946" spans="2:5" x14ac:dyDescent="0.35">
      <c r="B3946" s="2">
        <v>38337</v>
      </c>
      <c r="C3946" s="4">
        <v>50.28</v>
      </c>
      <c r="D3946">
        <f t="shared" si="64"/>
        <v>-0.39618109763420195</v>
      </c>
      <c r="E3946">
        <v>-1.3150147203140339E-2</v>
      </c>
    </row>
    <row r="3947" spans="2:5" x14ac:dyDescent="0.35">
      <c r="B3947" s="2">
        <v>41484</v>
      </c>
      <c r="C3947" s="4">
        <v>83.27</v>
      </c>
      <c r="D3947">
        <f t="shared" si="64"/>
        <v>0.16935823620278057</v>
      </c>
      <c r="E3947">
        <v>-1.3154776013273306E-2</v>
      </c>
    </row>
    <row r="3948" spans="2:5" x14ac:dyDescent="0.35">
      <c r="B3948" s="2">
        <v>38709</v>
      </c>
      <c r="C3948" s="4">
        <v>71.209999999999994</v>
      </c>
      <c r="D3948">
        <f t="shared" si="64"/>
        <v>-0.16567076742823672</v>
      </c>
      <c r="E3948">
        <v>-1.3165188470066536E-2</v>
      </c>
    </row>
    <row r="3949" spans="2:5" x14ac:dyDescent="0.35">
      <c r="B3949" s="2">
        <v>40836</v>
      </c>
      <c r="C3949" s="4">
        <v>85.35</v>
      </c>
      <c r="D3949">
        <f t="shared" si="64"/>
        <v>1.651444547996272</v>
      </c>
      <c r="E3949">
        <v>-1.3180714533472138E-2</v>
      </c>
    </row>
    <row r="3950" spans="2:5" x14ac:dyDescent="0.35">
      <c r="B3950" s="2">
        <v>39846</v>
      </c>
      <c r="C3950" s="4">
        <v>32.19</v>
      </c>
      <c r="D3950">
        <f t="shared" si="64"/>
        <v>-0.68601248536870862</v>
      </c>
      <c r="E3950">
        <v>-1.3182096873084026E-2</v>
      </c>
    </row>
    <row r="3951" spans="2:5" x14ac:dyDescent="0.35">
      <c r="B3951" s="2">
        <v>40406</v>
      </c>
      <c r="C3951" s="4">
        <v>102.52</v>
      </c>
      <c r="D3951">
        <f t="shared" si="64"/>
        <v>-0.83426825522559367</v>
      </c>
      <c r="E3951">
        <v>-1.318702473770339E-2</v>
      </c>
    </row>
    <row r="3952" spans="2:5" x14ac:dyDescent="0.35">
      <c r="B3952" s="2">
        <v>42067</v>
      </c>
      <c r="C3952" s="4">
        <v>618.59</v>
      </c>
      <c r="D3952">
        <f t="shared" si="64"/>
        <v>7.3536799459824458</v>
      </c>
      <c r="E3952">
        <v>-1.3192738410490401E-2</v>
      </c>
    </row>
    <row r="3953" spans="2:5" x14ac:dyDescent="0.35">
      <c r="B3953" s="2">
        <v>38609</v>
      </c>
      <c r="C3953" s="4">
        <v>74.05</v>
      </c>
      <c r="D3953">
        <f t="shared" si="64"/>
        <v>2.0004051863857373</v>
      </c>
      <c r="E3953">
        <v>-1.3192963752665321E-2</v>
      </c>
    </row>
    <row r="3954" spans="2:5" x14ac:dyDescent="0.35">
      <c r="B3954" s="2">
        <v>37659</v>
      </c>
      <c r="C3954" s="4">
        <v>24.68</v>
      </c>
      <c r="D3954">
        <f t="shared" si="64"/>
        <v>-0.96844151194312311</v>
      </c>
      <c r="E3954">
        <v>-1.3194722111155577E-2</v>
      </c>
    </row>
    <row r="3955" spans="2:5" x14ac:dyDescent="0.35">
      <c r="B3955" s="2">
        <v>43027</v>
      </c>
      <c r="C3955" s="4">
        <v>782.04</v>
      </c>
      <c r="D3955">
        <f t="shared" si="64"/>
        <v>8.6955120257872558</v>
      </c>
      <c r="E3955">
        <v>-1.3198738170347002E-2</v>
      </c>
    </row>
    <row r="3956" spans="2:5" x14ac:dyDescent="0.35">
      <c r="B3956" s="2">
        <v>41418</v>
      </c>
      <c r="C3956" s="4">
        <v>80.66</v>
      </c>
      <c r="D3956">
        <f t="shared" si="64"/>
        <v>-0.89024058349662527</v>
      </c>
      <c r="E3956">
        <v>-1.3212625397602151E-2</v>
      </c>
    </row>
    <row r="3957" spans="2:5" x14ac:dyDescent="0.35">
      <c r="B3957" s="2">
        <v>42913</v>
      </c>
      <c r="C3957" s="4">
        <v>734.88</v>
      </c>
      <c r="D3957">
        <f t="shared" si="64"/>
        <v>6.2977159880834161</v>
      </c>
      <c r="E3957">
        <v>-1.3226269923327982E-2</v>
      </c>
    </row>
    <row r="3958" spans="2:5" x14ac:dyDescent="0.35">
      <c r="B3958" s="2">
        <v>40680</v>
      </c>
      <c r="C3958" s="4">
        <v>100.7</v>
      </c>
      <c r="D3958">
        <f t="shared" si="64"/>
        <v>2.9755230951440983</v>
      </c>
      <c r="E3958">
        <v>-1.3228809407153319E-2</v>
      </c>
    </row>
    <row r="3959" spans="2:5" x14ac:dyDescent="0.35">
      <c r="B3959" s="2">
        <v>38077</v>
      </c>
      <c r="C3959" s="4">
        <v>25.33</v>
      </c>
      <c r="D3959">
        <f t="shared" si="64"/>
        <v>-0.74801034619976126</v>
      </c>
      <c r="E3959">
        <v>-1.324503311258296E-2</v>
      </c>
    </row>
    <row r="3960" spans="2:5" x14ac:dyDescent="0.35">
      <c r="B3960" s="2">
        <v>40415</v>
      </c>
      <c r="C3960" s="4">
        <v>100.52</v>
      </c>
      <c r="D3960">
        <f t="shared" si="64"/>
        <v>-0.63902754336194212</v>
      </c>
      <c r="E3960">
        <v>-1.3252184156277713E-2</v>
      </c>
    </row>
    <row r="3961" spans="2:5" x14ac:dyDescent="0.35">
      <c r="B3961" s="2">
        <v>41891</v>
      </c>
      <c r="C3961" s="4">
        <v>278.47000000000003</v>
      </c>
      <c r="D3961">
        <f t="shared" si="64"/>
        <v>2.7438827641839212</v>
      </c>
      <c r="E3961">
        <v>-1.3252542432939829E-2</v>
      </c>
    </row>
    <row r="3962" spans="2:5" x14ac:dyDescent="0.35">
      <c r="B3962" s="2">
        <v>38600</v>
      </c>
      <c r="C3962" s="4">
        <v>74.38</v>
      </c>
      <c r="D3962">
        <f t="shared" si="64"/>
        <v>-0.72584866020419447</v>
      </c>
      <c r="E3962">
        <v>-1.3266118333775556E-2</v>
      </c>
    </row>
    <row r="3963" spans="2:5" x14ac:dyDescent="0.35">
      <c r="B3963" s="2">
        <v>41982</v>
      </c>
      <c r="C3963" s="4">
        <v>271.31</v>
      </c>
      <c r="D3963">
        <f t="shared" si="64"/>
        <v>-0.7188788726556834</v>
      </c>
      <c r="E3963">
        <v>-1.3274658132091832E-2</v>
      </c>
    </row>
    <row r="3964" spans="2:5" x14ac:dyDescent="0.35">
      <c r="B3964" s="2">
        <v>43118</v>
      </c>
      <c r="C3964" s="4">
        <v>965.1</v>
      </c>
      <c r="D3964">
        <f t="shared" si="64"/>
        <v>8.4850122850122851</v>
      </c>
      <c r="E3964">
        <v>-1.3280986412293361E-2</v>
      </c>
    </row>
    <row r="3965" spans="2:5" x14ac:dyDescent="0.35">
      <c r="B3965" s="2">
        <v>40437</v>
      </c>
      <c r="C3965" s="4">
        <v>101.75</v>
      </c>
      <c r="D3965">
        <f t="shared" si="64"/>
        <v>0.29485874268261636</v>
      </c>
      <c r="E3965">
        <v>-1.3285492629945717E-2</v>
      </c>
    </row>
    <row r="3966" spans="2:5" x14ac:dyDescent="0.35">
      <c r="B3966" s="2">
        <v>41430</v>
      </c>
      <c r="C3966" s="4">
        <v>78.58</v>
      </c>
      <c r="D3966">
        <f t="shared" si="64"/>
        <v>-0.25218880852683667</v>
      </c>
      <c r="E3966">
        <v>-1.330989452536413E-2</v>
      </c>
    </row>
    <row r="3967" spans="2:5" x14ac:dyDescent="0.35">
      <c r="B3967" s="2">
        <v>40227</v>
      </c>
      <c r="C3967" s="4">
        <v>105.08</v>
      </c>
      <c r="D3967">
        <f t="shared" si="64"/>
        <v>2.0980354758726172E-3</v>
      </c>
      <c r="E3967">
        <v>-1.3333333333333308E-2</v>
      </c>
    </row>
    <row r="3968" spans="2:5" x14ac:dyDescent="0.35">
      <c r="B3968" s="2">
        <v>40225</v>
      </c>
      <c r="C3968" s="4">
        <v>104.86</v>
      </c>
      <c r="D3968">
        <f t="shared" si="64"/>
        <v>4.5151001694408555E-2</v>
      </c>
      <c r="E3968">
        <v>-1.3360933383515294E-2</v>
      </c>
    </row>
    <row r="3969" spans="2:5" x14ac:dyDescent="0.35">
      <c r="B3969" s="2">
        <v>40185</v>
      </c>
      <c r="C3969" s="4">
        <v>100.33</v>
      </c>
      <c r="D3969">
        <f t="shared" si="64"/>
        <v>2.0274592637296318</v>
      </c>
      <c r="E3969">
        <v>-1.3373979742354214E-2</v>
      </c>
    </row>
    <row r="3970" spans="2:5" x14ac:dyDescent="0.35">
      <c r="B3970" s="2">
        <v>39790</v>
      </c>
      <c r="C3970" s="4">
        <v>33.14</v>
      </c>
      <c r="D3970">
        <f t="shared" si="64"/>
        <v>-0.60491177873152124</v>
      </c>
      <c r="E3970">
        <v>-1.3396844298898536E-2</v>
      </c>
    </row>
    <row r="3971" spans="2:5" x14ac:dyDescent="0.35">
      <c r="B3971" s="2">
        <v>40984</v>
      </c>
      <c r="C3971" s="4">
        <v>83.88</v>
      </c>
      <c r="D3971">
        <f t="shared" si="64"/>
        <v>-0.90684347304591195</v>
      </c>
      <c r="E3971">
        <v>-1.3408609738885024E-2</v>
      </c>
    </row>
    <row r="3972" spans="2:5" x14ac:dyDescent="0.35">
      <c r="B3972" s="2">
        <v>43101</v>
      </c>
      <c r="C3972" s="4">
        <v>900.42</v>
      </c>
      <c r="D3972">
        <f t="shared" ref="D3972:D4035" si="65">C3972/C3973-1</f>
        <v>15.320826536160954</v>
      </c>
      <c r="E3972">
        <v>-1.3411347051475953E-2</v>
      </c>
    </row>
    <row r="3973" spans="2:5" x14ac:dyDescent="0.35">
      <c r="B3973" s="2">
        <v>38406</v>
      </c>
      <c r="C3973" s="4">
        <v>55.17</v>
      </c>
      <c r="D3973">
        <f t="shared" si="65"/>
        <v>-0.94060461210516122</v>
      </c>
      <c r="E3973">
        <v>-1.341201716738194E-2</v>
      </c>
    </row>
    <row r="3974" spans="2:5" x14ac:dyDescent="0.35">
      <c r="B3974" s="2">
        <v>42380</v>
      </c>
      <c r="C3974" s="4">
        <v>928.86</v>
      </c>
      <c r="D3974">
        <f t="shared" si="65"/>
        <v>2.444815309301291</v>
      </c>
      <c r="E3974">
        <v>-1.3425385023898007E-2</v>
      </c>
    </row>
    <row r="3975" spans="2:5" x14ac:dyDescent="0.35">
      <c r="B3975" s="2">
        <v>41873</v>
      </c>
      <c r="C3975" s="4">
        <v>269.64</v>
      </c>
      <c r="D3975">
        <f t="shared" si="65"/>
        <v>-0.89598345857700556</v>
      </c>
      <c r="E3975">
        <v>-1.3427975558889194E-2</v>
      </c>
    </row>
    <row r="3976" spans="2:5" x14ac:dyDescent="0.35">
      <c r="B3976" s="2">
        <v>44256</v>
      </c>
      <c r="C3976" s="4">
        <v>2592.2800000000002</v>
      </c>
      <c r="D3976">
        <f t="shared" si="65"/>
        <v>25.368426406265893</v>
      </c>
      <c r="E3976">
        <v>-1.3430660267852002E-2</v>
      </c>
    </row>
    <row r="3977" spans="2:5" x14ac:dyDescent="0.35">
      <c r="B3977" s="2">
        <v>40319</v>
      </c>
      <c r="C3977" s="4">
        <v>98.31</v>
      </c>
      <c r="D3977">
        <f t="shared" si="65"/>
        <v>0.48977117745112908</v>
      </c>
      <c r="E3977">
        <v>-1.344706472654289E-2</v>
      </c>
    </row>
    <row r="3978" spans="2:5" x14ac:dyDescent="0.35">
      <c r="B3978" s="2">
        <v>38806</v>
      </c>
      <c r="C3978" s="4">
        <v>65.989999999999995</v>
      </c>
      <c r="D3978">
        <f t="shared" si="65"/>
        <v>-0.20932183081715794</v>
      </c>
      <c r="E3978">
        <v>-1.3454925997907097E-2</v>
      </c>
    </row>
    <row r="3979" spans="2:5" x14ac:dyDescent="0.35">
      <c r="B3979" s="2">
        <v>41009</v>
      </c>
      <c r="C3979" s="4">
        <v>83.46</v>
      </c>
      <c r="D3979">
        <f t="shared" si="65"/>
        <v>-0.16112172077595743</v>
      </c>
      <c r="E3979">
        <v>-1.3475177304964503E-2</v>
      </c>
    </row>
    <row r="3980" spans="2:5" x14ac:dyDescent="0.35">
      <c r="B3980" s="2">
        <v>41257</v>
      </c>
      <c r="C3980" s="4">
        <v>99.49</v>
      </c>
      <c r="D3980">
        <f t="shared" si="65"/>
        <v>-2.1538158929976459E-2</v>
      </c>
      <c r="E3980">
        <v>-1.3485374318294441E-2</v>
      </c>
    </row>
    <row r="3981" spans="2:5" x14ac:dyDescent="0.35">
      <c r="B3981" s="2">
        <v>40410</v>
      </c>
      <c r="C3981" s="4">
        <v>101.68</v>
      </c>
      <c r="D3981">
        <f t="shared" si="65"/>
        <v>-0.86435070306038053</v>
      </c>
      <c r="E3981">
        <v>-1.3485980401668596E-2</v>
      </c>
    </row>
    <row r="3982" spans="2:5" x14ac:dyDescent="0.35">
      <c r="B3982" s="2">
        <v>42958</v>
      </c>
      <c r="C3982" s="4">
        <v>749.58</v>
      </c>
      <c r="D3982">
        <f t="shared" si="65"/>
        <v>21.289027653880463</v>
      </c>
      <c r="E3982">
        <v>-1.348985957385207E-2</v>
      </c>
    </row>
    <row r="3983" spans="2:5" x14ac:dyDescent="0.35">
      <c r="B3983" s="2">
        <v>39776</v>
      </c>
      <c r="C3983" s="4">
        <v>33.630000000000003</v>
      </c>
      <c r="D3983">
        <f t="shared" si="65"/>
        <v>-0.97318609472173501</v>
      </c>
      <c r="E3983">
        <v>-1.3493693165151144E-2</v>
      </c>
    </row>
    <row r="3984" spans="2:5" x14ac:dyDescent="0.35">
      <c r="B3984" s="2">
        <v>44090</v>
      </c>
      <c r="C3984" s="4">
        <v>1254.2</v>
      </c>
      <c r="D3984">
        <f t="shared" si="65"/>
        <v>11.858314537625589</v>
      </c>
      <c r="E3984">
        <v>-1.3528393896492075E-2</v>
      </c>
    </row>
    <row r="3985" spans="2:5" x14ac:dyDescent="0.35">
      <c r="B3985" s="2">
        <v>39426</v>
      </c>
      <c r="C3985" s="4">
        <v>97.54</v>
      </c>
      <c r="D3985">
        <f t="shared" si="65"/>
        <v>0.47385917195527338</v>
      </c>
      <c r="E3985">
        <v>-1.355177993527501E-2</v>
      </c>
    </row>
    <row r="3986" spans="2:5" x14ac:dyDescent="0.35">
      <c r="B3986" s="2">
        <v>40141</v>
      </c>
      <c r="C3986" s="4">
        <v>66.180000000000007</v>
      </c>
      <c r="D3986">
        <f t="shared" si="65"/>
        <v>-4.1841609960909021E-2</v>
      </c>
      <c r="E3986">
        <v>-1.3563869429125019E-2</v>
      </c>
    </row>
    <row r="3987" spans="2:5" x14ac:dyDescent="0.35">
      <c r="B3987" s="2">
        <v>38685</v>
      </c>
      <c r="C3987" s="4">
        <v>69.069999999999993</v>
      </c>
      <c r="D3987">
        <f t="shared" si="65"/>
        <v>1.3759889920880632</v>
      </c>
      <c r="E3987">
        <v>-1.3567552127963456E-2</v>
      </c>
    </row>
    <row r="3988" spans="2:5" x14ac:dyDescent="0.35">
      <c r="B3988" s="2">
        <v>37874</v>
      </c>
      <c r="C3988" s="4">
        <v>29.07</v>
      </c>
      <c r="D3988">
        <f t="shared" si="65"/>
        <v>-0.66659020529877278</v>
      </c>
      <c r="E3988">
        <v>-1.3573125212079984E-2</v>
      </c>
    </row>
    <row r="3989" spans="2:5" x14ac:dyDescent="0.35">
      <c r="B3989" s="2">
        <v>41571</v>
      </c>
      <c r="C3989" s="4">
        <v>87.19</v>
      </c>
      <c r="D3989">
        <f t="shared" si="65"/>
        <v>-0.89971590582335548</v>
      </c>
      <c r="E3989">
        <v>-1.3576196402308005E-2</v>
      </c>
    </row>
    <row r="3990" spans="2:5" x14ac:dyDescent="0.35">
      <c r="B3990" s="2">
        <v>42419</v>
      </c>
      <c r="C3990" s="4">
        <v>869.43</v>
      </c>
      <c r="D3990">
        <f t="shared" si="65"/>
        <v>0.16032296810356339</v>
      </c>
      <c r="E3990">
        <v>-1.3580667120490109E-2</v>
      </c>
    </row>
    <row r="3991" spans="2:5" x14ac:dyDescent="0.35">
      <c r="B3991" s="2">
        <v>43011</v>
      </c>
      <c r="C3991" s="4">
        <v>749.3</v>
      </c>
      <c r="D3991">
        <f t="shared" si="65"/>
        <v>7.0804486142564418</v>
      </c>
      <c r="E3991">
        <v>-1.3585740238540422E-2</v>
      </c>
    </row>
    <row r="3992" spans="2:5" x14ac:dyDescent="0.35">
      <c r="B3992" s="2">
        <v>41232</v>
      </c>
      <c r="C3992" s="4">
        <v>92.73</v>
      </c>
      <c r="D3992">
        <f t="shared" si="65"/>
        <v>0.54472763618190911</v>
      </c>
      <c r="E3992">
        <v>-1.3615572811403021E-2</v>
      </c>
    </row>
    <row r="3993" spans="2:5" x14ac:dyDescent="0.35">
      <c r="B3993" s="2">
        <v>39688</v>
      </c>
      <c r="C3993" s="4">
        <v>60.03</v>
      </c>
      <c r="D3993">
        <f t="shared" si="65"/>
        <v>-0.94888758333546197</v>
      </c>
      <c r="E3993">
        <v>-1.3637857377587825E-2</v>
      </c>
    </row>
    <row r="3994" spans="2:5" x14ac:dyDescent="0.35">
      <c r="B3994" s="2">
        <v>44098</v>
      </c>
      <c r="C3994" s="4">
        <v>1174.47</v>
      </c>
      <c r="D3994">
        <f t="shared" si="65"/>
        <v>13.664377575227869</v>
      </c>
      <c r="E3994">
        <v>-1.3655488649819802E-2</v>
      </c>
    </row>
    <row r="3995" spans="2:5" x14ac:dyDescent="0.35">
      <c r="B3995" s="2">
        <v>41359</v>
      </c>
      <c r="C3995" s="4">
        <v>80.09</v>
      </c>
      <c r="D3995">
        <f t="shared" si="65"/>
        <v>-0.86939221473883332</v>
      </c>
      <c r="E3995">
        <v>-1.3669950738916303E-2</v>
      </c>
    </row>
    <row r="3996" spans="2:5" x14ac:dyDescent="0.35">
      <c r="B3996" s="2">
        <v>42656</v>
      </c>
      <c r="C3996" s="4">
        <v>613.21</v>
      </c>
      <c r="D3996">
        <f t="shared" si="65"/>
        <v>-0.76015004067839032</v>
      </c>
      <c r="E3996">
        <v>-1.3719561231382849E-2</v>
      </c>
    </row>
    <row r="3997" spans="2:5" x14ac:dyDescent="0.35">
      <c r="B3997" s="2">
        <v>44257</v>
      </c>
      <c r="C3997" s="4">
        <v>2556.64</v>
      </c>
      <c r="D3997">
        <f t="shared" si="65"/>
        <v>0.95624794362274357</v>
      </c>
      <c r="E3997">
        <v>-1.374851482092998E-2</v>
      </c>
    </row>
    <row r="3998" spans="2:5" x14ac:dyDescent="0.35">
      <c r="B3998" s="2">
        <v>43321</v>
      </c>
      <c r="C3998" s="4">
        <v>1306.9100000000001</v>
      </c>
      <c r="D3998">
        <f t="shared" si="65"/>
        <v>21.226360544217691</v>
      </c>
      <c r="E3998">
        <v>-1.3749594379419361E-2</v>
      </c>
    </row>
    <row r="3999" spans="2:5" x14ac:dyDescent="0.35">
      <c r="B3999" s="2">
        <v>38398</v>
      </c>
      <c r="C3999" s="4">
        <v>58.8</v>
      </c>
      <c r="D3999">
        <f t="shared" si="65"/>
        <v>-0.99126663498098855</v>
      </c>
      <c r="E3999">
        <v>-1.3753773901375332E-2</v>
      </c>
    </row>
    <row r="4000" spans="2:5" x14ac:dyDescent="0.35">
      <c r="B4000" s="2">
        <v>44888</v>
      </c>
      <c r="C4000" s="4">
        <v>6732.8</v>
      </c>
      <c r="D4000">
        <f t="shared" si="65"/>
        <v>7.3608185972580973</v>
      </c>
      <c r="E4000">
        <v>-1.3762039037609419E-2</v>
      </c>
    </row>
    <row r="4001" spans="2:5" x14ac:dyDescent="0.35">
      <c r="B4001" s="2">
        <v>43628</v>
      </c>
      <c r="C4001" s="4">
        <v>805.28</v>
      </c>
      <c r="D4001">
        <f t="shared" si="65"/>
        <v>-0.86275281770196866</v>
      </c>
      <c r="E4001">
        <v>-1.3777815879392086E-2</v>
      </c>
    </row>
    <row r="4002" spans="2:5" x14ac:dyDescent="0.35">
      <c r="B4002" s="2">
        <v>44533</v>
      </c>
      <c r="C4002" s="4">
        <v>5867.37</v>
      </c>
      <c r="D4002">
        <f t="shared" si="65"/>
        <v>6.1816034271725826</v>
      </c>
      <c r="E4002">
        <v>-1.3796233265259805E-2</v>
      </c>
    </row>
    <row r="4003" spans="2:5" x14ac:dyDescent="0.35">
      <c r="B4003" s="2">
        <v>43620</v>
      </c>
      <c r="C4003" s="4">
        <v>817</v>
      </c>
      <c r="D4003">
        <f t="shared" si="65"/>
        <v>3.4268859266010976E-2</v>
      </c>
      <c r="E4003">
        <v>-1.379718262255103E-2</v>
      </c>
    </row>
    <row r="4004" spans="2:5" x14ac:dyDescent="0.35">
      <c r="B4004" s="2">
        <v>42950</v>
      </c>
      <c r="C4004" s="4">
        <v>789.93</v>
      </c>
      <c r="D4004">
        <f t="shared" si="65"/>
        <v>14.592775365179628</v>
      </c>
      <c r="E4004">
        <v>-1.382022471910116E-2</v>
      </c>
    </row>
    <row r="4005" spans="2:5" x14ac:dyDescent="0.35">
      <c r="B4005" s="2">
        <v>38324</v>
      </c>
      <c r="C4005" s="4">
        <v>50.66</v>
      </c>
      <c r="D4005">
        <f t="shared" si="65"/>
        <v>-0.2524715951010772</v>
      </c>
      <c r="E4005">
        <v>-1.3821296476542733E-2</v>
      </c>
    </row>
    <row r="4006" spans="2:5" x14ac:dyDescent="0.35">
      <c r="B4006" s="2">
        <v>40067</v>
      </c>
      <c r="C4006" s="4">
        <v>67.77</v>
      </c>
      <c r="D4006">
        <f t="shared" si="65"/>
        <v>0.21844660194174748</v>
      </c>
      <c r="E4006">
        <v>-1.3824214202561191E-2</v>
      </c>
    </row>
    <row r="4007" spans="2:5" x14ac:dyDescent="0.35">
      <c r="B4007" s="2">
        <v>38394</v>
      </c>
      <c r="C4007" s="4">
        <v>55.62</v>
      </c>
      <c r="D4007">
        <f t="shared" si="65"/>
        <v>-0.44562942290441543</v>
      </c>
      <c r="E4007">
        <v>-1.3829787234042601E-2</v>
      </c>
    </row>
    <row r="4008" spans="2:5" x14ac:dyDescent="0.35">
      <c r="B4008" s="2">
        <v>41284</v>
      </c>
      <c r="C4008" s="4">
        <v>100.33</v>
      </c>
      <c r="D4008">
        <f t="shared" si="65"/>
        <v>7.1443827424177764E-2</v>
      </c>
      <c r="E4008">
        <v>-1.3858855907214473E-2</v>
      </c>
    </row>
    <row r="4009" spans="2:5" x14ac:dyDescent="0.35">
      <c r="B4009" s="2">
        <v>41150</v>
      </c>
      <c r="C4009" s="4">
        <v>93.64</v>
      </c>
      <c r="D4009">
        <f t="shared" si="65"/>
        <v>-0.87988712160082094</v>
      </c>
      <c r="E4009">
        <v>-1.3900589721988155E-2</v>
      </c>
    </row>
    <row r="4010" spans="2:5" x14ac:dyDescent="0.35">
      <c r="B4010" s="2">
        <v>43951</v>
      </c>
      <c r="C4010" s="4">
        <v>779.6</v>
      </c>
      <c r="D4010">
        <f t="shared" si="65"/>
        <v>10.849825201398389</v>
      </c>
      <c r="E4010">
        <v>-1.3938428069110276E-2</v>
      </c>
    </row>
    <row r="4011" spans="2:5" x14ac:dyDescent="0.35">
      <c r="B4011" s="2">
        <v>38763</v>
      </c>
      <c r="C4011" s="4">
        <v>65.790000000000006</v>
      </c>
      <c r="D4011">
        <f t="shared" si="65"/>
        <v>1.3255567338282082</v>
      </c>
      <c r="E4011">
        <v>-1.3938848920863167E-2</v>
      </c>
    </row>
    <row r="4012" spans="2:5" x14ac:dyDescent="0.35">
      <c r="B4012" s="2">
        <v>37587</v>
      </c>
      <c r="C4012" s="4">
        <v>28.29</v>
      </c>
      <c r="D4012">
        <f t="shared" si="65"/>
        <v>-0.74145494425150793</v>
      </c>
      <c r="E4012">
        <v>-1.3942140118508251E-2</v>
      </c>
    </row>
    <row r="4013" spans="2:5" x14ac:dyDescent="0.35">
      <c r="B4013" s="2">
        <v>39198</v>
      </c>
      <c r="C4013" s="4">
        <v>109.42</v>
      </c>
      <c r="D4013">
        <f t="shared" si="65"/>
        <v>-0.87908189764727984</v>
      </c>
      <c r="E4013">
        <v>-1.3967739028566295E-2</v>
      </c>
    </row>
    <row r="4014" spans="2:5" x14ac:dyDescent="0.35">
      <c r="B4014" s="2">
        <v>43559</v>
      </c>
      <c r="C4014" s="4">
        <v>904.91</v>
      </c>
      <c r="D4014">
        <f t="shared" si="65"/>
        <v>0.27299711612857847</v>
      </c>
      <c r="E4014">
        <v>-1.4001481868898158E-2</v>
      </c>
    </row>
    <row r="4015" spans="2:5" x14ac:dyDescent="0.35">
      <c r="B4015" s="2">
        <v>43664</v>
      </c>
      <c r="C4015" s="4">
        <v>710.85</v>
      </c>
      <c r="D4015">
        <f t="shared" si="65"/>
        <v>11.626110124333927</v>
      </c>
      <c r="E4015">
        <v>-1.4009293293571035E-2</v>
      </c>
    </row>
    <row r="4016" spans="2:5" x14ac:dyDescent="0.35">
      <c r="B4016" s="2">
        <v>39707</v>
      </c>
      <c r="C4016" s="4">
        <v>56.3</v>
      </c>
      <c r="D4016">
        <f t="shared" si="65"/>
        <v>-0.94033172592867365</v>
      </c>
      <c r="E4016">
        <v>-1.4010507880910739E-2</v>
      </c>
    </row>
    <row r="4017" spans="2:5" x14ac:dyDescent="0.35">
      <c r="B4017" s="2">
        <v>43433</v>
      </c>
      <c r="C4017" s="4">
        <v>943.55</v>
      </c>
      <c r="D4017">
        <f t="shared" si="65"/>
        <v>0.12882386016964364</v>
      </c>
      <c r="E4017">
        <v>-1.4013124895502549E-2</v>
      </c>
    </row>
    <row r="4018" spans="2:5" x14ac:dyDescent="0.35">
      <c r="B4018" s="2">
        <v>42292</v>
      </c>
      <c r="C4018" s="4">
        <v>835.87</v>
      </c>
      <c r="D4018">
        <f t="shared" si="65"/>
        <v>3.7906350298028428</v>
      </c>
      <c r="E4018">
        <v>-1.401356531996456E-2</v>
      </c>
    </row>
    <row r="4019" spans="2:5" x14ac:dyDescent="0.35">
      <c r="B4019" s="2">
        <v>41682</v>
      </c>
      <c r="C4019" s="4">
        <v>174.48</v>
      </c>
      <c r="D4019">
        <f t="shared" si="65"/>
        <v>-0.97221660475062943</v>
      </c>
      <c r="E4019">
        <v>-1.401446654611227E-2</v>
      </c>
    </row>
    <row r="4020" spans="2:5" x14ac:dyDescent="0.35">
      <c r="B4020" s="2">
        <v>44575</v>
      </c>
      <c r="C4020" s="4">
        <v>6280.01</v>
      </c>
      <c r="D4020">
        <f t="shared" si="65"/>
        <v>52.256529850746269</v>
      </c>
      <c r="E4020">
        <v>-1.4020356993143746E-2</v>
      </c>
    </row>
    <row r="4021" spans="2:5" x14ac:dyDescent="0.35">
      <c r="B4021" s="2">
        <v>39282</v>
      </c>
      <c r="C4021" s="4">
        <v>117.92</v>
      </c>
      <c r="D4021">
        <f t="shared" si="65"/>
        <v>0.76871156442177879</v>
      </c>
      <c r="E4021">
        <v>-1.4046822742474818E-2</v>
      </c>
    </row>
    <row r="4022" spans="2:5" x14ac:dyDescent="0.35">
      <c r="B4022" s="2">
        <v>38782</v>
      </c>
      <c r="C4022" s="4">
        <v>66.67</v>
      </c>
      <c r="D4022">
        <f t="shared" si="65"/>
        <v>5.5907507127019418E-2</v>
      </c>
      <c r="E4022">
        <v>-1.4049097900029617E-2</v>
      </c>
    </row>
    <row r="4023" spans="2:5" x14ac:dyDescent="0.35">
      <c r="B4023" s="2">
        <v>38750</v>
      </c>
      <c r="C4023" s="4">
        <v>63.14</v>
      </c>
      <c r="D4023">
        <f t="shared" si="65"/>
        <v>1.2501781895937278</v>
      </c>
      <c r="E4023">
        <v>-1.4053716427233076E-2</v>
      </c>
    </row>
    <row r="4024" spans="2:5" x14ac:dyDescent="0.35">
      <c r="B4024" s="2">
        <v>38055</v>
      </c>
      <c r="C4024" s="4">
        <v>28.06</v>
      </c>
      <c r="D4024">
        <f t="shared" si="65"/>
        <v>-0.99335423850846949</v>
      </c>
      <c r="E4024">
        <v>-1.4054813773717534E-2</v>
      </c>
    </row>
    <row r="4025" spans="2:5" x14ac:dyDescent="0.35">
      <c r="B4025" s="2">
        <v>44378</v>
      </c>
      <c r="C4025" s="4">
        <v>4222.24</v>
      </c>
      <c r="D4025">
        <f t="shared" si="65"/>
        <v>14.49161621720785</v>
      </c>
      <c r="E4025">
        <v>-1.4068917849195173E-2</v>
      </c>
    </row>
    <row r="4026" spans="2:5" x14ac:dyDescent="0.35">
      <c r="B4026" s="2">
        <v>41848</v>
      </c>
      <c r="C4026" s="4">
        <v>272.55</v>
      </c>
      <c r="D4026">
        <f t="shared" si="65"/>
        <v>-0.68266073632489577</v>
      </c>
      <c r="E4026">
        <v>-1.4071769642598708E-2</v>
      </c>
    </row>
    <row r="4027" spans="2:5" x14ac:dyDescent="0.35">
      <c r="B4027" s="2">
        <v>43082</v>
      </c>
      <c r="C4027" s="4">
        <v>858.86</v>
      </c>
      <c r="D4027">
        <f t="shared" si="65"/>
        <v>0.21877705090181498</v>
      </c>
      <c r="E4027">
        <v>-1.4096471290492851E-2</v>
      </c>
    </row>
    <row r="4028" spans="2:5" x14ac:dyDescent="0.35">
      <c r="B4028" s="2">
        <v>42894</v>
      </c>
      <c r="C4028" s="4">
        <v>704.69</v>
      </c>
      <c r="D4028">
        <f t="shared" si="65"/>
        <v>12.286010558069384</v>
      </c>
      <c r="E4028">
        <v>-1.4102438546665264E-2</v>
      </c>
    </row>
    <row r="4029" spans="2:5" x14ac:dyDescent="0.35">
      <c r="B4029" s="2">
        <v>39989</v>
      </c>
      <c r="C4029" s="4">
        <v>53.04</v>
      </c>
      <c r="D4029">
        <f t="shared" si="65"/>
        <v>-0.95169442901248624</v>
      </c>
      <c r="E4029">
        <v>-1.4126394052044522E-2</v>
      </c>
    </row>
    <row r="4030" spans="2:5" x14ac:dyDescent="0.35">
      <c r="B4030" s="2">
        <v>43230</v>
      </c>
      <c r="C4030" s="4">
        <v>1098.01</v>
      </c>
      <c r="D4030">
        <f t="shared" si="65"/>
        <v>0.57925697930300468</v>
      </c>
      <c r="E4030">
        <v>-1.4132435465768811E-2</v>
      </c>
    </row>
    <row r="4031" spans="2:5" x14ac:dyDescent="0.35">
      <c r="B4031" s="2">
        <v>42815</v>
      </c>
      <c r="C4031" s="4">
        <v>695.27</v>
      </c>
      <c r="D4031">
        <f t="shared" si="65"/>
        <v>-0.66311500033917692</v>
      </c>
      <c r="E4031">
        <v>-1.4137031365209052E-2</v>
      </c>
    </row>
    <row r="4032" spans="2:5" x14ac:dyDescent="0.35">
      <c r="B4032" s="2">
        <v>44208</v>
      </c>
      <c r="C4032" s="4">
        <v>2063.8200000000002</v>
      </c>
      <c r="D4032">
        <f t="shared" si="65"/>
        <v>20.460122699386503</v>
      </c>
      <c r="E4032">
        <v>-1.4144251300497124E-2</v>
      </c>
    </row>
    <row r="4033" spans="2:5" x14ac:dyDescent="0.35">
      <c r="B4033" s="2">
        <v>40325</v>
      </c>
      <c r="C4033" s="4">
        <v>96.17</v>
      </c>
      <c r="D4033">
        <f t="shared" si="65"/>
        <v>-9.1621800321148639E-2</v>
      </c>
      <c r="E4033">
        <v>-1.4146591491542737E-2</v>
      </c>
    </row>
    <row r="4034" spans="2:5" x14ac:dyDescent="0.35">
      <c r="B4034" s="2">
        <v>39115</v>
      </c>
      <c r="C4034" s="4">
        <v>105.87</v>
      </c>
      <c r="D4034">
        <f t="shared" si="65"/>
        <v>0.24979341282021017</v>
      </c>
      <c r="E4034">
        <v>-1.4154018064996721E-2</v>
      </c>
    </row>
    <row r="4035" spans="2:5" x14ac:dyDescent="0.35">
      <c r="B4035" s="2">
        <v>39400</v>
      </c>
      <c r="C4035" s="4">
        <v>84.71</v>
      </c>
      <c r="D4035">
        <f t="shared" si="65"/>
        <v>2.7007426823940581</v>
      </c>
      <c r="E4035">
        <v>-1.4197602699872136E-2</v>
      </c>
    </row>
    <row r="4036" spans="2:5" x14ac:dyDescent="0.35">
      <c r="B4036" s="2">
        <v>37685</v>
      </c>
      <c r="C4036" s="4">
        <v>22.89</v>
      </c>
      <c r="D4036">
        <f t="shared" ref="D4036:D4099" si="66">C4036/C4037-1</f>
        <v>-0.97286017476672082</v>
      </c>
      <c r="E4036">
        <v>-1.4211886304909438E-2</v>
      </c>
    </row>
    <row r="4037" spans="2:5" x14ac:dyDescent="0.35">
      <c r="B4037" s="2">
        <v>42247</v>
      </c>
      <c r="C4037" s="4">
        <v>843.41</v>
      </c>
      <c r="D4037">
        <f t="shared" si="66"/>
        <v>37.025698827772764</v>
      </c>
      <c r="E4037">
        <v>-1.4212747057517294E-2</v>
      </c>
    </row>
    <row r="4038" spans="2:5" x14ac:dyDescent="0.35">
      <c r="B4038" s="2">
        <v>37705</v>
      </c>
      <c r="C4038" s="4">
        <v>22.18</v>
      </c>
      <c r="D4038">
        <f t="shared" si="66"/>
        <v>-0.42746515229736715</v>
      </c>
      <c r="E4038">
        <v>-1.4222222222222247E-2</v>
      </c>
    </row>
    <row r="4039" spans="2:5" x14ac:dyDescent="0.35">
      <c r="B4039" s="2">
        <v>39819</v>
      </c>
      <c r="C4039" s="4">
        <v>38.74</v>
      </c>
      <c r="D4039">
        <f t="shared" si="66"/>
        <v>-0.60501631321370308</v>
      </c>
      <c r="E4039">
        <v>-1.4249363867684384E-2</v>
      </c>
    </row>
    <row r="4040" spans="2:5" x14ac:dyDescent="0.35">
      <c r="B4040" s="2">
        <v>40700</v>
      </c>
      <c r="C4040" s="4">
        <v>98.08</v>
      </c>
      <c r="D4040">
        <f t="shared" si="66"/>
        <v>0.51194697086480634</v>
      </c>
      <c r="E4040">
        <v>-1.4271356783919664E-2</v>
      </c>
    </row>
    <row r="4041" spans="2:5" x14ac:dyDescent="0.35">
      <c r="B4041" s="2">
        <v>40052</v>
      </c>
      <c r="C4041" s="4">
        <v>64.87</v>
      </c>
      <c r="D4041">
        <f t="shared" si="66"/>
        <v>-0.90869424465494675</v>
      </c>
      <c r="E4041">
        <v>-1.4283543534417187E-2</v>
      </c>
    </row>
    <row r="4042" spans="2:5" x14ac:dyDescent="0.35">
      <c r="B4042" s="2">
        <v>42832</v>
      </c>
      <c r="C4042" s="4">
        <v>710.47</v>
      </c>
      <c r="D4042">
        <f t="shared" si="66"/>
        <v>-0.31880764731826117</v>
      </c>
      <c r="E4042">
        <v>-1.4344973016467422E-2</v>
      </c>
    </row>
    <row r="4043" spans="2:5" x14ac:dyDescent="0.35">
      <c r="B4043" s="2">
        <v>44062</v>
      </c>
      <c r="C4043" s="4">
        <v>1042.98</v>
      </c>
      <c r="D4043">
        <f t="shared" si="66"/>
        <v>0.71528657182797484</v>
      </c>
      <c r="E4043">
        <v>-1.4345656611476576E-2</v>
      </c>
    </row>
    <row r="4044" spans="2:5" x14ac:dyDescent="0.35">
      <c r="B4044" s="2">
        <v>42668</v>
      </c>
      <c r="C4044" s="4">
        <v>608.04999999999995</v>
      </c>
      <c r="D4044">
        <f t="shared" si="66"/>
        <v>4.9536864780182119</v>
      </c>
      <c r="E4044">
        <v>-1.4361900439286091E-2</v>
      </c>
    </row>
    <row r="4045" spans="2:5" x14ac:dyDescent="0.35">
      <c r="B4045" s="2">
        <v>41585</v>
      </c>
      <c r="C4045" s="4">
        <v>102.13</v>
      </c>
      <c r="D4045">
        <f t="shared" si="66"/>
        <v>-0.86940732689725719</v>
      </c>
      <c r="E4045">
        <v>-1.4379463424049499E-2</v>
      </c>
    </row>
    <row r="4046" spans="2:5" x14ac:dyDescent="0.35">
      <c r="B4046" s="2">
        <v>42563</v>
      </c>
      <c r="C4046" s="4">
        <v>782.05</v>
      </c>
      <c r="D4046">
        <f t="shared" si="66"/>
        <v>-0.21805165328507303</v>
      </c>
      <c r="E4046">
        <v>-1.4404899934466031E-2</v>
      </c>
    </row>
    <row r="4047" spans="2:5" x14ac:dyDescent="0.35">
      <c r="B4047" s="2">
        <v>42374</v>
      </c>
      <c r="C4047" s="4">
        <v>1000.13</v>
      </c>
      <c r="D4047">
        <f t="shared" si="66"/>
        <v>23.798661046367471</v>
      </c>
      <c r="E4047">
        <v>-1.4417202097047555E-2</v>
      </c>
    </row>
    <row r="4048" spans="2:5" x14ac:dyDescent="0.35">
      <c r="B4048" s="2">
        <v>37991</v>
      </c>
      <c r="C4048" s="4">
        <v>40.33</v>
      </c>
      <c r="D4048">
        <f t="shared" si="66"/>
        <v>-0.94767570092245412</v>
      </c>
      <c r="E4048">
        <v>-1.4418377321603226E-2</v>
      </c>
    </row>
    <row r="4049" spans="2:5" x14ac:dyDescent="0.35">
      <c r="B4049" s="2">
        <v>42564</v>
      </c>
      <c r="C4049" s="4">
        <v>770.77</v>
      </c>
      <c r="D4049">
        <f t="shared" si="66"/>
        <v>-6.6118205830324572E-2</v>
      </c>
      <c r="E4049">
        <v>-1.4423630202672455E-2</v>
      </c>
    </row>
    <row r="4050" spans="2:5" x14ac:dyDescent="0.35">
      <c r="B4050" s="2">
        <v>43805</v>
      </c>
      <c r="C4050" s="4">
        <v>825.34</v>
      </c>
      <c r="D4050">
        <f t="shared" si="66"/>
        <v>27.130197682344924</v>
      </c>
      <c r="E4050">
        <v>-1.4425258532158258E-2</v>
      </c>
    </row>
    <row r="4051" spans="2:5" x14ac:dyDescent="0.35">
      <c r="B4051" s="2">
        <v>39889</v>
      </c>
      <c r="C4051" s="4">
        <v>29.34</v>
      </c>
      <c r="D4051">
        <f t="shared" si="66"/>
        <v>-0.96167060760055911</v>
      </c>
      <c r="E4051">
        <v>-1.4444071212630138E-2</v>
      </c>
    </row>
    <row r="4052" spans="2:5" x14ac:dyDescent="0.35">
      <c r="B4052" s="2">
        <v>43791</v>
      </c>
      <c r="C4052" s="4">
        <v>765.47</v>
      </c>
      <c r="D4052">
        <f t="shared" si="66"/>
        <v>6.4396928758868697</v>
      </c>
      <c r="E4052">
        <v>-1.4445917933796015E-2</v>
      </c>
    </row>
    <row r="4053" spans="2:5" x14ac:dyDescent="0.35">
      <c r="B4053" s="2">
        <v>40435</v>
      </c>
      <c r="C4053" s="4">
        <v>102.89</v>
      </c>
      <c r="D4053">
        <f t="shared" si="66"/>
        <v>-0.41879907360334412</v>
      </c>
      <c r="E4053">
        <v>-1.4463601532567094E-2</v>
      </c>
    </row>
    <row r="4054" spans="2:5" x14ac:dyDescent="0.35">
      <c r="B4054" s="2">
        <v>41669</v>
      </c>
      <c r="C4054" s="4">
        <v>177.03</v>
      </c>
      <c r="D4054">
        <f t="shared" si="66"/>
        <v>0.80587575232071806</v>
      </c>
      <c r="E4054">
        <v>-1.4474196960418628E-2</v>
      </c>
    </row>
    <row r="4055" spans="2:5" x14ac:dyDescent="0.35">
      <c r="B4055" s="2">
        <v>39444</v>
      </c>
      <c r="C4055" s="4">
        <v>98.03</v>
      </c>
      <c r="D4055">
        <f t="shared" si="66"/>
        <v>-0.59618553303674404</v>
      </c>
      <c r="E4055">
        <v>-1.4476726651251659E-2</v>
      </c>
    </row>
    <row r="4056" spans="2:5" x14ac:dyDescent="0.35">
      <c r="B4056" s="2">
        <v>41802</v>
      </c>
      <c r="C4056" s="4">
        <v>242.76</v>
      </c>
      <c r="D4056">
        <f t="shared" si="66"/>
        <v>2.6060606060606064</v>
      </c>
      <c r="E4056">
        <v>-1.449275362318847E-2</v>
      </c>
    </row>
    <row r="4057" spans="2:5" x14ac:dyDescent="0.35">
      <c r="B4057" s="2">
        <v>38644</v>
      </c>
      <c r="C4057" s="4">
        <v>67.319999999999993</v>
      </c>
      <c r="D4057">
        <f t="shared" si="66"/>
        <v>1.1535508637236083</v>
      </c>
      <c r="E4057">
        <v>-1.4492753623188581E-2</v>
      </c>
    </row>
    <row r="4058" spans="2:5" x14ac:dyDescent="0.35">
      <c r="B4058" s="2">
        <v>37481</v>
      </c>
      <c r="C4058" s="4">
        <v>31.26</v>
      </c>
      <c r="D4058">
        <f t="shared" si="66"/>
        <v>-0.1146983857264231</v>
      </c>
      <c r="E4058">
        <v>-1.4501891551071844E-2</v>
      </c>
    </row>
    <row r="4059" spans="2:5" x14ac:dyDescent="0.35">
      <c r="B4059" s="2">
        <v>39799</v>
      </c>
      <c r="C4059" s="4">
        <v>35.31</v>
      </c>
      <c r="D4059">
        <f t="shared" si="66"/>
        <v>-0.95134889360412245</v>
      </c>
      <c r="E4059">
        <v>-1.4512977951437245E-2</v>
      </c>
    </row>
    <row r="4060" spans="2:5" x14ac:dyDescent="0.35">
      <c r="B4060" s="2">
        <v>42851</v>
      </c>
      <c r="C4060" s="4">
        <v>725.78</v>
      </c>
      <c r="D4060">
        <f t="shared" si="66"/>
        <v>-0.79413533322743879</v>
      </c>
      <c r="E4060">
        <v>-1.4515187312450051E-2</v>
      </c>
    </row>
    <row r="4061" spans="2:5" x14ac:dyDescent="0.35">
      <c r="B4061" s="2">
        <v>44337</v>
      </c>
      <c r="C4061" s="4">
        <v>3525.52</v>
      </c>
      <c r="D4061">
        <f t="shared" si="66"/>
        <v>3.3790383683811749</v>
      </c>
      <c r="E4061">
        <v>-1.4576526063052264E-2</v>
      </c>
    </row>
    <row r="4062" spans="2:5" x14ac:dyDescent="0.35">
      <c r="B4062" s="2">
        <v>43622</v>
      </c>
      <c r="C4062" s="4">
        <v>805.09</v>
      </c>
      <c r="D4062">
        <f t="shared" si="66"/>
        <v>-0.90885801099468377</v>
      </c>
      <c r="E4062">
        <v>-1.4577723378212948E-2</v>
      </c>
    </row>
    <row r="4063" spans="2:5" x14ac:dyDescent="0.35">
      <c r="B4063" s="2">
        <v>44656</v>
      </c>
      <c r="C4063" s="4">
        <v>8833.36</v>
      </c>
      <c r="D4063">
        <f t="shared" si="66"/>
        <v>35.71693407598304</v>
      </c>
      <c r="E4063">
        <v>-1.4578248200588173E-2</v>
      </c>
    </row>
    <row r="4064" spans="2:5" x14ac:dyDescent="0.35">
      <c r="B4064" s="2">
        <v>41764</v>
      </c>
      <c r="C4064" s="4">
        <v>240.58</v>
      </c>
      <c r="D4064">
        <f t="shared" si="66"/>
        <v>-0.70674922902521975</v>
      </c>
      <c r="E4064">
        <v>-1.4581797329401014E-2</v>
      </c>
    </row>
    <row r="4065" spans="2:5" x14ac:dyDescent="0.35">
      <c r="B4065" s="2">
        <v>43616</v>
      </c>
      <c r="C4065" s="4">
        <v>820.39</v>
      </c>
      <c r="D4065">
        <f t="shared" si="66"/>
        <v>0.39574330531831636</v>
      </c>
      <c r="E4065">
        <v>-1.4582057103047275E-2</v>
      </c>
    </row>
    <row r="4066" spans="2:5" x14ac:dyDescent="0.35">
      <c r="B4066" s="2">
        <v>42109</v>
      </c>
      <c r="C4066" s="4">
        <v>587.78</v>
      </c>
      <c r="D4066">
        <f t="shared" si="66"/>
        <v>15.112390350877195</v>
      </c>
      <c r="E4066">
        <v>-1.4585568669527982E-2</v>
      </c>
    </row>
    <row r="4067" spans="2:5" x14ac:dyDescent="0.35">
      <c r="B4067" s="2">
        <v>39758</v>
      </c>
      <c r="C4067" s="4">
        <v>36.479999999999997</v>
      </c>
      <c r="D4067">
        <f t="shared" si="66"/>
        <v>-0.5964601769911505</v>
      </c>
      <c r="E4067">
        <v>-1.4586709886547977E-2</v>
      </c>
    </row>
    <row r="4068" spans="2:5" x14ac:dyDescent="0.35">
      <c r="B4068" s="2">
        <v>41319</v>
      </c>
      <c r="C4068" s="4">
        <v>90.4</v>
      </c>
      <c r="D4068">
        <f t="shared" si="66"/>
        <v>0.18900434039195058</v>
      </c>
      <c r="E4068">
        <v>-1.4606496620884979E-2</v>
      </c>
    </row>
    <row r="4069" spans="2:5" x14ac:dyDescent="0.35">
      <c r="B4069" s="2">
        <v>41498</v>
      </c>
      <c r="C4069" s="4">
        <v>76.03</v>
      </c>
      <c r="D4069">
        <f t="shared" si="66"/>
        <v>-0.18088773971126904</v>
      </c>
      <c r="E4069">
        <v>-1.4644893727319808E-2</v>
      </c>
    </row>
    <row r="4070" spans="2:5" x14ac:dyDescent="0.35">
      <c r="B4070" s="2">
        <v>41311</v>
      </c>
      <c r="C4070" s="4">
        <v>92.82</v>
      </c>
      <c r="D4070">
        <f t="shared" si="66"/>
        <v>-0.98522797803771778</v>
      </c>
      <c r="E4070">
        <v>-1.4649681528662528E-2</v>
      </c>
    </row>
    <row r="4071" spans="2:5" x14ac:dyDescent="0.35">
      <c r="B4071" s="2">
        <v>45029</v>
      </c>
      <c r="C4071" s="4">
        <v>6283.5</v>
      </c>
      <c r="D4071">
        <f t="shared" si="66"/>
        <v>61.753420553280741</v>
      </c>
      <c r="E4071">
        <v>-1.4654341025098216E-2</v>
      </c>
    </row>
    <row r="4072" spans="2:5" x14ac:dyDescent="0.35">
      <c r="B4072" s="2">
        <v>40696</v>
      </c>
      <c r="C4072" s="4">
        <v>100.13</v>
      </c>
      <c r="D4072">
        <f t="shared" si="66"/>
        <v>-0.1945785070785071</v>
      </c>
      <c r="E4072">
        <v>-1.4662468018106778E-2</v>
      </c>
    </row>
    <row r="4073" spans="2:5" x14ac:dyDescent="0.35">
      <c r="B4073" s="2">
        <v>40274</v>
      </c>
      <c r="C4073" s="4">
        <v>124.32</v>
      </c>
      <c r="D4073">
        <f t="shared" si="66"/>
        <v>1.0330335241210138</v>
      </c>
      <c r="E4073">
        <v>-1.4662756598240567E-2</v>
      </c>
    </row>
    <row r="4074" spans="2:5" x14ac:dyDescent="0.35">
      <c r="B4074" s="2">
        <v>38902</v>
      </c>
      <c r="C4074" s="4">
        <v>61.15</v>
      </c>
      <c r="D4074">
        <f t="shared" si="66"/>
        <v>0.16676206830757501</v>
      </c>
      <c r="E4074">
        <v>-1.4663229133097033E-2</v>
      </c>
    </row>
    <row r="4075" spans="2:5" x14ac:dyDescent="0.35">
      <c r="B4075" s="2">
        <v>38358</v>
      </c>
      <c r="C4075" s="4">
        <v>52.41</v>
      </c>
      <c r="D4075">
        <f t="shared" si="66"/>
        <v>-0.29089433094303885</v>
      </c>
      <c r="E4075">
        <v>-1.466441060349688E-2</v>
      </c>
    </row>
    <row r="4076" spans="2:5" x14ac:dyDescent="0.35">
      <c r="B4076" s="2">
        <v>39506</v>
      </c>
      <c r="C4076" s="4">
        <v>73.91</v>
      </c>
      <c r="D4076">
        <f t="shared" si="66"/>
        <v>1.5583246798200068</v>
      </c>
      <c r="E4076">
        <v>-1.4664711371817241E-2</v>
      </c>
    </row>
    <row r="4077" spans="2:5" x14ac:dyDescent="0.35">
      <c r="B4077" s="2">
        <v>38050</v>
      </c>
      <c r="C4077" s="4">
        <v>28.89</v>
      </c>
      <c r="D4077">
        <f t="shared" si="66"/>
        <v>-0.64699413489736068</v>
      </c>
      <c r="E4077">
        <v>-1.4665757162346527E-2</v>
      </c>
    </row>
    <row r="4078" spans="2:5" x14ac:dyDescent="0.35">
      <c r="B4078" s="2">
        <v>40928</v>
      </c>
      <c r="C4078" s="4">
        <v>81.84</v>
      </c>
      <c r="D4078">
        <f t="shared" si="66"/>
        <v>-0.2466169566418116</v>
      </c>
      <c r="E4078">
        <v>-1.4688177221285792E-2</v>
      </c>
    </row>
    <row r="4079" spans="2:5" x14ac:dyDescent="0.35">
      <c r="B4079" s="2">
        <v>40359</v>
      </c>
      <c r="C4079" s="4">
        <v>108.63</v>
      </c>
      <c r="D4079">
        <f t="shared" si="66"/>
        <v>0.28708530805687182</v>
      </c>
      <c r="E4079">
        <v>-1.4693877551020473E-2</v>
      </c>
    </row>
    <row r="4080" spans="2:5" x14ac:dyDescent="0.35">
      <c r="B4080" s="2">
        <v>41411</v>
      </c>
      <c r="C4080" s="4">
        <v>84.4</v>
      </c>
      <c r="D4080">
        <f t="shared" si="66"/>
        <v>-0.90978568756346534</v>
      </c>
      <c r="E4080">
        <v>-1.4709315900069964E-2</v>
      </c>
    </row>
    <row r="4081" spans="2:5" x14ac:dyDescent="0.35">
      <c r="B4081" s="2">
        <v>43418</v>
      </c>
      <c r="C4081" s="4">
        <v>935.55</v>
      </c>
      <c r="D4081">
        <f t="shared" si="66"/>
        <v>8.0138741689950859</v>
      </c>
      <c r="E4081">
        <v>-1.4712696941612591E-2</v>
      </c>
    </row>
    <row r="4082" spans="2:5" x14ac:dyDescent="0.35">
      <c r="B4082" s="2">
        <v>40402</v>
      </c>
      <c r="C4082" s="4">
        <v>103.79</v>
      </c>
      <c r="D4082">
        <f t="shared" si="66"/>
        <v>-7.0981023988542669E-2</v>
      </c>
      <c r="E4082">
        <v>-1.4714258591228324E-2</v>
      </c>
    </row>
    <row r="4083" spans="2:5" x14ac:dyDescent="0.35">
      <c r="B4083" s="2">
        <v>39359</v>
      </c>
      <c r="C4083" s="4">
        <v>111.72</v>
      </c>
      <c r="D4083">
        <f t="shared" si="66"/>
        <v>1.2569696969696968</v>
      </c>
      <c r="E4083">
        <v>-1.472793015257079E-2</v>
      </c>
    </row>
    <row r="4084" spans="2:5" x14ac:dyDescent="0.35">
      <c r="B4084" s="2">
        <v>38366</v>
      </c>
      <c r="C4084" s="4">
        <v>49.5</v>
      </c>
      <c r="D4084">
        <f t="shared" si="66"/>
        <v>-5.0086355785837644E-2</v>
      </c>
      <c r="E4084">
        <v>-1.4729299363057335E-2</v>
      </c>
    </row>
    <row r="4085" spans="2:5" x14ac:dyDescent="0.35">
      <c r="B4085" s="2">
        <v>38316</v>
      </c>
      <c r="C4085" s="4">
        <v>52.11</v>
      </c>
      <c r="D4085">
        <f t="shared" si="66"/>
        <v>-0.39024104844371632</v>
      </c>
      <c r="E4085">
        <v>-1.4747589336358446E-2</v>
      </c>
    </row>
    <row r="4086" spans="2:5" x14ac:dyDescent="0.35">
      <c r="B4086" s="2">
        <v>39398</v>
      </c>
      <c r="C4086" s="4">
        <v>85.46</v>
      </c>
      <c r="D4086">
        <f t="shared" si="66"/>
        <v>-0.89330836454431961</v>
      </c>
      <c r="E4086">
        <v>-1.4756744293290325E-2</v>
      </c>
    </row>
    <row r="4087" spans="2:5" x14ac:dyDescent="0.35">
      <c r="B4087" s="2">
        <v>42949</v>
      </c>
      <c r="C4087" s="4">
        <v>801</v>
      </c>
      <c r="D4087">
        <f t="shared" si="66"/>
        <v>10.563447379818104</v>
      </c>
      <c r="E4087">
        <v>-1.4784384147991436E-2</v>
      </c>
    </row>
    <row r="4088" spans="2:5" x14ac:dyDescent="0.35">
      <c r="B4088" s="2">
        <v>38740</v>
      </c>
      <c r="C4088" s="4">
        <v>69.27</v>
      </c>
      <c r="D4088">
        <f t="shared" si="66"/>
        <v>1.4186452513966477</v>
      </c>
      <c r="E4088">
        <v>-1.4791637035983629E-2</v>
      </c>
    </row>
    <row r="4089" spans="2:5" x14ac:dyDescent="0.35">
      <c r="B4089" s="2">
        <v>37628</v>
      </c>
      <c r="C4089" s="4">
        <v>28.64</v>
      </c>
      <c r="D4089">
        <f t="shared" si="66"/>
        <v>-0.70522848909016056</v>
      </c>
      <c r="E4089">
        <v>-1.4791881664946716E-2</v>
      </c>
    </row>
    <row r="4090" spans="2:5" x14ac:dyDescent="0.35">
      <c r="B4090" s="2">
        <v>40620</v>
      </c>
      <c r="C4090" s="4">
        <v>97.16</v>
      </c>
      <c r="D4090">
        <f t="shared" si="66"/>
        <v>-0.94414808001839501</v>
      </c>
      <c r="E4090">
        <v>-1.4804299330764659E-2</v>
      </c>
    </row>
    <row r="4091" spans="2:5" x14ac:dyDescent="0.35">
      <c r="B4091" s="2">
        <v>44189</v>
      </c>
      <c r="C4091" s="4">
        <v>1739.6</v>
      </c>
      <c r="D4091">
        <f t="shared" si="66"/>
        <v>26.275007839448101</v>
      </c>
      <c r="E4091">
        <v>-1.4809571003822741E-2</v>
      </c>
    </row>
    <row r="4092" spans="2:5" x14ac:dyDescent="0.35">
      <c r="B4092" s="2">
        <v>38513</v>
      </c>
      <c r="C4092" s="4">
        <v>63.78</v>
      </c>
      <c r="D4092">
        <f t="shared" si="66"/>
        <v>-1.9824804057169132E-2</v>
      </c>
      <c r="E4092">
        <v>-1.4828544949026745E-2</v>
      </c>
    </row>
    <row r="4093" spans="2:5" x14ac:dyDescent="0.35">
      <c r="B4093" s="2">
        <v>39519</v>
      </c>
      <c r="C4093" s="4">
        <v>65.069999999999993</v>
      </c>
      <c r="D4093">
        <f t="shared" si="66"/>
        <v>-0.99049129062426933</v>
      </c>
      <c r="E4093">
        <v>-1.4837244511733627E-2</v>
      </c>
    </row>
    <row r="4094" spans="2:5" x14ac:dyDescent="0.35">
      <c r="B4094" s="2">
        <v>44882</v>
      </c>
      <c r="C4094" s="4">
        <v>6843.2</v>
      </c>
      <c r="D4094">
        <f t="shared" si="66"/>
        <v>-0.22737690666245169</v>
      </c>
      <c r="E4094">
        <v>-1.4849525290260401E-2</v>
      </c>
    </row>
    <row r="4095" spans="2:5" x14ac:dyDescent="0.35">
      <c r="B4095" s="2">
        <v>44827</v>
      </c>
      <c r="C4095" s="4">
        <v>8857.1</v>
      </c>
      <c r="D4095">
        <f t="shared" si="66"/>
        <v>0.42997142349731199</v>
      </c>
      <c r="E4095">
        <v>-1.4854320877800697E-2</v>
      </c>
    </row>
    <row r="4096" spans="2:5" x14ac:dyDescent="0.35">
      <c r="B4096" s="2">
        <v>44932</v>
      </c>
      <c r="C4096" s="4">
        <v>6193.9</v>
      </c>
      <c r="D4096">
        <f t="shared" si="66"/>
        <v>155.13561885555833</v>
      </c>
      <c r="E4096">
        <v>-1.4878845955037412E-2</v>
      </c>
    </row>
    <row r="4097" spans="2:5" x14ac:dyDescent="0.35">
      <c r="B4097" s="2">
        <v>38187</v>
      </c>
      <c r="C4097" s="4">
        <v>39.67</v>
      </c>
      <c r="D4097">
        <f t="shared" si="66"/>
        <v>-0.41072489601901363</v>
      </c>
      <c r="E4097">
        <v>-1.4899428855227215E-2</v>
      </c>
    </row>
    <row r="4098" spans="2:5" x14ac:dyDescent="0.35">
      <c r="B4098" s="2">
        <v>38679</v>
      </c>
      <c r="C4098" s="4">
        <v>67.319999999999993</v>
      </c>
      <c r="D4098">
        <f t="shared" si="66"/>
        <v>-0.92072072072072075</v>
      </c>
      <c r="E4098">
        <v>-1.4925373134328512E-2</v>
      </c>
    </row>
    <row r="4099" spans="2:5" x14ac:dyDescent="0.35">
      <c r="B4099" s="2">
        <v>42221</v>
      </c>
      <c r="C4099" s="4">
        <v>849.15</v>
      </c>
      <c r="D4099">
        <f t="shared" si="66"/>
        <v>22.83913531723751</v>
      </c>
      <c r="E4099">
        <v>-1.4930048026727927E-2</v>
      </c>
    </row>
    <row r="4100" spans="2:5" x14ac:dyDescent="0.35">
      <c r="B4100" s="2">
        <v>38005</v>
      </c>
      <c r="C4100" s="4">
        <v>35.619999999999997</v>
      </c>
      <c r="D4100">
        <f t="shared" ref="D4100:D4163" si="67">C4100/C4101-1</f>
        <v>-0.95954938790342725</v>
      </c>
      <c r="E4100">
        <v>-1.4933628318584025E-2</v>
      </c>
    </row>
    <row r="4101" spans="2:5" x14ac:dyDescent="0.35">
      <c r="B4101" s="2">
        <v>43069</v>
      </c>
      <c r="C4101" s="4">
        <v>880.58</v>
      </c>
      <c r="D4101">
        <f t="shared" si="67"/>
        <v>0.1747488627116156</v>
      </c>
      <c r="E4101">
        <v>-1.493405523922442E-2</v>
      </c>
    </row>
    <row r="4102" spans="2:5" x14ac:dyDescent="0.35">
      <c r="B4102" s="2">
        <v>43965</v>
      </c>
      <c r="C4102" s="4">
        <v>749.59</v>
      </c>
      <c r="D4102">
        <f t="shared" si="67"/>
        <v>-8.813439735292683E-2</v>
      </c>
      <c r="E4102">
        <v>-1.4941652649285153E-2</v>
      </c>
    </row>
    <row r="4103" spans="2:5" x14ac:dyDescent="0.35">
      <c r="B4103" s="2">
        <v>42524</v>
      </c>
      <c r="C4103" s="4">
        <v>822.04</v>
      </c>
      <c r="D4103">
        <f t="shared" si="67"/>
        <v>0.16286373088511974</v>
      </c>
      <c r="E4103">
        <v>-1.4942900624318467E-2</v>
      </c>
    </row>
    <row r="4104" spans="2:5" x14ac:dyDescent="0.35">
      <c r="B4104" s="2">
        <v>42877</v>
      </c>
      <c r="C4104" s="4">
        <v>706.91</v>
      </c>
      <c r="D4104">
        <f t="shared" si="67"/>
        <v>28.067023026315788</v>
      </c>
      <c r="E4104">
        <v>-1.4951786411013912E-2</v>
      </c>
    </row>
    <row r="4105" spans="2:5" x14ac:dyDescent="0.35">
      <c r="B4105" s="2">
        <v>37650</v>
      </c>
      <c r="C4105" s="4">
        <v>24.32</v>
      </c>
      <c r="D4105">
        <f t="shared" si="67"/>
        <v>-0.79436881711338458</v>
      </c>
      <c r="E4105">
        <v>-1.4985824220332122E-2</v>
      </c>
    </row>
    <row r="4106" spans="2:5" x14ac:dyDescent="0.35">
      <c r="B4106" s="2">
        <v>39248</v>
      </c>
      <c r="C4106" s="4">
        <v>118.27</v>
      </c>
      <c r="D4106">
        <f t="shared" si="67"/>
        <v>-0.87438130642591605</v>
      </c>
      <c r="E4106">
        <v>-1.4991255101190926E-2</v>
      </c>
    </row>
    <row r="4107" spans="2:5" x14ac:dyDescent="0.35">
      <c r="B4107" s="2">
        <v>42377</v>
      </c>
      <c r="C4107" s="4">
        <v>941.5</v>
      </c>
      <c r="D4107">
        <f t="shared" si="67"/>
        <v>13.80578707343922</v>
      </c>
      <c r="E4107">
        <v>-1.4992205726959806E-2</v>
      </c>
    </row>
    <row r="4108" spans="2:5" x14ac:dyDescent="0.35">
      <c r="B4108" s="2">
        <v>40056</v>
      </c>
      <c r="C4108" s="4">
        <v>63.59</v>
      </c>
      <c r="D4108">
        <f t="shared" si="67"/>
        <v>1.1098208360982085</v>
      </c>
      <c r="E4108">
        <v>-1.5024783147459697E-2</v>
      </c>
    </row>
    <row r="4109" spans="2:5" x14ac:dyDescent="0.35">
      <c r="B4109" s="2">
        <v>38100</v>
      </c>
      <c r="C4109" s="4">
        <v>30.14</v>
      </c>
      <c r="D4109">
        <f t="shared" si="67"/>
        <v>-0.89519438069406776</v>
      </c>
      <c r="E4109">
        <v>-1.5032679738562149E-2</v>
      </c>
    </row>
    <row r="4110" spans="2:5" x14ac:dyDescent="0.35">
      <c r="B4110" s="2">
        <v>41906</v>
      </c>
      <c r="C4110" s="4">
        <v>287.58</v>
      </c>
      <c r="D4110">
        <f t="shared" si="67"/>
        <v>1.7675873351939178</v>
      </c>
      <c r="E4110">
        <v>-1.5035791348426364E-2</v>
      </c>
    </row>
    <row r="4111" spans="2:5" x14ac:dyDescent="0.35">
      <c r="B4111" s="2">
        <v>40735</v>
      </c>
      <c r="C4111" s="4">
        <v>103.91</v>
      </c>
      <c r="D4111">
        <f t="shared" si="67"/>
        <v>0.14501377410468308</v>
      </c>
      <c r="E4111">
        <v>-1.5071090047393376E-2</v>
      </c>
    </row>
    <row r="4112" spans="2:5" x14ac:dyDescent="0.35">
      <c r="B4112" s="2">
        <v>39388</v>
      </c>
      <c r="C4112" s="4">
        <v>90.75</v>
      </c>
      <c r="D4112">
        <f t="shared" si="67"/>
        <v>-0.8700303620531622</v>
      </c>
      <c r="E4112">
        <v>-1.5085739092685069E-2</v>
      </c>
    </row>
    <row r="4113" spans="2:5" x14ac:dyDescent="0.35">
      <c r="B4113" s="2">
        <v>42625</v>
      </c>
      <c r="C4113" s="4">
        <v>698.24</v>
      </c>
      <c r="D4113">
        <f t="shared" si="67"/>
        <v>-0.29218323922673772</v>
      </c>
      <c r="E4113">
        <v>-1.5106848155723274E-2</v>
      </c>
    </row>
    <row r="4114" spans="2:5" x14ac:dyDescent="0.35">
      <c r="B4114" s="2">
        <v>43410</v>
      </c>
      <c r="C4114" s="4">
        <v>986.47</v>
      </c>
      <c r="D4114">
        <f t="shared" si="67"/>
        <v>0.17727017769980802</v>
      </c>
      <c r="E4114">
        <v>-1.5125496695353458E-2</v>
      </c>
    </row>
    <row r="4115" spans="2:5" x14ac:dyDescent="0.35">
      <c r="B4115" s="2">
        <v>42307</v>
      </c>
      <c r="C4115" s="4">
        <v>837.93</v>
      </c>
      <c r="D4115">
        <f t="shared" si="67"/>
        <v>-0.36235931543021516</v>
      </c>
      <c r="E4115">
        <v>-1.5126939351198909E-2</v>
      </c>
    </row>
    <row r="4116" spans="2:5" x14ac:dyDescent="0.35">
      <c r="B4116" s="2">
        <v>43341</v>
      </c>
      <c r="C4116" s="4">
        <v>1314.11</v>
      </c>
      <c r="D4116">
        <f t="shared" si="67"/>
        <v>-0.7751271007342837</v>
      </c>
      <c r="E4116">
        <v>-1.5131529641010277E-2</v>
      </c>
    </row>
    <row r="4117" spans="2:5" x14ac:dyDescent="0.35">
      <c r="B4117" s="2">
        <v>44567</v>
      </c>
      <c r="C4117" s="4">
        <v>5843.79</v>
      </c>
      <c r="D4117">
        <f t="shared" si="67"/>
        <v>10.072817189631651</v>
      </c>
      <c r="E4117">
        <v>-1.5132516962777953E-2</v>
      </c>
    </row>
    <row r="4118" spans="2:5" x14ac:dyDescent="0.35">
      <c r="B4118" s="2">
        <v>42145</v>
      </c>
      <c r="C4118" s="4">
        <v>527.76</v>
      </c>
      <c r="D4118">
        <f t="shared" si="67"/>
        <v>6.5903926362721128</v>
      </c>
      <c r="E4118">
        <v>-1.5134267639539511E-2</v>
      </c>
    </row>
    <row r="4119" spans="2:5" x14ac:dyDescent="0.35">
      <c r="B4119" s="2">
        <v>38861</v>
      </c>
      <c r="C4119" s="4">
        <v>69.53</v>
      </c>
      <c r="D4119">
        <f t="shared" si="67"/>
        <v>1.327753598928691</v>
      </c>
      <c r="E4119">
        <v>-1.5155807365438978E-2</v>
      </c>
    </row>
    <row r="4120" spans="2:5" x14ac:dyDescent="0.35">
      <c r="B4120" s="2">
        <v>37607</v>
      </c>
      <c r="C4120" s="4">
        <v>29.87</v>
      </c>
      <c r="D4120">
        <f t="shared" si="67"/>
        <v>-0.98890284134815432</v>
      </c>
      <c r="E4120">
        <v>-1.5166501813385969E-2</v>
      </c>
    </row>
    <row r="4121" spans="2:5" x14ac:dyDescent="0.35">
      <c r="B4121" s="2">
        <v>44277</v>
      </c>
      <c r="C4121" s="4">
        <v>2691.68</v>
      </c>
      <c r="D4121">
        <f t="shared" si="67"/>
        <v>-0.59199660462014192</v>
      </c>
      <c r="E4121">
        <v>-1.5172968918647056E-2</v>
      </c>
    </row>
    <row r="4122" spans="2:5" x14ac:dyDescent="0.35">
      <c r="B4122" s="2">
        <v>44951</v>
      </c>
      <c r="C4122" s="4">
        <v>6597.2</v>
      </c>
      <c r="D4122">
        <f t="shared" si="67"/>
        <v>225.24142661179698</v>
      </c>
      <c r="E4122">
        <v>-1.5174246325861951E-2</v>
      </c>
    </row>
    <row r="4123" spans="2:5" x14ac:dyDescent="0.35">
      <c r="B4123" s="2">
        <v>37530</v>
      </c>
      <c r="C4123" s="4">
        <v>29.16</v>
      </c>
      <c r="D4123">
        <f t="shared" si="67"/>
        <v>-0.53103891926664515</v>
      </c>
      <c r="E4123">
        <v>-1.5197568389057725E-2</v>
      </c>
    </row>
    <row r="4124" spans="2:5" x14ac:dyDescent="0.35">
      <c r="B4124" s="2">
        <v>38751</v>
      </c>
      <c r="C4124" s="4">
        <v>62.18</v>
      </c>
      <c r="D4124">
        <f t="shared" si="67"/>
        <v>1.4635499207606975</v>
      </c>
      <c r="E4124">
        <v>-1.5204307887234703E-2</v>
      </c>
    </row>
    <row r="4125" spans="2:5" x14ac:dyDescent="0.35">
      <c r="B4125" s="2">
        <v>37852</v>
      </c>
      <c r="C4125" s="4">
        <v>25.24</v>
      </c>
      <c r="D4125">
        <f t="shared" si="67"/>
        <v>-0.97376026613993139</v>
      </c>
      <c r="E4125">
        <v>-1.5216543113538816E-2</v>
      </c>
    </row>
    <row r="4126" spans="2:5" x14ac:dyDescent="0.35">
      <c r="B4126" s="2">
        <v>43451</v>
      </c>
      <c r="C4126" s="4">
        <v>961.9</v>
      </c>
      <c r="D4126">
        <f t="shared" si="67"/>
        <v>-0.77233567175059403</v>
      </c>
      <c r="E4126">
        <v>-1.5223645279850984E-2</v>
      </c>
    </row>
    <row r="4127" spans="2:5" x14ac:dyDescent="0.35">
      <c r="B4127" s="2">
        <v>44384</v>
      </c>
      <c r="C4127" s="4">
        <v>4225.08</v>
      </c>
      <c r="D4127">
        <f t="shared" si="67"/>
        <v>4.495824553188168</v>
      </c>
      <c r="E4127">
        <v>-1.5224687674808779E-2</v>
      </c>
    </row>
    <row r="4128" spans="2:5" x14ac:dyDescent="0.35">
      <c r="B4128" s="2">
        <v>42976</v>
      </c>
      <c r="C4128" s="4">
        <v>768.78</v>
      </c>
      <c r="D4128">
        <f t="shared" si="67"/>
        <v>35.076020647583292</v>
      </c>
      <c r="E4128">
        <v>-1.5243121381359859E-2</v>
      </c>
    </row>
    <row r="4129" spans="2:5" x14ac:dyDescent="0.35">
      <c r="B4129" s="2">
        <v>37764</v>
      </c>
      <c r="C4129" s="4">
        <v>21.31</v>
      </c>
      <c r="D4129">
        <f t="shared" si="67"/>
        <v>-0.99503309714711918</v>
      </c>
      <c r="E4129">
        <v>-1.5249537892791265E-2</v>
      </c>
    </row>
    <row r="4130" spans="2:5" x14ac:dyDescent="0.35">
      <c r="B4130" s="2">
        <v>44383</v>
      </c>
      <c r="C4130" s="4">
        <v>4290.3999999999996</v>
      </c>
      <c r="D4130">
        <f t="shared" si="67"/>
        <v>3.9638448277856835</v>
      </c>
      <c r="E4130">
        <v>-1.5254105020588216E-2</v>
      </c>
    </row>
    <row r="4131" spans="2:5" x14ac:dyDescent="0.35">
      <c r="B4131" s="2">
        <v>42423</v>
      </c>
      <c r="C4131" s="4">
        <v>864.33</v>
      </c>
      <c r="D4131">
        <f t="shared" si="67"/>
        <v>-3.2289485764188108E-2</v>
      </c>
      <c r="E4131">
        <v>-1.526665375457148E-2</v>
      </c>
    </row>
    <row r="4132" spans="2:5" x14ac:dyDescent="0.35">
      <c r="B4132" s="2">
        <v>42481</v>
      </c>
      <c r="C4132" s="4">
        <v>893.17</v>
      </c>
      <c r="D4132">
        <f t="shared" si="67"/>
        <v>12.210619730809052</v>
      </c>
      <c r="E4132">
        <v>-1.5269784569248768E-2</v>
      </c>
    </row>
    <row r="4133" spans="2:5" x14ac:dyDescent="0.35">
      <c r="B4133" s="2">
        <v>40094</v>
      </c>
      <c r="C4133" s="4">
        <v>67.61</v>
      </c>
      <c r="D4133">
        <f t="shared" si="67"/>
        <v>0.12965747702589803</v>
      </c>
      <c r="E4133">
        <v>-1.5292746868628027E-2</v>
      </c>
    </row>
    <row r="4134" spans="2:5" x14ac:dyDescent="0.35">
      <c r="B4134" s="2">
        <v>38505</v>
      </c>
      <c r="C4134" s="4">
        <v>59.85</v>
      </c>
      <c r="D4134">
        <f t="shared" si="67"/>
        <v>-0.46202247191011236</v>
      </c>
      <c r="E4134">
        <v>-1.5301085883514309E-2</v>
      </c>
    </row>
    <row r="4135" spans="2:5" x14ac:dyDescent="0.35">
      <c r="B4135" s="2">
        <v>39310</v>
      </c>
      <c r="C4135" s="4">
        <v>111.25</v>
      </c>
      <c r="D4135">
        <f t="shared" si="67"/>
        <v>-0.76126097126547787</v>
      </c>
      <c r="E4135">
        <v>-1.5312444680474435E-2</v>
      </c>
    </row>
    <row r="4136" spans="2:5" x14ac:dyDescent="0.35">
      <c r="B4136" s="2">
        <v>42059</v>
      </c>
      <c r="C4136" s="4">
        <v>465.99</v>
      </c>
      <c r="D4136">
        <f t="shared" si="67"/>
        <v>5.0050257731958769</v>
      </c>
      <c r="E4136">
        <v>-1.5319922238187789E-2</v>
      </c>
    </row>
    <row r="4137" spans="2:5" x14ac:dyDescent="0.35">
      <c r="B4137" s="2">
        <v>39618</v>
      </c>
      <c r="C4137" s="4">
        <v>77.599999999999994</v>
      </c>
      <c r="D4137">
        <f t="shared" si="67"/>
        <v>0.13152522601341499</v>
      </c>
      <c r="E4137">
        <v>-1.535338155056476E-2</v>
      </c>
    </row>
    <row r="4138" spans="2:5" x14ac:dyDescent="0.35">
      <c r="B4138" s="2">
        <v>38719</v>
      </c>
      <c r="C4138" s="4">
        <v>68.58</v>
      </c>
      <c r="D4138">
        <f t="shared" si="67"/>
        <v>-0.93874269789377784</v>
      </c>
      <c r="E4138">
        <v>-1.5362526920315922E-2</v>
      </c>
    </row>
    <row r="4139" spans="2:5" x14ac:dyDescent="0.35">
      <c r="B4139" s="2">
        <v>43217</v>
      </c>
      <c r="C4139" s="4">
        <v>1119.54</v>
      </c>
      <c r="D4139">
        <f t="shared" si="67"/>
        <v>40.60312151616499</v>
      </c>
      <c r="E4139">
        <v>-1.5364860467366181E-2</v>
      </c>
    </row>
    <row r="4140" spans="2:5" x14ac:dyDescent="0.35">
      <c r="B4140" s="2">
        <v>37642</v>
      </c>
      <c r="C4140" s="4">
        <v>26.91</v>
      </c>
      <c r="D4140">
        <f t="shared" si="67"/>
        <v>-0.44709266488596677</v>
      </c>
      <c r="E4140">
        <v>-1.5367727771679385E-2</v>
      </c>
    </row>
    <row r="4141" spans="2:5" x14ac:dyDescent="0.35">
      <c r="B4141" s="2">
        <v>40004</v>
      </c>
      <c r="C4141" s="4">
        <v>48.67</v>
      </c>
      <c r="D4141">
        <f t="shared" si="67"/>
        <v>-0.99329734345089726</v>
      </c>
      <c r="E4141">
        <v>-1.537527817115103E-2</v>
      </c>
    </row>
    <row r="4142" spans="2:5" x14ac:dyDescent="0.35">
      <c r="B4142" s="2">
        <v>44855</v>
      </c>
      <c r="C4142" s="4">
        <v>7261.3</v>
      </c>
      <c r="D4142">
        <f t="shared" si="67"/>
        <v>72.235501765002525</v>
      </c>
      <c r="E4142">
        <v>-1.5383572324485506E-2</v>
      </c>
    </row>
    <row r="4143" spans="2:5" x14ac:dyDescent="0.35">
      <c r="B4143" s="2">
        <v>40681</v>
      </c>
      <c r="C4143" s="4">
        <v>99.15</v>
      </c>
      <c r="D4143">
        <f t="shared" si="67"/>
        <v>0.74222456510279411</v>
      </c>
      <c r="E4143">
        <v>-1.5392254220456758E-2</v>
      </c>
    </row>
    <row r="4144" spans="2:5" x14ac:dyDescent="0.35">
      <c r="B4144" s="2">
        <v>38401</v>
      </c>
      <c r="C4144" s="4">
        <v>56.91</v>
      </c>
      <c r="D4144">
        <f t="shared" si="67"/>
        <v>-0.93203071815022276</v>
      </c>
      <c r="E4144">
        <v>-1.5397923875432484E-2</v>
      </c>
    </row>
    <row r="4145" spans="2:5" x14ac:dyDescent="0.35">
      <c r="B4145" s="2">
        <v>42286</v>
      </c>
      <c r="C4145" s="4">
        <v>837.29</v>
      </c>
      <c r="D4145">
        <f t="shared" si="67"/>
        <v>6.9901708178261277</v>
      </c>
      <c r="E4145">
        <v>-1.5404696668587348E-2</v>
      </c>
    </row>
    <row r="4146" spans="2:5" x14ac:dyDescent="0.35">
      <c r="B4146" s="2">
        <v>40665</v>
      </c>
      <c r="C4146" s="4">
        <v>104.79</v>
      </c>
      <c r="D4146">
        <f t="shared" si="67"/>
        <v>0.49103585657370519</v>
      </c>
      <c r="E4146">
        <v>-1.5409189138400836E-2</v>
      </c>
    </row>
    <row r="4147" spans="2:5" x14ac:dyDescent="0.35">
      <c r="B4147" s="2">
        <v>38733</v>
      </c>
      <c r="C4147" s="4">
        <v>70.28</v>
      </c>
      <c r="D4147">
        <f t="shared" si="67"/>
        <v>-0.92239313596660744</v>
      </c>
      <c r="E4147">
        <v>-1.541047912580551E-2</v>
      </c>
    </row>
    <row r="4148" spans="2:5" x14ac:dyDescent="0.35">
      <c r="B4148" s="2">
        <v>43859</v>
      </c>
      <c r="C4148" s="4">
        <v>905.59</v>
      </c>
      <c r="D4148">
        <f t="shared" si="67"/>
        <v>7.2139682539682539</v>
      </c>
      <c r="E4148">
        <v>-1.5416897702686505E-2</v>
      </c>
    </row>
    <row r="4149" spans="2:5" x14ac:dyDescent="0.35">
      <c r="B4149" s="2">
        <v>40358</v>
      </c>
      <c r="C4149" s="4">
        <v>110.25</v>
      </c>
      <c r="D4149">
        <f t="shared" si="67"/>
        <v>-0.85361093038386471</v>
      </c>
      <c r="E4149">
        <v>-1.5449187354884875E-2</v>
      </c>
    </row>
    <row r="4150" spans="2:5" x14ac:dyDescent="0.35">
      <c r="B4150" s="2">
        <v>42598</v>
      </c>
      <c r="C4150" s="4">
        <v>753.13</v>
      </c>
      <c r="D4150">
        <f t="shared" si="67"/>
        <v>-0.88106063597097306</v>
      </c>
      <c r="E4150">
        <v>-1.5451990326165177E-2</v>
      </c>
    </row>
    <row r="4151" spans="2:5" x14ac:dyDescent="0.35">
      <c r="B4151" s="2">
        <v>44923</v>
      </c>
      <c r="C4151" s="4">
        <v>6332.05</v>
      </c>
      <c r="D4151">
        <f t="shared" si="67"/>
        <v>5.5917655631896732</v>
      </c>
      <c r="E4151">
        <v>-1.5485917299604246E-2</v>
      </c>
    </row>
    <row r="4152" spans="2:5" x14ac:dyDescent="0.35">
      <c r="B4152" s="2">
        <v>43886</v>
      </c>
      <c r="C4152" s="4">
        <v>960.6</v>
      </c>
      <c r="D4152">
        <f t="shared" si="67"/>
        <v>9.1137081490840171</v>
      </c>
      <c r="E4152">
        <v>-1.5526518063028405E-2</v>
      </c>
    </row>
    <row r="4153" spans="2:5" x14ac:dyDescent="0.35">
      <c r="B4153" s="2">
        <v>41131</v>
      </c>
      <c r="C4153" s="4">
        <v>94.98</v>
      </c>
      <c r="D4153">
        <f t="shared" si="67"/>
        <v>0.47118959107806702</v>
      </c>
      <c r="E4153">
        <v>-1.5547263681592094E-2</v>
      </c>
    </row>
    <row r="4154" spans="2:5" x14ac:dyDescent="0.35">
      <c r="B4154" s="2">
        <v>38785</v>
      </c>
      <c r="C4154" s="4">
        <v>64.56</v>
      </c>
      <c r="D4154">
        <f t="shared" si="67"/>
        <v>0.70073761854583783</v>
      </c>
      <c r="E4154">
        <v>-1.5553522415370447E-2</v>
      </c>
    </row>
    <row r="4155" spans="2:5" x14ac:dyDescent="0.35">
      <c r="B4155" s="2">
        <v>38001</v>
      </c>
      <c r="C4155" s="4">
        <v>37.96</v>
      </c>
      <c r="D4155">
        <f t="shared" si="67"/>
        <v>-0.14253444770725099</v>
      </c>
      <c r="E4155">
        <v>-1.556016597510379E-2</v>
      </c>
    </row>
    <row r="4156" spans="2:5" x14ac:dyDescent="0.35">
      <c r="B4156" s="2">
        <v>39941</v>
      </c>
      <c r="C4156" s="4">
        <v>44.27</v>
      </c>
      <c r="D4156">
        <f t="shared" si="67"/>
        <v>0.12991322103113845</v>
      </c>
      <c r="E4156">
        <v>-1.5565932844118224E-2</v>
      </c>
    </row>
    <row r="4157" spans="2:5" x14ac:dyDescent="0.35">
      <c r="B4157" s="2">
        <v>38203</v>
      </c>
      <c r="C4157" s="4">
        <v>39.18</v>
      </c>
      <c r="D4157">
        <f t="shared" si="67"/>
        <v>-0.6264302059496567</v>
      </c>
      <c r="E4157">
        <v>-1.5577889447236148E-2</v>
      </c>
    </row>
    <row r="4158" spans="2:5" x14ac:dyDescent="0.35">
      <c r="B4158" s="2">
        <v>39121</v>
      </c>
      <c r="C4158" s="4">
        <v>104.88</v>
      </c>
      <c r="D4158">
        <f t="shared" si="67"/>
        <v>1.3235436189739991E-2</v>
      </c>
      <c r="E4158">
        <v>-1.5581002440398062E-2</v>
      </c>
    </row>
    <row r="4159" spans="2:5" x14ac:dyDescent="0.35">
      <c r="B4159" s="2">
        <v>40745</v>
      </c>
      <c r="C4159" s="4">
        <v>103.51</v>
      </c>
      <c r="D4159">
        <f t="shared" si="67"/>
        <v>-0.79445988880063545</v>
      </c>
      <c r="E4159">
        <v>-1.5596766524013317E-2</v>
      </c>
    </row>
    <row r="4160" spans="2:5" x14ac:dyDescent="0.35">
      <c r="B4160" s="2">
        <v>42136</v>
      </c>
      <c r="C4160" s="4">
        <v>503.6</v>
      </c>
      <c r="D4160">
        <f t="shared" si="67"/>
        <v>3.8172948153816719</v>
      </c>
      <c r="E4160">
        <v>-1.559873333593953E-2</v>
      </c>
    </row>
    <row r="4161" spans="2:5" x14ac:dyDescent="0.35">
      <c r="B4161" s="2">
        <v>39119</v>
      </c>
      <c r="C4161" s="4">
        <v>104.54</v>
      </c>
      <c r="D4161">
        <f t="shared" si="67"/>
        <v>7.7954217364404998E-2</v>
      </c>
      <c r="E4161">
        <v>-1.5630885122410509E-2</v>
      </c>
    </row>
    <row r="4162" spans="2:5" x14ac:dyDescent="0.35">
      <c r="B4162" s="2">
        <v>41591</v>
      </c>
      <c r="C4162" s="4">
        <v>96.98</v>
      </c>
      <c r="D4162">
        <f t="shared" si="67"/>
        <v>-0.14381566169329918</v>
      </c>
      <c r="E4162">
        <v>-1.5631343889565441E-2</v>
      </c>
    </row>
    <row r="4163" spans="2:5" x14ac:dyDescent="0.35">
      <c r="B4163" s="2">
        <v>39223</v>
      </c>
      <c r="C4163" s="4">
        <v>113.27</v>
      </c>
      <c r="D4163">
        <f t="shared" si="67"/>
        <v>1.145671528698617</v>
      </c>
      <c r="E4163">
        <v>-1.5642652298600845E-2</v>
      </c>
    </row>
    <row r="4164" spans="2:5" x14ac:dyDescent="0.35">
      <c r="B4164" s="2">
        <v>38266</v>
      </c>
      <c r="C4164" s="4">
        <v>52.79</v>
      </c>
      <c r="D4164">
        <f t="shared" ref="D4164:D4227" si="68">C4164/C4165-1</f>
        <v>-0.46132653061224493</v>
      </c>
      <c r="E4164">
        <v>-1.5662875256386433E-2</v>
      </c>
    </row>
    <row r="4165" spans="2:5" x14ac:dyDescent="0.35">
      <c r="B4165" s="2">
        <v>40617</v>
      </c>
      <c r="C4165" s="4">
        <v>98</v>
      </c>
      <c r="D4165">
        <f t="shared" si="68"/>
        <v>-0.87015912132172712</v>
      </c>
      <c r="E4165">
        <v>-1.5668943350743314E-2</v>
      </c>
    </row>
    <row r="4166" spans="2:5" x14ac:dyDescent="0.35">
      <c r="B4166" s="2">
        <v>42969</v>
      </c>
      <c r="C4166" s="4">
        <v>754.77</v>
      </c>
      <c r="D4166">
        <f t="shared" si="68"/>
        <v>-0.90139087764039427</v>
      </c>
      <c r="E4166">
        <v>-1.5701412344648613E-2</v>
      </c>
    </row>
    <row r="4167" spans="2:5" x14ac:dyDescent="0.35">
      <c r="B4167" s="2">
        <v>44670</v>
      </c>
      <c r="C4167" s="4">
        <v>7654.16</v>
      </c>
      <c r="D4167">
        <f t="shared" si="68"/>
        <v>11.303943159349933</v>
      </c>
      <c r="E4167">
        <v>-1.5711761574211058E-2</v>
      </c>
    </row>
    <row r="4168" spans="2:5" x14ac:dyDescent="0.35">
      <c r="B4168" s="2">
        <v>42650</v>
      </c>
      <c r="C4168" s="4">
        <v>622.09</v>
      </c>
      <c r="D4168">
        <f t="shared" si="68"/>
        <v>10.188669064748202</v>
      </c>
      <c r="E4168">
        <v>-1.5727101561634593E-2</v>
      </c>
    </row>
    <row r="4169" spans="2:5" x14ac:dyDescent="0.35">
      <c r="B4169" s="2">
        <v>38880</v>
      </c>
      <c r="C4169" s="4">
        <v>55.6</v>
      </c>
      <c r="D4169">
        <f t="shared" si="68"/>
        <v>-0.4653332051158765</v>
      </c>
      <c r="E4169">
        <v>-1.5755000885112391E-2</v>
      </c>
    </row>
    <row r="4170" spans="2:5" x14ac:dyDescent="0.35">
      <c r="B4170" s="2">
        <v>40234</v>
      </c>
      <c r="C4170" s="4">
        <v>103.99</v>
      </c>
      <c r="D4170">
        <f t="shared" si="68"/>
        <v>-0.98506540974259771</v>
      </c>
      <c r="E4170">
        <v>-1.5805413590762818E-2</v>
      </c>
    </row>
    <row r="4171" spans="2:5" x14ac:dyDescent="0.35">
      <c r="B4171" s="2">
        <v>44608</v>
      </c>
      <c r="C4171" s="4">
        <v>6963.03</v>
      </c>
      <c r="D4171">
        <f t="shared" si="68"/>
        <v>44.9</v>
      </c>
      <c r="E4171">
        <v>-1.5827539466375384E-2</v>
      </c>
    </row>
    <row r="4172" spans="2:5" x14ac:dyDescent="0.35">
      <c r="B4172" s="2">
        <v>41625</v>
      </c>
      <c r="C4172" s="4">
        <v>151.69999999999999</v>
      </c>
      <c r="D4172">
        <f t="shared" si="68"/>
        <v>0.78135274776890551</v>
      </c>
      <c r="E4172">
        <v>-1.5829765148566266E-2</v>
      </c>
    </row>
    <row r="4173" spans="2:5" x14ac:dyDescent="0.35">
      <c r="B4173" s="2">
        <v>40815</v>
      </c>
      <c r="C4173" s="4">
        <v>85.16</v>
      </c>
      <c r="D4173">
        <f t="shared" si="68"/>
        <v>-0.89087647360328037</v>
      </c>
      <c r="E4173">
        <v>-1.5832659193343424E-2</v>
      </c>
    </row>
    <row r="4174" spans="2:5" x14ac:dyDescent="0.35">
      <c r="B4174" s="2">
        <v>42389</v>
      </c>
      <c r="C4174" s="4">
        <v>780.4</v>
      </c>
      <c r="D4174">
        <f t="shared" si="68"/>
        <v>8.3126491646778042</v>
      </c>
      <c r="E4174">
        <v>-1.5851797672043144E-2</v>
      </c>
    </row>
    <row r="4175" spans="2:5" x14ac:dyDescent="0.35">
      <c r="B4175" s="2">
        <v>41544</v>
      </c>
      <c r="C4175" s="4">
        <v>83.8</v>
      </c>
      <c r="D4175">
        <f t="shared" si="68"/>
        <v>-0.87752835262480999</v>
      </c>
      <c r="E4175">
        <v>-1.5854374633000656E-2</v>
      </c>
    </row>
    <row r="4176" spans="2:5" x14ac:dyDescent="0.35">
      <c r="B4176" s="2">
        <v>42816</v>
      </c>
      <c r="C4176" s="4">
        <v>684.24</v>
      </c>
      <c r="D4176">
        <f t="shared" si="68"/>
        <v>-0.25317616240995422</v>
      </c>
      <c r="E4176">
        <v>-1.5864340472046767E-2</v>
      </c>
    </row>
    <row r="4177" spans="2:5" x14ac:dyDescent="0.35">
      <c r="B4177" s="2">
        <v>43425</v>
      </c>
      <c r="C4177" s="4">
        <v>916.2</v>
      </c>
      <c r="D4177">
        <f t="shared" si="68"/>
        <v>0.15087490107902379</v>
      </c>
      <c r="E4177">
        <v>-1.5875743839824707E-2</v>
      </c>
    </row>
    <row r="4178" spans="2:5" x14ac:dyDescent="0.35">
      <c r="B4178" s="2">
        <v>42556</v>
      </c>
      <c r="C4178" s="4">
        <v>796.09</v>
      </c>
      <c r="D4178">
        <f t="shared" si="68"/>
        <v>23.337817181290127</v>
      </c>
      <c r="E4178">
        <v>-1.5909315664557E-2</v>
      </c>
    </row>
    <row r="4179" spans="2:5" x14ac:dyDescent="0.35">
      <c r="B4179" s="2">
        <v>38034</v>
      </c>
      <c r="C4179" s="4">
        <v>32.71</v>
      </c>
      <c r="D4179">
        <f t="shared" si="68"/>
        <v>-0.95999364007729748</v>
      </c>
      <c r="E4179">
        <v>-1.5944645006016889E-2</v>
      </c>
    </row>
    <row r="4180" spans="2:5" x14ac:dyDescent="0.35">
      <c r="B4180" s="2">
        <v>43823</v>
      </c>
      <c r="C4180" s="4">
        <v>817.62</v>
      </c>
      <c r="D4180">
        <f t="shared" si="68"/>
        <v>7.2813734427225771</v>
      </c>
      <c r="E4180">
        <v>-1.5947139745086436E-2</v>
      </c>
    </row>
    <row r="4181" spans="2:5" x14ac:dyDescent="0.35">
      <c r="B4181" s="2">
        <v>41264</v>
      </c>
      <c r="C4181" s="4">
        <v>98.73</v>
      </c>
      <c r="D4181">
        <f t="shared" si="68"/>
        <v>-6.4170616113744083E-2</v>
      </c>
      <c r="E4181">
        <v>-1.5947373666899134E-2</v>
      </c>
    </row>
    <row r="4182" spans="2:5" x14ac:dyDescent="0.35">
      <c r="B4182" s="2">
        <v>40732</v>
      </c>
      <c r="C4182" s="4">
        <v>105.5</v>
      </c>
      <c r="D4182">
        <f t="shared" si="68"/>
        <v>-0.88550529605834349</v>
      </c>
      <c r="E4182">
        <v>-1.5950004663743966E-2</v>
      </c>
    </row>
    <row r="4183" spans="2:5" x14ac:dyDescent="0.35">
      <c r="B4183" s="2">
        <v>43150</v>
      </c>
      <c r="C4183" s="4">
        <v>921.44</v>
      </c>
      <c r="D4183">
        <f t="shared" si="68"/>
        <v>9.4483501530785805</v>
      </c>
      <c r="E4183">
        <v>-1.5955060979516822E-2</v>
      </c>
    </row>
    <row r="4184" spans="2:5" x14ac:dyDescent="0.35">
      <c r="B4184" s="2">
        <v>41071</v>
      </c>
      <c r="C4184" s="4">
        <v>88.19</v>
      </c>
      <c r="D4184">
        <f t="shared" si="68"/>
        <v>-0.85338564612392143</v>
      </c>
      <c r="E4184">
        <v>-1.5956259763445724E-2</v>
      </c>
    </row>
    <row r="4185" spans="2:5" x14ac:dyDescent="0.35">
      <c r="B4185" s="2">
        <v>43697</v>
      </c>
      <c r="C4185" s="4">
        <v>601.51</v>
      </c>
      <c r="D4185">
        <f t="shared" si="68"/>
        <v>7.7276552524666275</v>
      </c>
      <c r="E4185">
        <v>-1.5966757733898218E-2</v>
      </c>
    </row>
    <row r="4186" spans="2:5" x14ac:dyDescent="0.35">
      <c r="B4186" s="2">
        <v>40091</v>
      </c>
      <c r="C4186" s="4">
        <v>68.92</v>
      </c>
      <c r="D4186">
        <f t="shared" si="68"/>
        <v>-0.91189855294779365</v>
      </c>
      <c r="E4186">
        <v>-1.5990862364363312E-2</v>
      </c>
    </row>
    <row r="4187" spans="2:5" x14ac:dyDescent="0.35">
      <c r="B4187" s="2">
        <v>42216</v>
      </c>
      <c r="C4187" s="4">
        <v>782.28</v>
      </c>
      <c r="D4187">
        <f t="shared" si="68"/>
        <v>12.989270386266094</v>
      </c>
      <c r="E4187">
        <v>-1.6012377202802464E-2</v>
      </c>
    </row>
    <row r="4188" spans="2:5" x14ac:dyDescent="0.35">
      <c r="B4188" s="2">
        <v>38405</v>
      </c>
      <c r="C4188" s="4">
        <v>55.92</v>
      </c>
      <c r="D4188">
        <f t="shared" si="68"/>
        <v>-0.41266673668732268</v>
      </c>
      <c r="E4188">
        <v>-1.6012669364772081E-2</v>
      </c>
    </row>
    <row r="4189" spans="2:5" x14ac:dyDescent="0.35">
      <c r="B4189" s="2">
        <v>40850</v>
      </c>
      <c r="C4189" s="4">
        <v>95.21</v>
      </c>
      <c r="D4189">
        <f t="shared" si="68"/>
        <v>1.9250384024577571</v>
      </c>
      <c r="E4189">
        <v>-1.6019016122364782E-2</v>
      </c>
    </row>
    <row r="4190" spans="2:5" x14ac:dyDescent="0.35">
      <c r="B4190" s="2">
        <v>38015</v>
      </c>
      <c r="C4190" s="4">
        <v>32.549999999999997</v>
      </c>
      <c r="D4190">
        <f t="shared" si="68"/>
        <v>-0.96154300567107753</v>
      </c>
      <c r="E4190">
        <v>-1.6021765417170486E-2</v>
      </c>
    </row>
    <row r="4191" spans="2:5" x14ac:dyDescent="0.35">
      <c r="B4191" s="2">
        <v>42510</v>
      </c>
      <c r="C4191" s="4">
        <v>846.4</v>
      </c>
      <c r="D4191">
        <f t="shared" si="68"/>
        <v>32.667462211614954</v>
      </c>
      <c r="E4191">
        <v>-1.6042780748663166E-2</v>
      </c>
    </row>
    <row r="4192" spans="2:5" x14ac:dyDescent="0.35">
      <c r="B4192" s="2">
        <v>37656</v>
      </c>
      <c r="C4192" s="4">
        <v>25.14</v>
      </c>
      <c r="D4192">
        <f t="shared" si="68"/>
        <v>-0.62722419928825623</v>
      </c>
      <c r="E4192">
        <v>-1.6046966731898205E-2</v>
      </c>
    </row>
    <row r="4193" spans="2:5" x14ac:dyDescent="0.35">
      <c r="B4193" s="2">
        <v>38639</v>
      </c>
      <c r="C4193" s="4">
        <v>67.44</v>
      </c>
      <c r="D4193">
        <f t="shared" si="68"/>
        <v>-0.26174055829228238</v>
      </c>
      <c r="E4193">
        <v>-1.6049022468631602E-2</v>
      </c>
    </row>
    <row r="4194" spans="2:5" x14ac:dyDescent="0.35">
      <c r="B4194" s="2">
        <v>41313</v>
      </c>
      <c r="C4194" s="4">
        <v>91.35</v>
      </c>
      <c r="D4194">
        <f t="shared" si="68"/>
        <v>3.2587412587412583</v>
      </c>
      <c r="E4194">
        <v>-1.6049116760017301E-2</v>
      </c>
    </row>
    <row r="4195" spans="2:5" x14ac:dyDescent="0.35">
      <c r="B4195" s="2">
        <v>37770</v>
      </c>
      <c r="C4195" s="4">
        <v>21.45</v>
      </c>
      <c r="D4195">
        <f t="shared" si="68"/>
        <v>-0.90919097413318661</v>
      </c>
      <c r="E4195">
        <v>-1.6055045871559703E-2</v>
      </c>
    </row>
    <row r="4196" spans="2:5" x14ac:dyDescent="0.35">
      <c r="B4196" s="2">
        <v>41766</v>
      </c>
      <c r="C4196" s="4">
        <v>236.21</v>
      </c>
      <c r="D4196">
        <f t="shared" si="68"/>
        <v>-0.81348799014576056</v>
      </c>
      <c r="E4196">
        <v>-1.6078643728912323E-2</v>
      </c>
    </row>
    <row r="4197" spans="2:5" x14ac:dyDescent="0.35">
      <c r="B4197" s="2">
        <v>44103</v>
      </c>
      <c r="C4197" s="4">
        <v>1266.46</v>
      </c>
      <c r="D4197">
        <f t="shared" si="68"/>
        <v>-0.70058702400344219</v>
      </c>
      <c r="E4197">
        <v>-1.6089560819472215E-2</v>
      </c>
    </row>
    <row r="4198" spans="2:5" x14ac:dyDescent="0.35">
      <c r="B4198" s="2">
        <v>44412</v>
      </c>
      <c r="C4198" s="4">
        <v>4229.8100000000004</v>
      </c>
      <c r="D4198">
        <f t="shared" si="68"/>
        <v>7.1088319306788339</v>
      </c>
      <c r="E4198">
        <v>-1.6094440567573809E-2</v>
      </c>
    </row>
    <row r="4199" spans="2:5" x14ac:dyDescent="0.35">
      <c r="B4199" s="2">
        <v>42094</v>
      </c>
      <c r="C4199" s="4">
        <v>521.63</v>
      </c>
      <c r="D4199">
        <f t="shared" si="68"/>
        <v>0.48850017121333189</v>
      </c>
      <c r="E4199">
        <v>-1.6108040817096381E-2</v>
      </c>
    </row>
    <row r="4200" spans="2:5" x14ac:dyDescent="0.35">
      <c r="B4200" s="2">
        <v>42040</v>
      </c>
      <c r="C4200" s="4">
        <v>350.44</v>
      </c>
      <c r="D4200">
        <f t="shared" si="68"/>
        <v>1.7216526871699287</v>
      </c>
      <c r="E4200">
        <v>-1.6115447245774628E-2</v>
      </c>
    </row>
    <row r="4201" spans="2:5" x14ac:dyDescent="0.35">
      <c r="B4201" s="2">
        <v>40262</v>
      </c>
      <c r="C4201" s="4">
        <v>128.76</v>
      </c>
      <c r="D4201">
        <f t="shared" si="68"/>
        <v>0.19899431976906601</v>
      </c>
      <c r="E4201">
        <v>-1.612287002368773E-2</v>
      </c>
    </row>
    <row r="4202" spans="2:5" x14ac:dyDescent="0.35">
      <c r="B4202" s="2">
        <v>39114</v>
      </c>
      <c r="C4202" s="4">
        <v>107.39</v>
      </c>
      <c r="D4202">
        <f t="shared" si="68"/>
        <v>1.0966419367434597</v>
      </c>
      <c r="E4202">
        <v>-1.612459917544673E-2</v>
      </c>
    </row>
    <row r="4203" spans="2:5" x14ac:dyDescent="0.35">
      <c r="B4203" s="2">
        <v>38313</v>
      </c>
      <c r="C4203" s="4">
        <v>51.22</v>
      </c>
      <c r="D4203">
        <f t="shared" si="68"/>
        <v>-0.50938697318007664</v>
      </c>
      <c r="E4203">
        <v>-1.6135228582405015E-2</v>
      </c>
    </row>
    <row r="4204" spans="2:5" x14ac:dyDescent="0.35">
      <c r="B4204" s="2">
        <v>40434</v>
      </c>
      <c r="C4204" s="4">
        <v>104.4</v>
      </c>
      <c r="D4204">
        <f t="shared" si="68"/>
        <v>8.2538365823309867E-2</v>
      </c>
      <c r="E4204">
        <v>-1.62080663399925E-2</v>
      </c>
    </row>
    <row r="4205" spans="2:5" x14ac:dyDescent="0.35">
      <c r="B4205" s="2">
        <v>39457</v>
      </c>
      <c r="C4205" s="4">
        <v>96.44</v>
      </c>
      <c r="D4205">
        <f t="shared" si="68"/>
        <v>-0.87583205654765739</v>
      </c>
      <c r="E4205">
        <v>-1.621952463531573E-2</v>
      </c>
    </row>
    <row r="4206" spans="2:5" x14ac:dyDescent="0.35">
      <c r="B4206" s="2">
        <v>43790</v>
      </c>
      <c r="C4206" s="4">
        <v>776.69</v>
      </c>
      <c r="D4206">
        <f t="shared" si="68"/>
        <v>-1.5302500126781249E-2</v>
      </c>
      <c r="E4206">
        <v>-1.6225459151361532E-2</v>
      </c>
    </row>
    <row r="4207" spans="2:5" x14ac:dyDescent="0.35">
      <c r="B4207" s="2">
        <v>42956</v>
      </c>
      <c r="C4207" s="4">
        <v>788.76</v>
      </c>
      <c r="D4207">
        <f t="shared" si="68"/>
        <v>2.0764070361558566</v>
      </c>
      <c r="E4207">
        <v>-1.6251138078549165E-2</v>
      </c>
    </row>
    <row r="4208" spans="2:5" x14ac:dyDescent="0.35">
      <c r="B4208" s="2">
        <v>41717</v>
      </c>
      <c r="C4208" s="4">
        <v>256.39</v>
      </c>
      <c r="D4208">
        <f t="shared" si="68"/>
        <v>-0.57551324503311263</v>
      </c>
      <c r="E4208">
        <v>-1.6268273030733305E-2</v>
      </c>
    </row>
    <row r="4209" spans="2:5" x14ac:dyDescent="0.35">
      <c r="B4209" s="2">
        <v>42103</v>
      </c>
      <c r="C4209" s="4">
        <v>604</v>
      </c>
      <c r="D4209">
        <f t="shared" si="68"/>
        <v>-0.79633950608958359</v>
      </c>
      <c r="E4209">
        <v>-1.6270623300053799E-2</v>
      </c>
    </row>
    <row r="4210" spans="2:5" x14ac:dyDescent="0.35">
      <c r="B4210" s="2">
        <v>44306</v>
      </c>
      <c r="C4210" s="4">
        <v>2965.72</v>
      </c>
      <c r="D4210">
        <f t="shared" si="68"/>
        <v>3.8861868986424142</v>
      </c>
      <c r="E4210">
        <v>-1.6299264310780659E-2</v>
      </c>
    </row>
    <row r="4211" spans="2:5" x14ac:dyDescent="0.35">
      <c r="B4211" s="2">
        <v>42885</v>
      </c>
      <c r="C4211" s="4">
        <v>606.96</v>
      </c>
      <c r="D4211">
        <f t="shared" si="68"/>
        <v>8.8676637945049599</v>
      </c>
      <c r="E4211">
        <v>-1.630417166380338E-2</v>
      </c>
    </row>
    <row r="4212" spans="2:5" x14ac:dyDescent="0.35">
      <c r="B4212" s="2">
        <v>39674</v>
      </c>
      <c r="C4212" s="4">
        <v>61.51</v>
      </c>
      <c r="D4212">
        <f t="shared" si="68"/>
        <v>1.3211320754716982</v>
      </c>
      <c r="E4212">
        <v>-1.6312170158324091E-2</v>
      </c>
    </row>
    <row r="4213" spans="2:5" x14ac:dyDescent="0.35">
      <c r="B4213" s="2">
        <v>37805</v>
      </c>
      <c r="C4213" s="4">
        <v>26.5</v>
      </c>
      <c r="D4213">
        <f t="shared" si="68"/>
        <v>-0.90408628614861197</v>
      </c>
      <c r="E4213">
        <v>-1.6332590942836012E-2</v>
      </c>
    </row>
    <row r="4214" spans="2:5" x14ac:dyDescent="0.35">
      <c r="B4214" s="2">
        <v>41971</v>
      </c>
      <c r="C4214" s="4">
        <v>276.29000000000002</v>
      </c>
      <c r="D4214">
        <f t="shared" si="68"/>
        <v>1.6876459143968874</v>
      </c>
      <c r="E4214">
        <v>-1.6341498148675471E-2</v>
      </c>
    </row>
    <row r="4215" spans="2:5" x14ac:dyDescent="0.35">
      <c r="B4215" s="2">
        <v>41281</v>
      </c>
      <c r="C4215" s="4">
        <v>102.8</v>
      </c>
      <c r="D4215">
        <f t="shared" si="68"/>
        <v>-0.9877896977356303</v>
      </c>
      <c r="E4215">
        <v>-1.6362070615252189E-2</v>
      </c>
    </row>
    <row r="4216" spans="2:5" x14ac:dyDescent="0.35">
      <c r="B4216" s="2">
        <v>44725</v>
      </c>
      <c r="C4216" s="4">
        <v>8419.1200000000008</v>
      </c>
      <c r="D4216">
        <f t="shared" si="68"/>
        <v>-3.2670877247810148E-2</v>
      </c>
      <c r="E4216">
        <v>-1.6377507506454836E-2</v>
      </c>
    </row>
    <row r="4217" spans="2:5" x14ac:dyDescent="0.35">
      <c r="B4217" s="2">
        <v>44658</v>
      </c>
      <c r="C4217" s="4">
        <v>8703.4699999999993</v>
      </c>
      <c r="D4217">
        <f t="shared" si="68"/>
        <v>268.20723785957313</v>
      </c>
      <c r="E4217">
        <v>-1.6399241460211766E-2</v>
      </c>
    </row>
    <row r="4218" spans="2:5" x14ac:dyDescent="0.35">
      <c r="B4218" s="2">
        <v>37490</v>
      </c>
      <c r="C4218" s="4">
        <v>32.33</v>
      </c>
      <c r="D4218">
        <f t="shared" si="68"/>
        <v>-0.95917310703641967</v>
      </c>
      <c r="E4218">
        <v>-1.6428354122299926E-2</v>
      </c>
    </row>
    <row r="4219" spans="2:5" x14ac:dyDescent="0.35">
      <c r="B4219" s="2">
        <v>43949</v>
      </c>
      <c r="C4219" s="4">
        <v>791.88</v>
      </c>
      <c r="D4219">
        <f t="shared" si="68"/>
        <v>0.78838727161860023</v>
      </c>
      <c r="E4219">
        <v>-1.6469185483270032E-2</v>
      </c>
    </row>
    <row r="4220" spans="2:5" x14ac:dyDescent="0.35">
      <c r="B4220" s="2">
        <v>42055</v>
      </c>
      <c r="C4220" s="4">
        <v>442.79</v>
      </c>
      <c r="D4220">
        <f t="shared" si="68"/>
        <v>3.0136874546773029</v>
      </c>
      <c r="E4220">
        <v>-1.6481197663312575E-2</v>
      </c>
    </row>
    <row r="4221" spans="2:5" x14ac:dyDescent="0.35">
      <c r="B4221" s="2">
        <v>40374</v>
      </c>
      <c r="C4221" s="4">
        <v>110.32</v>
      </c>
      <c r="D4221">
        <f t="shared" si="68"/>
        <v>-0.79610394410971053</v>
      </c>
      <c r="E4221">
        <v>-1.6492823393064127E-2</v>
      </c>
    </row>
    <row r="4222" spans="2:5" x14ac:dyDescent="0.35">
      <c r="B4222" s="2">
        <v>42178</v>
      </c>
      <c r="C4222" s="4">
        <v>541.05999999999995</v>
      </c>
      <c r="D4222">
        <f t="shared" si="68"/>
        <v>4.5544605276665635</v>
      </c>
      <c r="E4222">
        <v>-1.6504889664449074E-2</v>
      </c>
    </row>
    <row r="4223" spans="2:5" x14ac:dyDescent="0.35">
      <c r="B4223" s="2">
        <v>40757</v>
      </c>
      <c r="C4223" s="4">
        <v>97.41</v>
      </c>
      <c r="D4223">
        <f t="shared" si="68"/>
        <v>1.0524652338811631</v>
      </c>
      <c r="E4223">
        <v>-1.655729429581021E-2</v>
      </c>
    </row>
    <row r="4224" spans="2:5" x14ac:dyDescent="0.35">
      <c r="B4224" s="2">
        <v>39721</v>
      </c>
      <c r="C4224" s="4">
        <v>47.46</v>
      </c>
      <c r="D4224">
        <f t="shared" si="68"/>
        <v>-0.49952546662448594</v>
      </c>
      <c r="E4224">
        <v>-1.6576875259013635E-2</v>
      </c>
    </row>
    <row r="4225" spans="2:5" x14ac:dyDescent="0.35">
      <c r="B4225" s="2">
        <v>41297</v>
      </c>
      <c r="C4225" s="4">
        <v>94.83</v>
      </c>
      <c r="D4225">
        <f t="shared" si="68"/>
        <v>0.92822285481903211</v>
      </c>
      <c r="E4225">
        <v>-1.659234678004784E-2</v>
      </c>
    </row>
    <row r="4226" spans="2:5" x14ac:dyDescent="0.35">
      <c r="B4226" s="2">
        <v>38244</v>
      </c>
      <c r="C4226" s="4">
        <v>49.18</v>
      </c>
      <c r="D4226">
        <f t="shared" si="68"/>
        <v>-0.48329480983399875</v>
      </c>
      <c r="E4226">
        <v>-1.6596680663867214E-2</v>
      </c>
    </row>
    <row r="4227" spans="2:5" x14ac:dyDescent="0.35">
      <c r="B4227" s="2">
        <v>39428</v>
      </c>
      <c r="C4227" s="4">
        <v>95.18</v>
      </c>
      <c r="D4227">
        <f t="shared" si="68"/>
        <v>-0.98655383832961319</v>
      </c>
      <c r="E4227">
        <v>-1.6633949788201208E-2</v>
      </c>
    </row>
    <row r="4228" spans="2:5" x14ac:dyDescent="0.35">
      <c r="B4228" s="2">
        <v>45058</v>
      </c>
      <c r="C4228" s="4">
        <v>7078.6</v>
      </c>
      <c r="D4228">
        <f t="shared" ref="D4228:D4291" si="69">C4228/C4229-1</f>
        <v>27.736248122437381</v>
      </c>
      <c r="E4228">
        <v>-1.6635756805378987E-2</v>
      </c>
    </row>
    <row r="4229" spans="2:5" x14ac:dyDescent="0.35">
      <c r="B4229" s="2">
        <v>41801</v>
      </c>
      <c r="C4229" s="4">
        <v>246.33</v>
      </c>
      <c r="D4229">
        <f t="shared" si="69"/>
        <v>4.0989443179465948</v>
      </c>
      <c r="E4229">
        <v>-1.6685960640293707E-2</v>
      </c>
    </row>
    <row r="4230" spans="2:5" x14ac:dyDescent="0.35">
      <c r="B4230" s="2">
        <v>38372</v>
      </c>
      <c r="C4230" s="4">
        <v>48.31</v>
      </c>
      <c r="D4230">
        <f t="shared" si="69"/>
        <v>-0.99264906154185595</v>
      </c>
      <c r="E4230">
        <v>-1.6690413189497266E-2</v>
      </c>
    </row>
    <row r="4231" spans="2:5" x14ac:dyDescent="0.35">
      <c r="B4231" s="2">
        <v>44970</v>
      </c>
      <c r="C4231" s="4">
        <v>6571.95</v>
      </c>
      <c r="D4231">
        <f t="shared" si="69"/>
        <v>191.78234086242298</v>
      </c>
      <c r="E4231">
        <v>-1.6712425097065164E-2</v>
      </c>
    </row>
    <row r="4232" spans="2:5" x14ac:dyDescent="0.35">
      <c r="B4232" s="2">
        <v>39773</v>
      </c>
      <c r="C4232" s="4">
        <v>34.090000000000003</v>
      </c>
      <c r="D4232">
        <f t="shared" si="69"/>
        <v>0.13899097895088541</v>
      </c>
      <c r="E4232">
        <v>-1.6729160657628972E-2</v>
      </c>
    </row>
    <row r="4233" spans="2:5" x14ac:dyDescent="0.35">
      <c r="B4233" s="2">
        <v>38029</v>
      </c>
      <c r="C4233" s="4">
        <v>29.93</v>
      </c>
      <c r="D4233">
        <f t="shared" si="69"/>
        <v>-0.9892949625878078</v>
      </c>
      <c r="E4233">
        <v>-1.6754270696452078E-2</v>
      </c>
    </row>
    <row r="4234" spans="2:5" x14ac:dyDescent="0.35">
      <c r="B4234" s="2">
        <v>44231</v>
      </c>
      <c r="C4234" s="4">
        <v>2795.88</v>
      </c>
      <c r="D4234">
        <f t="shared" si="69"/>
        <v>9.6623445961406453</v>
      </c>
      <c r="E4234">
        <v>-1.6757340348088512E-2</v>
      </c>
    </row>
    <row r="4235" spans="2:5" x14ac:dyDescent="0.35">
      <c r="B4235" s="2">
        <v>41852</v>
      </c>
      <c r="C4235" s="4">
        <v>262.22000000000003</v>
      </c>
      <c r="D4235">
        <f t="shared" si="69"/>
        <v>-0.82735622345853765</v>
      </c>
      <c r="E4235">
        <v>-1.6761033409576576E-2</v>
      </c>
    </row>
    <row r="4236" spans="2:5" x14ac:dyDescent="0.35">
      <c r="B4236" s="2">
        <v>44160</v>
      </c>
      <c r="C4236" s="4">
        <v>1518.85</v>
      </c>
      <c r="D4236">
        <f t="shared" si="69"/>
        <v>-0.78864939329845263</v>
      </c>
      <c r="E4236">
        <v>-1.6798291040911462E-2</v>
      </c>
    </row>
    <row r="4237" spans="2:5" x14ac:dyDescent="0.35">
      <c r="B4237" s="2">
        <v>44859</v>
      </c>
      <c r="C4237" s="4">
        <v>7186.4</v>
      </c>
      <c r="D4237">
        <f t="shared" si="69"/>
        <v>96.707681849082249</v>
      </c>
      <c r="E4237">
        <v>-1.6814195613807148E-2</v>
      </c>
    </row>
    <row r="4238" spans="2:5" x14ac:dyDescent="0.35">
      <c r="B4238" s="2">
        <v>39626</v>
      </c>
      <c r="C4238" s="4">
        <v>73.55</v>
      </c>
      <c r="D4238">
        <f t="shared" si="69"/>
        <v>-0.91129683900768232</v>
      </c>
      <c r="E4238">
        <v>-1.6842668092501123E-2</v>
      </c>
    </row>
    <row r="4239" spans="2:5" x14ac:dyDescent="0.35">
      <c r="B4239" s="2">
        <v>42248</v>
      </c>
      <c r="C4239" s="4">
        <v>829.17</v>
      </c>
      <c r="D4239">
        <f t="shared" si="69"/>
        <v>9.4944943678015434</v>
      </c>
      <c r="E4239">
        <v>-1.6883840599471234E-2</v>
      </c>
    </row>
    <row r="4240" spans="2:5" x14ac:dyDescent="0.35">
      <c r="B4240" s="2">
        <v>40890</v>
      </c>
      <c r="C4240" s="4">
        <v>79.010000000000005</v>
      </c>
      <c r="D4240">
        <f t="shared" si="69"/>
        <v>-0.92738585398132489</v>
      </c>
      <c r="E4240">
        <v>-1.6921736966529766E-2</v>
      </c>
    </row>
    <row r="4241" spans="2:5" x14ac:dyDescent="0.35">
      <c r="B4241" s="2">
        <v>43371</v>
      </c>
      <c r="C4241" s="4">
        <v>1088.08</v>
      </c>
      <c r="D4241">
        <f t="shared" si="69"/>
        <v>11.261437908496731</v>
      </c>
      <c r="E4241">
        <v>-1.6922507024692557E-2</v>
      </c>
    </row>
    <row r="4242" spans="2:5" x14ac:dyDescent="0.35">
      <c r="B4242" s="2">
        <v>40963</v>
      </c>
      <c r="C4242" s="4">
        <v>88.74</v>
      </c>
      <c r="D4242">
        <f t="shared" si="69"/>
        <v>2.7332772402187628</v>
      </c>
      <c r="E4242">
        <v>-1.6949152542372947E-2</v>
      </c>
    </row>
    <row r="4243" spans="2:5" x14ac:dyDescent="0.35">
      <c r="B4243" s="2">
        <v>37719</v>
      </c>
      <c r="C4243" s="4">
        <v>23.77</v>
      </c>
      <c r="D4243">
        <f t="shared" si="69"/>
        <v>-0.68690727081138037</v>
      </c>
      <c r="E4243">
        <v>-1.6956162117452434E-2</v>
      </c>
    </row>
    <row r="4244" spans="2:5" x14ac:dyDescent="0.35">
      <c r="B4244" s="2">
        <v>41533</v>
      </c>
      <c r="C4244" s="4">
        <v>75.92</v>
      </c>
      <c r="D4244">
        <f t="shared" si="69"/>
        <v>-0.91284982895975386</v>
      </c>
      <c r="E4244">
        <v>-1.696232034183609E-2</v>
      </c>
    </row>
    <row r="4245" spans="2:5" x14ac:dyDescent="0.35">
      <c r="B4245" s="2">
        <v>43081</v>
      </c>
      <c r="C4245" s="4">
        <v>871.14</v>
      </c>
      <c r="D4245">
        <f t="shared" si="69"/>
        <v>-0.68789096928136884</v>
      </c>
      <c r="E4245">
        <v>-1.6971721320724886E-2</v>
      </c>
    </row>
    <row r="4246" spans="2:5" x14ac:dyDescent="0.35">
      <c r="B4246" s="2">
        <v>44237</v>
      </c>
      <c r="C4246" s="4">
        <v>2791.14</v>
      </c>
      <c r="D4246">
        <f t="shared" si="69"/>
        <v>26.095815940199977</v>
      </c>
      <c r="E4246">
        <v>-1.6972313890953217E-2</v>
      </c>
    </row>
    <row r="4247" spans="2:5" x14ac:dyDescent="0.35">
      <c r="B4247" s="2">
        <v>40666</v>
      </c>
      <c r="C4247" s="4">
        <v>103.01</v>
      </c>
      <c r="D4247">
        <f t="shared" si="69"/>
        <v>5.3271983640081899E-2</v>
      </c>
      <c r="E4247">
        <v>-1.6986353659700359E-2</v>
      </c>
    </row>
    <row r="4248" spans="2:5" x14ac:dyDescent="0.35">
      <c r="B4248" s="2">
        <v>41253</v>
      </c>
      <c r="C4248" s="4">
        <v>97.8</v>
      </c>
      <c r="D4248">
        <f t="shared" si="69"/>
        <v>-0.87106810451657135</v>
      </c>
      <c r="E4248">
        <v>-1.6986631822293652E-2</v>
      </c>
    </row>
    <row r="4249" spans="2:5" x14ac:dyDescent="0.35">
      <c r="B4249" s="2">
        <v>42579</v>
      </c>
      <c r="C4249" s="4">
        <v>758.54</v>
      </c>
      <c r="D4249">
        <f t="shared" si="69"/>
        <v>-0.88538921793787018</v>
      </c>
      <c r="E4249">
        <v>-1.6989567809239992E-2</v>
      </c>
    </row>
    <row r="4250" spans="2:5" x14ac:dyDescent="0.35">
      <c r="B4250" s="2">
        <v>44889</v>
      </c>
      <c r="C4250" s="4">
        <v>6618.4</v>
      </c>
      <c r="D4250">
        <f t="shared" si="69"/>
        <v>183.56218627997768</v>
      </c>
      <c r="E4250">
        <v>-1.699144486692028E-2</v>
      </c>
    </row>
    <row r="4251" spans="2:5" x14ac:dyDescent="0.35">
      <c r="B4251" s="2">
        <v>38173</v>
      </c>
      <c r="C4251" s="4">
        <v>35.86</v>
      </c>
      <c r="D4251">
        <f t="shared" si="69"/>
        <v>-0.92003924454255581</v>
      </c>
      <c r="E4251">
        <v>-1.6995614035087647E-2</v>
      </c>
    </row>
    <row r="4252" spans="2:5" x14ac:dyDescent="0.35">
      <c r="B4252" s="2">
        <v>42053</v>
      </c>
      <c r="C4252" s="4">
        <v>448.47</v>
      </c>
      <c r="D4252">
        <f t="shared" si="69"/>
        <v>2.860795454545455</v>
      </c>
      <c r="E4252">
        <v>-1.7008964776538127E-2</v>
      </c>
    </row>
    <row r="4253" spans="2:5" x14ac:dyDescent="0.35">
      <c r="B4253" s="2">
        <v>40557</v>
      </c>
      <c r="C4253" s="4">
        <v>116.16</v>
      </c>
      <c r="D4253">
        <f t="shared" si="69"/>
        <v>-0.89098178337134326</v>
      </c>
      <c r="E4253">
        <v>-1.7009393247017002E-2</v>
      </c>
    </row>
    <row r="4254" spans="2:5" x14ac:dyDescent="0.35">
      <c r="B4254" s="2">
        <v>43227</v>
      </c>
      <c r="C4254" s="4">
        <v>1065.51</v>
      </c>
      <c r="D4254">
        <f t="shared" si="69"/>
        <v>9.4831759149940975</v>
      </c>
      <c r="E4254">
        <v>-1.7011854790350167E-2</v>
      </c>
    </row>
    <row r="4255" spans="2:5" x14ac:dyDescent="0.35">
      <c r="B4255" s="2">
        <v>40596</v>
      </c>
      <c r="C4255" s="4">
        <v>101.64</v>
      </c>
      <c r="D4255">
        <f t="shared" si="69"/>
        <v>-0.87716923671871228</v>
      </c>
      <c r="E4255">
        <v>-1.7021276595744705E-2</v>
      </c>
    </row>
    <row r="4256" spans="2:5" x14ac:dyDescent="0.35">
      <c r="B4256" s="2">
        <v>42997</v>
      </c>
      <c r="C4256" s="4">
        <v>827.48</v>
      </c>
      <c r="D4256">
        <f t="shared" si="69"/>
        <v>7.1014294106128837</v>
      </c>
      <c r="E4256">
        <v>-1.7022843634549312E-2</v>
      </c>
    </row>
    <row r="4257" spans="2:5" x14ac:dyDescent="0.35">
      <c r="B4257" s="2">
        <v>40736</v>
      </c>
      <c r="C4257" s="4">
        <v>102.14</v>
      </c>
      <c r="D4257">
        <f t="shared" si="69"/>
        <v>3.7270234589215079E-2</v>
      </c>
      <c r="E4257">
        <v>-1.703397170628429E-2</v>
      </c>
    </row>
    <row r="4258" spans="2:5" x14ac:dyDescent="0.35">
      <c r="B4258" s="2">
        <v>40176</v>
      </c>
      <c r="C4258" s="4">
        <v>98.47</v>
      </c>
      <c r="D4258">
        <f t="shared" si="69"/>
        <v>0.68037542662116035</v>
      </c>
      <c r="E4258">
        <v>-1.7069275304452014E-2</v>
      </c>
    </row>
    <row r="4259" spans="2:5" x14ac:dyDescent="0.35">
      <c r="B4259" s="2">
        <v>38489</v>
      </c>
      <c r="C4259" s="4">
        <v>58.6</v>
      </c>
      <c r="D4259">
        <f t="shared" si="69"/>
        <v>-0.92991352812428985</v>
      </c>
      <c r="E4259">
        <v>-1.7108352901710755E-2</v>
      </c>
    </row>
    <row r="4260" spans="2:5" x14ac:dyDescent="0.35">
      <c r="B4260" s="2">
        <v>43508</v>
      </c>
      <c r="C4260" s="4">
        <v>836.11</v>
      </c>
      <c r="D4260">
        <f t="shared" si="69"/>
        <v>11.462513042182144</v>
      </c>
      <c r="E4260">
        <v>-1.7139028318188809E-2</v>
      </c>
    </row>
    <row r="4261" spans="2:5" x14ac:dyDescent="0.35">
      <c r="B4261" s="2">
        <v>39562</v>
      </c>
      <c r="C4261" s="4">
        <v>67.09</v>
      </c>
      <c r="D4261">
        <f t="shared" si="69"/>
        <v>-0.95907923708913034</v>
      </c>
      <c r="E4261">
        <v>-1.7140345736888385E-2</v>
      </c>
    </row>
    <row r="4262" spans="2:5" x14ac:dyDescent="0.35">
      <c r="B4262" s="2">
        <v>44131</v>
      </c>
      <c r="C4262" s="4">
        <v>1639.51</v>
      </c>
      <c r="D4262">
        <f t="shared" si="69"/>
        <v>-0.78990741630626304</v>
      </c>
      <c r="E4262">
        <v>-1.7156936210007689E-2</v>
      </c>
    </row>
    <row r="4263" spans="2:5" x14ac:dyDescent="0.35">
      <c r="B4263" s="2">
        <v>44679</v>
      </c>
      <c r="C4263" s="4">
        <v>7803.75</v>
      </c>
      <c r="D4263">
        <f t="shared" si="69"/>
        <v>6.6902420276715677</v>
      </c>
      <c r="E4263">
        <v>-1.7210698188128815E-2</v>
      </c>
    </row>
    <row r="4264" spans="2:5" x14ac:dyDescent="0.35">
      <c r="B4264" s="2">
        <v>42373</v>
      </c>
      <c r="C4264" s="4">
        <v>1014.76</v>
      </c>
      <c r="D4264">
        <f t="shared" si="69"/>
        <v>33.247721903476204</v>
      </c>
      <c r="E4264">
        <v>-1.7238707678004173E-2</v>
      </c>
    </row>
    <row r="4265" spans="2:5" x14ac:dyDescent="0.35">
      <c r="B4265" s="2">
        <v>37935</v>
      </c>
      <c r="C4265" s="4">
        <v>29.63</v>
      </c>
      <c r="D4265">
        <f t="shared" si="69"/>
        <v>-0.45772327964860915</v>
      </c>
      <c r="E4265">
        <v>-1.7247097844112713E-2</v>
      </c>
    </row>
    <row r="4266" spans="2:5" x14ac:dyDescent="0.35">
      <c r="B4266" s="2">
        <v>38390</v>
      </c>
      <c r="C4266" s="4">
        <v>54.64</v>
      </c>
      <c r="D4266">
        <f t="shared" si="69"/>
        <v>-0.9850248033546195</v>
      </c>
      <c r="E4266">
        <v>-1.726618705035976E-2</v>
      </c>
    </row>
    <row r="4267" spans="2:5" x14ac:dyDescent="0.35">
      <c r="B4267" s="2">
        <v>44323</v>
      </c>
      <c r="C4267" s="4">
        <v>3648.7</v>
      </c>
      <c r="D4267">
        <f t="shared" si="69"/>
        <v>1.2267586981331284</v>
      </c>
      <c r="E4267">
        <v>-1.7280479199323517E-2</v>
      </c>
    </row>
    <row r="4268" spans="2:5" x14ac:dyDescent="0.35">
      <c r="B4268" s="2">
        <v>44174</v>
      </c>
      <c r="C4268" s="4">
        <v>1638.57</v>
      </c>
      <c r="D4268">
        <f t="shared" si="69"/>
        <v>22.844150174621653</v>
      </c>
      <c r="E4268">
        <v>-1.7284498527639136E-2</v>
      </c>
    </row>
    <row r="4269" spans="2:5" x14ac:dyDescent="0.35">
      <c r="B4269" s="2">
        <v>40066</v>
      </c>
      <c r="C4269" s="4">
        <v>68.72</v>
      </c>
      <c r="D4269">
        <f t="shared" si="69"/>
        <v>1.1236093943139678</v>
      </c>
      <c r="E4269">
        <v>-1.7303017303017421E-2</v>
      </c>
    </row>
    <row r="4270" spans="2:5" x14ac:dyDescent="0.35">
      <c r="B4270" s="2">
        <v>37512</v>
      </c>
      <c r="C4270" s="4">
        <v>32.36</v>
      </c>
      <c r="D4270">
        <f t="shared" si="69"/>
        <v>-0.4346610761705102</v>
      </c>
      <c r="E4270">
        <v>-1.7309444275736441E-2</v>
      </c>
    </row>
    <row r="4271" spans="2:5" x14ac:dyDescent="0.35">
      <c r="B4271" s="2">
        <v>38471</v>
      </c>
      <c r="C4271" s="4">
        <v>57.24</v>
      </c>
      <c r="D4271">
        <f t="shared" si="69"/>
        <v>-0.99404912280701752</v>
      </c>
      <c r="E4271">
        <v>-1.733905579399142E-2</v>
      </c>
    </row>
    <row r="4272" spans="2:5" x14ac:dyDescent="0.35">
      <c r="B4272" s="2">
        <v>44796</v>
      </c>
      <c r="C4272" s="4">
        <v>9618.75</v>
      </c>
      <c r="D4272">
        <f t="shared" si="69"/>
        <v>9.6422114778221566</v>
      </c>
      <c r="E4272">
        <v>-1.7361856017653055E-2</v>
      </c>
    </row>
    <row r="4273" spans="2:5" x14ac:dyDescent="0.35">
      <c r="B4273" s="2">
        <v>42340</v>
      </c>
      <c r="C4273" s="4">
        <v>903.83</v>
      </c>
      <c r="D4273">
        <f t="shared" si="69"/>
        <v>23.218381564844588</v>
      </c>
      <c r="E4273">
        <v>-1.7362470102196048E-2</v>
      </c>
    </row>
    <row r="4274" spans="2:5" x14ac:dyDescent="0.35">
      <c r="B4274" s="2">
        <v>39756</v>
      </c>
      <c r="C4274" s="4">
        <v>37.32</v>
      </c>
      <c r="D4274">
        <f t="shared" si="69"/>
        <v>-0.26578792051937827</v>
      </c>
      <c r="E4274">
        <v>-1.7377567140600236E-2</v>
      </c>
    </row>
    <row r="4275" spans="2:5" x14ac:dyDescent="0.35">
      <c r="B4275" s="2">
        <v>40001</v>
      </c>
      <c r="C4275" s="4">
        <v>50.83</v>
      </c>
      <c r="D4275">
        <f t="shared" si="69"/>
        <v>-0.99422080985975547</v>
      </c>
      <c r="E4275">
        <v>-1.7398028223468032E-2</v>
      </c>
    </row>
    <row r="4276" spans="2:5" x14ac:dyDescent="0.35">
      <c r="B4276" s="2">
        <v>44651</v>
      </c>
      <c r="C4276" s="4">
        <v>8795.35</v>
      </c>
      <c r="D4276">
        <f t="shared" si="69"/>
        <v>80.64253225656735</v>
      </c>
      <c r="E4276">
        <v>-1.7412171091952811E-2</v>
      </c>
    </row>
    <row r="4277" spans="2:5" x14ac:dyDescent="0.35">
      <c r="B4277" s="2">
        <v>39345</v>
      </c>
      <c r="C4277" s="4">
        <v>107.73</v>
      </c>
      <c r="D4277">
        <f t="shared" si="69"/>
        <v>-0.98766021786192915</v>
      </c>
      <c r="E4277">
        <v>-1.7420649398029897E-2</v>
      </c>
    </row>
    <row r="4278" spans="2:5" x14ac:dyDescent="0.35">
      <c r="B4278" s="2">
        <v>44820</v>
      </c>
      <c r="C4278" s="4">
        <v>8730.2999999999993</v>
      </c>
      <c r="D4278">
        <f t="shared" si="69"/>
        <v>120.28785773826061</v>
      </c>
      <c r="E4278">
        <v>-1.7439014096395811E-2</v>
      </c>
    </row>
    <row r="4279" spans="2:5" x14ac:dyDescent="0.35">
      <c r="B4279" s="2">
        <v>39478</v>
      </c>
      <c r="C4279" s="4">
        <v>71.98</v>
      </c>
      <c r="D4279">
        <f t="shared" si="69"/>
        <v>-0.2170981074613878</v>
      </c>
      <c r="E4279">
        <v>-1.7472017472017431E-2</v>
      </c>
    </row>
    <row r="4280" spans="2:5" x14ac:dyDescent="0.35">
      <c r="B4280" s="2">
        <v>39463</v>
      </c>
      <c r="C4280" s="4">
        <v>91.94</v>
      </c>
      <c r="D4280">
        <f t="shared" si="69"/>
        <v>-0.98900324735516976</v>
      </c>
      <c r="E4280">
        <v>-1.7525112203462312E-2</v>
      </c>
    </row>
    <row r="4281" spans="2:5" x14ac:dyDescent="0.35">
      <c r="B4281" s="2">
        <v>44846</v>
      </c>
      <c r="C4281" s="4">
        <v>8360.65</v>
      </c>
      <c r="D4281">
        <f t="shared" si="69"/>
        <v>116.54041895121608</v>
      </c>
      <c r="E4281">
        <v>-1.7538396455892502E-2</v>
      </c>
    </row>
    <row r="4282" spans="2:5" x14ac:dyDescent="0.35">
      <c r="B4282" s="2">
        <v>38576</v>
      </c>
      <c r="C4282" s="4">
        <v>71.13</v>
      </c>
      <c r="D4282">
        <f t="shared" si="69"/>
        <v>-0.91103745857044593</v>
      </c>
      <c r="E4282">
        <v>-1.7541436464088567E-2</v>
      </c>
    </row>
    <row r="4283" spans="2:5" x14ac:dyDescent="0.35">
      <c r="B4283" s="2">
        <v>43836</v>
      </c>
      <c r="C4283" s="4">
        <v>799.55</v>
      </c>
      <c r="D4283">
        <f t="shared" si="69"/>
        <v>-0.86993984585704198</v>
      </c>
      <c r="E4283">
        <v>-1.7546662079304109E-2</v>
      </c>
    </row>
    <row r="4284" spans="2:5" x14ac:dyDescent="0.35">
      <c r="B4284" s="2">
        <v>44489</v>
      </c>
      <c r="C4284" s="4">
        <v>6147.54</v>
      </c>
      <c r="D4284">
        <f t="shared" si="69"/>
        <v>48.564943965169718</v>
      </c>
      <c r="E4284">
        <v>-1.756937297442418E-2</v>
      </c>
    </row>
    <row r="4285" spans="2:5" x14ac:dyDescent="0.35">
      <c r="B4285" s="2">
        <v>40287</v>
      </c>
      <c r="C4285" s="4">
        <v>124.03</v>
      </c>
      <c r="D4285">
        <f t="shared" si="69"/>
        <v>1.2424516362321461</v>
      </c>
      <c r="E4285">
        <v>-1.75841584158416E-2</v>
      </c>
    </row>
    <row r="4286" spans="2:5" x14ac:dyDescent="0.35">
      <c r="B4286" s="2">
        <v>39708</v>
      </c>
      <c r="C4286" s="4">
        <v>55.31</v>
      </c>
      <c r="D4286">
        <f t="shared" si="69"/>
        <v>0.98030791263873973</v>
      </c>
      <c r="E4286">
        <v>-1.7584369449378245E-2</v>
      </c>
    </row>
    <row r="4287" spans="2:5" x14ac:dyDescent="0.35">
      <c r="B4287" s="2">
        <v>37638</v>
      </c>
      <c r="C4287" s="4">
        <v>27.93</v>
      </c>
      <c r="D4287">
        <f t="shared" si="69"/>
        <v>-0.71750783857590772</v>
      </c>
      <c r="E4287">
        <v>-1.7587055926837847E-2</v>
      </c>
    </row>
    <row r="4288" spans="2:5" x14ac:dyDescent="0.35">
      <c r="B4288" s="2">
        <v>39155</v>
      </c>
      <c r="C4288" s="4">
        <v>98.87</v>
      </c>
      <c r="D4288">
        <f t="shared" si="69"/>
        <v>0.34370752921989678</v>
      </c>
      <c r="E4288">
        <v>-1.7587440381558017E-2</v>
      </c>
    </row>
    <row r="4289" spans="2:5" x14ac:dyDescent="0.35">
      <c r="B4289" s="2">
        <v>39632</v>
      </c>
      <c r="C4289" s="4">
        <v>73.58</v>
      </c>
      <c r="D4289">
        <f t="shared" si="69"/>
        <v>-0.23186136339910224</v>
      </c>
      <c r="E4289">
        <v>-1.7623497997329873E-2</v>
      </c>
    </row>
    <row r="4290" spans="2:5" x14ac:dyDescent="0.35">
      <c r="B4290" s="2">
        <v>40714</v>
      </c>
      <c r="C4290" s="4">
        <v>95.79</v>
      </c>
      <c r="D4290">
        <f t="shared" si="69"/>
        <v>-9.8701543093714705E-2</v>
      </c>
      <c r="E4290">
        <v>-1.7639216490616283E-2</v>
      </c>
    </row>
    <row r="4291" spans="2:5" x14ac:dyDescent="0.35">
      <c r="B4291" s="2">
        <v>40224</v>
      </c>
      <c r="C4291" s="4">
        <v>106.28</v>
      </c>
      <c r="D4291">
        <f t="shared" si="69"/>
        <v>2.2975488675147382</v>
      </c>
      <c r="E4291">
        <v>-1.7654126998798425E-2</v>
      </c>
    </row>
    <row r="4292" spans="2:5" x14ac:dyDescent="0.35">
      <c r="B4292" s="2">
        <v>38134</v>
      </c>
      <c r="C4292" s="4">
        <v>32.229999999999997</v>
      </c>
      <c r="D4292">
        <f t="shared" ref="D4292:D4355" si="70">C4292/C4293-1</f>
        <v>-0.67038249130701577</v>
      </c>
      <c r="E4292">
        <v>-1.7677537336178162E-2</v>
      </c>
    </row>
    <row r="4293" spans="2:5" x14ac:dyDescent="0.35">
      <c r="B4293" s="2">
        <v>40613</v>
      </c>
      <c r="C4293" s="4">
        <v>97.78</v>
      </c>
      <c r="D4293">
        <f t="shared" si="70"/>
        <v>-0.98423564311740241</v>
      </c>
      <c r="E4293">
        <v>-1.7681334137030436E-2</v>
      </c>
    </row>
    <row r="4294" spans="2:5" x14ac:dyDescent="0.35">
      <c r="B4294" s="2">
        <v>44916</v>
      </c>
      <c r="C4294" s="4">
        <v>6202.6</v>
      </c>
      <c r="D4294">
        <f t="shared" si="70"/>
        <v>84.317744154057777</v>
      </c>
      <c r="E4294">
        <v>-1.7682226709426985E-2</v>
      </c>
    </row>
    <row r="4295" spans="2:5" x14ac:dyDescent="0.35">
      <c r="B4295" s="2">
        <v>39503</v>
      </c>
      <c r="C4295" s="4">
        <v>72.7</v>
      </c>
      <c r="D4295">
        <f t="shared" si="70"/>
        <v>-0.92282050193214149</v>
      </c>
      <c r="E4295">
        <v>-1.7700310768815064E-2</v>
      </c>
    </row>
    <row r="4296" spans="2:5" x14ac:dyDescent="0.35">
      <c r="B4296" s="2">
        <v>43879</v>
      </c>
      <c r="C4296" s="4">
        <v>941.96</v>
      </c>
      <c r="D4296">
        <f t="shared" si="70"/>
        <v>30.588195841716971</v>
      </c>
      <c r="E4296">
        <v>-1.7717294958026986E-2</v>
      </c>
    </row>
    <row r="4297" spans="2:5" x14ac:dyDescent="0.35">
      <c r="B4297" s="2">
        <v>37594</v>
      </c>
      <c r="C4297" s="4">
        <v>29.82</v>
      </c>
      <c r="D4297">
        <f t="shared" si="70"/>
        <v>-0.69984901862103666</v>
      </c>
      <c r="E4297">
        <v>-1.7786561264822143E-2</v>
      </c>
    </row>
    <row r="4298" spans="2:5" x14ac:dyDescent="0.35">
      <c r="B4298" s="2">
        <v>40417</v>
      </c>
      <c r="C4298" s="4">
        <v>99.35</v>
      </c>
      <c r="D4298">
        <f t="shared" si="70"/>
        <v>-0.98476584482475737</v>
      </c>
      <c r="E4298">
        <v>-1.779535343549199E-2</v>
      </c>
    </row>
    <row r="4299" spans="2:5" x14ac:dyDescent="0.35">
      <c r="B4299" s="2">
        <v>44627</v>
      </c>
      <c r="C4299" s="4">
        <v>6521.53</v>
      </c>
      <c r="D4299">
        <f t="shared" si="70"/>
        <v>63.723402143707816</v>
      </c>
      <c r="E4299">
        <v>-1.7809325007756227E-2</v>
      </c>
    </row>
    <row r="4300" spans="2:5" x14ac:dyDescent="0.35">
      <c r="B4300" s="2">
        <v>40231</v>
      </c>
      <c r="C4300" s="4">
        <v>100.76</v>
      </c>
      <c r="D4300">
        <f t="shared" si="70"/>
        <v>1.901294498381878E-2</v>
      </c>
      <c r="E4300">
        <v>-1.7837995906033743E-2</v>
      </c>
    </row>
    <row r="4301" spans="2:5" x14ac:dyDescent="0.35">
      <c r="B4301" s="2">
        <v>39377</v>
      </c>
      <c r="C4301" s="4">
        <v>98.88</v>
      </c>
      <c r="D4301">
        <f t="shared" si="70"/>
        <v>0.96112653708845674</v>
      </c>
      <c r="E4301">
        <v>-1.7878426698450633E-2</v>
      </c>
    </row>
    <row r="4302" spans="2:5" x14ac:dyDescent="0.35">
      <c r="B4302" s="2">
        <v>39717</v>
      </c>
      <c r="C4302" s="4">
        <v>50.42</v>
      </c>
      <c r="D4302">
        <f t="shared" si="70"/>
        <v>-0.3904001934469834</v>
      </c>
      <c r="E4302">
        <v>-1.7919750681729685E-2</v>
      </c>
    </row>
    <row r="4303" spans="2:5" x14ac:dyDescent="0.35">
      <c r="B4303" s="2">
        <v>40864</v>
      </c>
      <c r="C4303" s="4">
        <v>82.71</v>
      </c>
      <c r="D4303">
        <f t="shared" si="70"/>
        <v>7.1095571095570964E-2</v>
      </c>
      <c r="E4303">
        <v>-1.7929232961291897E-2</v>
      </c>
    </row>
    <row r="4304" spans="2:5" x14ac:dyDescent="0.35">
      <c r="B4304" s="2">
        <v>39009</v>
      </c>
      <c r="C4304" s="4">
        <v>77.22</v>
      </c>
      <c r="D4304">
        <f t="shared" si="70"/>
        <v>0.21625452827216884</v>
      </c>
      <c r="E4304">
        <v>-1.7932086989698504E-2</v>
      </c>
    </row>
    <row r="4305" spans="2:5" x14ac:dyDescent="0.35">
      <c r="B4305" s="2">
        <v>38891</v>
      </c>
      <c r="C4305" s="4">
        <v>63.49</v>
      </c>
      <c r="D4305">
        <f t="shared" si="70"/>
        <v>-0.95267238166231827</v>
      </c>
      <c r="E4305">
        <v>-1.7942768754833804E-2</v>
      </c>
    </row>
    <row r="4306" spans="2:5" x14ac:dyDescent="0.35">
      <c r="B4306" s="2">
        <v>43311</v>
      </c>
      <c r="C4306" s="4">
        <v>1341.5</v>
      </c>
      <c r="D4306">
        <f t="shared" si="70"/>
        <v>14.763807285546417</v>
      </c>
      <c r="E4306">
        <v>-1.7985901161726714E-2</v>
      </c>
    </row>
    <row r="4307" spans="2:5" x14ac:dyDescent="0.35">
      <c r="B4307" s="2">
        <v>40829</v>
      </c>
      <c r="C4307" s="4">
        <v>85.1</v>
      </c>
      <c r="D4307">
        <f t="shared" si="70"/>
        <v>0.34758511480601739</v>
      </c>
      <c r="E4307">
        <v>-1.8001384721901714E-2</v>
      </c>
    </row>
    <row r="4308" spans="2:5" x14ac:dyDescent="0.35">
      <c r="B4308" s="2">
        <v>38450</v>
      </c>
      <c r="C4308" s="4">
        <v>63.15</v>
      </c>
      <c r="D4308">
        <f t="shared" si="70"/>
        <v>-0.74690393170614411</v>
      </c>
      <c r="E4308">
        <v>-1.8037630228580404E-2</v>
      </c>
    </row>
    <row r="4309" spans="2:5" x14ac:dyDescent="0.35">
      <c r="B4309" s="2">
        <v>41813</v>
      </c>
      <c r="C4309" s="4">
        <v>249.51</v>
      </c>
      <c r="D4309">
        <f t="shared" si="70"/>
        <v>1.8000224441701267</v>
      </c>
      <c r="E4309">
        <v>-1.8063754427390832E-2</v>
      </c>
    </row>
    <row r="4310" spans="2:5" x14ac:dyDescent="0.35">
      <c r="B4310" s="2">
        <v>39041</v>
      </c>
      <c r="C4310" s="4">
        <v>89.11</v>
      </c>
      <c r="D4310">
        <f t="shared" si="70"/>
        <v>0.80457675172134446</v>
      </c>
      <c r="E4310">
        <v>-1.8071625344352582E-2</v>
      </c>
    </row>
    <row r="4311" spans="2:5" x14ac:dyDescent="0.35">
      <c r="B4311" s="2">
        <v>38250</v>
      </c>
      <c r="C4311" s="4">
        <v>49.38</v>
      </c>
      <c r="D4311">
        <f t="shared" si="70"/>
        <v>-0.15633008713480268</v>
      </c>
      <c r="E4311">
        <v>-1.8095048717438833E-2</v>
      </c>
    </row>
    <row r="4312" spans="2:5" x14ac:dyDescent="0.35">
      <c r="B4312" s="2">
        <v>38483</v>
      </c>
      <c r="C4312" s="4">
        <v>58.53</v>
      </c>
      <c r="D4312">
        <f t="shared" si="70"/>
        <v>0.11422044545973731</v>
      </c>
      <c r="E4312">
        <v>-1.8117765475591296E-2</v>
      </c>
    </row>
    <row r="4313" spans="2:5" x14ac:dyDescent="0.35">
      <c r="B4313" s="2">
        <v>38301</v>
      </c>
      <c r="C4313" s="4">
        <v>52.53</v>
      </c>
      <c r="D4313">
        <f t="shared" si="70"/>
        <v>-0.7984499098338641</v>
      </c>
      <c r="E4313">
        <v>-1.8130841121495322E-2</v>
      </c>
    </row>
    <row r="4314" spans="2:5" x14ac:dyDescent="0.35">
      <c r="B4314" s="2">
        <v>41716</v>
      </c>
      <c r="C4314" s="4">
        <v>260.63</v>
      </c>
      <c r="D4314">
        <f t="shared" si="70"/>
        <v>1.4018984425398577</v>
      </c>
      <c r="E4314">
        <v>-1.8157845168581654E-2</v>
      </c>
    </row>
    <row r="4315" spans="2:5" x14ac:dyDescent="0.35">
      <c r="B4315" s="2">
        <v>40660</v>
      </c>
      <c r="C4315" s="4">
        <v>108.51</v>
      </c>
      <c r="D4315">
        <f t="shared" si="70"/>
        <v>-0.86558900037160902</v>
      </c>
      <c r="E4315">
        <v>-1.818675352877297E-2</v>
      </c>
    </row>
    <row r="4316" spans="2:5" x14ac:dyDescent="0.35">
      <c r="B4316" s="2">
        <v>43591</v>
      </c>
      <c r="C4316" s="4">
        <v>807.3</v>
      </c>
      <c r="D4316">
        <f t="shared" si="70"/>
        <v>11.804123711340207</v>
      </c>
      <c r="E4316">
        <v>-1.8205698858039354E-2</v>
      </c>
    </row>
    <row r="4317" spans="2:5" x14ac:dyDescent="0.35">
      <c r="B4317" s="2">
        <v>38653</v>
      </c>
      <c r="C4317" s="4">
        <v>63.05</v>
      </c>
      <c r="D4317">
        <f t="shared" si="70"/>
        <v>-0.45791419482417683</v>
      </c>
      <c r="E4317">
        <v>-1.8218623481781382E-2</v>
      </c>
    </row>
    <row r="4318" spans="2:5" x14ac:dyDescent="0.35">
      <c r="B4318" s="2">
        <v>40553</v>
      </c>
      <c r="C4318" s="4">
        <v>116.31</v>
      </c>
      <c r="D4318">
        <f t="shared" si="70"/>
        <v>0.15010382675763867</v>
      </c>
      <c r="E4318">
        <v>-1.8232463914915176E-2</v>
      </c>
    </row>
    <row r="4319" spans="2:5" x14ac:dyDescent="0.35">
      <c r="B4319" s="2">
        <v>40667</v>
      </c>
      <c r="C4319" s="4">
        <v>101.13</v>
      </c>
      <c r="D4319">
        <f t="shared" si="70"/>
        <v>0.37237074229881939</v>
      </c>
      <c r="E4319">
        <v>-1.8250655276186856E-2</v>
      </c>
    </row>
    <row r="4320" spans="2:5" x14ac:dyDescent="0.35">
      <c r="B4320" s="2">
        <v>40907</v>
      </c>
      <c r="C4320" s="4">
        <v>73.69</v>
      </c>
      <c r="D4320">
        <f t="shared" si="70"/>
        <v>-0.93507488986784137</v>
      </c>
      <c r="E4320">
        <v>-1.8252065014655039E-2</v>
      </c>
    </row>
    <row r="4321" spans="2:5" x14ac:dyDescent="0.35">
      <c r="B4321" s="2">
        <v>43222</v>
      </c>
      <c r="C4321" s="4">
        <v>1135</v>
      </c>
      <c r="D4321">
        <f t="shared" si="70"/>
        <v>1.0867039270480956</v>
      </c>
      <c r="E4321">
        <v>-1.8259508178287476E-2</v>
      </c>
    </row>
    <row r="4322" spans="2:5" x14ac:dyDescent="0.35">
      <c r="B4322" s="2">
        <v>42079</v>
      </c>
      <c r="C4322" s="4">
        <v>543.91999999999996</v>
      </c>
      <c r="D4322">
        <f t="shared" si="70"/>
        <v>9.132637853949328</v>
      </c>
      <c r="E4322">
        <v>-1.8265829182008475E-2</v>
      </c>
    </row>
    <row r="4323" spans="2:5" x14ac:dyDescent="0.35">
      <c r="B4323" s="2">
        <v>38408</v>
      </c>
      <c r="C4323" s="4">
        <v>53.68</v>
      </c>
      <c r="D4323">
        <f t="shared" si="70"/>
        <v>-0.45497004772058069</v>
      </c>
      <c r="E4323">
        <v>-1.8288222384784225E-2</v>
      </c>
    </row>
    <row r="4324" spans="2:5" x14ac:dyDescent="0.35">
      <c r="B4324" s="2">
        <v>40186</v>
      </c>
      <c r="C4324" s="4">
        <v>98.49</v>
      </c>
      <c r="D4324">
        <f t="shared" si="70"/>
        <v>-0.12367648367292472</v>
      </c>
      <c r="E4324">
        <v>-1.8339479716934171E-2</v>
      </c>
    </row>
    <row r="4325" spans="2:5" x14ac:dyDescent="0.35">
      <c r="B4325" s="2">
        <v>40248</v>
      </c>
      <c r="C4325" s="4">
        <v>112.39</v>
      </c>
      <c r="D4325">
        <f t="shared" si="70"/>
        <v>0.3378169265563622</v>
      </c>
      <c r="E4325">
        <v>-1.8342213293737419E-2</v>
      </c>
    </row>
    <row r="4326" spans="2:5" x14ac:dyDescent="0.35">
      <c r="B4326" s="2">
        <v>41012</v>
      </c>
      <c r="C4326" s="4">
        <v>84.01</v>
      </c>
      <c r="D4326">
        <f t="shared" si="70"/>
        <v>-0.9864502622529886</v>
      </c>
      <c r="E4326">
        <v>-1.8345407805561931E-2</v>
      </c>
    </row>
    <row r="4327" spans="2:5" x14ac:dyDescent="0.35">
      <c r="B4327" s="2">
        <v>44477</v>
      </c>
      <c r="C4327" s="4">
        <v>6200.12</v>
      </c>
      <c r="D4327">
        <f t="shared" si="70"/>
        <v>6.0512800100080746</v>
      </c>
      <c r="E4327">
        <v>-1.8359488796848678E-2</v>
      </c>
    </row>
    <row r="4328" spans="2:5" x14ac:dyDescent="0.35">
      <c r="B4328" s="2">
        <v>42284</v>
      </c>
      <c r="C4328" s="4">
        <v>879.29</v>
      </c>
      <c r="D4328">
        <f t="shared" si="70"/>
        <v>15.313358070500929</v>
      </c>
      <c r="E4328">
        <v>-1.8364704043584146E-2</v>
      </c>
    </row>
    <row r="4329" spans="2:5" x14ac:dyDescent="0.35">
      <c r="B4329" s="2">
        <v>38385</v>
      </c>
      <c r="C4329" s="4">
        <v>53.9</v>
      </c>
      <c r="D4329">
        <f t="shared" si="70"/>
        <v>-0.98717262223491475</v>
      </c>
      <c r="E4329">
        <v>-1.8393735203059536E-2</v>
      </c>
    </row>
    <row r="4330" spans="2:5" x14ac:dyDescent="0.35">
      <c r="B4330" s="2">
        <v>44396</v>
      </c>
      <c r="C4330" s="4">
        <v>4201.95</v>
      </c>
      <c r="D4330">
        <f t="shared" si="70"/>
        <v>11.216036282233913</v>
      </c>
      <c r="E4330">
        <v>-1.843091909317085E-2</v>
      </c>
    </row>
    <row r="4331" spans="2:5" x14ac:dyDescent="0.35">
      <c r="B4331" s="2">
        <v>42041</v>
      </c>
      <c r="C4331" s="4">
        <v>343.97</v>
      </c>
      <c r="D4331">
        <f t="shared" si="70"/>
        <v>-0.94650045105297542</v>
      </c>
      <c r="E4331">
        <v>-1.8462504280333247E-2</v>
      </c>
    </row>
    <row r="4332" spans="2:5" x14ac:dyDescent="0.35">
      <c r="B4332" s="2">
        <v>44911</v>
      </c>
      <c r="C4332" s="4">
        <v>6429.4</v>
      </c>
      <c r="D4332">
        <f t="shared" si="70"/>
        <v>9.5684134394108735</v>
      </c>
      <c r="E4332">
        <v>-1.8464662193623305E-2</v>
      </c>
    </row>
    <row r="4333" spans="2:5" x14ac:dyDescent="0.35">
      <c r="B4333" s="2">
        <v>43727</v>
      </c>
      <c r="C4333" s="4">
        <v>608.36</v>
      </c>
      <c r="D4333">
        <f t="shared" si="70"/>
        <v>7.9019607843137258</v>
      </c>
      <c r="E4333">
        <v>-1.8473403139671718E-2</v>
      </c>
    </row>
    <row r="4334" spans="2:5" x14ac:dyDescent="0.35">
      <c r="B4334" s="2">
        <v>38678</v>
      </c>
      <c r="C4334" s="4">
        <v>68.34</v>
      </c>
      <c r="D4334">
        <f t="shared" si="70"/>
        <v>1.6426914153132253</v>
      </c>
      <c r="E4334">
        <v>-1.852649719948285E-2</v>
      </c>
    </row>
    <row r="4335" spans="2:5" x14ac:dyDescent="0.35">
      <c r="B4335" s="2">
        <v>37855</v>
      </c>
      <c r="C4335" s="4">
        <v>25.86</v>
      </c>
      <c r="D4335">
        <f t="shared" si="70"/>
        <v>-0.98283711854732736</v>
      </c>
      <c r="E4335">
        <v>-1.8595825426945045E-2</v>
      </c>
    </row>
    <row r="4336" spans="2:5" x14ac:dyDescent="0.35">
      <c r="B4336" s="2">
        <v>44144</v>
      </c>
      <c r="C4336" s="4">
        <v>1506.74</v>
      </c>
      <c r="D4336">
        <f t="shared" si="70"/>
        <v>11.103301469997591</v>
      </c>
      <c r="E4336">
        <v>-1.860861975757333E-2</v>
      </c>
    </row>
    <row r="4337" spans="2:5" x14ac:dyDescent="0.35">
      <c r="B4337" s="2">
        <v>40485</v>
      </c>
      <c r="C4337" s="4">
        <v>124.49</v>
      </c>
      <c r="D4337">
        <f t="shared" si="70"/>
        <v>0.12355595667870034</v>
      </c>
      <c r="E4337">
        <v>-1.868201166640393E-2</v>
      </c>
    </row>
    <row r="4338" spans="2:5" x14ac:dyDescent="0.35">
      <c r="B4338" s="2">
        <v>39342</v>
      </c>
      <c r="C4338" s="4">
        <v>110.8</v>
      </c>
      <c r="D4338">
        <f t="shared" si="70"/>
        <v>3.6909398814563925</v>
      </c>
      <c r="E4338">
        <v>-1.8687450181560483E-2</v>
      </c>
    </row>
    <row r="4339" spans="2:5" x14ac:dyDescent="0.35">
      <c r="B4339" s="2">
        <v>38069</v>
      </c>
      <c r="C4339" s="4">
        <v>23.62</v>
      </c>
      <c r="D4339">
        <f t="shared" si="70"/>
        <v>-0.99681972042622746</v>
      </c>
      <c r="E4339">
        <v>-1.8695471541337771E-2</v>
      </c>
    </row>
    <row r="4340" spans="2:5" x14ac:dyDescent="0.35">
      <c r="B4340" s="2">
        <v>44593</v>
      </c>
      <c r="C4340" s="4">
        <v>7427.02</v>
      </c>
      <c r="D4340">
        <f t="shared" si="70"/>
        <v>9.021616515989745</v>
      </c>
      <c r="E4340">
        <v>-1.873216361906771E-2</v>
      </c>
    </row>
    <row r="4341" spans="2:5" x14ac:dyDescent="0.35">
      <c r="B4341" s="2">
        <v>43969</v>
      </c>
      <c r="C4341" s="4">
        <v>741.1</v>
      </c>
      <c r="D4341">
        <f t="shared" si="70"/>
        <v>-0.50269421498694833</v>
      </c>
      <c r="E4341">
        <v>-1.8826457660329421E-2</v>
      </c>
    </row>
    <row r="4342" spans="2:5" x14ac:dyDescent="0.35">
      <c r="B4342" s="2">
        <v>44161</v>
      </c>
      <c r="C4342" s="4">
        <v>1490.23</v>
      </c>
      <c r="D4342">
        <f t="shared" si="70"/>
        <v>23.051484828921886</v>
      </c>
      <c r="E4342">
        <v>-1.884320373967141E-2</v>
      </c>
    </row>
    <row r="4343" spans="2:5" x14ac:dyDescent="0.35">
      <c r="B4343" s="2">
        <v>38453</v>
      </c>
      <c r="C4343" s="4">
        <v>61.96</v>
      </c>
      <c r="D4343">
        <f t="shared" si="70"/>
        <v>4.7152273111374043E-2</v>
      </c>
      <c r="E4343">
        <v>-1.8844022169437813E-2</v>
      </c>
    </row>
    <row r="4344" spans="2:5" x14ac:dyDescent="0.35">
      <c r="B4344" s="2">
        <v>38905</v>
      </c>
      <c r="C4344" s="4">
        <v>59.17</v>
      </c>
      <c r="D4344">
        <f t="shared" si="70"/>
        <v>-0.75525314361350104</v>
      </c>
      <c r="E4344">
        <v>-1.8902337920742807E-2</v>
      </c>
    </row>
    <row r="4345" spans="2:5" x14ac:dyDescent="0.35">
      <c r="B4345" s="2">
        <v>41808</v>
      </c>
      <c r="C4345" s="4">
        <v>241.76</v>
      </c>
      <c r="D4345">
        <f t="shared" si="70"/>
        <v>-0.96056728565719829</v>
      </c>
      <c r="E4345">
        <v>-1.8910802694586448E-2</v>
      </c>
    </row>
    <row r="4346" spans="2:5" x14ac:dyDescent="0.35">
      <c r="B4346" s="2">
        <v>44998</v>
      </c>
      <c r="C4346" s="4">
        <v>6130.95</v>
      </c>
      <c r="D4346">
        <f t="shared" si="70"/>
        <v>24.046776697442599</v>
      </c>
      <c r="E4346">
        <v>-1.8938121069559832E-2</v>
      </c>
    </row>
    <row r="4347" spans="2:5" x14ac:dyDescent="0.35">
      <c r="B4347" s="2">
        <v>41732</v>
      </c>
      <c r="C4347" s="4">
        <v>244.78</v>
      </c>
      <c r="D4347">
        <f t="shared" si="70"/>
        <v>2.2412605932203391</v>
      </c>
      <c r="E4347">
        <v>-1.8957156025810495E-2</v>
      </c>
    </row>
    <row r="4348" spans="2:5" x14ac:dyDescent="0.35">
      <c r="B4348" s="2">
        <v>41505</v>
      </c>
      <c r="C4348" s="4">
        <v>75.52</v>
      </c>
      <c r="D4348">
        <f t="shared" si="70"/>
        <v>-0.28423846080940207</v>
      </c>
      <c r="E4348">
        <v>-1.8965965185762657E-2</v>
      </c>
    </row>
    <row r="4349" spans="2:5" x14ac:dyDescent="0.35">
      <c r="B4349" s="2">
        <v>40644</v>
      </c>
      <c r="C4349" s="4">
        <v>105.51</v>
      </c>
      <c r="D4349">
        <f t="shared" si="70"/>
        <v>-0.98183558544987526</v>
      </c>
      <c r="E4349">
        <v>-1.8967921896792084E-2</v>
      </c>
    </row>
    <row r="4350" spans="2:5" x14ac:dyDescent="0.35">
      <c r="B4350" s="2">
        <v>44526</v>
      </c>
      <c r="C4350" s="4">
        <v>5808.61</v>
      </c>
      <c r="D4350">
        <f t="shared" si="70"/>
        <v>74.40711411138517</v>
      </c>
      <c r="E4350">
        <v>-1.8971649771826748E-2</v>
      </c>
    </row>
    <row r="4351" spans="2:5" x14ac:dyDescent="0.35">
      <c r="B4351" s="2">
        <v>40892</v>
      </c>
      <c r="C4351" s="4">
        <v>77.03</v>
      </c>
      <c r="D4351">
        <f t="shared" si="70"/>
        <v>3.8280091656557547E-2</v>
      </c>
      <c r="E4351">
        <v>-1.8976057055527185E-2</v>
      </c>
    </row>
    <row r="4352" spans="2:5" x14ac:dyDescent="0.35">
      <c r="B4352" s="2">
        <v>41492</v>
      </c>
      <c r="C4352" s="4">
        <v>74.19</v>
      </c>
      <c r="D4352">
        <f t="shared" si="70"/>
        <v>-0.94444694042591426</v>
      </c>
      <c r="E4352">
        <v>-1.9040063466878143E-2</v>
      </c>
    </row>
    <row r="4353" spans="2:5" x14ac:dyDescent="0.35">
      <c r="B4353" s="2">
        <v>43336</v>
      </c>
      <c r="C4353" s="4">
        <v>1335.48</v>
      </c>
      <c r="D4353">
        <f t="shared" si="70"/>
        <v>4.5658914728682172</v>
      </c>
      <c r="E4353">
        <v>-1.9046429804393972E-2</v>
      </c>
    </row>
    <row r="4354" spans="2:5" x14ac:dyDescent="0.35">
      <c r="B4354" s="2">
        <v>41745</v>
      </c>
      <c r="C4354" s="4">
        <v>239.94</v>
      </c>
      <c r="D4354">
        <f t="shared" si="70"/>
        <v>2.3529904974846283</v>
      </c>
      <c r="E4354">
        <v>-1.9051512673753046E-2</v>
      </c>
    </row>
    <row r="4355" spans="2:5" x14ac:dyDescent="0.35">
      <c r="B4355" s="2">
        <v>39622</v>
      </c>
      <c r="C4355" s="4">
        <v>71.56</v>
      </c>
      <c r="D4355">
        <f t="shared" si="70"/>
        <v>-0.74113731732021415</v>
      </c>
      <c r="E4355">
        <v>-1.9054146675805406E-2</v>
      </c>
    </row>
    <row r="4356" spans="2:5" x14ac:dyDescent="0.35">
      <c r="B4356" s="2">
        <v>41845</v>
      </c>
      <c r="C4356" s="4">
        <v>276.44</v>
      </c>
      <c r="D4356">
        <f t="shared" ref="D4356:D4419" si="71">C4356/C4357-1</f>
        <v>-0.7913187891598098</v>
      </c>
      <c r="E4356">
        <v>-1.9055391930733467E-2</v>
      </c>
    </row>
    <row r="4357" spans="2:5" x14ac:dyDescent="0.35">
      <c r="B4357" s="2">
        <v>43314</v>
      </c>
      <c r="C4357" s="4">
        <v>1324.7</v>
      </c>
      <c r="D4357">
        <f t="shared" si="71"/>
        <v>0.40230347426587354</v>
      </c>
      <c r="E4357">
        <v>-1.9096772282652941E-2</v>
      </c>
    </row>
    <row r="4358" spans="2:5" x14ac:dyDescent="0.35">
      <c r="B4358" s="2">
        <v>42237</v>
      </c>
      <c r="C4358" s="4">
        <v>944.66</v>
      </c>
      <c r="D4358">
        <f t="shared" si="71"/>
        <v>24.916598079561041</v>
      </c>
      <c r="E4358">
        <v>-1.9105767034244936E-2</v>
      </c>
    </row>
    <row r="4359" spans="2:5" x14ac:dyDescent="0.35">
      <c r="B4359" s="2">
        <v>39766</v>
      </c>
      <c r="C4359" s="4">
        <v>36.450000000000003</v>
      </c>
      <c r="D4359">
        <f t="shared" si="71"/>
        <v>-0.58199541284403666</v>
      </c>
      <c r="E4359">
        <v>-1.9106566200215114E-2</v>
      </c>
    </row>
    <row r="4360" spans="2:5" x14ac:dyDescent="0.35">
      <c r="B4360" s="2">
        <v>39071</v>
      </c>
      <c r="C4360" s="4">
        <v>87.2</v>
      </c>
      <c r="D4360">
        <f t="shared" si="71"/>
        <v>5.0096339113680166E-2</v>
      </c>
      <c r="E4360">
        <v>-1.9122609673790758E-2</v>
      </c>
    </row>
    <row r="4361" spans="2:5" x14ac:dyDescent="0.35">
      <c r="B4361" s="2">
        <v>40780</v>
      </c>
      <c r="C4361" s="4">
        <v>83.04</v>
      </c>
      <c r="D4361">
        <f t="shared" si="71"/>
        <v>-0.92699395132930085</v>
      </c>
      <c r="E4361">
        <v>-1.9135364989369075E-2</v>
      </c>
    </row>
    <row r="4362" spans="2:5" x14ac:dyDescent="0.35">
      <c r="B4362" s="2">
        <v>44078</v>
      </c>
      <c r="C4362" s="4">
        <v>1137.44</v>
      </c>
      <c r="D4362">
        <f t="shared" si="71"/>
        <v>11.070890374615303</v>
      </c>
      <c r="E4362">
        <v>-1.9143872236211279E-2</v>
      </c>
    </row>
    <row r="4363" spans="2:5" x14ac:dyDescent="0.35">
      <c r="B4363" s="2">
        <v>41213</v>
      </c>
      <c r="C4363" s="4">
        <v>94.23</v>
      </c>
      <c r="D4363">
        <f t="shared" si="71"/>
        <v>1.968809073724008</v>
      </c>
      <c r="E4363">
        <v>-1.9152701155407459E-2</v>
      </c>
    </row>
    <row r="4364" spans="2:5" x14ac:dyDescent="0.35">
      <c r="B4364" s="2">
        <v>37515</v>
      </c>
      <c r="C4364" s="4">
        <v>31.74</v>
      </c>
      <c r="D4364">
        <f t="shared" si="71"/>
        <v>-0.95872400743852171</v>
      </c>
      <c r="E4364">
        <v>-1.9159456118665097E-2</v>
      </c>
    </row>
    <row r="4365" spans="2:5" x14ac:dyDescent="0.35">
      <c r="B4365" s="2">
        <v>43782</v>
      </c>
      <c r="C4365" s="4">
        <v>768.97</v>
      </c>
      <c r="D4365">
        <f t="shared" si="71"/>
        <v>-0.91374134855912148</v>
      </c>
      <c r="E4365">
        <v>-1.9195938879110197E-2</v>
      </c>
    </row>
    <row r="4366" spans="2:5" x14ac:dyDescent="0.35">
      <c r="B4366" s="2">
        <v>44818</v>
      </c>
      <c r="C4366" s="4">
        <v>8914.7000000000007</v>
      </c>
      <c r="D4366">
        <f t="shared" si="71"/>
        <v>322.93531976744191</v>
      </c>
      <c r="E4366">
        <v>-1.9198609338555661E-2</v>
      </c>
    </row>
    <row r="4367" spans="2:5" x14ac:dyDescent="0.35">
      <c r="B4367" s="2">
        <v>38056</v>
      </c>
      <c r="C4367" s="4">
        <v>27.52</v>
      </c>
      <c r="D4367">
        <f t="shared" si="71"/>
        <v>-0.70955145118733509</v>
      </c>
      <c r="E4367">
        <v>-1.9244476122594389E-2</v>
      </c>
    </row>
    <row r="4368" spans="2:5" x14ac:dyDescent="0.35">
      <c r="B4368" s="2">
        <v>41124</v>
      </c>
      <c r="C4368" s="4">
        <v>94.75</v>
      </c>
      <c r="D4368">
        <f t="shared" si="71"/>
        <v>-0.6386070638492638</v>
      </c>
      <c r="E4368">
        <v>-1.9252665355553256E-2</v>
      </c>
    </row>
    <row r="4369" spans="2:5" x14ac:dyDescent="0.35">
      <c r="B4369" s="2">
        <v>41992</v>
      </c>
      <c r="C4369" s="4">
        <v>262.18</v>
      </c>
      <c r="D4369">
        <f t="shared" si="71"/>
        <v>1.6170892393691356</v>
      </c>
      <c r="E4369">
        <v>-1.9374625972471637E-2</v>
      </c>
    </row>
    <row r="4370" spans="2:5" x14ac:dyDescent="0.35">
      <c r="B4370" s="2">
        <v>40337</v>
      </c>
      <c r="C4370" s="4">
        <v>100.18</v>
      </c>
      <c r="D4370">
        <f t="shared" si="71"/>
        <v>0.47998227212291344</v>
      </c>
      <c r="E4370">
        <v>-1.9381362568519855E-2</v>
      </c>
    </row>
    <row r="4371" spans="2:5" x14ac:dyDescent="0.35">
      <c r="B4371" s="2">
        <v>40079</v>
      </c>
      <c r="C4371" s="4">
        <v>67.69</v>
      </c>
      <c r="D4371">
        <f t="shared" si="71"/>
        <v>-0.94025543032153858</v>
      </c>
      <c r="E4371">
        <v>-1.941184992032452E-2</v>
      </c>
    </row>
    <row r="4372" spans="2:5" x14ac:dyDescent="0.35">
      <c r="B4372" s="2">
        <v>43252</v>
      </c>
      <c r="C4372" s="4">
        <v>1132.99</v>
      </c>
      <c r="D4372">
        <f t="shared" si="71"/>
        <v>1.2239037412161897</v>
      </c>
      <c r="E4372">
        <v>-1.9438314076766661E-2</v>
      </c>
    </row>
    <row r="4373" spans="2:5" x14ac:dyDescent="0.35">
      <c r="B4373" s="2">
        <v>42115</v>
      </c>
      <c r="C4373" s="4">
        <v>509.46</v>
      </c>
      <c r="D4373">
        <f t="shared" si="71"/>
        <v>6.5733610822060351</v>
      </c>
      <c r="E4373">
        <v>-1.9515011547344141E-2</v>
      </c>
    </row>
    <row r="4374" spans="2:5" x14ac:dyDescent="0.35">
      <c r="B4374" s="2">
        <v>39576</v>
      </c>
      <c r="C4374" s="4">
        <v>67.27</v>
      </c>
      <c r="D4374">
        <f t="shared" si="71"/>
        <v>1.393098541444326</v>
      </c>
      <c r="E4374">
        <v>-1.9530680658796151E-2</v>
      </c>
    </row>
    <row r="4375" spans="2:5" x14ac:dyDescent="0.35">
      <c r="B4375" s="2">
        <v>37866</v>
      </c>
      <c r="C4375" s="4">
        <v>28.11</v>
      </c>
      <c r="D4375">
        <f t="shared" si="71"/>
        <v>-0.96467572288475312</v>
      </c>
      <c r="E4375">
        <v>-1.9532612486920176E-2</v>
      </c>
    </row>
    <row r="4376" spans="2:5" x14ac:dyDescent="0.35">
      <c r="B4376" s="2">
        <v>43598</v>
      </c>
      <c r="C4376" s="4">
        <v>795.77</v>
      </c>
      <c r="D4376">
        <f t="shared" si="71"/>
        <v>19.14097696785624</v>
      </c>
      <c r="E4376">
        <v>-1.9601320717524073E-2</v>
      </c>
    </row>
    <row r="4377" spans="2:5" x14ac:dyDescent="0.35">
      <c r="B4377" s="2">
        <v>38194</v>
      </c>
      <c r="C4377" s="4">
        <v>39.51</v>
      </c>
      <c r="D4377">
        <f t="shared" si="71"/>
        <v>-0.99345638834372596</v>
      </c>
      <c r="E4377">
        <v>-1.9602977667493748E-2</v>
      </c>
    </row>
    <row r="4378" spans="2:5" x14ac:dyDescent="0.35">
      <c r="B4378" s="2">
        <v>45005</v>
      </c>
      <c r="C4378" s="4">
        <v>6037.95</v>
      </c>
      <c r="D4378">
        <f t="shared" si="71"/>
        <v>100.80323722812341</v>
      </c>
      <c r="E4378">
        <v>-1.9654164637116445E-2</v>
      </c>
    </row>
    <row r="4379" spans="2:5" x14ac:dyDescent="0.35">
      <c r="B4379" s="2">
        <v>38432</v>
      </c>
      <c r="C4379" s="4">
        <v>59.31</v>
      </c>
      <c r="D4379">
        <f t="shared" si="71"/>
        <v>1.3838424437299035</v>
      </c>
      <c r="E4379">
        <v>-1.9669421487603311E-2</v>
      </c>
    </row>
    <row r="4380" spans="2:5" x14ac:dyDescent="0.35">
      <c r="B4380" s="2">
        <v>37833</v>
      </c>
      <c r="C4380" s="4">
        <v>24.88</v>
      </c>
      <c r="D4380">
        <f t="shared" si="71"/>
        <v>-0.99702438616004685</v>
      </c>
      <c r="E4380">
        <v>-1.9700551615445261E-2</v>
      </c>
    </row>
    <row r="4381" spans="2:5" x14ac:dyDescent="0.35">
      <c r="B4381" s="2">
        <v>44768</v>
      </c>
      <c r="C4381" s="4">
        <v>8361.2999999999993</v>
      </c>
      <c r="D4381">
        <f t="shared" si="71"/>
        <v>10.334282228548188</v>
      </c>
      <c r="E4381">
        <v>-1.9708303045935294E-2</v>
      </c>
    </row>
    <row r="4382" spans="2:5" x14ac:dyDescent="0.35">
      <c r="B4382" s="2">
        <v>43977</v>
      </c>
      <c r="C4382" s="4">
        <v>737.7</v>
      </c>
      <c r="D4382">
        <f t="shared" si="71"/>
        <v>-0.14448735344257724</v>
      </c>
      <c r="E4382">
        <v>-1.9745933879026123E-2</v>
      </c>
    </row>
    <row r="4383" spans="2:5" x14ac:dyDescent="0.35">
      <c r="B4383" s="2">
        <v>42269</v>
      </c>
      <c r="C4383" s="4">
        <v>862.29</v>
      </c>
      <c r="D4383">
        <f t="shared" si="71"/>
        <v>9.2288256227758012</v>
      </c>
      <c r="E4383">
        <v>-1.9746265602619162E-2</v>
      </c>
    </row>
    <row r="4384" spans="2:5" x14ac:dyDescent="0.35">
      <c r="B4384" s="2">
        <v>40812</v>
      </c>
      <c r="C4384" s="4">
        <v>84.3</v>
      </c>
      <c r="D4384">
        <f t="shared" si="71"/>
        <v>-0.67331912420073636</v>
      </c>
      <c r="E4384">
        <v>-1.9767441860465196E-2</v>
      </c>
    </row>
    <row r="4385" spans="2:5" x14ac:dyDescent="0.35">
      <c r="B4385" s="2">
        <v>41864</v>
      </c>
      <c r="C4385" s="4">
        <v>258.05</v>
      </c>
      <c r="D4385">
        <f t="shared" si="71"/>
        <v>-0.77134375969163971</v>
      </c>
      <c r="E4385">
        <v>-1.9790321355314111E-2</v>
      </c>
    </row>
    <row r="4386" spans="2:5" x14ac:dyDescent="0.35">
      <c r="B4386" s="2">
        <v>43248</v>
      </c>
      <c r="C4386" s="4">
        <v>1128.55</v>
      </c>
      <c r="D4386">
        <f t="shared" si="71"/>
        <v>36.985526758667113</v>
      </c>
      <c r="E4386">
        <v>-1.9794326610731772E-2</v>
      </c>
    </row>
    <row r="4387" spans="2:5" x14ac:dyDescent="0.35">
      <c r="B4387" s="2">
        <v>37551</v>
      </c>
      <c r="C4387" s="4">
        <v>29.71</v>
      </c>
      <c r="D4387">
        <f t="shared" si="71"/>
        <v>-0.96696025444273925</v>
      </c>
      <c r="E4387">
        <v>-1.979544704717906E-2</v>
      </c>
    </row>
    <row r="4388" spans="2:5" x14ac:dyDescent="0.35">
      <c r="B4388" s="2">
        <v>43398</v>
      </c>
      <c r="C4388" s="4">
        <v>899.22</v>
      </c>
      <c r="D4388">
        <f t="shared" si="71"/>
        <v>13.429075738125803</v>
      </c>
      <c r="E4388">
        <v>-1.9795504589156021E-2</v>
      </c>
    </row>
    <row r="4389" spans="2:5" x14ac:dyDescent="0.35">
      <c r="B4389" s="2">
        <v>38875</v>
      </c>
      <c r="C4389" s="4">
        <v>62.32</v>
      </c>
      <c r="D4389">
        <f t="shared" si="71"/>
        <v>-0.20235504927684622</v>
      </c>
      <c r="E4389">
        <v>-1.9817552689525009E-2</v>
      </c>
    </row>
    <row r="4390" spans="2:5" x14ac:dyDescent="0.35">
      <c r="B4390" s="2">
        <v>41436</v>
      </c>
      <c r="C4390" s="4">
        <v>78.13</v>
      </c>
      <c r="D4390">
        <f t="shared" si="71"/>
        <v>-0.92415888485507391</v>
      </c>
      <c r="E4390">
        <v>-1.9821854221553137E-2</v>
      </c>
    </row>
    <row r="4391" spans="2:5" x14ac:dyDescent="0.35">
      <c r="B4391" s="2">
        <v>43873</v>
      </c>
      <c r="C4391" s="4">
        <v>1030.18</v>
      </c>
      <c r="D4391">
        <f t="shared" si="71"/>
        <v>19.682192330857259</v>
      </c>
      <c r="E4391">
        <v>-1.9856334142048349E-2</v>
      </c>
    </row>
    <row r="4392" spans="2:5" x14ac:dyDescent="0.35">
      <c r="B4392" s="2">
        <v>38239</v>
      </c>
      <c r="C4392" s="4">
        <v>49.81</v>
      </c>
      <c r="D4392">
        <f t="shared" si="71"/>
        <v>-0.92996442682189506</v>
      </c>
      <c r="E4392">
        <v>-1.9874065328610691E-2</v>
      </c>
    </row>
    <row r="4393" spans="2:5" x14ac:dyDescent="0.35">
      <c r="B4393" s="2">
        <v>42619</v>
      </c>
      <c r="C4393" s="4">
        <v>711.21</v>
      </c>
      <c r="D4393">
        <f t="shared" si="71"/>
        <v>20.577973300970875</v>
      </c>
      <c r="E4393">
        <v>-1.9899400537449097E-2</v>
      </c>
    </row>
    <row r="4394" spans="2:5" x14ac:dyDescent="0.35">
      <c r="B4394" s="2">
        <v>39777</v>
      </c>
      <c r="C4394" s="4">
        <v>32.96</v>
      </c>
      <c r="D4394">
        <f t="shared" si="71"/>
        <v>-0.9612850179127268</v>
      </c>
      <c r="E4394">
        <v>-1.9922688076122519E-2</v>
      </c>
    </row>
    <row r="4395" spans="2:5" x14ac:dyDescent="0.35">
      <c r="B4395" s="2">
        <v>43504</v>
      </c>
      <c r="C4395" s="4">
        <v>851.35</v>
      </c>
      <c r="D4395">
        <f t="shared" si="71"/>
        <v>28.367023111417733</v>
      </c>
      <c r="E4395">
        <v>-1.9938526713251248E-2</v>
      </c>
    </row>
    <row r="4396" spans="2:5" x14ac:dyDescent="0.35">
      <c r="B4396" s="2">
        <v>38042</v>
      </c>
      <c r="C4396" s="4">
        <v>28.99</v>
      </c>
      <c r="D4396">
        <f t="shared" si="71"/>
        <v>-0.52769631801889871</v>
      </c>
      <c r="E4396">
        <v>-1.9945909398242034E-2</v>
      </c>
    </row>
    <row r="4397" spans="2:5" x14ac:dyDescent="0.35">
      <c r="B4397" s="2">
        <v>39696</v>
      </c>
      <c r="C4397" s="4">
        <v>61.38</v>
      </c>
      <c r="D4397">
        <f t="shared" si="71"/>
        <v>-0.89769147428952412</v>
      </c>
      <c r="E4397">
        <v>-1.9958486348395366E-2</v>
      </c>
    </row>
    <row r="4398" spans="2:5" x14ac:dyDescent="0.35">
      <c r="B4398" s="2">
        <v>42730</v>
      </c>
      <c r="C4398" s="4">
        <v>599.95000000000005</v>
      </c>
      <c r="D4398">
        <f t="shared" si="71"/>
        <v>-0.89733721887304518</v>
      </c>
      <c r="E4398">
        <v>-2.0025808137730472E-2</v>
      </c>
    </row>
    <row r="4399" spans="2:5" x14ac:dyDescent="0.35">
      <c r="B4399" s="2">
        <v>44543</v>
      </c>
      <c r="C4399" s="4">
        <v>5843.89</v>
      </c>
      <c r="D4399">
        <f t="shared" si="71"/>
        <v>47.380577862405829</v>
      </c>
      <c r="E4399">
        <v>-2.0037294286126328E-2</v>
      </c>
    </row>
    <row r="4400" spans="2:5" x14ac:dyDescent="0.35">
      <c r="B4400" s="2">
        <v>40500</v>
      </c>
      <c r="C4400" s="4">
        <v>120.79</v>
      </c>
      <c r="D4400">
        <f t="shared" si="71"/>
        <v>0.14710351377018061</v>
      </c>
      <c r="E4400">
        <v>-2.0038942073665411E-2</v>
      </c>
    </row>
    <row r="4401" spans="2:5" x14ac:dyDescent="0.35">
      <c r="B4401" s="2">
        <v>39349</v>
      </c>
      <c r="C4401" s="4">
        <v>105.3</v>
      </c>
      <c r="D4401">
        <f t="shared" si="71"/>
        <v>-0.87571848407237363</v>
      </c>
      <c r="E4401">
        <v>-2.010050251256279E-2</v>
      </c>
    </row>
    <row r="4402" spans="2:5" x14ac:dyDescent="0.35">
      <c r="B4402" s="2">
        <v>42494</v>
      </c>
      <c r="C4402" s="4">
        <v>847.27</v>
      </c>
      <c r="D4402">
        <f t="shared" si="71"/>
        <v>31.301563095691954</v>
      </c>
      <c r="E4402">
        <v>-2.0157279981496523E-2</v>
      </c>
    </row>
    <row r="4403" spans="2:5" x14ac:dyDescent="0.35">
      <c r="B4403" s="2">
        <v>37644</v>
      </c>
      <c r="C4403" s="4">
        <v>26.23</v>
      </c>
      <c r="D4403">
        <f t="shared" si="71"/>
        <v>-0.69097549481621112</v>
      </c>
      <c r="E4403">
        <v>-2.0171834142696965E-2</v>
      </c>
    </row>
    <row r="4404" spans="2:5" x14ac:dyDescent="0.35">
      <c r="B4404" s="2">
        <v>41397</v>
      </c>
      <c r="C4404" s="4">
        <v>84.88</v>
      </c>
      <c r="D4404">
        <f t="shared" si="71"/>
        <v>-9.7501329080276422E-2</v>
      </c>
      <c r="E4404">
        <v>-2.0200854207549357E-2</v>
      </c>
    </row>
    <row r="4405" spans="2:5" x14ac:dyDescent="0.35">
      <c r="B4405" s="2">
        <v>40945</v>
      </c>
      <c r="C4405" s="4">
        <v>94.05</v>
      </c>
      <c r="D4405">
        <f t="shared" si="71"/>
        <v>9.0561224489795977E-2</v>
      </c>
      <c r="E4405">
        <v>-2.021043858735283E-2</v>
      </c>
    </row>
    <row r="4406" spans="2:5" x14ac:dyDescent="0.35">
      <c r="B4406" s="2">
        <v>41480</v>
      </c>
      <c r="C4406" s="4">
        <v>86.24</v>
      </c>
      <c r="D4406">
        <f t="shared" si="71"/>
        <v>-0.8848920863309353</v>
      </c>
      <c r="E4406">
        <v>-2.0222676664394479E-2</v>
      </c>
    </row>
    <row r="4407" spans="2:5" x14ac:dyDescent="0.35">
      <c r="B4407" s="2">
        <v>43972</v>
      </c>
      <c r="C4407" s="4">
        <v>749.21</v>
      </c>
      <c r="D4407">
        <f t="shared" si="71"/>
        <v>6.3022417153996111</v>
      </c>
      <c r="E4407">
        <v>-2.024349736494524E-2</v>
      </c>
    </row>
    <row r="4408" spans="2:5" x14ac:dyDescent="0.35">
      <c r="B4408" s="2">
        <v>41107</v>
      </c>
      <c r="C4408" s="4">
        <v>102.6</v>
      </c>
      <c r="D4408">
        <f t="shared" si="71"/>
        <v>1.6504779126840607</v>
      </c>
      <c r="E4408">
        <v>-2.0244461420932058E-2</v>
      </c>
    </row>
    <row r="4409" spans="2:5" x14ac:dyDescent="0.35">
      <c r="B4409" s="2">
        <v>38195</v>
      </c>
      <c r="C4409" s="4">
        <v>38.71</v>
      </c>
      <c r="D4409">
        <f t="shared" si="71"/>
        <v>0.19549104385423099</v>
      </c>
      <c r="E4409">
        <v>-2.0248038471272989E-2</v>
      </c>
    </row>
    <row r="4410" spans="2:5" x14ac:dyDescent="0.35">
      <c r="B4410" s="2">
        <v>39834</v>
      </c>
      <c r="C4410" s="4">
        <v>32.380000000000003</v>
      </c>
      <c r="D4410">
        <f t="shared" si="71"/>
        <v>-0.5675170295178309</v>
      </c>
      <c r="E4410">
        <v>-2.0272314674735115E-2</v>
      </c>
    </row>
    <row r="4411" spans="2:5" x14ac:dyDescent="0.35">
      <c r="B4411" s="2">
        <v>40905</v>
      </c>
      <c r="C4411" s="4">
        <v>74.87</v>
      </c>
      <c r="D4411">
        <f t="shared" si="71"/>
        <v>2.7446136956223333E-2</v>
      </c>
      <c r="E4411">
        <v>-2.0282648521329438E-2</v>
      </c>
    </row>
    <row r="4412" spans="2:5" x14ac:dyDescent="0.35">
      <c r="B4412" s="2">
        <v>39644</v>
      </c>
      <c r="C4412" s="4">
        <v>72.87</v>
      </c>
      <c r="D4412">
        <f t="shared" si="71"/>
        <v>-0.90750777432252328</v>
      </c>
      <c r="E4412">
        <v>-2.030115622479145E-2</v>
      </c>
    </row>
    <row r="4413" spans="2:5" x14ac:dyDescent="0.35">
      <c r="B4413" s="2">
        <v>42591</v>
      </c>
      <c r="C4413" s="4">
        <v>787.85</v>
      </c>
      <c r="D4413">
        <f t="shared" si="71"/>
        <v>10.603092783505154</v>
      </c>
      <c r="E4413">
        <v>-2.0330763491668735E-2</v>
      </c>
    </row>
    <row r="4414" spans="2:5" x14ac:dyDescent="0.35">
      <c r="B4414" s="2">
        <v>38544</v>
      </c>
      <c r="C4414" s="4">
        <v>67.900000000000006</v>
      </c>
      <c r="D4414">
        <f t="shared" si="71"/>
        <v>1.5204157386785448</v>
      </c>
      <c r="E4414">
        <v>-2.0343384792959163E-2</v>
      </c>
    </row>
    <row r="4415" spans="2:5" x14ac:dyDescent="0.35">
      <c r="B4415" s="2">
        <v>37804</v>
      </c>
      <c r="C4415" s="4">
        <v>26.94</v>
      </c>
      <c r="D4415">
        <f t="shared" si="71"/>
        <v>-3.3369214208826659E-2</v>
      </c>
      <c r="E4415">
        <v>-2.0363636363636362E-2</v>
      </c>
    </row>
    <row r="4416" spans="2:5" x14ac:dyDescent="0.35">
      <c r="B4416" s="2">
        <v>37901</v>
      </c>
      <c r="C4416" s="4">
        <v>27.87</v>
      </c>
      <c r="D4416">
        <f t="shared" si="71"/>
        <v>-0.67200188301753561</v>
      </c>
      <c r="E4416">
        <v>-2.0386643233743396E-2</v>
      </c>
    </row>
    <row r="4417" spans="2:5" x14ac:dyDescent="0.35">
      <c r="B4417" s="2">
        <v>40925</v>
      </c>
      <c r="C4417" s="4">
        <v>84.97</v>
      </c>
      <c r="D4417">
        <f t="shared" si="71"/>
        <v>-0.84981795044010044</v>
      </c>
      <c r="E4417">
        <v>-2.0405810468065444E-2</v>
      </c>
    </row>
    <row r="4418" spans="2:5" x14ac:dyDescent="0.35">
      <c r="B4418" s="2">
        <v>42074</v>
      </c>
      <c r="C4418" s="4">
        <v>565.78</v>
      </c>
      <c r="D4418">
        <f t="shared" si="71"/>
        <v>-0.55556428363824883</v>
      </c>
      <c r="E4418">
        <v>-2.0413110099208875E-2</v>
      </c>
    </row>
    <row r="4419" spans="2:5" x14ac:dyDescent="0.35">
      <c r="B4419" s="2">
        <v>43349</v>
      </c>
      <c r="C4419" s="4">
        <v>1273.03</v>
      </c>
      <c r="D4419">
        <f t="shared" si="71"/>
        <v>11.290307009075111</v>
      </c>
      <c r="E4419">
        <v>-2.0422139630800973E-2</v>
      </c>
    </row>
    <row r="4420" spans="2:5" x14ac:dyDescent="0.35">
      <c r="B4420" s="2">
        <v>40340</v>
      </c>
      <c r="C4420" s="4">
        <v>103.58</v>
      </c>
      <c r="D4420">
        <f t="shared" ref="D4420:D4483" si="72">C4420/C4421-1</f>
        <v>-9.6567549478918657E-3</v>
      </c>
      <c r="E4420">
        <v>-2.0427463589937522E-2</v>
      </c>
    </row>
    <row r="4421" spans="2:5" x14ac:dyDescent="0.35">
      <c r="B4421" s="2">
        <v>40455</v>
      </c>
      <c r="C4421" s="4">
        <v>104.59</v>
      </c>
      <c r="D4421">
        <f t="shared" si="72"/>
        <v>-0.87167500981546919</v>
      </c>
      <c r="E4421">
        <v>-2.05094587001311E-2</v>
      </c>
    </row>
    <row r="4422" spans="2:5" x14ac:dyDescent="0.35">
      <c r="B4422" s="2">
        <v>43809</v>
      </c>
      <c r="C4422" s="4">
        <v>815.04</v>
      </c>
      <c r="D4422">
        <f t="shared" si="72"/>
        <v>2.2504087736789629</v>
      </c>
      <c r="E4422">
        <v>-2.0537656375806734E-2</v>
      </c>
    </row>
    <row r="4423" spans="2:5" x14ac:dyDescent="0.35">
      <c r="B4423" s="2">
        <v>41752</v>
      </c>
      <c r="C4423" s="4">
        <v>250.75</v>
      </c>
      <c r="D4423">
        <f t="shared" si="72"/>
        <v>-0.96862448228831688</v>
      </c>
      <c r="E4423">
        <v>-2.0546072419046046E-2</v>
      </c>
    </row>
    <row r="4424" spans="2:5" x14ac:dyDescent="0.35">
      <c r="B4424" s="2">
        <v>44728</v>
      </c>
      <c r="C4424" s="4">
        <v>7991.9</v>
      </c>
      <c r="D4424">
        <f t="shared" si="72"/>
        <v>9.3568975571826609</v>
      </c>
      <c r="E4424">
        <v>-2.0558479836757737E-2</v>
      </c>
    </row>
    <row r="4425" spans="2:5" x14ac:dyDescent="0.35">
      <c r="B4425" s="2">
        <v>42592</v>
      </c>
      <c r="C4425" s="4">
        <v>771.65</v>
      </c>
      <c r="D4425">
        <f t="shared" si="72"/>
        <v>20.614845938375346</v>
      </c>
      <c r="E4425">
        <v>-2.0562289775972631E-2</v>
      </c>
    </row>
    <row r="4426" spans="2:5" x14ac:dyDescent="0.35">
      <c r="B4426" s="2">
        <v>39769</v>
      </c>
      <c r="C4426" s="4">
        <v>35.700000000000003</v>
      </c>
      <c r="D4426">
        <f t="shared" si="72"/>
        <v>-0.94351533946173438</v>
      </c>
      <c r="E4426">
        <v>-2.0576131687242816E-2</v>
      </c>
    </row>
    <row r="4427" spans="2:5" x14ac:dyDescent="0.35">
      <c r="B4427" s="2">
        <v>42649</v>
      </c>
      <c r="C4427" s="4">
        <v>632.03</v>
      </c>
      <c r="D4427">
        <f t="shared" si="72"/>
        <v>8.9407046240956269</v>
      </c>
      <c r="E4427">
        <v>-2.0609610586831639E-2</v>
      </c>
    </row>
    <row r="4428" spans="2:5" x14ac:dyDescent="0.35">
      <c r="B4428" s="2">
        <v>39658</v>
      </c>
      <c r="C4428" s="4">
        <v>63.58</v>
      </c>
      <c r="D4428">
        <f t="shared" si="72"/>
        <v>-0.28457297175649832</v>
      </c>
      <c r="E4428">
        <v>-2.0640788662969811E-2</v>
      </c>
    </row>
    <row r="4429" spans="2:5" x14ac:dyDescent="0.35">
      <c r="B4429" s="2">
        <v>39391</v>
      </c>
      <c r="C4429" s="4">
        <v>88.87</v>
      </c>
      <c r="D4429">
        <f t="shared" si="72"/>
        <v>1.3800214247455811</v>
      </c>
      <c r="E4429">
        <v>-2.0716253443526123E-2</v>
      </c>
    </row>
    <row r="4430" spans="2:5" x14ac:dyDescent="0.35">
      <c r="B4430" s="2">
        <v>38212</v>
      </c>
      <c r="C4430" s="4">
        <v>37.340000000000003</v>
      </c>
      <c r="D4430">
        <f t="shared" si="72"/>
        <v>-0.99613321458898574</v>
      </c>
      <c r="E4430">
        <v>-2.0718594282717051E-2</v>
      </c>
    </row>
    <row r="4431" spans="2:5" x14ac:dyDescent="0.35">
      <c r="B4431" s="2">
        <v>44798</v>
      </c>
      <c r="C4431" s="4">
        <v>9656.6</v>
      </c>
      <c r="D4431">
        <f t="shared" si="72"/>
        <v>313.54723127035834</v>
      </c>
      <c r="E4431">
        <v>-2.0728120880235235E-2</v>
      </c>
    </row>
    <row r="4432" spans="2:5" x14ac:dyDescent="0.35">
      <c r="B4432" s="2">
        <v>39871</v>
      </c>
      <c r="C4432" s="4">
        <v>30.7</v>
      </c>
      <c r="D4432">
        <f t="shared" si="72"/>
        <v>-0.87546144172650198</v>
      </c>
      <c r="E4432">
        <v>-2.0733652312599715E-2</v>
      </c>
    </row>
    <row r="4433" spans="2:5" x14ac:dyDescent="0.35">
      <c r="B4433" s="2">
        <v>41736</v>
      </c>
      <c r="C4433" s="4">
        <v>246.51</v>
      </c>
      <c r="D4433">
        <f t="shared" si="72"/>
        <v>1.3732550303263693</v>
      </c>
      <c r="E4433">
        <v>-2.0736503396496242E-2</v>
      </c>
    </row>
    <row r="4434" spans="2:5" x14ac:dyDescent="0.35">
      <c r="B4434" s="2">
        <v>39293</v>
      </c>
      <c r="C4434" s="4">
        <v>103.87</v>
      </c>
      <c r="D4434">
        <f t="shared" si="72"/>
        <v>1.6229797979797982</v>
      </c>
      <c r="E4434">
        <v>-2.0741020081078476E-2</v>
      </c>
    </row>
    <row r="4435" spans="2:5" x14ac:dyDescent="0.35">
      <c r="B4435" s="2">
        <v>39926</v>
      </c>
      <c r="C4435" s="4">
        <v>39.6</v>
      </c>
      <c r="D4435">
        <f t="shared" si="72"/>
        <v>0.82994454713493537</v>
      </c>
      <c r="E4435">
        <v>-2.0771513353115667E-2</v>
      </c>
    </row>
    <row r="4436" spans="2:5" x14ac:dyDescent="0.35">
      <c r="B4436" s="2">
        <v>37763</v>
      </c>
      <c r="C4436" s="4">
        <v>21.64</v>
      </c>
      <c r="D4436">
        <f t="shared" si="72"/>
        <v>-0.71026911233096801</v>
      </c>
      <c r="E4436">
        <v>-2.0814479638009087E-2</v>
      </c>
    </row>
    <row r="4437" spans="2:5" x14ac:dyDescent="0.35">
      <c r="B4437" s="2">
        <v>38951</v>
      </c>
      <c r="C4437" s="4">
        <v>74.69</v>
      </c>
      <c r="D4437">
        <f t="shared" si="72"/>
        <v>-0.99042756205936222</v>
      </c>
      <c r="E4437">
        <v>-2.0844257996853743E-2</v>
      </c>
    </row>
    <row r="4438" spans="2:5" x14ac:dyDescent="0.35">
      <c r="B4438" s="2">
        <v>44677</v>
      </c>
      <c r="C4438" s="4">
        <v>7802.61</v>
      </c>
      <c r="D4438">
        <f t="shared" si="72"/>
        <v>-5.0734643773503119E-2</v>
      </c>
      <c r="E4438">
        <v>-2.0856313552462757E-2</v>
      </c>
    </row>
    <row r="4439" spans="2:5" x14ac:dyDescent="0.35">
      <c r="B4439" s="2">
        <v>44700</v>
      </c>
      <c r="C4439" s="4">
        <v>8219.6299999999992</v>
      </c>
      <c r="D4439">
        <f t="shared" si="72"/>
        <v>100.70292006928977</v>
      </c>
      <c r="E4439">
        <v>-2.0882817506736373E-2</v>
      </c>
    </row>
    <row r="4440" spans="2:5" x14ac:dyDescent="0.35">
      <c r="B4440" s="2">
        <v>39021</v>
      </c>
      <c r="C4440" s="4">
        <v>80.819999999999993</v>
      </c>
      <c r="D4440">
        <f t="shared" si="72"/>
        <v>1.4387447193723593</v>
      </c>
      <c r="E4440">
        <v>-2.0956995760145425E-2</v>
      </c>
    </row>
    <row r="4441" spans="2:5" x14ac:dyDescent="0.35">
      <c r="B4441" s="2">
        <v>39806</v>
      </c>
      <c r="C4441" s="4">
        <v>33.14</v>
      </c>
      <c r="D4441">
        <f t="shared" si="72"/>
        <v>-0.99518005701320611</v>
      </c>
      <c r="E4441">
        <v>-2.0974889217134418E-2</v>
      </c>
    </row>
    <row r="4442" spans="2:5" x14ac:dyDescent="0.35">
      <c r="B4442" s="2">
        <v>44862</v>
      </c>
      <c r="C4442" s="4">
        <v>6875.6</v>
      </c>
      <c r="D4442">
        <f t="shared" si="72"/>
        <v>240.84312346113262</v>
      </c>
      <c r="E4442">
        <v>-2.1002121570246723E-2</v>
      </c>
    </row>
    <row r="4443" spans="2:5" x14ac:dyDescent="0.35">
      <c r="B4443" s="2">
        <v>37637</v>
      </c>
      <c r="C4443" s="4">
        <v>28.43</v>
      </c>
      <c r="D4443">
        <f t="shared" si="72"/>
        <v>-0.66837746413157584</v>
      </c>
      <c r="E4443">
        <v>-2.100550964187331E-2</v>
      </c>
    </row>
    <row r="4444" spans="2:5" x14ac:dyDescent="0.35">
      <c r="B4444" s="2">
        <v>39412</v>
      </c>
      <c r="C4444" s="4">
        <v>85.73</v>
      </c>
      <c r="D4444">
        <f t="shared" si="72"/>
        <v>-0.68093341769325244</v>
      </c>
      <c r="E4444">
        <v>-2.1011762018956159E-2</v>
      </c>
    </row>
    <row r="4445" spans="2:5" x14ac:dyDescent="0.35">
      <c r="B4445" s="2">
        <v>41857</v>
      </c>
      <c r="C4445" s="4">
        <v>268.69</v>
      </c>
      <c r="D4445">
        <f t="shared" si="72"/>
        <v>-0.92477862480018136</v>
      </c>
      <c r="E4445">
        <v>-2.1023099905268516E-2</v>
      </c>
    </row>
    <row r="4446" spans="2:5" x14ac:dyDescent="0.35">
      <c r="B4446" s="2">
        <v>44326</v>
      </c>
      <c r="C4446" s="4">
        <v>3571.99</v>
      </c>
      <c r="D4446">
        <f t="shared" si="72"/>
        <v>4.78909921882597</v>
      </c>
      <c r="E4446">
        <v>-2.1023926329925779E-2</v>
      </c>
    </row>
    <row r="4447" spans="2:5" x14ac:dyDescent="0.35">
      <c r="B4447" s="2">
        <v>42884</v>
      </c>
      <c r="C4447" s="4">
        <v>617.02</v>
      </c>
      <c r="D4447">
        <f t="shared" si="72"/>
        <v>3.7382890493011827</v>
      </c>
      <c r="E4447">
        <v>-2.1100393450945609E-2</v>
      </c>
    </row>
    <row r="4448" spans="2:5" x14ac:dyDescent="0.35">
      <c r="B4448" s="2">
        <v>41610</v>
      </c>
      <c r="C4448" s="4">
        <v>130.22</v>
      </c>
      <c r="D4448">
        <f t="shared" si="72"/>
        <v>1.1211923766085681</v>
      </c>
      <c r="E4448">
        <v>-2.1123054950011322E-2</v>
      </c>
    </row>
    <row r="4449" spans="2:5" x14ac:dyDescent="0.35">
      <c r="B4449" s="2">
        <v>38530</v>
      </c>
      <c r="C4449" s="4">
        <v>61.39</v>
      </c>
      <c r="D4449">
        <f t="shared" si="72"/>
        <v>-0.92930839916169594</v>
      </c>
      <c r="E4449">
        <v>-2.1205357142857095E-2</v>
      </c>
    </row>
    <row r="4450" spans="2:5" x14ac:dyDescent="0.35">
      <c r="B4450" s="2">
        <v>42457</v>
      </c>
      <c r="C4450" s="4">
        <v>868.42</v>
      </c>
      <c r="D4450">
        <f t="shared" si="72"/>
        <v>39.074757729580057</v>
      </c>
      <c r="E4450">
        <v>-2.1222879684418161E-2</v>
      </c>
    </row>
    <row r="4451" spans="2:5" x14ac:dyDescent="0.35">
      <c r="B4451" s="2">
        <v>37728</v>
      </c>
      <c r="C4451" s="4">
        <v>21.67</v>
      </c>
      <c r="D4451">
        <f t="shared" si="72"/>
        <v>-0.97810779411021875</v>
      </c>
      <c r="E4451">
        <v>-2.1228545618789507E-2</v>
      </c>
    </row>
    <row r="4452" spans="2:5" x14ac:dyDescent="0.35">
      <c r="B4452" s="2">
        <v>43131</v>
      </c>
      <c r="C4452" s="4">
        <v>989.85</v>
      </c>
      <c r="D4452">
        <f t="shared" si="72"/>
        <v>8.1271505816811418E-2</v>
      </c>
      <c r="E4452">
        <v>-2.124903593252514E-2</v>
      </c>
    </row>
    <row r="4453" spans="2:5" x14ac:dyDescent="0.35">
      <c r="B4453" s="2">
        <v>43857</v>
      </c>
      <c r="C4453" s="4">
        <v>915.45</v>
      </c>
      <c r="D4453">
        <f t="shared" si="72"/>
        <v>26.673821039903267</v>
      </c>
      <c r="E4453">
        <v>-2.1275458384561907E-2</v>
      </c>
    </row>
    <row r="4454" spans="2:5" x14ac:dyDescent="0.35">
      <c r="B4454" s="2">
        <v>38014</v>
      </c>
      <c r="C4454" s="4">
        <v>33.08</v>
      </c>
      <c r="D4454">
        <f t="shared" si="72"/>
        <v>-0.88277401750593576</v>
      </c>
      <c r="E4454">
        <v>-2.130177514792897E-2</v>
      </c>
    </row>
    <row r="4455" spans="2:5" x14ac:dyDescent="0.35">
      <c r="B4455" s="2">
        <v>41919</v>
      </c>
      <c r="C4455" s="4">
        <v>282.19</v>
      </c>
      <c r="D4455">
        <f t="shared" si="72"/>
        <v>-0.58095987645154579</v>
      </c>
      <c r="E4455">
        <v>-2.132898661302618E-2</v>
      </c>
    </row>
    <row r="4456" spans="2:5" x14ac:dyDescent="0.35">
      <c r="B4456" s="2">
        <v>42718</v>
      </c>
      <c r="C4456" s="4">
        <v>673.42</v>
      </c>
      <c r="D4456">
        <f t="shared" si="72"/>
        <v>-0.10632481354672618</v>
      </c>
      <c r="E4456">
        <v>-2.1334108414474695E-2</v>
      </c>
    </row>
    <row r="4457" spans="2:5" x14ac:dyDescent="0.35">
      <c r="B4457" s="2">
        <v>42566</v>
      </c>
      <c r="C4457" s="4">
        <v>753.54</v>
      </c>
      <c r="D4457">
        <f t="shared" si="72"/>
        <v>9.0539026017344888</v>
      </c>
      <c r="E4457">
        <v>-2.1363913817062596E-2</v>
      </c>
    </row>
    <row r="4458" spans="2:5" x14ac:dyDescent="0.35">
      <c r="B4458" s="2">
        <v>39611</v>
      </c>
      <c r="C4458" s="4">
        <v>74.95</v>
      </c>
      <c r="D4458">
        <f t="shared" si="72"/>
        <v>-0.97143739091331749</v>
      </c>
      <c r="E4458">
        <v>-2.1412717064891007E-2</v>
      </c>
    </row>
    <row r="4459" spans="2:5" x14ac:dyDescent="0.35">
      <c r="B4459" s="2">
        <v>44264</v>
      </c>
      <c r="C4459" s="4">
        <v>2624.06</v>
      </c>
      <c r="D4459">
        <f t="shared" si="72"/>
        <v>95.013904134650573</v>
      </c>
      <c r="E4459">
        <v>-2.1439093061848657E-2</v>
      </c>
    </row>
    <row r="4460" spans="2:5" x14ac:dyDescent="0.35">
      <c r="B4460" s="2">
        <v>37641</v>
      </c>
      <c r="C4460" s="4">
        <v>27.33</v>
      </c>
      <c r="D4460">
        <f t="shared" si="72"/>
        <v>-0.73063276167947966</v>
      </c>
      <c r="E4460">
        <v>-2.148227712137496E-2</v>
      </c>
    </row>
    <row r="4461" spans="2:5" x14ac:dyDescent="0.35">
      <c r="B4461" s="2">
        <v>40442</v>
      </c>
      <c r="C4461" s="4">
        <v>101.46</v>
      </c>
      <c r="D4461">
        <f t="shared" si="72"/>
        <v>0.16781767955801108</v>
      </c>
      <c r="E4461">
        <v>-2.1506413347478048E-2</v>
      </c>
    </row>
    <row r="4462" spans="2:5" x14ac:dyDescent="0.35">
      <c r="B4462" s="2">
        <v>39059</v>
      </c>
      <c r="C4462" s="4">
        <v>86.88</v>
      </c>
      <c r="D4462">
        <f t="shared" si="72"/>
        <v>-0.90621964119945597</v>
      </c>
      <c r="E4462">
        <v>-2.1511431467507669E-2</v>
      </c>
    </row>
    <row r="4463" spans="2:5" x14ac:dyDescent="0.35">
      <c r="B4463" s="2">
        <v>44047</v>
      </c>
      <c r="C4463" s="4">
        <v>926.42</v>
      </c>
      <c r="D4463">
        <f t="shared" si="72"/>
        <v>4.537146614069691</v>
      </c>
      <c r="E4463">
        <v>-2.1514802648950671E-2</v>
      </c>
    </row>
    <row r="4464" spans="2:5" x14ac:dyDescent="0.35">
      <c r="B4464" s="2">
        <v>41662</v>
      </c>
      <c r="C4464" s="4">
        <v>167.31</v>
      </c>
      <c r="D4464">
        <f t="shared" si="72"/>
        <v>1.0468558845118672</v>
      </c>
      <c r="E4464">
        <v>-2.1521726416749543E-2</v>
      </c>
    </row>
    <row r="4465" spans="2:5" x14ac:dyDescent="0.35">
      <c r="B4465" s="2">
        <v>41417</v>
      </c>
      <c r="C4465" s="4">
        <v>81.739999999999995</v>
      </c>
      <c r="D4465">
        <f t="shared" si="72"/>
        <v>-0.93858568251487651</v>
      </c>
      <c r="E4465">
        <v>-2.1546564519990596E-2</v>
      </c>
    </row>
    <row r="4466" spans="2:5" x14ac:dyDescent="0.35">
      <c r="B4466" s="2">
        <v>43347</v>
      </c>
      <c r="C4466" s="4">
        <v>1330.96</v>
      </c>
      <c r="D4466">
        <f t="shared" si="72"/>
        <v>14.773406020383979</v>
      </c>
      <c r="E4466">
        <v>-2.1554385861734304E-2</v>
      </c>
    </row>
    <row r="4467" spans="2:5" x14ac:dyDescent="0.35">
      <c r="B4467" s="2">
        <v>41481</v>
      </c>
      <c r="C4467" s="4">
        <v>84.38</v>
      </c>
      <c r="D4467">
        <f t="shared" si="72"/>
        <v>-0.98705421183040676</v>
      </c>
      <c r="E4467">
        <v>-2.1567717996289426E-2</v>
      </c>
    </row>
    <row r="4468" spans="2:5" x14ac:dyDescent="0.35">
      <c r="B4468" s="2">
        <v>44979</v>
      </c>
      <c r="C4468" s="4">
        <v>6517.95</v>
      </c>
      <c r="D4468">
        <f t="shared" si="72"/>
        <v>214.68332230311051</v>
      </c>
      <c r="E4468">
        <v>-2.1585919615716653E-2</v>
      </c>
    </row>
    <row r="4469" spans="2:5" x14ac:dyDescent="0.35">
      <c r="B4469" s="2">
        <v>37623</v>
      </c>
      <c r="C4469" s="4">
        <v>30.22</v>
      </c>
      <c r="D4469">
        <f t="shared" si="72"/>
        <v>0.175875486381323</v>
      </c>
      <c r="E4469">
        <v>-2.168986727096156E-2</v>
      </c>
    </row>
    <row r="4470" spans="2:5" x14ac:dyDescent="0.35">
      <c r="B4470" s="2">
        <v>37847</v>
      </c>
      <c r="C4470" s="4">
        <v>25.7</v>
      </c>
      <c r="D4470">
        <f t="shared" si="72"/>
        <v>-0.96904807784950386</v>
      </c>
      <c r="E4470">
        <v>-2.1697754092120269E-2</v>
      </c>
    </row>
    <row r="4471" spans="2:5" x14ac:dyDescent="0.35">
      <c r="B4471" s="2">
        <v>43522</v>
      </c>
      <c r="C4471" s="4">
        <v>830.32</v>
      </c>
      <c r="D4471">
        <f t="shared" si="72"/>
        <v>-9.7792072322670398E-2</v>
      </c>
      <c r="E4471">
        <v>-2.1725811772468018E-2</v>
      </c>
    </row>
    <row r="4472" spans="2:5" x14ac:dyDescent="0.35">
      <c r="B4472" s="2">
        <v>43187</v>
      </c>
      <c r="C4472" s="4">
        <v>920.32</v>
      </c>
      <c r="D4472">
        <f t="shared" si="72"/>
        <v>-0.20757706216635097</v>
      </c>
      <c r="E4472">
        <v>-2.1737512888378552E-2</v>
      </c>
    </row>
    <row r="4473" spans="2:5" x14ac:dyDescent="0.35">
      <c r="B4473" s="2">
        <v>43368</v>
      </c>
      <c r="C4473" s="4">
        <v>1161.4000000000001</v>
      </c>
      <c r="D4473">
        <f t="shared" si="72"/>
        <v>29.458956202465252</v>
      </c>
      <c r="E4473">
        <v>-2.1797722525436214E-2</v>
      </c>
    </row>
    <row r="4474" spans="2:5" x14ac:dyDescent="0.35">
      <c r="B4474" s="2">
        <v>38211</v>
      </c>
      <c r="C4474" s="4">
        <v>38.130000000000003</v>
      </c>
      <c r="D4474">
        <f t="shared" si="72"/>
        <v>-0.95603191808307009</v>
      </c>
      <c r="E4474">
        <v>-2.1806054386864893E-2</v>
      </c>
    </row>
    <row r="4475" spans="2:5" x14ac:dyDescent="0.35">
      <c r="B4475" s="2">
        <v>42383</v>
      </c>
      <c r="C4475" s="4">
        <v>867.22</v>
      </c>
      <c r="D4475">
        <f t="shared" si="72"/>
        <v>0.32529494467877007</v>
      </c>
      <c r="E4475">
        <v>-2.1869818747814684E-2</v>
      </c>
    </row>
    <row r="4476" spans="2:5" x14ac:dyDescent="0.35">
      <c r="B4476" s="2">
        <v>42723</v>
      </c>
      <c r="C4476" s="4">
        <v>654.36</v>
      </c>
      <c r="D4476">
        <f t="shared" si="72"/>
        <v>4.5538957732133767</v>
      </c>
      <c r="E4476">
        <v>-2.1912648351319786E-2</v>
      </c>
    </row>
    <row r="4477" spans="2:5" x14ac:dyDescent="0.35">
      <c r="B4477" s="2">
        <v>40532</v>
      </c>
      <c r="C4477" s="4">
        <v>117.82</v>
      </c>
      <c r="D4477">
        <f t="shared" si="72"/>
        <v>0.18926011910770169</v>
      </c>
      <c r="E4477">
        <v>-2.1915988709945267E-2</v>
      </c>
    </row>
    <row r="4478" spans="2:5" x14ac:dyDescent="0.35">
      <c r="B4478" s="2">
        <v>41589</v>
      </c>
      <c r="C4478" s="4">
        <v>99.07</v>
      </c>
      <c r="D4478">
        <f t="shared" si="72"/>
        <v>-5.4946103214728703E-2</v>
      </c>
      <c r="E4478">
        <v>-2.1917267252443584E-2</v>
      </c>
    </row>
    <row r="4479" spans="2:5" x14ac:dyDescent="0.35">
      <c r="B4479" s="2">
        <v>39184</v>
      </c>
      <c r="C4479" s="4">
        <v>104.83</v>
      </c>
      <c r="D4479">
        <f t="shared" si="72"/>
        <v>-0.88021071395922845</v>
      </c>
      <c r="E4479">
        <v>-2.1925732412763632E-2</v>
      </c>
    </row>
    <row r="4480" spans="2:5" x14ac:dyDescent="0.35">
      <c r="B4480" s="2">
        <v>43579</v>
      </c>
      <c r="C4480" s="4">
        <v>875.12</v>
      </c>
      <c r="D4480">
        <f t="shared" si="72"/>
        <v>1.8564428460025484E-2</v>
      </c>
      <c r="E4480">
        <v>-2.1928157900619194E-2</v>
      </c>
    </row>
    <row r="4481" spans="2:5" x14ac:dyDescent="0.35">
      <c r="B4481" s="2">
        <v>43490</v>
      </c>
      <c r="C4481" s="4">
        <v>859.17</v>
      </c>
      <c r="D4481">
        <f t="shared" si="72"/>
        <v>39.261012183692593</v>
      </c>
      <c r="E4481">
        <v>-2.1958882589987128E-2</v>
      </c>
    </row>
    <row r="4482" spans="2:5" x14ac:dyDescent="0.35">
      <c r="B4482" s="2">
        <v>37690</v>
      </c>
      <c r="C4482" s="4">
        <v>21.34</v>
      </c>
      <c r="D4482">
        <f t="shared" si="72"/>
        <v>-0.31338481338481339</v>
      </c>
      <c r="E4482">
        <v>-2.1998166819431786E-2</v>
      </c>
    </row>
    <row r="4483" spans="2:5" x14ac:dyDescent="0.35">
      <c r="B4483" s="2">
        <v>37518</v>
      </c>
      <c r="C4483" s="4">
        <v>31.08</v>
      </c>
      <c r="D4483">
        <f t="shared" si="72"/>
        <v>-0.40115606936416182</v>
      </c>
      <c r="E4483">
        <v>-2.2026431718061734E-2</v>
      </c>
    </row>
    <row r="4484" spans="2:5" x14ac:dyDescent="0.35">
      <c r="B4484" s="2">
        <v>38350</v>
      </c>
      <c r="C4484" s="4">
        <v>51.9</v>
      </c>
      <c r="D4484">
        <f t="shared" ref="D4484:D4547" si="73">C4484/C4485-1</f>
        <v>-0.8385892890464639</v>
      </c>
      <c r="E4484">
        <v>-2.2046353872244184E-2</v>
      </c>
    </row>
    <row r="4485" spans="2:5" x14ac:dyDescent="0.35">
      <c r="B4485" s="2">
        <v>42017</v>
      </c>
      <c r="C4485" s="4">
        <v>321.54000000000002</v>
      </c>
      <c r="D4485">
        <f t="shared" si="73"/>
        <v>-0.96059389802258677</v>
      </c>
      <c r="E4485">
        <v>-2.2080291970802857E-2</v>
      </c>
    </row>
    <row r="4486" spans="2:5" x14ac:dyDescent="0.35">
      <c r="B4486" s="2">
        <v>44727</v>
      </c>
      <c r="C4486" s="4">
        <v>8159.65</v>
      </c>
      <c r="D4486">
        <f t="shared" si="73"/>
        <v>75.695648087226246</v>
      </c>
      <c r="E4486">
        <v>-2.2123018845312648E-2</v>
      </c>
    </row>
    <row r="4487" spans="2:5" x14ac:dyDescent="0.35">
      <c r="B4487" s="2">
        <v>40651</v>
      </c>
      <c r="C4487" s="4">
        <v>106.39</v>
      </c>
      <c r="D4487">
        <f t="shared" si="73"/>
        <v>-0.83331244320496345</v>
      </c>
      <c r="E4487">
        <v>-2.2150735294117596E-2</v>
      </c>
    </row>
    <row r="4488" spans="2:5" x14ac:dyDescent="0.35">
      <c r="B4488" s="2">
        <v>43670</v>
      </c>
      <c r="C4488" s="4">
        <v>638.26</v>
      </c>
      <c r="D4488">
        <f t="shared" si="73"/>
        <v>15.454240783707142</v>
      </c>
      <c r="E4488">
        <v>-2.216843105112376E-2</v>
      </c>
    </row>
    <row r="4489" spans="2:5" x14ac:dyDescent="0.35">
      <c r="B4489" s="2">
        <v>38188</v>
      </c>
      <c r="C4489" s="4">
        <v>38.79</v>
      </c>
      <c r="D4489">
        <f t="shared" si="73"/>
        <v>-0.95263562767866961</v>
      </c>
      <c r="E4489">
        <v>-2.2183009831106659E-2</v>
      </c>
    </row>
    <row r="4490" spans="2:5" x14ac:dyDescent="0.35">
      <c r="B4490" s="2">
        <v>43654</v>
      </c>
      <c r="C4490" s="4">
        <v>818.97</v>
      </c>
      <c r="D4490">
        <f t="shared" si="73"/>
        <v>1.3320519391764907</v>
      </c>
      <c r="E4490">
        <v>-2.2195424805386943E-2</v>
      </c>
    </row>
    <row r="4491" spans="2:5" x14ac:dyDescent="0.35">
      <c r="B4491" s="2">
        <v>42027</v>
      </c>
      <c r="C4491" s="4">
        <v>351.18</v>
      </c>
      <c r="D4491">
        <f t="shared" si="73"/>
        <v>-0.94986738082118249</v>
      </c>
      <c r="E4491">
        <v>-2.2218509856331448E-2</v>
      </c>
    </row>
    <row r="4492" spans="2:5" x14ac:dyDescent="0.35">
      <c r="B4492" s="2">
        <v>44585</v>
      </c>
      <c r="C4492" s="4">
        <v>7005.02</v>
      </c>
      <c r="D4492">
        <f t="shared" si="73"/>
        <v>27.687935129822264</v>
      </c>
      <c r="E4492">
        <v>-2.2220175008828558E-2</v>
      </c>
    </row>
    <row r="4493" spans="2:5" x14ac:dyDescent="0.35">
      <c r="B4493" s="2">
        <v>41759</v>
      </c>
      <c r="C4493" s="4">
        <v>244.18</v>
      </c>
      <c r="D4493">
        <f t="shared" si="73"/>
        <v>1.5282667218885897</v>
      </c>
      <c r="E4493">
        <v>-2.2224001922075742E-2</v>
      </c>
    </row>
    <row r="4494" spans="2:5" x14ac:dyDescent="0.35">
      <c r="B4494" s="2">
        <v>41578</v>
      </c>
      <c r="C4494" s="4">
        <v>96.58</v>
      </c>
      <c r="D4494">
        <f t="shared" si="73"/>
        <v>0.19856043683296098</v>
      </c>
      <c r="E4494">
        <v>-2.2271714922049046E-2</v>
      </c>
    </row>
    <row r="4495" spans="2:5" x14ac:dyDescent="0.35">
      <c r="B4495" s="2">
        <v>41487</v>
      </c>
      <c r="C4495" s="4">
        <v>80.58</v>
      </c>
      <c r="D4495">
        <f t="shared" si="73"/>
        <v>-0.89751351351351349</v>
      </c>
      <c r="E4495">
        <v>-2.2324678476098092E-2</v>
      </c>
    </row>
    <row r="4496" spans="2:5" x14ac:dyDescent="0.35">
      <c r="B4496" s="2">
        <v>43774</v>
      </c>
      <c r="C4496" s="4">
        <v>786.25</v>
      </c>
      <c r="D4496">
        <f t="shared" si="73"/>
        <v>6.9203183237634738</v>
      </c>
      <c r="E4496">
        <v>-2.2344632065852688E-2</v>
      </c>
    </row>
    <row r="4497" spans="2:5" x14ac:dyDescent="0.35">
      <c r="B4497" s="2">
        <v>41199</v>
      </c>
      <c r="C4497" s="4">
        <v>99.27</v>
      </c>
      <c r="D4497">
        <f t="shared" si="73"/>
        <v>-0.62777007011886465</v>
      </c>
      <c r="E4497">
        <v>-2.2355721883001833E-2</v>
      </c>
    </row>
    <row r="4498" spans="2:5" x14ac:dyDescent="0.35">
      <c r="B4498" s="2">
        <v>41851</v>
      </c>
      <c r="C4498" s="4">
        <v>266.69</v>
      </c>
      <c r="D4498">
        <f t="shared" si="73"/>
        <v>7.9764389094580945</v>
      </c>
      <c r="E4498">
        <v>-2.2361523516257975E-2</v>
      </c>
    </row>
    <row r="4499" spans="2:5" x14ac:dyDescent="0.35">
      <c r="B4499" s="2">
        <v>38138</v>
      </c>
      <c r="C4499" s="4">
        <v>29.71</v>
      </c>
      <c r="D4499">
        <f t="shared" si="73"/>
        <v>-0.99619729036139182</v>
      </c>
      <c r="E4499">
        <v>-2.2375781507074644E-2</v>
      </c>
    </row>
    <row r="4500" spans="2:5" x14ac:dyDescent="0.35">
      <c r="B4500" s="2">
        <v>44729</v>
      </c>
      <c r="C4500" s="4">
        <v>7812.85</v>
      </c>
      <c r="D4500">
        <f t="shared" si="73"/>
        <v>12.554327648722266</v>
      </c>
      <c r="E4500">
        <v>-2.2403933983157875E-2</v>
      </c>
    </row>
    <row r="4501" spans="2:5" x14ac:dyDescent="0.35">
      <c r="B4501" s="2">
        <v>43924</v>
      </c>
      <c r="C4501" s="4">
        <v>576.41</v>
      </c>
      <c r="D4501">
        <f t="shared" si="73"/>
        <v>10.142663831432438</v>
      </c>
      <c r="E4501">
        <v>-2.240426037108656E-2</v>
      </c>
    </row>
    <row r="4502" spans="2:5" x14ac:dyDescent="0.35">
      <c r="B4502" s="2">
        <v>40000</v>
      </c>
      <c r="C4502" s="4">
        <v>51.73</v>
      </c>
      <c r="D4502">
        <f t="shared" si="73"/>
        <v>0.58778391651319817</v>
      </c>
      <c r="E4502">
        <v>-2.2486772486772555E-2</v>
      </c>
    </row>
    <row r="4503" spans="2:5" x14ac:dyDescent="0.35">
      <c r="B4503" s="2">
        <v>39860</v>
      </c>
      <c r="C4503" s="4">
        <v>32.58</v>
      </c>
      <c r="D4503">
        <f t="shared" si="73"/>
        <v>0.13717277486910984</v>
      </c>
      <c r="E4503">
        <v>-2.2502250225022502E-2</v>
      </c>
    </row>
    <row r="4504" spans="2:5" x14ac:dyDescent="0.35">
      <c r="B4504" s="2">
        <v>37929</v>
      </c>
      <c r="C4504" s="4">
        <v>28.65</v>
      </c>
      <c r="D4504">
        <f t="shared" si="73"/>
        <v>-0.5251118846345102</v>
      </c>
      <c r="E4504">
        <v>-2.2517911975434957E-2</v>
      </c>
    </row>
    <row r="4505" spans="2:5" x14ac:dyDescent="0.35">
      <c r="B4505" s="2">
        <v>38419</v>
      </c>
      <c r="C4505" s="4">
        <v>60.33</v>
      </c>
      <c r="D4505">
        <f t="shared" si="73"/>
        <v>-0.18703678749494668</v>
      </c>
      <c r="E4505">
        <v>-2.2521062864549579E-2</v>
      </c>
    </row>
    <row r="4506" spans="2:5" x14ac:dyDescent="0.35">
      <c r="B4506" s="2">
        <v>41513</v>
      </c>
      <c r="C4506" s="4">
        <v>74.209999999999994</v>
      </c>
      <c r="D4506">
        <f t="shared" si="73"/>
        <v>1.7143379663496705</v>
      </c>
      <c r="E4506">
        <v>-2.252370916754487E-2</v>
      </c>
    </row>
    <row r="4507" spans="2:5" x14ac:dyDescent="0.35">
      <c r="B4507" s="2">
        <v>37921</v>
      </c>
      <c r="C4507" s="4">
        <v>27.34</v>
      </c>
      <c r="D4507">
        <f t="shared" si="73"/>
        <v>-0.74687528932506253</v>
      </c>
      <c r="E4507">
        <v>-2.2524132999642399E-2</v>
      </c>
    </row>
    <row r="4508" spans="2:5" x14ac:dyDescent="0.35">
      <c r="B4508" s="2">
        <v>40211</v>
      </c>
      <c r="C4508" s="4">
        <v>108.01</v>
      </c>
      <c r="D4508">
        <f t="shared" si="73"/>
        <v>-0.77756955456249099</v>
      </c>
      <c r="E4508">
        <v>-2.2533936651583653E-2</v>
      </c>
    </row>
    <row r="4509" spans="2:5" x14ac:dyDescent="0.35">
      <c r="B4509" s="2">
        <v>42088</v>
      </c>
      <c r="C4509" s="4">
        <v>485.59</v>
      </c>
      <c r="D4509">
        <f t="shared" si="73"/>
        <v>-0.35655319543641595</v>
      </c>
      <c r="E4509">
        <v>-2.2544737212906951E-2</v>
      </c>
    </row>
    <row r="4510" spans="2:5" x14ac:dyDescent="0.35">
      <c r="B4510" s="2">
        <v>43005</v>
      </c>
      <c r="C4510" s="4">
        <v>754.67</v>
      </c>
      <c r="D4510">
        <f t="shared" si="73"/>
        <v>9.6893767705382441</v>
      </c>
      <c r="E4510">
        <v>-2.2562136538486488E-2</v>
      </c>
    </row>
    <row r="4511" spans="2:5" x14ac:dyDescent="0.35">
      <c r="B4511" s="2">
        <v>38567</v>
      </c>
      <c r="C4511" s="4">
        <v>70.599999999999994</v>
      </c>
      <c r="D4511">
        <f t="shared" si="73"/>
        <v>-0.10621597670591221</v>
      </c>
      <c r="E4511">
        <v>-2.256680049840798E-2</v>
      </c>
    </row>
    <row r="4512" spans="2:5" x14ac:dyDescent="0.35">
      <c r="B4512" s="2">
        <v>38975</v>
      </c>
      <c r="C4512" s="4">
        <v>78.989999999999995</v>
      </c>
      <c r="D4512">
        <f t="shared" si="73"/>
        <v>-0.17088275427731714</v>
      </c>
      <c r="E4512">
        <v>-2.2642910170749819E-2</v>
      </c>
    </row>
    <row r="4513" spans="2:5" x14ac:dyDescent="0.35">
      <c r="B4513" s="2">
        <v>40956</v>
      </c>
      <c r="C4513" s="4">
        <v>95.27</v>
      </c>
      <c r="D4513">
        <f t="shared" si="73"/>
        <v>9.9988453989146686E-2</v>
      </c>
      <c r="E4513">
        <v>-2.2671317193270535E-2</v>
      </c>
    </row>
    <row r="4514" spans="2:5" x14ac:dyDescent="0.35">
      <c r="B4514" s="2">
        <v>41344</v>
      </c>
      <c r="C4514" s="4">
        <v>86.61</v>
      </c>
      <c r="D4514">
        <f t="shared" si="73"/>
        <v>-0.98967768539882917</v>
      </c>
      <c r="E4514">
        <v>-2.2681110358835577E-2</v>
      </c>
    </row>
    <row r="4515" spans="2:5" x14ac:dyDescent="0.35">
      <c r="B4515" s="2">
        <v>44715</v>
      </c>
      <c r="C4515" s="4">
        <v>8390.56</v>
      </c>
      <c r="D4515">
        <f t="shared" si="73"/>
        <v>0.1947088892369464</v>
      </c>
      <c r="E4515">
        <v>-2.2696618220191977E-2</v>
      </c>
    </row>
    <row r="4516" spans="2:5" x14ac:dyDescent="0.35">
      <c r="B4516" s="2">
        <v>44861</v>
      </c>
      <c r="C4516" s="4">
        <v>7023.1</v>
      </c>
      <c r="D4516">
        <f t="shared" si="73"/>
        <v>258.92227979274611</v>
      </c>
      <c r="E4516">
        <v>-2.2723477680062221E-2</v>
      </c>
    </row>
    <row r="4517" spans="2:5" x14ac:dyDescent="0.35">
      <c r="B4517" s="2">
        <v>37559</v>
      </c>
      <c r="C4517" s="4">
        <v>27.02</v>
      </c>
      <c r="D4517">
        <f t="shared" si="73"/>
        <v>-0.64605711291590251</v>
      </c>
      <c r="E4517">
        <v>-2.2784810126582289E-2</v>
      </c>
    </row>
    <row r="4518" spans="2:5" x14ac:dyDescent="0.35">
      <c r="B4518" s="2">
        <v>38979</v>
      </c>
      <c r="C4518" s="4">
        <v>76.34</v>
      </c>
      <c r="D4518">
        <f t="shared" si="73"/>
        <v>0.12945702026927064</v>
      </c>
      <c r="E4518">
        <v>-2.2785458269329206E-2</v>
      </c>
    </row>
    <row r="4519" spans="2:5" x14ac:dyDescent="0.35">
      <c r="B4519" s="2">
        <v>38742</v>
      </c>
      <c r="C4519" s="4">
        <v>67.59</v>
      </c>
      <c r="D4519">
        <f t="shared" si="73"/>
        <v>-0.90977895242671791</v>
      </c>
      <c r="E4519">
        <v>-2.2842272661558471E-2</v>
      </c>
    </row>
    <row r="4520" spans="2:5" x14ac:dyDescent="0.35">
      <c r="B4520" s="2">
        <v>43959</v>
      </c>
      <c r="C4520" s="4">
        <v>749.16</v>
      </c>
      <c r="D4520">
        <f t="shared" si="73"/>
        <v>11.00576923076923</v>
      </c>
      <c r="E4520">
        <v>-2.2851776490843578E-2</v>
      </c>
    </row>
    <row r="4521" spans="2:5" x14ac:dyDescent="0.35">
      <c r="B4521" s="2">
        <v>40042</v>
      </c>
      <c r="C4521" s="4">
        <v>62.4</v>
      </c>
      <c r="D4521">
        <f t="shared" si="73"/>
        <v>-0.22743592918162681</v>
      </c>
      <c r="E4521">
        <v>-2.2862511744440983E-2</v>
      </c>
    </row>
    <row r="4522" spans="2:5" x14ac:dyDescent="0.35">
      <c r="B4522" s="2">
        <v>40868</v>
      </c>
      <c r="C4522" s="4">
        <v>80.77</v>
      </c>
      <c r="D4522">
        <f t="shared" si="73"/>
        <v>-0.90127606522111137</v>
      </c>
      <c r="E4522">
        <v>-2.2864747157028797E-2</v>
      </c>
    </row>
    <row r="4523" spans="2:5" x14ac:dyDescent="0.35">
      <c r="B4523" s="2">
        <v>42289</v>
      </c>
      <c r="C4523" s="4">
        <v>818.14</v>
      </c>
      <c r="D4523">
        <f t="shared" si="73"/>
        <v>9.6459336369551085</v>
      </c>
      <c r="E4523">
        <v>-2.2871406561645324E-2</v>
      </c>
    </row>
    <row r="4524" spans="2:5" x14ac:dyDescent="0.35">
      <c r="B4524" s="2">
        <v>39602</v>
      </c>
      <c r="C4524" s="4">
        <v>76.849999999999994</v>
      </c>
      <c r="D4524">
        <f t="shared" si="73"/>
        <v>0.30564050288820921</v>
      </c>
      <c r="E4524">
        <v>-2.2886204704386626E-2</v>
      </c>
    </row>
    <row r="4525" spans="2:5" x14ac:dyDescent="0.35">
      <c r="B4525" s="2">
        <v>38469</v>
      </c>
      <c r="C4525" s="4">
        <v>58.86</v>
      </c>
      <c r="D4525">
        <f t="shared" si="73"/>
        <v>-0.92312113058697531</v>
      </c>
      <c r="E4525">
        <v>-2.2908366533864633E-2</v>
      </c>
    </row>
    <row r="4526" spans="2:5" x14ac:dyDescent="0.35">
      <c r="B4526" s="2">
        <v>43801</v>
      </c>
      <c r="C4526" s="4">
        <v>765.62</v>
      </c>
      <c r="D4526">
        <f t="shared" si="73"/>
        <v>-0.10690914181063138</v>
      </c>
      <c r="E4526">
        <v>-2.292044207355981E-2</v>
      </c>
    </row>
    <row r="4527" spans="2:5" x14ac:dyDescent="0.35">
      <c r="B4527" s="2">
        <v>42416</v>
      </c>
      <c r="C4527" s="4">
        <v>857.27</v>
      </c>
      <c r="D4527">
        <f t="shared" si="73"/>
        <v>2.5615704196094726</v>
      </c>
      <c r="E4527">
        <v>-2.2920513346554539E-2</v>
      </c>
    </row>
    <row r="4528" spans="2:5" x14ac:dyDescent="0.35">
      <c r="B4528" s="2">
        <v>41739</v>
      </c>
      <c r="C4528" s="4">
        <v>240.7</v>
      </c>
      <c r="D4528">
        <f t="shared" si="73"/>
        <v>2.0576727642276422</v>
      </c>
      <c r="E4528">
        <v>-2.2974508848839226E-2</v>
      </c>
    </row>
    <row r="4529" spans="2:5" x14ac:dyDescent="0.35">
      <c r="B4529" s="2">
        <v>41488</v>
      </c>
      <c r="C4529" s="4">
        <v>78.72</v>
      </c>
      <c r="D4529">
        <f t="shared" si="73"/>
        <v>-0.97879801554596724</v>
      </c>
      <c r="E4529">
        <v>-2.3082650781831693E-2</v>
      </c>
    </row>
    <row r="4530" spans="2:5" x14ac:dyDescent="0.35">
      <c r="B4530" s="2">
        <v>44322</v>
      </c>
      <c r="C4530" s="4">
        <v>3712.86</v>
      </c>
      <c r="D4530">
        <f t="shared" si="73"/>
        <v>32.929087087635928</v>
      </c>
      <c r="E4530">
        <v>-2.3098680488863765E-2</v>
      </c>
    </row>
    <row r="4531" spans="2:5" x14ac:dyDescent="0.35">
      <c r="B4531" s="2">
        <v>40252</v>
      </c>
      <c r="C4531" s="4">
        <v>109.43</v>
      </c>
      <c r="D4531">
        <f t="shared" si="73"/>
        <v>2.8102367688022287</v>
      </c>
      <c r="E4531">
        <v>-2.3120871272986898E-2</v>
      </c>
    </row>
    <row r="4532" spans="2:5" x14ac:dyDescent="0.35">
      <c r="B4532" s="2">
        <v>37553</v>
      </c>
      <c r="C4532" s="4">
        <v>28.72</v>
      </c>
      <c r="D4532">
        <f t="shared" si="73"/>
        <v>-0.96254613267954248</v>
      </c>
      <c r="E4532">
        <v>-2.3129251700680253E-2</v>
      </c>
    </row>
    <row r="4533" spans="2:5" x14ac:dyDescent="0.35">
      <c r="B4533" s="2">
        <v>42968</v>
      </c>
      <c r="C4533" s="4">
        <v>766.81</v>
      </c>
      <c r="D4533">
        <f t="shared" si="73"/>
        <v>8.7745060548119813</v>
      </c>
      <c r="E4533">
        <v>-2.3147086549975882E-2</v>
      </c>
    </row>
    <row r="4534" spans="2:5" x14ac:dyDescent="0.35">
      <c r="B4534" s="2">
        <v>41458</v>
      </c>
      <c r="C4534" s="4">
        <v>78.45</v>
      </c>
      <c r="D4534">
        <f t="shared" si="73"/>
        <v>-0.23103313075867471</v>
      </c>
      <c r="E4534">
        <v>-2.3160254015689219E-2</v>
      </c>
    </row>
    <row r="4535" spans="2:5" x14ac:dyDescent="0.35">
      <c r="B4535" s="2">
        <v>39167</v>
      </c>
      <c r="C4535" s="4">
        <v>102.02</v>
      </c>
      <c r="D4535">
        <f t="shared" si="73"/>
        <v>0.46139521558515972</v>
      </c>
      <c r="E4535">
        <v>-2.317119877441598E-2</v>
      </c>
    </row>
    <row r="4536" spans="2:5" x14ac:dyDescent="0.35">
      <c r="B4536" s="2">
        <v>39511</v>
      </c>
      <c r="C4536" s="4">
        <v>69.81</v>
      </c>
      <c r="D4536">
        <f t="shared" si="73"/>
        <v>-0.99162593190146886</v>
      </c>
      <c r="E4536">
        <v>-2.3226528613404129E-2</v>
      </c>
    </row>
    <row r="4537" spans="2:5" x14ac:dyDescent="0.35">
      <c r="B4537" s="2">
        <v>44831</v>
      </c>
      <c r="C4537" s="4">
        <v>8336.4500000000007</v>
      </c>
      <c r="D4537">
        <f t="shared" si="73"/>
        <v>78.675523272484</v>
      </c>
      <c r="E4537">
        <v>-2.3240146224867475E-2</v>
      </c>
    </row>
    <row r="4538" spans="2:5" x14ac:dyDescent="0.35">
      <c r="B4538" s="2">
        <v>39315</v>
      </c>
      <c r="C4538" s="4">
        <v>104.63</v>
      </c>
      <c r="D4538">
        <f t="shared" si="73"/>
        <v>-0.87836549639618688</v>
      </c>
      <c r="E4538">
        <v>-2.324495892457068E-2</v>
      </c>
    </row>
    <row r="4539" spans="2:5" x14ac:dyDescent="0.35">
      <c r="B4539" s="2">
        <v>42509</v>
      </c>
      <c r="C4539" s="4">
        <v>860.2</v>
      </c>
      <c r="D4539">
        <f t="shared" si="73"/>
        <v>9.5094685400122181</v>
      </c>
      <c r="E4539">
        <v>-2.3265848368892561E-2</v>
      </c>
    </row>
    <row r="4540" spans="2:5" x14ac:dyDescent="0.35">
      <c r="B4540" s="2">
        <v>41547</v>
      </c>
      <c r="C4540" s="4">
        <v>81.849999999999994</v>
      </c>
      <c r="D4540">
        <f t="shared" si="73"/>
        <v>-0.91192200497153741</v>
      </c>
      <c r="E4540">
        <v>-2.3269689737470234E-2</v>
      </c>
    </row>
    <row r="4541" spans="2:5" x14ac:dyDescent="0.35">
      <c r="B4541" s="2">
        <v>44043</v>
      </c>
      <c r="C4541" s="4">
        <v>929.29</v>
      </c>
      <c r="D4541">
        <f t="shared" si="73"/>
        <v>2.9275178563881488</v>
      </c>
      <c r="E4541">
        <v>-2.328050113512159E-2</v>
      </c>
    </row>
    <row r="4542" spans="2:5" x14ac:dyDescent="0.35">
      <c r="B4542" s="2">
        <v>41726</v>
      </c>
      <c r="C4542" s="4">
        <v>236.61</v>
      </c>
      <c r="D4542">
        <f t="shared" si="73"/>
        <v>2.931051669712577</v>
      </c>
      <c r="E4542">
        <v>-2.3281733746129962E-2</v>
      </c>
    </row>
    <row r="4543" spans="2:5" x14ac:dyDescent="0.35">
      <c r="B4543" s="2">
        <v>39546</v>
      </c>
      <c r="C4543" s="4">
        <v>60.19</v>
      </c>
      <c r="D4543">
        <f t="shared" si="73"/>
        <v>-0.34469243331518784</v>
      </c>
      <c r="E4543">
        <v>-2.3365244199253676E-2</v>
      </c>
    </row>
    <row r="4544" spans="2:5" x14ac:dyDescent="0.35">
      <c r="B4544" s="2">
        <v>41352</v>
      </c>
      <c r="C4544" s="4">
        <v>91.85</v>
      </c>
      <c r="D4544">
        <f t="shared" si="73"/>
        <v>2.6104559748427669</v>
      </c>
      <c r="E4544">
        <v>-2.3391812865497075E-2</v>
      </c>
    </row>
    <row r="4545" spans="2:5" x14ac:dyDescent="0.35">
      <c r="B4545" s="2">
        <v>37839</v>
      </c>
      <c r="C4545" s="4">
        <v>25.44</v>
      </c>
      <c r="D4545">
        <f t="shared" si="73"/>
        <v>-0.66179207657537886</v>
      </c>
      <c r="E4545">
        <v>-2.3416506717850227E-2</v>
      </c>
    </row>
    <row r="4546" spans="2:5" x14ac:dyDescent="0.35">
      <c r="B4546" s="2">
        <v>40893</v>
      </c>
      <c r="C4546" s="4">
        <v>75.22</v>
      </c>
      <c r="D4546">
        <f t="shared" si="73"/>
        <v>-0.19447419147569067</v>
      </c>
      <c r="E4546">
        <v>-2.3497338699208115E-2</v>
      </c>
    </row>
    <row r="4547" spans="2:5" x14ac:dyDescent="0.35">
      <c r="B4547" s="2">
        <v>39420</v>
      </c>
      <c r="C4547" s="4">
        <v>93.38</v>
      </c>
      <c r="D4547">
        <f t="shared" si="73"/>
        <v>-0.96562792170027312</v>
      </c>
      <c r="E4547">
        <v>-2.3528181532991743E-2</v>
      </c>
    </row>
    <row r="4548" spans="2:5" x14ac:dyDescent="0.35">
      <c r="B4548" s="2">
        <v>44245</v>
      </c>
      <c r="C4548" s="4">
        <v>2716.74</v>
      </c>
      <c r="D4548">
        <f t="shared" ref="D4548:D4611" si="74">C4548/C4549-1</f>
        <v>1.0904914702555462</v>
      </c>
      <c r="E4548">
        <v>-2.3542181839093734E-2</v>
      </c>
    </row>
    <row r="4549" spans="2:5" x14ac:dyDescent="0.35">
      <c r="B4549" s="2">
        <v>43348</v>
      </c>
      <c r="C4549" s="4">
        <v>1299.57</v>
      </c>
      <c r="D4549">
        <f t="shared" si="74"/>
        <v>-0.5073187375604209</v>
      </c>
      <c r="E4549">
        <v>-2.3584480375067662E-2</v>
      </c>
    </row>
    <row r="4550" spans="2:5" x14ac:dyDescent="0.35">
      <c r="B4550" s="2">
        <v>44279</v>
      </c>
      <c r="C4550" s="4">
        <v>2637.75</v>
      </c>
      <c r="D4550">
        <f t="shared" si="74"/>
        <v>-0.58517464261562901</v>
      </c>
      <c r="E4550">
        <v>-2.3659440272127963E-2</v>
      </c>
    </row>
    <row r="4551" spans="2:5" x14ac:dyDescent="0.35">
      <c r="B4551" s="2">
        <v>44984</v>
      </c>
      <c r="C4551" s="4">
        <v>6358.7</v>
      </c>
      <c r="D4551">
        <f t="shared" si="74"/>
        <v>60.981674627156636</v>
      </c>
      <c r="E4551">
        <v>-2.3668593626446244E-2</v>
      </c>
    </row>
    <row r="4552" spans="2:5" x14ac:dyDescent="0.35">
      <c r="B4552" s="2">
        <v>40228</v>
      </c>
      <c r="C4552" s="4">
        <v>102.59</v>
      </c>
      <c r="D4552">
        <f t="shared" si="74"/>
        <v>-0.40267831149927213</v>
      </c>
      <c r="E4552">
        <v>-2.3696231442710269E-2</v>
      </c>
    </row>
    <row r="4553" spans="2:5" x14ac:dyDescent="0.35">
      <c r="B4553" s="2">
        <v>41653</v>
      </c>
      <c r="C4553" s="4">
        <v>171.75</v>
      </c>
      <c r="D4553">
        <f t="shared" si="74"/>
        <v>-0.78301791444525859</v>
      </c>
      <c r="E4553">
        <v>-2.370395634379252E-2</v>
      </c>
    </row>
    <row r="4554" spans="2:5" x14ac:dyDescent="0.35">
      <c r="B4554" s="2">
        <v>43606</v>
      </c>
      <c r="C4554" s="4">
        <v>791.54</v>
      </c>
      <c r="D4554">
        <f t="shared" si="74"/>
        <v>9.4136297855545319</v>
      </c>
      <c r="E4554">
        <v>-2.3742276051751943E-2</v>
      </c>
    </row>
    <row r="4555" spans="2:5" x14ac:dyDescent="0.35">
      <c r="B4555" s="2">
        <v>38853</v>
      </c>
      <c r="C4555" s="4">
        <v>76.010000000000005</v>
      </c>
      <c r="D4555">
        <f t="shared" si="74"/>
        <v>0.18193127040895662</v>
      </c>
      <c r="E4555">
        <v>-2.3760595941433316E-2</v>
      </c>
    </row>
    <row r="4556" spans="2:5" x14ac:dyDescent="0.35">
      <c r="B4556" s="2">
        <v>38449</v>
      </c>
      <c r="C4556" s="4">
        <v>64.31</v>
      </c>
      <c r="D4556">
        <f t="shared" si="74"/>
        <v>-0.42047400198251772</v>
      </c>
      <c r="E4556">
        <v>-2.3831208257437675E-2</v>
      </c>
    </row>
    <row r="4557" spans="2:5" x14ac:dyDescent="0.35">
      <c r="B4557" s="2">
        <v>39197</v>
      </c>
      <c r="C4557" s="4">
        <v>110.97</v>
      </c>
      <c r="D4557">
        <f t="shared" si="74"/>
        <v>-0.8708990646377216</v>
      </c>
      <c r="E4557">
        <v>-2.383884588318097E-2</v>
      </c>
    </row>
    <row r="4558" spans="2:5" x14ac:dyDescent="0.35">
      <c r="B4558" s="2">
        <v>43070</v>
      </c>
      <c r="C4558" s="4">
        <v>859.56</v>
      </c>
      <c r="D4558">
        <f t="shared" si="74"/>
        <v>8.9176185531325718</v>
      </c>
      <c r="E4558">
        <v>-2.3870630720661534E-2</v>
      </c>
    </row>
    <row r="4559" spans="2:5" x14ac:dyDescent="0.35">
      <c r="B4559" s="2">
        <v>39049</v>
      </c>
      <c r="C4559" s="4">
        <v>86.67</v>
      </c>
      <c r="D4559">
        <f t="shared" si="74"/>
        <v>-0.23658944772306878</v>
      </c>
      <c r="E4559">
        <v>-2.3876562675977042E-2</v>
      </c>
    </row>
    <row r="4560" spans="2:5" x14ac:dyDescent="0.35">
      <c r="B4560" s="2">
        <v>40554</v>
      </c>
      <c r="C4560" s="4">
        <v>113.53</v>
      </c>
      <c r="D4560">
        <f t="shared" si="74"/>
        <v>4.5588506170565424E-2</v>
      </c>
      <c r="E4560">
        <v>-2.3901642163184578E-2</v>
      </c>
    </row>
    <row r="4561" spans="2:5" x14ac:dyDescent="0.35">
      <c r="B4561" s="2">
        <v>40309</v>
      </c>
      <c r="C4561" s="4">
        <v>108.58</v>
      </c>
      <c r="D4561">
        <f t="shared" si="74"/>
        <v>0.3135736752963949</v>
      </c>
      <c r="E4561">
        <v>-2.3912261776339427E-2</v>
      </c>
    </row>
    <row r="4562" spans="2:5" x14ac:dyDescent="0.35">
      <c r="B4562" s="2">
        <v>39024</v>
      </c>
      <c r="C4562" s="4">
        <v>82.66</v>
      </c>
      <c r="D4562">
        <f t="shared" si="74"/>
        <v>-0.9126132507320992</v>
      </c>
      <c r="E4562">
        <v>-2.3969772110048471E-2</v>
      </c>
    </row>
    <row r="4563" spans="2:5" x14ac:dyDescent="0.35">
      <c r="B4563" s="2">
        <v>43175</v>
      </c>
      <c r="C4563" s="4">
        <v>945.91</v>
      </c>
      <c r="D4563">
        <f t="shared" si="74"/>
        <v>-0.86413223805262573</v>
      </c>
      <c r="E4563">
        <v>-2.3999917455142072E-2</v>
      </c>
    </row>
    <row r="4564" spans="2:5" x14ac:dyDescent="0.35">
      <c r="B4564" s="2">
        <v>44635</v>
      </c>
      <c r="C4564" s="4">
        <v>6961.99</v>
      </c>
      <c r="D4564">
        <f t="shared" si="74"/>
        <v>6.7309917493031879</v>
      </c>
      <c r="E4564">
        <v>-2.401826919302652E-2</v>
      </c>
    </row>
    <row r="4565" spans="2:5" x14ac:dyDescent="0.35">
      <c r="B4565" s="2">
        <v>43549</v>
      </c>
      <c r="C4565" s="4">
        <v>900.53</v>
      </c>
      <c r="D4565">
        <f t="shared" si="74"/>
        <v>0.36760976202408613</v>
      </c>
      <c r="E4565">
        <v>-2.402731115205381E-2</v>
      </c>
    </row>
    <row r="4566" spans="2:5" x14ac:dyDescent="0.35">
      <c r="B4566" s="2">
        <v>42766</v>
      </c>
      <c r="C4566" s="4">
        <v>658.47</v>
      </c>
      <c r="D4566">
        <f t="shared" si="74"/>
        <v>8.6239403683133595</v>
      </c>
      <c r="E4566">
        <v>-2.4098528300208977E-2</v>
      </c>
    </row>
    <row r="4567" spans="2:5" x14ac:dyDescent="0.35">
      <c r="B4567" s="2">
        <v>38631</v>
      </c>
      <c r="C4567" s="4">
        <v>68.42</v>
      </c>
      <c r="D4567">
        <f t="shared" si="74"/>
        <v>-6.2225877192982337E-2</v>
      </c>
      <c r="E4567">
        <v>-2.410497789188415E-2</v>
      </c>
    </row>
    <row r="4568" spans="2:5" x14ac:dyDescent="0.35">
      <c r="B4568" s="2">
        <v>38699</v>
      </c>
      <c r="C4568" s="4">
        <v>72.959999999999994</v>
      </c>
      <c r="D4568">
        <f t="shared" si="74"/>
        <v>1.7032234160800295</v>
      </c>
      <c r="E4568">
        <v>-2.4207569880968283E-2</v>
      </c>
    </row>
    <row r="4569" spans="2:5" x14ac:dyDescent="0.35">
      <c r="B4569" s="2">
        <v>37568</v>
      </c>
      <c r="C4569" s="4">
        <v>26.99</v>
      </c>
      <c r="D4569">
        <f t="shared" si="74"/>
        <v>-0.9773332325548193</v>
      </c>
      <c r="E4569">
        <v>-2.4222704266088302E-2</v>
      </c>
    </row>
    <row r="4570" spans="2:5" x14ac:dyDescent="0.35">
      <c r="B4570" s="2">
        <v>44097</v>
      </c>
      <c r="C4570" s="4">
        <v>1190.73</v>
      </c>
      <c r="D4570">
        <f t="shared" si="74"/>
        <v>11.911841249186727</v>
      </c>
      <c r="E4570">
        <v>-2.4223750092191132E-2</v>
      </c>
    </row>
    <row r="4571" spans="2:5" x14ac:dyDescent="0.35">
      <c r="B4571" s="2">
        <v>39092</v>
      </c>
      <c r="C4571" s="4">
        <v>92.22</v>
      </c>
      <c r="D4571">
        <f t="shared" si="74"/>
        <v>6.0609545715928581E-2</v>
      </c>
      <c r="E4571">
        <v>-2.4230240186223773E-2</v>
      </c>
    </row>
    <row r="4572" spans="2:5" x14ac:dyDescent="0.35">
      <c r="B4572" s="2">
        <v>39042</v>
      </c>
      <c r="C4572" s="4">
        <v>86.95</v>
      </c>
      <c r="D4572">
        <f t="shared" si="74"/>
        <v>-0.9662171350420975</v>
      </c>
      <c r="E4572">
        <v>-2.4239703736954277E-2</v>
      </c>
    </row>
    <row r="4573" spans="2:5" x14ac:dyDescent="0.35">
      <c r="B4573" s="2">
        <v>44280</v>
      </c>
      <c r="C4573" s="4">
        <v>2573.79</v>
      </c>
      <c r="D4573">
        <f t="shared" si="74"/>
        <v>4.1532485734307736</v>
      </c>
      <c r="E4573">
        <v>-2.4247938584020523E-2</v>
      </c>
    </row>
    <row r="4574" spans="2:5" x14ac:dyDescent="0.35">
      <c r="B4574" s="2">
        <v>42124</v>
      </c>
      <c r="C4574" s="4">
        <v>499.45</v>
      </c>
      <c r="D4574">
        <f t="shared" si="74"/>
        <v>1.8426294820717133</v>
      </c>
      <c r="E4574">
        <v>-2.4263973274464279E-2</v>
      </c>
    </row>
    <row r="4575" spans="2:5" x14ac:dyDescent="0.35">
      <c r="B4575" s="2">
        <v>41680</v>
      </c>
      <c r="C4575" s="4">
        <v>175.7</v>
      </c>
      <c r="D4575">
        <f t="shared" si="74"/>
        <v>1.1325403568394221</v>
      </c>
      <c r="E4575">
        <v>-2.4268340089965035E-2</v>
      </c>
    </row>
    <row r="4576" spans="2:5" x14ac:dyDescent="0.35">
      <c r="B4576" s="2">
        <v>41372</v>
      </c>
      <c r="C4576" s="4">
        <v>82.39</v>
      </c>
      <c r="D4576">
        <f t="shared" si="74"/>
        <v>1.7353917662682603</v>
      </c>
      <c r="E4576">
        <v>-2.4277593557555655E-2</v>
      </c>
    </row>
    <row r="4577" spans="2:5" x14ac:dyDescent="0.35">
      <c r="B4577" s="2">
        <v>38037</v>
      </c>
      <c r="C4577" s="4">
        <v>30.12</v>
      </c>
      <c r="D4577">
        <f t="shared" si="74"/>
        <v>-0.96230146313378473</v>
      </c>
      <c r="E4577">
        <v>-2.4295432458697808E-2</v>
      </c>
    </row>
    <row r="4578" spans="2:5" x14ac:dyDescent="0.35">
      <c r="B4578" s="2">
        <v>43635</v>
      </c>
      <c r="C4578" s="4">
        <v>798.97</v>
      </c>
      <c r="D4578">
        <f t="shared" si="74"/>
        <v>-0.20713506003770965</v>
      </c>
      <c r="E4578">
        <v>-2.4313696756545489E-2</v>
      </c>
    </row>
    <row r="4579" spans="2:5" x14ac:dyDescent="0.35">
      <c r="B4579" s="2">
        <v>42356</v>
      </c>
      <c r="C4579" s="4">
        <v>1007.7</v>
      </c>
      <c r="D4579">
        <f t="shared" si="74"/>
        <v>17.117583603020499</v>
      </c>
      <c r="E4579">
        <v>-2.4359545340123412E-2</v>
      </c>
    </row>
    <row r="4580" spans="2:5" x14ac:dyDescent="0.35">
      <c r="B4580" s="2">
        <v>38916</v>
      </c>
      <c r="C4580" s="4">
        <v>55.62</v>
      </c>
      <c r="D4580">
        <f t="shared" si="74"/>
        <v>6.145038167938921E-2</v>
      </c>
      <c r="E4580">
        <v>-2.438168742325908E-2</v>
      </c>
    </row>
    <row r="4581" spans="2:5" x14ac:dyDescent="0.35">
      <c r="B4581" s="2">
        <v>39994</v>
      </c>
      <c r="C4581" s="4">
        <v>52.4</v>
      </c>
      <c r="D4581">
        <f t="shared" si="74"/>
        <v>1.259594652867615</v>
      </c>
      <c r="E4581">
        <v>-2.4390243902439046E-2</v>
      </c>
    </row>
    <row r="4582" spans="2:5" x14ac:dyDescent="0.35">
      <c r="B4582" s="2">
        <v>37664</v>
      </c>
      <c r="C4582" s="4">
        <v>23.19</v>
      </c>
      <c r="D4582">
        <f t="shared" si="74"/>
        <v>-0.61542288557213931</v>
      </c>
      <c r="E4582">
        <v>-2.4400504838031023E-2</v>
      </c>
    </row>
    <row r="4583" spans="2:5" x14ac:dyDescent="0.35">
      <c r="B4583" s="2">
        <v>39700</v>
      </c>
      <c r="C4583" s="4">
        <v>60.3</v>
      </c>
      <c r="D4583">
        <f t="shared" si="74"/>
        <v>-0.92825698988697203</v>
      </c>
      <c r="E4583">
        <v>-2.4429703931402758E-2</v>
      </c>
    </row>
    <row r="4584" spans="2:5" x14ac:dyDescent="0.35">
      <c r="B4584" s="2">
        <v>42226</v>
      </c>
      <c r="C4584" s="4">
        <v>840.5</v>
      </c>
      <c r="D4584">
        <f t="shared" si="74"/>
        <v>-0.86109274806637137</v>
      </c>
      <c r="E4584">
        <v>-2.4466677499477729E-2</v>
      </c>
    </row>
    <row r="4585" spans="2:5" x14ac:dyDescent="0.35">
      <c r="B4585" s="2">
        <v>44917</v>
      </c>
      <c r="C4585" s="4">
        <v>6050.8</v>
      </c>
      <c r="D4585">
        <f t="shared" si="74"/>
        <v>10.129545496348889</v>
      </c>
      <c r="E4585">
        <v>-2.4473607841872802E-2</v>
      </c>
    </row>
    <row r="4586" spans="2:5" x14ac:dyDescent="0.35">
      <c r="B4586" s="2">
        <v>42193</v>
      </c>
      <c r="C4586" s="4">
        <v>543.66999999999996</v>
      </c>
      <c r="D4586">
        <f t="shared" si="74"/>
        <v>1.3954441311244268</v>
      </c>
      <c r="E4586">
        <v>-2.4474708869390405E-2</v>
      </c>
    </row>
    <row r="4587" spans="2:5" x14ac:dyDescent="0.35">
      <c r="B4587" s="2">
        <v>41788</v>
      </c>
      <c r="C4587" s="4">
        <v>226.96</v>
      </c>
      <c r="D4587">
        <f t="shared" si="74"/>
        <v>-0.72524665577144232</v>
      </c>
      <c r="E4587">
        <v>-2.4499269320037764E-2</v>
      </c>
    </row>
    <row r="4588" spans="2:5" x14ac:dyDescent="0.35">
      <c r="B4588" s="2">
        <v>42521</v>
      </c>
      <c r="C4588" s="4">
        <v>826.05</v>
      </c>
      <c r="D4588">
        <f t="shared" si="74"/>
        <v>9.0078749697116542</v>
      </c>
      <c r="E4588">
        <v>-2.4515534771672454E-2</v>
      </c>
    </row>
    <row r="4589" spans="2:5" x14ac:dyDescent="0.35">
      <c r="B4589" s="2">
        <v>40885</v>
      </c>
      <c r="C4589" s="4">
        <v>82.54</v>
      </c>
      <c r="D4589">
        <f t="shared" si="74"/>
        <v>9.4985407269833066E-2</v>
      </c>
      <c r="E4589">
        <v>-2.4580477428503889E-2</v>
      </c>
    </row>
    <row r="4590" spans="2:5" x14ac:dyDescent="0.35">
      <c r="B4590" s="2">
        <v>38597</v>
      </c>
      <c r="C4590" s="4">
        <v>75.38</v>
      </c>
      <c r="D4590">
        <f t="shared" si="74"/>
        <v>-0.94904174412709141</v>
      </c>
      <c r="E4590">
        <v>-2.4585921325051885E-2</v>
      </c>
    </row>
    <row r="4591" spans="2:5" x14ac:dyDescent="0.35">
      <c r="B4591" s="2">
        <v>44137</v>
      </c>
      <c r="C4591" s="4">
        <v>1479.25</v>
      </c>
      <c r="D4591">
        <f t="shared" si="74"/>
        <v>37.968651211801898</v>
      </c>
      <c r="E4591">
        <v>-2.4640318603209699E-2</v>
      </c>
    </row>
    <row r="4592" spans="2:5" x14ac:dyDescent="0.35">
      <c r="B4592" s="2">
        <v>37993</v>
      </c>
      <c r="C4592" s="4">
        <v>37.96</v>
      </c>
      <c r="D4592">
        <f t="shared" si="74"/>
        <v>-0.78878255063432001</v>
      </c>
      <c r="E4592">
        <v>-2.4665981500513912E-2</v>
      </c>
    </row>
    <row r="4593" spans="2:5" x14ac:dyDescent="0.35">
      <c r="B4593" s="2">
        <v>41673</v>
      </c>
      <c r="C4593" s="4">
        <v>179.72</v>
      </c>
      <c r="D4593">
        <f t="shared" si="74"/>
        <v>-0.77799189643245381</v>
      </c>
      <c r="E4593">
        <v>-2.46920280023879E-2</v>
      </c>
    </row>
    <row r="4594" spans="2:5" x14ac:dyDescent="0.35">
      <c r="B4594" s="2">
        <v>43511</v>
      </c>
      <c r="C4594" s="4">
        <v>809.52</v>
      </c>
      <c r="D4594">
        <f t="shared" si="74"/>
        <v>8.3016201309893134</v>
      </c>
      <c r="E4594">
        <v>-2.4709950242762346E-2</v>
      </c>
    </row>
    <row r="4595" spans="2:5" x14ac:dyDescent="0.35">
      <c r="B4595" s="2">
        <v>40973</v>
      </c>
      <c r="C4595" s="4">
        <v>87.03</v>
      </c>
      <c r="D4595">
        <f t="shared" si="74"/>
        <v>-0.90498078434797802</v>
      </c>
      <c r="E4595">
        <v>-2.4764679515912102E-2</v>
      </c>
    </row>
    <row r="4596" spans="2:5" x14ac:dyDescent="0.35">
      <c r="B4596" s="2">
        <v>42410</v>
      </c>
      <c r="C4596" s="4">
        <v>915.92</v>
      </c>
      <c r="D4596">
        <f t="shared" si="74"/>
        <v>8.4786298251060739</v>
      </c>
      <c r="E4596">
        <v>-2.4818202144309742E-2</v>
      </c>
    </row>
    <row r="4597" spans="2:5" x14ac:dyDescent="0.35">
      <c r="B4597" s="2">
        <v>40686</v>
      </c>
      <c r="C4597" s="4">
        <v>96.63</v>
      </c>
      <c r="D4597">
        <f t="shared" si="74"/>
        <v>0.24974133471288162</v>
      </c>
      <c r="E4597">
        <v>-2.4825915834090329E-2</v>
      </c>
    </row>
    <row r="4598" spans="2:5" x14ac:dyDescent="0.35">
      <c r="B4598" s="2">
        <v>41523</v>
      </c>
      <c r="C4598" s="4">
        <v>77.319999999999993</v>
      </c>
      <c r="D4598">
        <f t="shared" si="74"/>
        <v>1.6281441196464987</v>
      </c>
      <c r="E4598">
        <v>-2.4845503846639083E-2</v>
      </c>
    </row>
    <row r="4599" spans="2:5" x14ac:dyDescent="0.35">
      <c r="B4599" s="2">
        <v>37613</v>
      </c>
      <c r="C4599" s="4">
        <v>29.42</v>
      </c>
      <c r="D4599">
        <f t="shared" si="74"/>
        <v>-0.99483126050833548</v>
      </c>
      <c r="E4599">
        <v>-2.4859131587669836E-2</v>
      </c>
    </row>
    <row r="4600" spans="2:5" x14ac:dyDescent="0.35">
      <c r="B4600" s="2">
        <v>44466</v>
      </c>
      <c r="C4600" s="4">
        <v>5691.91</v>
      </c>
      <c r="D4600">
        <f t="shared" si="74"/>
        <v>1.0458012249123012</v>
      </c>
      <c r="E4600">
        <v>-2.4893699398001123E-2</v>
      </c>
    </row>
    <row r="4601" spans="2:5" x14ac:dyDescent="0.35">
      <c r="B4601" s="2">
        <v>44244</v>
      </c>
      <c r="C4601" s="4">
        <v>2782.24</v>
      </c>
      <c r="D4601">
        <f t="shared" si="74"/>
        <v>42.849330181245072</v>
      </c>
      <c r="E4601">
        <v>-2.4894244147942612E-2</v>
      </c>
    </row>
    <row r="4602" spans="2:5" x14ac:dyDescent="0.35">
      <c r="B4602" s="2">
        <v>39520</v>
      </c>
      <c r="C4602" s="4">
        <v>63.45</v>
      </c>
      <c r="D4602">
        <f t="shared" si="74"/>
        <v>1.7011494252873565</v>
      </c>
      <c r="E4602">
        <v>-2.4896265560165776E-2</v>
      </c>
    </row>
    <row r="4603" spans="2:5" x14ac:dyDescent="0.35">
      <c r="B4603" s="2">
        <v>37788</v>
      </c>
      <c r="C4603" s="4">
        <v>23.49</v>
      </c>
      <c r="D4603">
        <f t="shared" si="74"/>
        <v>-0.72286455875412936</v>
      </c>
      <c r="E4603">
        <v>-2.4906600249066102E-2</v>
      </c>
    </row>
    <row r="4604" spans="2:5" x14ac:dyDescent="0.35">
      <c r="B4604" s="2">
        <v>41033</v>
      </c>
      <c r="C4604" s="4">
        <v>84.76</v>
      </c>
      <c r="D4604">
        <f t="shared" si="74"/>
        <v>0.71025020177562559</v>
      </c>
      <c r="E4604">
        <v>-2.4962613597147132E-2</v>
      </c>
    </row>
    <row r="4605" spans="2:5" x14ac:dyDescent="0.35">
      <c r="B4605" s="2">
        <v>40002</v>
      </c>
      <c r="C4605" s="4">
        <v>49.56</v>
      </c>
      <c r="D4605">
        <f t="shared" si="74"/>
        <v>5.2229299363057313E-2</v>
      </c>
      <c r="E4605">
        <v>-2.4985244934093931E-2</v>
      </c>
    </row>
    <row r="4606" spans="2:5" x14ac:dyDescent="0.35">
      <c r="B4606" s="2">
        <v>38230</v>
      </c>
      <c r="C4606" s="4">
        <v>47.1</v>
      </c>
      <c r="D4606">
        <f t="shared" si="74"/>
        <v>-0.95015398291900821</v>
      </c>
      <c r="E4606">
        <v>-2.5046574208238526E-2</v>
      </c>
    </row>
    <row r="4607" spans="2:5" x14ac:dyDescent="0.35">
      <c r="B4607" s="2">
        <v>43469</v>
      </c>
      <c r="C4607" s="4">
        <v>944.91</v>
      </c>
      <c r="D4607">
        <f t="shared" si="74"/>
        <v>16.170815918589859</v>
      </c>
      <c r="E4607">
        <v>-2.5061906727197769E-2</v>
      </c>
    </row>
    <row r="4608" spans="2:5" x14ac:dyDescent="0.35">
      <c r="B4608" s="2">
        <v>39961</v>
      </c>
      <c r="C4608" s="4">
        <v>55.03</v>
      </c>
      <c r="D4608">
        <f t="shared" si="74"/>
        <v>-0.99241686176860888</v>
      </c>
      <c r="E4608">
        <v>-2.5155004428698002E-2</v>
      </c>
    </row>
    <row r="4609" spans="2:5" x14ac:dyDescent="0.35">
      <c r="B4609" s="2">
        <v>44595</v>
      </c>
      <c r="C4609" s="4">
        <v>7256.89</v>
      </c>
      <c r="D4609">
        <f t="shared" si="74"/>
        <v>7.8254344679971304</v>
      </c>
      <c r="E4609">
        <v>-2.521163047478836E-2</v>
      </c>
    </row>
    <row r="4610" spans="2:5" x14ac:dyDescent="0.35">
      <c r="B4610" s="2">
        <v>43588</v>
      </c>
      <c r="C4610" s="4">
        <v>822.27</v>
      </c>
      <c r="D4610">
        <f t="shared" si="74"/>
        <v>-0.23681572645764892</v>
      </c>
      <c r="E4610">
        <v>-2.5215164663205059E-2</v>
      </c>
    </row>
    <row r="4611" spans="2:5" x14ac:dyDescent="0.35">
      <c r="B4611" s="2">
        <v>43234</v>
      </c>
      <c r="C4611" s="4">
        <v>1077.42</v>
      </c>
      <c r="D4611">
        <f t="shared" si="74"/>
        <v>8.7521723388848667</v>
      </c>
      <c r="E4611">
        <v>-2.5223921107391578E-2</v>
      </c>
    </row>
    <row r="4612" spans="2:5" x14ac:dyDescent="0.35">
      <c r="B4612" s="2">
        <v>40640</v>
      </c>
      <c r="C4612" s="4">
        <v>110.48</v>
      </c>
      <c r="D4612">
        <f t="shared" ref="D4612:D4675" si="75">C4612/C4613-1</f>
        <v>3.7682347863616741</v>
      </c>
      <c r="E4612">
        <v>-2.523380977589551E-2</v>
      </c>
    </row>
    <row r="4613" spans="2:5" x14ac:dyDescent="0.35">
      <c r="B4613" s="2">
        <v>37720</v>
      </c>
      <c r="C4613" s="4">
        <v>23.17</v>
      </c>
      <c r="D4613">
        <f t="shared" si="75"/>
        <v>-0.97470441171654099</v>
      </c>
      <c r="E4613">
        <v>-2.524190155658379E-2</v>
      </c>
    </row>
    <row r="4614" spans="2:5" x14ac:dyDescent="0.35">
      <c r="B4614" s="2">
        <v>43396</v>
      </c>
      <c r="C4614" s="4">
        <v>915.97</v>
      </c>
      <c r="D4614">
        <f t="shared" si="75"/>
        <v>11.173976608187136</v>
      </c>
      <c r="E4614">
        <v>-2.5242367163639146E-2</v>
      </c>
    </row>
    <row r="4615" spans="2:5" x14ac:dyDescent="0.35">
      <c r="B4615" s="2">
        <v>39484</v>
      </c>
      <c r="C4615" s="4">
        <v>75.239999999999995</v>
      </c>
      <c r="D4615">
        <f t="shared" si="75"/>
        <v>0.26645345901363404</v>
      </c>
      <c r="E4615">
        <v>-2.5262339681305868E-2</v>
      </c>
    </row>
    <row r="4616" spans="2:5" x14ac:dyDescent="0.35">
      <c r="B4616" s="2">
        <v>38421</v>
      </c>
      <c r="C4616" s="4">
        <v>59.41</v>
      </c>
      <c r="D4616">
        <f t="shared" si="75"/>
        <v>-0.98359519536103823</v>
      </c>
      <c r="E4616">
        <v>-2.5266611977030506E-2</v>
      </c>
    </row>
    <row r="4617" spans="2:5" x14ac:dyDescent="0.35">
      <c r="B4617" s="2">
        <v>44365</v>
      </c>
      <c r="C4617" s="4">
        <v>3621.5</v>
      </c>
      <c r="D4617">
        <f t="shared" si="75"/>
        <v>2.9323097637248088</v>
      </c>
      <c r="E4617">
        <v>-2.5281057643395166E-2</v>
      </c>
    </row>
    <row r="4618" spans="2:5" x14ac:dyDescent="0.35">
      <c r="B4618" s="2">
        <v>43472</v>
      </c>
      <c r="C4618" s="4">
        <v>920.96</v>
      </c>
      <c r="D4618">
        <f t="shared" si="75"/>
        <v>7.2879769618430519</v>
      </c>
      <c r="E4618">
        <v>-2.5346329280037216E-2</v>
      </c>
    </row>
    <row r="4619" spans="2:5" x14ac:dyDescent="0.35">
      <c r="B4619" s="2">
        <v>39330</v>
      </c>
      <c r="C4619" s="4">
        <v>111.12</v>
      </c>
      <c r="D4619">
        <f t="shared" si="75"/>
        <v>-0.80613758090685461</v>
      </c>
      <c r="E4619">
        <v>-2.5348653626874884E-2</v>
      </c>
    </row>
    <row r="4620" spans="2:5" x14ac:dyDescent="0.35">
      <c r="B4620" s="2">
        <v>42670</v>
      </c>
      <c r="C4620" s="4">
        <v>573.19000000000005</v>
      </c>
      <c r="D4620">
        <f t="shared" si="75"/>
        <v>4.5741515122046099</v>
      </c>
      <c r="E4620">
        <v>-2.5369403682984459E-2</v>
      </c>
    </row>
    <row r="4621" spans="2:5" x14ac:dyDescent="0.35">
      <c r="B4621" s="2">
        <v>40578</v>
      </c>
      <c r="C4621" s="4">
        <v>102.83</v>
      </c>
      <c r="D4621">
        <f t="shared" si="75"/>
        <v>3.3242220353238014</v>
      </c>
      <c r="E4621">
        <v>-2.5400435977632529E-2</v>
      </c>
    </row>
    <row r="4622" spans="2:5" x14ac:dyDescent="0.35">
      <c r="B4622" s="2">
        <v>37824</v>
      </c>
      <c r="C4622" s="4">
        <v>23.78</v>
      </c>
      <c r="D4622">
        <f t="shared" si="75"/>
        <v>-0.97018817305401983</v>
      </c>
      <c r="E4622">
        <v>-2.5409836065573677E-2</v>
      </c>
    </row>
    <row r="4623" spans="2:5" x14ac:dyDescent="0.35">
      <c r="B4623" s="2">
        <v>42326</v>
      </c>
      <c r="C4623" s="4">
        <v>797.67</v>
      </c>
      <c r="D4623">
        <f t="shared" si="75"/>
        <v>6.6795032251853268</v>
      </c>
      <c r="E4623">
        <v>-2.5425178379435143E-2</v>
      </c>
    </row>
    <row r="4624" spans="2:5" x14ac:dyDescent="0.35">
      <c r="B4624" s="2">
        <v>39101</v>
      </c>
      <c r="C4624" s="4">
        <v>103.87</v>
      </c>
      <c r="D4624">
        <f t="shared" si="75"/>
        <v>2.1910906298003074</v>
      </c>
      <c r="E4624">
        <v>-2.5426909363858052E-2</v>
      </c>
    </row>
    <row r="4625" spans="2:5" x14ac:dyDescent="0.35">
      <c r="B4625" s="2">
        <v>39785</v>
      </c>
      <c r="C4625" s="4">
        <v>32.549999999999997</v>
      </c>
      <c r="D4625">
        <f t="shared" si="75"/>
        <v>-0.8835086965857849</v>
      </c>
      <c r="E4625">
        <v>-2.5449101796407247E-2</v>
      </c>
    </row>
    <row r="4626" spans="2:5" x14ac:dyDescent="0.35">
      <c r="B4626" s="2">
        <v>41838</v>
      </c>
      <c r="C4626" s="4">
        <v>279.42</v>
      </c>
      <c r="D4626">
        <f t="shared" si="75"/>
        <v>-0.89090653537865683</v>
      </c>
      <c r="E4626">
        <v>-2.5460379464285698E-2</v>
      </c>
    </row>
    <row r="4627" spans="2:5" x14ac:dyDescent="0.35">
      <c r="B4627" s="2">
        <v>44224</v>
      </c>
      <c r="C4627" s="4">
        <v>2561.29</v>
      </c>
      <c r="D4627">
        <f t="shared" si="75"/>
        <v>40.892214589466796</v>
      </c>
      <c r="E4627">
        <v>-2.5480736304627438E-2</v>
      </c>
    </row>
    <row r="4628" spans="2:5" x14ac:dyDescent="0.35">
      <c r="B4628" s="2">
        <v>40115</v>
      </c>
      <c r="C4628" s="4">
        <v>61.14</v>
      </c>
      <c r="D4628">
        <f t="shared" si="75"/>
        <v>-0.98988229103058645</v>
      </c>
      <c r="E4628">
        <v>-2.550207204335353E-2</v>
      </c>
    </row>
    <row r="4629" spans="2:5" x14ac:dyDescent="0.35">
      <c r="B4629" s="2">
        <v>44481</v>
      </c>
      <c r="C4629" s="4">
        <v>6042.87</v>
      </c>
      <c r="D4629">
        <f t="shared" si="75"/>
        <v>7.9176541770582762</v>
      </c>
      <c r="E4629">
        <v>-2.5533726482412367E-2</v>
      </c>
    </row>
    <row r="4630" spans="2:5" x14ac:dyDescent="0.35">
      <c r="B4630" s="2">
        <v>42760</v>
      </c>
      <c r="C4630" s="4">
        <v>677.63</v>
      </c>
      <c r="D4630">
        <f t="shared" si="75"/>
        <v>-0.14317325443188433</v>
      </c>
      <c r="E4630">
        <v>-2.553962524626463E-2</v>
      </c>
    </row>
    <row r="4631" spans="2:5" x14ac:dyDescent="0.35">
      <c r="B4631" s="2">
        <v>42254</v>
      </c>
      <c r="C4631" s="4">
        <v>790.86</v>
      </c>
      <c r="D4631">
        <f t="shared" si="75"/>
        <v>-0.87884367914700656</v>
      </c>
      <c r="E4631">
        <v>-2.5554460325283412E-2</v>
      </c>
    </row>
    <row r="4632" spans="2:5" x14ac:dyDescent="0.35">
      <c r="B4632" s="2">
        <v>44614</v>
      </c>
      <c r="C4632" s="4">
        <v>6527.6</v>
      </c>
      <c r="D4632">
        <f t="shared" si="75"/>
        <v>5.6218957961369913</v>
      </c>
      <c r="E4632">
        <v>-2.5568453233973387E-2</v>
      </c>
    </row>
    <row r="4633" spans="2:5" x14ac:dyDescent="0.35">
      <c r="B4633" s="2">
        <v>43406</v>
      </c>
      <c r="C4633" s="4">
        <v>985.76</v>
      </c>
      <c r="D4633">
        <f t="shared" si="75"/>
        <v>-0.83113955448359977</v>
      </c>
      <c r="E4633">
        <v>-2.5591854890525401E-2</v>
      </c>
    </row>
    <row r="4634" spans="2:5" x14ac:dyDescent="0.35">
      <c r="B4634" s="2">
        <v>44545</v>
      </c>
      <c r="C4634" s="4">
        <v>5837.72</v>
      </c>
      <c r="D4634">
        <f t="shared" si="75"/>
        <v>20.414181431348812</v>
      </c>
      <c r="E4634">
        <v>-2.5654977192423156E-2</v>
      </c>
    </row>
    <row r="4635" spans="2:5" x14ac:dyDescent="0.35">
      <c r="B4635" s="2">
        <v>41956</v>
      </c>
      <c r="C4635" s="4">
        <v>272.61</v>
      </c>
      <c r="D4635">
        <f t="shared" si="75"/>
        <v>4.367395156526876</v>
      </c>
      <c r="E4635">
        <v>-2.5696926375982865E-2</v>
      </c>
    </row>
    <row r="4636" spans="2:5" x14ac:dyDescent="0.35">
      <c r="B4636" s="2">
        <v>38253</v>
      </c>
      <c r="C4636" s="4">
        <v>50.79</v>
      </c>
      <c r="D4636">
        <f t="shared" si="75"/>
        <v>0.91805135951661621</v>
      </c>
      <c r="E4636">
        <v>-2.5704968348359891E-2</v>
      </c>
    </row>
    <row r="4637" spans="2:5" x14ac:dyDescent="0.35">
      <c r="B4637" s="2">
        <v>37817</v>
      </c>
      <c r="C4637" s="4">
        <v>26.48</v>
      </c>
      <c r="D4637">
        <f t="shared" si="75"/>
        <v>-0.9567468679048039</v>
      </c>
      <c r="E4637">
        <v>-2.5754231052244281E-2</v>
      </c>
    </row>
    <row r="4638" spans="2:5" x14ac:dyDescent="0.35">
      <c r="B4638" s="2">
        <v>42727</v>
      </c>
      <c r="C4638" s="4">
        <v>612.21</v>
      </c>
      <c r="D4638">
        <f t="shared" si="75"/>
        <v>8.5330115228900656</v>
      </c>
      <c r="E4638">
        <v>-2.5763844684913995E-2</v>
      </c>
    </row>
    <row r="4639" spans="2:5" x14ac:dyDescent="0.35">
      <c r="B4639" s="2">
        <v>38652</v>
      </c>
      <c r="C4639" s="4">
        <v>64.22</v>
      </c>
      <c r="D4639">
        <f t="shared" si="75"/>
        <v>1.4652591170825335</v>
      </c>
      <c r="E4639">
        <v>-2.5788834951456341E-2</v>
      </c>
    </row>
    <row r="4640" spans="2:5" x14ac:dyDescent="0.35">
      <c r="B4640" s="2">
        <v>37838</v>
      </c>
      <c r="C4640" s="4">
        <v>26.05</v>
      </c>
      <c r="D4640">
        <f t="shared" si="75"/>
        <v>-0.55332647462277085</v>
      </c>
      <c r="E4640">
        <v>-2.5804038893044057E-2</v>
      </c>
    </row>
    <row r="4641" spans="2:5" x14ac:dyDescent="0.35">
      <c r="B4641" s="2">
        <v>40022</v>
      </c>
      <c r="C4641" s="4">
        <v>58.32</v>
      </c>
      <c r="D4641">
        <f t="shared" si="75"/>
        <v>-0.4966338684619368</v>
      </c>
      <c r="E4641">
        <v>-2.588942709203268E-2</v>
      </c>
    </row>
    <row r="4642" spans="2:5" x14ac:dyDescent="0.35">
      <c r="B4642" s="2">
        <v>40505</v>
      </c>
      <c r="C4642" s="4">
        <v>115.86</v>
      </c>
      <c r="D4642">
        <f t="shared" si="75"/>
        <v>0.20336518487744071</v>
      </c>
      <c r="E4642">
        <v>-2.5895409450142903E-2</v>
      </c>
    </row>
    <row r="4643" spans="2:5" x14ac:dyDescent="0.35">
      <c r="B4643" s="2">
        <v>39157</v>
      </c>
      <c r="C4643" s="4">
        <v>96.28</v>
      </c>
      <c r="D4643">
        <f t="shared" si="75"/>
        <v>-9.0840415486307835E-2</v>
      </c>
      <c r="E4643">
        <v>-2.5900445163901331E-2</v>
      </c>
    </row>
    <row r="4644" spans="2:5" x14ac:dyDescent="0.35">
      <c r="B4644" s="2">
        <v>39107</v>
      </c>
      <c r="C4644" s="4">
        <v>105.9</v>
      </c>
      <c r="D4644">
        <f t="shared" si="75"/>
        <v>0.23585015754463767</v>
      </c>
      <c r="E4644">
        <v>-2.6027775223029459E-2</v>
      </c>
    </row>
    <row r="4645" spans="2:5" x14ac:dyDescent="0.35">
      <c r="B4645" s="2">
        <v>40798</v>
      </c>
      <c r="C4645" s="4">
        <v>85.69</v>
      </c>
      <c r="D4645">
        <f t="shared" si="75"/>
        <v>-0.82411379543915109</v>
      </c>
      <c r="E4645">
        <v>-2.6028642873380359E-2</v>
      </c>
    </row>
    <row r="4646" spans="2:5" x14ac:dyDescent="0.35">
      <c r="B4646" s="2">
        <v>42131</v>
      </c>
      <c r="C4646" s="4">
        <v>487.19</v>
      </c>
      <c r="D4646">
        <f t="shared" si="75"/>
        <v>6.5803640889995334</v>
      </c>
      <c r="E4646">
        <v>-2.6048538642997165E-2</v>
      </c>
    </row>
    <row r="4647" spans="2:5" x14ac:dyDescent="0.35">
      <c r="B4647" s="2">
        <v>39652</v>
      </c>
      <c r="C4647" s="4">
        <v>64.27</v>
      </c>
      <c r="D4647">
        <f t="shared" si="75"/>
        <v>1.3085488505747125</v>
      </c>
      <c r="E4647">
        <v>-2.6064555235641773E-2</v>
      </c>
    </row>
    <row r="4648" spans="2:5" x14ac:dyDescent="0.35">
      <c r="B4648" s="2">
        <v>37915</v>
      </c>
      <c r="C4648" s="4">
        <v>27.84</v>
      </c>
      <c r="D4648">
        <f t="shared" si="75"/>
        <v>-0.55548459204853906</v>
      </c>
      <c r="E4648">
        <v>-2.6232948583420734E-2</v>
      </c>
    </row>
    <row r="4649" spans="2:5" x14ac:dyDescent="0.35">
      <c r="B4649" s="2">
        <v>38519</v>
      </c>
      <c r="C4649" s="4">
        <v>62.63</v>
      </c>
      <c r="D4649">
        <f t="shared" si="75"/>
        <v>-0.30986225895316799</v>
      </c>
      <c r="E4649">
        <v>-2.6274875621890459E-2</v>
      </c>
    </row>
    <row r="4650" spans="2:5" x14ac:dyDescent="0.35">
      <c r="B4650" s="2">
        <v>39038</v>
      </c>
      <c r="C4650" s="4">
        <v>90.75</v>
      </c>
      <c r="D4650">
        <f t="shared" si="75"/>
        <v>0.5714285714285714</v>
      </c>
      <c r="E4650">
        <v>-2.6287553648068673E-2</v>
      </c>
    </row>
    <row r="4651" spans="2:5" x14ac:dyDescent="0.35">
      <c r="B4651" s="2">
        <v>38433</v>
      </c>
      <c r="C4651" s="4">
        <v>57.75</v>
      </c>
      <c r="D4651">
        <f t="shared" si="75"/>
        <v>-0.35424354243542444</v>
      </c>
      <c r="E4651">
        <v>-2.6302478502782001E-2</v>
      </c>
    </row>
    <row r="4652" spans="2:5" x14ac:dyDescent="0.35">
      <c r="B4652" s="2">
        <v>39434</v>
      </c>
      <c r="C4652" s="4">
        <v>89.43</v>
      </c>
      <c r="D4652">
        <f t="shared" si="75"/>
        <v>3.125E-2</v>
      </c>
      <c r="E4652">
        <v>-2.6347305389221476E-2</v>
      </c>
    </row>
    <row r="4653" spans="2:5" x14ac:dyDescent="0.35">
      <c r="B4653" s="2">
        <v>40767</v>
      </c>
      <c r="C4653" s="4">
        <v>86.72</v>
      </c>
      <c r="D4653">
        <f t="shared" si="75"/>
        <v>2.0132036136205698</v>
      </c>
      <c r="E4653">
        <v>-2.6383743123386094E-2</v>
      </c>
    </row>
    <row r="4654" spans="2:5" x14ac:dyDescent="0.35">
      <c r="B4654" s="2">
        <v>37938</v>
      </c>
      <c r="C4654" s="4">
        <v>28.78</v>
      </c>
      <c r="D4654">
        <f t="shared" si="75"/>
        <v>-0.95559121699816374</v>
      </c>
      <c r="E4654">
        <v>-2.6387009472259693E-2</v>
      </c>
    </row>
    <row r="4655" spans="2:5" x14ac:dyDescent="0.35">
      <c r="B4655" s="2">
        <v>43733</v>
      </c>
      <c r="C4655" s="4">
        <v>648.07000000000005</v>
      </c>
      <c r="D4655">
        <f t="shared" si="75"/>
        <v>-0.23738526712167562</v>
      </c>
      <c r="E4655">
        <v>-2.6410275670397221E-2</v>
      </c>
    </row>
    <row r="4656" spans="2:5" x14ac:dyDescent="0.35">
      <c r="B4656" s="2">
        <v>43075</v>
      </c>
      <c r="C4656" s="4">
        <v>849.8</v>
      </c>
      <c r="D4656">
        <f t="shared" si="75"/>
        <v>-0.28424634458594433</v>
      </c>
      <c r="E4656">
        <v>-2.6430052585150188E-2</v>
      </c>
    </row>
    <row r="4657" spans="2:5" x14ac:dyDescent="0.35">
      <c r="B4657" s="2">
        <v>43367</v>
      </c>
      <c r="C4657" s="4">
        <v>1187.28</v>
      </c>
      <c r="D4657">
        <f t="shared" si="75"/>
        <v>21.871893662107496</v>
      </c>
      <c r="E4657">
        <v>-2.64366308055628E-2</v>
      </c>
    </row>
    <row r="4658" spans="2:5" x14ac:dyDescent="0.35">
      <c r="B4658" s="2">
        <v>38363</v>
      </c>
      <c r="C4658" s="4">
        <v>51.91</v>
      </c>
      <c r="D4658">
        <f t="shared" si="75"/>
        <v>-0.25747389500786722</v>
      </c>
      <c r="E4658">
        <v>-2.6444111027757011E-2</v>
      </c>
    </row>
    <row r="4659" spans="2:5" x14ac:dyDescent="0.35">
      <c r="B4659" s="2">
        <v>40108</v>
      </c>
      <c r="C4659" s="4">
        <v>69.91</v>
      </c>
      <c r="D4659">
        <f t="shared" si="75"/>
        <v>6.7491220033592869E-2</v>
      </c>
      <c r="E4659">
        <v>-2.6458710486004788E-2</v>
      </c>
    </row>
    <row r="4660" spans="2:5" x14ac:dyDescent="0.35">
      <c r="B4660" s="2">
        <v>39577</v>
      </c>
      <c r="C4660" s="4">
        <v>65.489999999999995</v>
      </c>
      <c r="D4660">
        <f t="shared" si="75"/>
        <v>0.68009235505387378</v>
      </c>
      <c r="E4660">
        <v>-2.6460532183737229E-2</v>
      </c>
    </row>
    <row r="4661" spans="2:5" x14ac:dyDescent="0.35">
      <c r="B4661" s="2">
        <v>38210</v>
      </c>
      <c r="C4661" s="4">
        <v>38.979999999999997</v>
      </c>
      <c r="D4661">
        <f t="shared" si="75"/>
        <v>-0.94316210029016778</v>
      </c>
      <c r="E4661">
        <v>-2.6473526473526521E-2</v>
      </c>
    </row>
    <row r="4662" spans="2:5" x14ac:dyDescent="0.35">
      <c r="B4662" s="2">
        <v>42755</v>
      </c>
      <c r="C4662" s="4">
        <v>685.81</v>
      </c>
      <c r="D4662">
        <f t="shared" si="75"/>
        <v>11.033865590454464</v>
      </c>
      <c r="E4662">
        <v>-2.6474178803622794E-2</v>
      </c>
    </row>
    <row r="4663" spans="2:5" x14ac:dyDescent="0.35">
      <c r="B4663" s="2">
        <v>39538</v>
      </c>
      <c r="C4663" s="4">
        <v>56.99</v>
      </c>
      <c r="D4663">
        <f t="shared" si="75"/>
        <v>-0.47010692701069268</v>
      </c>
      <c r="E4663">
        <v>-2.6477622138708523E-2</v>
      </c>
    </row>
    <row r="4664" spans="2:5" x14ac:dyDescent="0.35">
      <c r="B4664" s="2">
        <v>40641</v>
      </c>
      <c r="C4664" s="4">
        <v>107.55</v>
      </c>
      <c r="D4664">
        <f t="shared" si="75"/>
        <v>0.65537940587963672</v>
      </c>
      <c r="E4664">
        <v>-2.652063721940634E-2</v>
      </c>
    </row>
    <row r="4665" spans="2:5" x14ac:dyDescent="0.35">
      <c r="B4665" s="2">
        <v>40144</v>
      </c>
      <c r="C4665" s="4">
        <v>64.97</v>
      </c>
      <c r="D4665">
        <f t="shared" si="75"/>
        <v>-8.7243607754987407E-2</v>
      </c>
      <c r="E4665">
        <v>-2.652082709020076E-2</v>
      </c>
    </row>
    <row r="4666" spans="2:5" x14ac:dyDescent="0.35">
      <c r="B4666" s="2">
        <v>38555</v>
      </c>
      <c r="C4666" s="4">
        <v>71.180000000000007</v>
      </c>
      <c r="D4666">
        <f t="shared" si="75"/>
        <v>-0.91265400284690523</v>
      </c>
      <c r="E4666">
        <v>-2.653172866520781E-2</v>
      </c>
    </row>
    <row r="4667" spans="2:5" x14ac:dyDescent="0.35">
      <c r="B4667" s="2">
        <v>43054</v>
      </c>
      <c r="C4667" s="4">
        <v>814.92</v>
      </c>
      <c r="D4667">
        <f t="shared" si="75"/>
        <v>-9.6691237599068947E-2</v>
      </c>
      <c r="E4667">
        <v>-2.654275270564066E-2</v>
      </c>
    </row>
    <row r="4668" spans="2:5" x14ac:dyDescent="0.35">
      <c r="B4668" s="2">
        <v>43182</v>
      </c>
      <c r="C4668" s="4">
        <v>902.15</v>
      </c>
      <c r="D4668">
        <f t="shared" si="75"/>
        <v>0.90878700040200577</v>
      </c>
      <c r="E4668">
        <v>-2.6554879364668271E-2</v>
      </c>
    </row>
    <row r="4669" spans="2:5" x14ac:dyDescent="0.35">
      <c r="B4669" s="2">
        <v>42089</v>
      </c>
      <c r="C4669" s="4">
        <v>472.63</v>
      </c>
      <c r="D4669">
        <f t="shared" si="75"/>
        <v>-0.51180134488849416</v>
      </c>
      <c r="E4669">
        <v>-2.6689182231923958E-2</v>
      </c>
    </row>
    <row r="4670" spans="2:5" x14ac:dyDescent="0.35">
      <c r="B4670" s="2">
        <v>43413</v>
      </c>
      <c r="C4670" s="4">
        <v>968.11</v>
      </c>
      <c r="D4670">
        <f t="shared" si="75"/>
        <v>10.127701149425288</v>
      </c>
      <c r="E4670">
        <v>-2.6692538153740952E-2</v>
      </c>
    </row>
    <row r="4671" spans="2:5" x14ac:dyDescent="0.35">
      <c r="B4671" s="2">
        <v>41562</v>
      </c>
      <c r="C4671" s="4">
        <v>87</v>
      </c>
      <c r="D4671">
        <f t="shared" si="75"/>
        <v>8.0524559990791111E-4</v>
      </c>
      <c r="E4671">
        <v>-2.6736771450945329E-2</v>
      </c>
    </row>
    <row r="4672" spans="2:5" x14ac:dyDescent="0.35">
      <c r="B4672" s="2">
        <v>41032</v>
      </c>
      <c r="C4672" s="4">
        <v>86.93</v>
      </c>
      <c r="D4672">
        <f t="shared" si="75"/>
        <v>-0.89621042074597645</v>
      </c>
      <c r="E4672">
        <v>-2.6757725033586977E-2</v>
      </c>
    </row>
    <row r="4673" spans="2:5" x14ac:dyDescent="0.35">
      <c r="B4673" s="2">
        <v>43651</v>
      </c>
      <c r="C4673" s="4">
        <v>837.56</v>
      </c>
      <c r="D4673">
        <f t="shared" si="75"/>
        <v>2.4322009588984956</v>
      </c>
      <c r="E4673">
        <v>-2.6794636424903095E-2</v>
      </c>
    </row>
    <row r="4674" spans="2:5" x14ac:dyDescent="0.35">
      <c r="B4674" s="2">
        <v>41754</v>
      </c>
      <c r="C4674" s="4">
        <v>244.03</v>
      </c>
      <c r="D4674">
        <f t="shared" si="75"/>
        <v>-0.92979856967786112</v>
      </c>
      <c r="E4674">
        <v>-2.6799601196410783E-2</v>
      </c>
    </row>
    <row r="4675" spans="2:5" x14ac:dyDescent="0.35">
      <c r="B4675" s="2">
        <v>44327</v>
      </c>
      <c r="C4675" s="4">
        <v>3476.14</v>
      </c>
      <c r="D4675">
        <f t="shared" si="75"/>
        <v>104.59356014580801</v>
      </c>
      <c r="E4675">
        <v>-2.6833781729512118E-2</v>
      </c>
    </row>
    <row r="4676" spans="2:5" x14ac:dyDescent="0.35">
      <c r="B4676" s="2">
        <v>37502</v>
      </c>
      <c r="C4676" s="4">
        <v>32.92</v>
      </c>
      <c r="D4676">
        <f t="shared" ref="D4676:D4739" si="76">C4676/C4677-1</f>
        <v>7.1265863976570198E-2</v>
      </c>
      <c r="E4676">
        <v>-2.6899201891811941E-2</v>
      </c>
    </row>
    <row r="4677" spans="2:5" x14ac:dyDescent="0.35">
      <c r="B4677" s="2">
        <v>37476</v>
      </c>
      <c r="C4677" s="4">
        <v>30.73</v>
      </c>
      <c r="D4677">
        <f t="shared" si="76"/>
        <v>-0.98834404229978534</v>
      </c>
      <c r="E4677">
        <v>-2.6915769474350815E-2</v>
      </c>
    </row>
    <row r="4678" spans="2:5" x14ac:dyDescent="0.35">
      <c r="B4678" s="2">
        <v>44249</v>
      </c>
      <c r="C4678" s="4">
        <v>2636.42</v>
      </c>
      <c r="D4678">
        <f t="shared" si="76"/>
        <v>47.714338507021438</v>
      </c>
      <c r="E4678">
        <v>-2.6928670027829282E-2</v>
      </c>
    </row>
    <row r="4679" spans="2:5" x14ac:dyDescent="0.35">
      <c r="B4679" s="2">
        <v>38917</v>
      </c>
      <c r="C4679" s="4">
        <v>54.12</v>
      </c>
      <c r="D4679">
        <f t="shared" si="76"/>
        <v>1.1442155309033279</v>
      </c>
      <c r="E4679">
        <v>-2.6968716289104688E-2</v>
      </c>
    </row>
    <row r="4680" spans="2:5" x14ac:dyDescent="0.35">
      <c r="B4680" s="2">
        <v>37820</v>
      </c>
      <c r="C4680" s="4">
        <v>25.24</v>
      </c>
      <c r="D4680">
        <f t="shared" si="76"/>
        <v>-0.6481739615277391</v>
      </c>
      <c r="E4680">
        <v>-2.698535080956066E-2</v>
      </c>
    </row>
    <row r="4681" spans="2:5" x14ac:dyDescent="0.35">
      <c r="B4681" s="2">
        <v>39489</v>
      </c>
      <c r="C4681" s="4">
        <v>71.739999999999995</v>
      </c>
      <c r="D4681">
        <f t="shared" si="76"/>
        <v>1.7656129529683882</v>
      </c>
      <c r="E4681">
        <v>-2.6990370269903807E-2</v>
      </c>
    </row>
    <row r="4682" spans="2:5" x14ac:dyDescent="0.35">
      <c r="B4682" s="2">
        <v>37819</v>
      </c>
      <c r="C4682" s="4">
        <v>25.94</v>
      </c>
      <c r="D4682">
        <f t="shared" si="76"/>
        <v>-0.96420242054565775</v>
      </c>
      <c r="E4682">
        <v>-2.7006751687921993E-2</v>
      </c>
    </row>
    <row r="4683" spans="2:5" x14ac:dyDescent="0.35">
      <c r="B4683" s="2">
        <v>42611</v>
      </c>
      <c r="C4683" s="4">
        <v>724.63</v>
      </c>
      <c r="D4683">
        <f t="shared" si="76"/>
        <v>7.9262133530426198</v>
      </c>
      <c r="E4683">
        <v>-2.7054969252665151E-2</v>
      </c>
    </row>
    <row r="4684" spans="2:5" x14ac:dyDescent="0.35">
      <c r="B4684" s="2">
        <v>38841</v>
      </c>
      <c r="C4684" s="4">
        <v>81.180000000000007</v>
      </c>
      <c r="D4684">
        <f t="shared" si="76"/>
        <v>-0.98897027354210743</v>
      </c>
      <c r="E4684">
        <v>-2.7085330776605798E-2</v>
      </c>
    </row>
    <row r="4685" spans="2:5" x14ac:dyDescent="0.35">
      <c r="B4685" s="2">
        <v>44603</v>
      </c>
      <c r="C4685" s="4">
        <v>7360.11</v>
      </c>
      <c r="D4685">
        <f t="shared" si="76"/>
        <v>99.096695226438186</v>
      </c>
      <c r="E4685">
        <v>-2.7092941638345747E-2</v>
      </c>
    </row>
    <row r="4686" spans="2:5" x14ac:dyDescent="0.35">
      <c r="B4686" s="2">
        <v>39605</v>
      </c>
      <c r="C4686" s="4">
        <v>73.53</v>
      </c>
      <c r="D4686">
        <f t="shared" si="76"/>
        <v>-0.37067785005135223</v>
      </c>
      <c r="E4686">
        <v>-2.7123577666049226E-2</v>
      </c>
    </row>
    <row r="4687" spans="2:5" x14ac:dyDescent="0.35">
      <c r="B4687" s="2">
        <v>39245</v>
      </c>
      <c r="C4687" s="4">
        <v>116.84</v>
      </c>
      <c r="D4687">
        <f t="shared" si="76"/>
        <v>2.7092063492063492</v>
      </c>
      <c r="E4687">
        <v>-2.7144046627810114E-2</v>
      </c>
    </row>
    <row r="4688" spans="2:5" x14ac:dyDescent="0.35">
      <c r="B4688" s="2">
        <v>39835</v>
      </c>
      <c r="C4688" s="4">
        <v>31.5</v>
      </c>
      <c r="D4688">
        <f t="shared" si="76"/>
        <v>-0.99442534116027237</v>
      </c>
      <c r="E4688">
        <v>-2.7177269919703595E-2</v>
      </c>
    </row>
    <row r="4689" spans="2:5" x14ac:dyDescent="0.35">
      <c r="B4689" s="2">
        <v>44529</v>
      </c>
      <c r="C4689" s="4">
        <v>5650.57</v>
      </c>
      <c r="D4689">
        <f t="shared" si="76"/>
        <v>207.58508674787743</v>
      </c>
      <c r="E4689">
        <v>-2.7207886224070776E-2</v>
      </c>
    </row>
    <row r="4690" spans="2:5" x14ac:dyDescent="0.35">
      <c r="B4690" s="2">
        <v>37879</v>
      </c>
      <c r="C4690" s="4">
        <v>27.09</v>
      </c>
      <c r="D4690">
        <f t="shared" si="76"/>
        <v>-0.74710604929051527</v>
      </c>
      <c r="E4690">
        <v>-2.7289048473967736E-2</v>
      </c>
    </row>
    <row r="4691" spans="2:5" x14ac:dyDescent="0.35">
      <c r="B4691" s="2">
        <v>39314</v>
      </c>
      <c r="C4691" s="4">
        <v>107.12</v>
      </c>
      <c r="D4691">
        <f t="shared" si="76"/>
        <v>-0.59226552984165659</v>
      </c>
      <c r="E4691">
        <v>-2.7331335694179559E-2</v>
      </c>
    </row>
    <row r="4692" spans="2:5" x14ac:dyDescent="0.35">
      <c r="B4692" s="2">
        <v>41711</v>
      </c>
      <c r="C4692" s="4">
        <v>262.72000000000003</v>
      </c>
      <c r="D4692">
        <f t="shared" si="76"/>
        <v>-0.62102044054642758</v>
      </c>
      <c r="E4692">
        <v>-2.7359224019843698E-2</v>
      </c>
    </row>
    <row r="4693" spans="2:5" x14ac:dyDescent="0.35">
      <c r="B4693" s="2">
        <v>43937</v>
      </c>
      <c r="C4693" s="4">
        <v>693.23</v>
      </c>
      <c r="D4693">
        <f t="shared" si="76"/>
        <v>1.6420840003049015</v>
      </c>
      <c r="E4693">
        <v>-2.7373235682015884E-2</v>
      </c>
    </row>
    <row r="4694" spans="2:5" x14ac:dyDescent="0.35">
      <c r="B4694" s="2">
        <v>41929</v>
      </c>
      <c r="C4694" s="4">
        <v>262.38</v>
      </c>
      <c r="D4694">
        <f t="shared" si="76"/>
        <v>-0.5572243410172466</v>
      </c>
      <c r="E4694">
        <v>-2.7393705749341968E-2</v>
      </c>
    </row>
    <row r="4695" spans="2:5" x14ac:dyDescent="0.35">
      <c r="B4695" s="2">
        <v>43712</v>
      </c>
      <c r="C4695" s="4">
        <v>592.58000000000004</v>
      </c>
      <c r="D4695">
        <f t="shared" si="76"/>
        <v>5.3282785134557882</v>
      </c>
      <c r="E4695">
        <v>-2.7409401260504063E-2</v>
      </c>
    </row>
    <row r="4696" spans="2:5" x14ac:dyDescent="0.35">
      <c r="B4696" s="2">
        <v>41115</v>
      </c>
      <c r="C4696" s="4">
        <v>93.64</v>
      </c>
      <c r="D4696">
        <f t="shared" si="76"/>
        <v>0.15320197044334982</v>
      </c>
      <c r="E4696">
        <v>-2.7420024927295339E-2</v>
      </c>
    </row>
    <row r="4697" spans="2:5" x14ac:dyDescent="0.35">
      <c r="B4697" s="2">
        <v>41358</v>
      </c>
      <c r="C4697" s="4">
        <v>81.2</v>
      </c>
      <c r="D4697">
        <f t="shared" si="76"/>
        <v>0.53846153846153855</v>
      </c>
      <c r="E4697">
        <v>-2.7428434543058988E-2</v>
      </c>
    </row>
    <row r="4698" spans="2:5" x14ac:dyDescent="0.35">
      <c r="B4698" s="2">
        <v>39533</v>
      </c>
      <c r="C4698" s="4">
        <v>52.78</v>
      </c>
      <c r="D4698">
        <f t="shared" si="76"/>
        <v>-0.92522490614153152</v>
      </c>
      <c r="E4698">
        <v>-2.7455316012529929E-2</v>
      </c>
    </row>
    <row r="4699" spans="2:5" x14ac:dyDescent="0.35">
      <c r="B4699" s="2">
        <v>42852</v>
      </c>
      <c r="C4699" s="4">
        <v>705.85</v>
      </c>
      <c r="D4699">
        <f t="shared" si="76"/>
        <v>-0.10054157374960171</v>
      </c>
      <c r="E4699">
        <v>-2.7460111879632931E-2</v>
      </c>
    </row>
    <row r="4700" spans="2:5" x14ac:dyDescent="0.35">
      <c r="B4700" s="2">
        <v>43034</v>
      </c>
      <c r="C4700" s="4">
        <v>784.75</v>
      </c>
      <c r="D4700">
        <f t="shared" si="76"/>
        <v>32.608137044967876</v>
      </c>
      <c r="E4700">
        <v>-2.7486894774019999E-2</v>
      </c>
    </row>
    <row r="4701" spans="2:5" x14ac:dyDescent="0.35">
      <c r="B4701" s="2">
        <v>37677</v>
      </c>
      <c r="C4701" s="4">
        <v>23.35</v>
      </c>
      <c r="D4701">
        <f t="shared" si="76"/>
        <v>-0.20470027247956402</v>
      </c>
      <c r="E4701">
        <v>-2.7488546438983796E-2</v>
      </c>
    </row>
    <row r="4702" spans="2:5" x14ac:dyDescent="0.35">
      <c r="B4702" s="2">
        <v>37469</v>
      </c>
      <c r="C4702" s="4">
        <v>29.36</v>
      </c>
      <c r="D4702">
        <f t="shared" si="76"/>
        <v>2.6932493878978558E-2</v>
      </c>
      <c r="E4702">
        <v>-2.749254720105998E-2</v>
      </c>
    </row>
    <row r="4703" spans="2:5" x14ac:dyDescent="0.35">
      <c r="B4703" s="2">
        <v>37914</v>
      </c>
      <c r="C4703" s="4">
        <v>28.59</v>
      </c>
      <c r="D4703">
        <f t="shared" si="76"/>
        <v>-0.97343208408062376</v>
      </c>
      <c r="E4703">
        <v>-2.7551020408163263E-2</v>
      </c>
    </row>
    <row r="4704" spans="2:5" x14ac:dyDescent="0.35">
      <c r="B4704" s="2">
        <v>43238</v>
      </c>
      <c r="C4704" s="4">
        <v>1076.1099999999999</v>
      </c>
      <c r="D4704">
        <f t="shared" si="76"/>
        <v>0.19608976425213109</v>
      </c>
      <c r="E4704">
        <v>-2.7675876899723617E-2</v>
      </c>
    </row>
    <row r="4705" spans="2:5" x14ac:dyDescent="0.35">
      <c r="B4705" s="2">
        <v>43573</v>
      </c>
      <c r="C4705" s="4">
        <v>899.69</v>
      </c>
      <c r="D4705">
        <f t="shared" si="76"/>
        <v>7.9051766801940015</v>
      </c>
      <c r="E4705">
        <v>-2.7709033533982463E-2</v>
      </c>
    </row>
    <row r="4706" spans="2:5" x14ac:dyDescent="0.35">
      <c r="B4706" s="2">
        <v>40582</v>
      </c>
      <c r="C4706" s="4">
        <v>101.03</v>
      </c>
      <c r="D4706">
        <f t="shared" si="76"/>
        <v>6.7180733072779164E-2</v>
      </c>
      <c r="E4706">
        <v>-2.7716292945818455E-2</v>
      </c>
    </row>
    <row r="4707" spans="2:5" x14ac:dyDescent="0.35">
      <c r="B4707" s="2">
        <v>39087</v>
      </c>
      <c r="C4707" s="4">
        <v>94.67</v>
      </c>
      <c r="D4707">
        <f t="shared" si="76"/>
        <v>-0.16398799010950194</v>
      </c>
      <c r="E4707">
        <v>-2.7729280065728723E-2</v>
      </c>
    </row>
    <row r="4708" spans="2:5" x14ac:dyDescent="0.35">
      <c r="B4708" s="2">
        <v>40469</v>
      </c>
      <c r="C4708" s="4">
        <v>113.24</v>
      </c>
      <c r="D4708">
        <f t="shared" si="76"/>
        <v>0.93572649572649569</v>
      </c>
      <c r="E4708">
        <v>-2.7732463295269238E-2</v>
      </c>
    </row>
    <row r="4709" spans="2:5" x14ac:dyDescent="0.35">
      <c r="B4709" s="2">
        <v>38425</v>
      </c>
      <c r="C4709" s="4">
        <v>58.5</v>
      </c>
      <c r="D4709">
        <f t="shared" si="76"/>
        <v>-0.11577992744860943</v>
      </c>
      <c r="E4709">
        <v>-2.7754695030746235E-2</v>
      </c>
    </row>
    <row r="4710" spans="2:5" x14ac:dyDescent="0.35">
      <c r="B4710" s="2">
        <v>38646</v>
      </c>
      <c r="C4710" s="4">
        <v>66.16</v>
      </c>
      <c r="D4710">
        <f t="shared" si="76"/>
        <v>-0.43390091554718924</v>
      </c>
      <c r="E4710">
        <v>-2.7773695811903032E-2</v>
      </c>
    </row>
    <row r="4711" spans="2:5" x14ac:dyDescent="0.35">
      <c r="B4711" s="2">
        <v>39268</v>
      </c>
      <c r="C4711" s="4">
        <v>116.87</v>
      </c>
      <c r="D4711">
        <f t="shared" si="76"/>
        <v>6.5068805249248074E-2</v>
      </c>
      <c r="E4711">
        <v>-2.7784710090674514E-2</v>
      </c>
    </row>
    <row r="4712" spans="2:5" x14ac:dyDescent="0.35">
      <c r="B4712" s="2">
        <v>39288</v>
      </c>
      <c r="C4712" s="4">
        <v>109.73</v>
      </c>
      <c r="D4712">
        <f t="shared" si="76"/>
        <v>0.26213480561306657</v>
      </c>
      <c r="E4712">
        <v>-2.7819615486843308E-2</v>
      </c>
    </row>
    <row r="4713" spans="2:5" x14ac:dyDescent="0.35">
      <c r="B4713" s="2">
        <v>39435</v>
      </c>
      <c r="C4713" s="4">
        <v>86.94</v>
      </c>
      <c r="D4713">
        <f t="shared" si="76"/>
        <v>-0.9287096562581999</v>
      </c>
      <c r="E4713">
        <v>-2.7843005702784418E-2</v>
      </c>
    </row>
    <row r="4714" spans="2:5" x14ac:dyDescent="0.35">
      <c r="B4714" s="2">
        <v>43364</v>
      </c>
      <c r="C4714" s="4">
        <v>1219.52</v>
      </c>
      <c r="D4714">
        <f t="shared" si="76"/>
        <v>37.507104515314175</v>
      </c>
      <c r="E4714">
        <v>-2.7906865519357837E-2</v>
      </c>
    </row>
    <row r="4715" spans="2:5" x14ac:dyDescent="0.35">
      <c r="B4715" s="2">
        <v>39861</v>
      </c>
      <c r="C4715" s="4">
        <v>31.67</v>
      </c>
      <c r="D4715">
        <f t="shared" si="76"/>
        <v>-0.66033891033891035</v>
      </c>
      <c r="E4715">
        <v>-2.7931246163290235E-2</v>
      </c>
    </row>
    <row r="4716" spans="2:5" x14ac:dyDescent="0.35">
      <c r="B4716" s="2">
        <v>39079</v>
      </c>
      <c r="C4716" s="4">
        <v>93.24</v>
      </c>
      <c r="D4716">
        <f t="shared" si="76"/>
        <v>-0.90014457831325301</v>
      </c>
      <c r="E4716">
        <v>-2.7939949958298627E-2</v>
      </c>
    </row>
    <row r="4717" spans="2:5" x14ac:dyDescent="0.35">
      <c r="B4717" s="2">
        <v>43887</v>
      </c>
      <c r="C4717" s="4">
        <v>933.75</v>
      </c>
      <c r="D4717">
        <f t="shared" si="76"/>
        <v>-0.24381691258644977</v>
      </c>
      <c r="E4717">
        <v>-2.7951280449718952E-2</v>
      </c>
    </row>
    <row r="4718" spans="2:5" x14ac:dyDescent="0.35">
      <c r="B4718" s="2">
        <v>43354</v>
      </c>
      <c r="C4718" s="4">
        <v>1234.82</v>
      </c>
      <c r="D4718">
        <f t="shared" si="76"/>
        <v>12.641405214317277</v>
      </c>
      <c r="E4718">
        <v>-2.7968670051560562E-2</v>
      </c>
    </row>
    <row r="4719" spans="2:5" x14ac:dyDescent="0.35">
      <c r="B4719" s="2">
        <v>40763</v>
      </c>
      <c r="C4719" s="4">
        <v>90.52</v>
      </c>
      <c r="D4719">
        <f t="shared" si="76"/>
        <v>-0.13913456966238713</v>
      </c>
      <c r="E4719">
        <v>-2.8025340921292829E-2</v>
      </c>
    </row>
    <row r="4720" spans="2:5" x14ac:dyDescent="0.35">
      <c r="B4720" s="2">
        <v>39301</v>
      </c>
      <c r="C4720" s="4">
        <v>105.15</v>
      </c>
      <c r="D4720">
        <f t="shared" si="76"/>
        <v>-0.82086577284110462</v>
      </c>
      <c r="E4720">
        <v>-2.8188539741219931E-2</v>
      </c>
    </row>
    <row r="4721" spans="2:5" x14ac:dyDescent="0.35">
      <c r="B4721" s="2">
        <v>43682</v>
      </c>
      <c r="C4721" s="4">
        <v>586.99</v>
      </c>
      <c r="D4721">
        <f t="shared" si="76"/>
        <v>14.120814013395158</v>
      </c>
      <c r="E4721">
        <v>-2.8226607509436397E-2</v>
      </c>
    </row>
    <row r="4722" spans="2:5" x14ac:dyDescent="0.35">
      <c r="B4722" s="2">
        <v>39930</v>
      </c>
      <c r="C4722" s="4">
        <v>38.82</v>
      </c>
      <c r="D4722">
        <f t="shared" si="76"/>
        <v>-0.52979651162790697</v>
      </c>
      <c r="E4722">
        <v>-2.8285356695869845E-2</v>
      </c>
    </row>
    <row r="4723" spans="2:5" x14ac:dyDescent="0.35">
      <c r="B4723" s="2">
        <v>40926</v>
      </c>
      <c r="C4723" s="4">
        <v>82.56</v>
      </c>
      <c r="D4723">
        <f t="shared" si="76"/>
        <v>-0.89485615313100952</v>
      </c>
      <c r="E4723">
        <v>-2.8362951629987032E-2</v>
      </c>
    </row>
    <row r="4724" spans="2:5" x14ac:dyDescent="0.35">
      <c r="B4724" s="2">
        <v>43019</v>
      </c>
      <c r="C4724" s="4">
        <v>785.21</v>
      </c>
      <c r="D4724">
        <f t="shared" si="76"/>
        <v>-0.50679312835652146</v>
      </c>
      <c r="E4724">
        <v>-2.837379661939754E-2</v>
      </c>
    </row>
    <row r="4725" spans="2:5" x14ac:dyDescent="0.35">
      <c r="B4725" s="2">
        <v>44175</v>
      </c>
      <c r="C4725" s="4">
        <v>1592.05</v>
      </c>
      <c r="D4725">
        <f t="shared" si="76"/>
        <v>1.0117389875912961</v>
      </c>
      <c r="E4725">
        <v>-2.8390608884576229E-2</v>
      </c>
    </row>
    <row r="4726" spans="2:5" x14ac:dyDescent="0.35">
      <c r="B4726" s="2">
        <v>43000</v>
      </c>
      <c r="C4726" s="4">
        <v>791.38</v>
      </c>
      <c r="D4726">
        <f t="shared" si="76"/>
        <v>-0.90479639097744358</v>
      </c>
      <c r="E4726">
        <v>-2.8433226115353372E-2</v>
      </c>
    </row>
    <row r="4727" spans="2:5" x14ac:dyDescent="0.35">
      <c r="B4727" s="2">
        <v>44837</v>
      </c>
      <c r="C4727" s="4">
        <v>8312.5</v>
      </c>
      <c r="D4727">
        <f t="shared" si="76"/>
        <v>338.00897226753671</v>
      </c>
      <c r="E4727">
        <v>-2.8510655704176435E-2</v>
      </c>
    </row>
    <row r="4728" spans="2:5" x14ac:dyDescent="0.35">
      <c r="B4728" s="2">
        <v>37652</v>
      </c>
      <c r="C4728" s="4">
        <v>24.52</v>
      </c>
      <c r="D4728">
        <f t="shared" si="76"/>
        <v>-0.36820407111569187</v>
      </c>
      <c r="E4728">
        <v>-2.8526148969889031E-2</v>
      </c>
    </row>
    <row r="4729" spans="2:5" x14ac:dyDescent="0.35">
      <c r="B4729" s="2">
        <v>37998</v>
      </c>
      <c r="C4729" s="4">
        <v>38.81</v>
      </c>
      <c r="D4729">
        <f t="shared" si="76"/>
        <v>-0.99440682191903218</v>
      </c>
      <c r="E4729">
        <v>-2.8535669586983725E-2</v>
      </c>
    </row>
    <row r="4730" spans="2:5" x14ac:dyDescent="0.35">
      <c r="B4730" s="2">
        <v>44588</v>
      </c>
      <c r="C4730" s="4">
        <v>6938.81</v>
      </c>
      <c r="D4730">
        <f t="shared" si="76"/>
        <v>9.7738805043165033</v>
      </c>
      <c r="E4730">
        <v>-2.8561548520052216E-2</v>
      </c>
    </row>
    <row r="4731" spans="2:5" x14ac:dyDescent="0.35">
      <c r="B4731" s="2">
        <v>42741</v>
      </c>
      <c r="C4731" s="4">
        <v>644.04</v>
      </c>
      <c r="D4731">
        <f t="shared" si="76"/>
        <v>10.554359526372442</v>
      </c>
      <c r="E4731">
        <v>-2.8567980934568249E-2</v>
      </c>
    </row>
    <row r="4732" spans="2:5" x14ac:dyDescent="0.35">
      <c r="B4732" s="2">
        <v>39976</v>
      </c>
      <c r="C4732" s="4">
        <v>55.74</v>
      </c>
      <c r="D4732">
        <f t="shared" si="76"/>
        <v>0.62507288629737623</v>
      </c>
      <c r="E4732">
        <v>-2.8581387242941791E-2</v>
      </c>
    </row>
    <row r="4733" spans="2:5" x14ac:dyDescent="0.35">
      <c r="B4733" s="2">
        <v>39800</v>
      </c>
      <c r="C4733" s="4">
        <v>34.299999999999997</v>
      </c>
      <c r="D4733">
        <f t="shared" si="76"/>
        <v>-0.9725169065094067</v>
      </c>
      <c r="E4733">
        <v>-2.860379495893528E-2</v>
      </c>
    </row>
    <row r="4734" spans="2:5" x14ac:dyDescent="0.35">
      <c r="B4734" s="2">
        <v>43361</v>
      </c>
      <c r="C4734" s="4">
        <v>1248.04</v>
      </c>
      <c r="D4734">
        <f t="shared" si="76"/>
        <v>40.782390358218947</v>
      </c>
      <c r="E4734">
        <v>-2.8611457036114563E-2</v>
      </c>
    </row>
    <row r="4735" spans="2:5" x14ac:dyDescent="0.35">
      <c r="B4735" s="2">
        <v>37523</v>
      </c>
      <c r="C4735" s="4">
        <v>29.87</v>
      </c>
      <c r="D4735">
        <f t="shared" si="76"/>
        <v>-0.56797801562048011</v>
      </c>
      <c r="E4735">
        <v>-2.861788617886174E-2</v>
      </c>
    </row>
    <row r="4736" spans="2:5" x14ac:dyDescent="0.35">
      <c r="B4736" s="2">
        <v>38558</v>
      </c>
      <c r="C4736" s="4">
        <v>69.14</v>
      </c>
      <c r="D4736">
        <f t="shared" si="76"/>
        <v>-0.18274231678486996</v>
      </c>
      <c r="E4736">
        <v>-2.8659735880865456E-2</v>
      </c>
    </row>
    <row r="4737" spans="2:5" x14ac:dyDescent="0.35">
      <c r="B4737" s="2">
        <v>41008</v>
      </c>
      <c r="C4737" s="4">
        <v>84.6</v>
      </c>
      <c r="D4737">
        <f t="shared" si="76"/>
        <v>-0.14303079416531606</v>
      </c>
      <c r="E4737">
        <v>-2.8702640642939148E-2</v>
      </c>
    </row>
    <row r="4738" spans="2:5" x14ac:dyDescent="0.35">
      <c r="B4738" s="2">
        <v>40597</v>
      </c>
      <c r="C4738" s="4">
        <v>98.72</v>
      </c>
      <c r="D4738">
        <f t="shared" si="76"/>
        <v>0.83221974758723083</v>
      </c>
      <c r="E4738">
        <v>-2.8728846910665129E-2</v>
      </c>
    </row>
    <row r="4739" spans="2:5" x14ac:dyDescent="0.35">
      <c r="B4739" s="2">
        <v>40015</v>
      </c>
      <c r="C4739" s="4">
        <v>53.88</v>
      </c>
      <c r="D4739">
        <f t="shared" si="76"/>
        <v>-5.2909122868693981E-2</v>
      </c>
      <c r="E4739">
        <v>-2.883922134102368E-2</v>
      </c>
    </row>
    <row r="4740" spans="2:5" x14ac:dyDescent="0.35">
      <c r="B4740" s="2">
        <v>38463</v>
      </c>
      <c r="C4740" s="4">
        <v>56.89</v>
      </c>
      <c r="D4740">
        <f t="shared" ref="D4740:D4803" si="77">C4740/C4741-1</f>
        <v>1.5261989342806395</v>
      </c>
      <c r="E4740">
        <v>-2.8849436667804707E-2</v>
      </c>
    </row>
    <row r="4741" spans="2:5" x14ac:dyDescent="0.35">
      <c r="B4741" s="2">
        <v>37666</v>
      </c>
      <c r="C4741" s="4">
        <v>22.52</v>
      </c>
      <c r="D4741">
        <f t="shared" si="77"/>
        <v>-0.97363090289568277</v>
      </c>
      <c r="E4741">
        <v>-2.8891763691246353E-2</v>
      </c>
    </row>
    <row r="4742" spans="2:5" x14ac:dyDescent="0.35">
      <c r="B4742" s="2">
        <v>42263</v>
      </c>
      <c r="C4742" s="4">
        <v>854.03</v>
      </c>
      <c r="D4742">
        <f t="shared" si="77"/>
        <v>15.638028443405418</v>
      </c>
      <c r="E4742">
        <v>-2.8904428904429014E-2</v>
      </c>
    </row>
    <row r="4743" spans="2:5" x14ac:dyDescent="0.35">
      <c r="B4743" s="2">
        <v>38278</v>
      </c>
      <c r="C4743" s="4">
        <v>51.33</v>
      </c>
      <c r="D4743">
        <f t="shared" si="77"/>
        <v>0.72306143001007039</v>
      </c>
      <c r="E4743">
        <v>-2.8944381384790052E-2</v>
      </c>
    </row>
    <row r="4744" spans="2:5" x14ac:dyDescent="0.35">
      <c r="B4744" s="2">
        <v>38008</v>
      </c>
      <c r="C4744" s="4">
        <v>29.79</v>
      </c>
      <c r="D4744">
        <f t="shared" si="77"/>
        <v>-0.59889592029083072</v>
      </c>
      <c r="E4744">
        <v>-2.9009126466753576E-2</v>
      </c>
    </row>
    <row r="4745" spans="2:5" x14ac:dyDescent="0.35">
      <c r="B4745" s="2">
        <v>39640</v>
      </c>
      <c r="C4745" s="4">
        <v>74.27</v>
      </c>
      <c r="D4745">
        <f t="shared" si="77"/>
        <v>-0.1833076753903673</v>
      </c>
      <c r="E4745">
        <v>-2.9023401751863021E-2</v>
      </c>
    </row>
    <row r="4746" spans="2:5" x14ac:dyDescent="0.35">
      <c r="B4746" s="2">
        <v>41117</v>
      </c>
      <c r="C4746" s="4">
        <v>90.94</v>
      </c>
      <c r="D4746">
        <f t="shared" si="77"/>
        <v>-0.90317600587715474</v>
      </c>
      <c r="E4746">
        <v>-2.9041212897715107E-2</v>
      </c>
    </row>
    <row r="4747" spans="2:5" x14ac:dyDescent="0.35">
      <c r="B4747" s="2">
        <v>42409</v>
      </c>
      <c r="C4747" s="4">
        <v>939.23</v>
      </c>
      <c r="D4747">
        <f t="shared" si="77"/>
        <v>38.199916527545909</v>
      </c>
      <c r="E4747">
        <v>-2.9069106321393479E-2</v>
      </c>
    </row>
    <row r="4748" spans="2:5" x14ac:dyDescent="0.35">
      <c r="B4748" s="2">
        <v>37662</v>
      </c>
      <c r="C4748" s="4">
        <v>23.96</v>
      </c>
      <c r="D4748">
        <f t="shared" si="77"/>
        <v>-0.70840939515638313</v>
      </c>
      <c r="E4748">
        <v>-2.9173419773095621E-2</v>
      </c>
    </row>
    <row r="4749" spans="2:5" x14ac:dyDescent="0.35">
      <c r="B4749" s="2">
        <v>41334</v>
      </c>
      <c r="C4749" s="4">
        <v>82.17</v>
      </c>
      <c r="D4749">
        <f t="shared" si="77"/>
        <v>-0.26324755671119882</v>
      </c>
      <c r="E4749">
        <v>-2.9182419659735337E-2</v>
      </c>
    </row>
    <row r="4750" spans="2:5" x14ac:dyDescent="0.35">
      <c r="B4750" s="2">
        <v>40302</v>
      </c>
      <c r="C4750" s="4">
        <v>111.53</v>
      </c>
      <c r="D4750">
        <f t="shared" si="77"/>
        <v>-8.694228407695459E-2</v>
      </c>
      <c r="E4750">
        <v>-2.9245365131865264E-2</v>
      </c>
    </row>
    <row r="4751" spans="2:5" x14ac:dyDescent="0.35">
      <c r="B4751" s="2">
        <v>40197</v>
      </c>
      <c r="C4751" s="4">
        <v>122.15</v>
      </c>
      <c r="D4751">
        <f t="shared" si="77"/>
        <v>-0.85509223560116254</v>
      </c>
      <c r="E4751">
        <v>-2.9322949777495166E-2</v>
      </c>
    </row>
    <row r="4752" spans="2:5" x14ac:dyDescent="0.35">
      <c r="B4752" s="2">
        <v>42458</v>
      </c>
      <c r="C4752" s="4">
        <v>842.95</v>
      </c>
      <c r="D4752">
        <f t="shared" si="77"/>
        <v>8.8349084120872714</v>
      </c>
      <c r="E4752">
        <v>-2.9329126459547106E-2</v>
      </c>
    </row>
    <row r="4753" spans="2:5" x14ac:dyDescent="0.35">
      <c r="B4753" s="2">
        <v>40151</v>
      </c>
      <c r="C4753" s="4">
        <v>85.71</v>
      </c>
      <c r="D4753">
        <f t="shared" si="77"/>
        <v>2.6590010779734108E-2</v>
      </c>
      <c r="E4753">
        <v>-2.9331823329558415E-2</v>
      </c>
    </row>
    <row r="4754" spans="2:5" x14ac:dyDescent="0.35">
      <c r="B4754" s="2">
        <v>41355</v>
      </c>
      <c r="C4754" s="4">
        <v>83.49</v>
      </c>
      <c r="D4754">
        <f t="shared" si="77"/>
        <v>0.24148698884758346</v>
      </c>
      <c r="E4754">
        <v>-2.9411764705882359E-2</v>
      </c>
    </row>
    <row r="4755" spans="2:5" x14ac:dyDescent="0.35">
      <c r="B4755" s="2">
        <v>38828</v>
      </c>
      <c r="C4755" s="4">
        <v>67.25</v>
      </c>
      <c r="D4755">
        <f t="shared" si="77"/>
        <v>-5.9045753462991457E-2</v>
      </c>
      <c r="E4755">
        <v>-2.9441477846731234E-2</v>
      </c>
    </row>
    <row r="4756" spans="2:5" x14ac:dyDescent="0.35">
      <c r="B4756" s="2">
        <v>39510</v>
      </c>
      <c r="C4756" s="4">
        <v>71.47</v>
      </c>
      <c r="D4756">
        <f t="shared" si="77"/>
        <v>-0.31679571742663226</v>
      </c>
      <c r="E4756">
        <v>-2.9467680608365021E-2</v>
      </c>
    </row>
    <row r="4757" spans="2:5" x14ac:dyDescent="0.35">
      <c r="B4757" s="2">
        <v>40571</v>
      </c>
      <c r="C4757" s="4">
        <v>104.61</v>
      </c>
      <c r="D4757">
        <f t="shared" si="77"/>
        <v>2.325174825174825</v>
      </c>
      <c r="E4757">
        <v>-2.9591836734693899E-2</v>
      </c>
    </row>
    <row r="4758" spans="2:5" x14ac:dyDescent="0.35">
      <c r="B4758" s="2">
        <v>39864</v>
      </c>
      <c r="C4758" s="4">
        <v>31.46</v>
      </c>
      <c r="D4758">
        <f t="shared" si="77"/>
        <v>-0.94764781255720298</v>
      </c>
      <c r="E4758">
        <v>-2.9611351017890253E-2</v>
      </c>
    </row>
    <row r="4759" spans="2:5" x14ac:dyDescent="0.35">
      <c r="B4759" s="2">
        <v>43748</v>
      </c>
      <c r="C4759" s="4">
        <v>600.92999999999995</v>
      </c>
      <c r="D4759">
        <f t="shared" si="77"/>
        <v>4.8966735354724751</v>
      </c>
      <c r="E4759">
        <v>-2.9631184601472738E-2</v>
      </c>
    </row>
    <row r="4760" spans="2:5" x14ac:dyDescent="0.35">
      <c r="B4760" s="2">
        <v>41246</v>
      </c>
      <c r="C4760" s="4">
        <v>101.91</v>
      </c>
      <c r="D4760">
        <f t="shared" si="77"/>
        <v>0.18887074195053666</v>
      </c>
      <c r="E4760">
        <v>-2.9705798343330536E-2</v>
      </c>
    </row>
    <row r="4761" spans="2:5" x14ac:dyDescent="0.35">
      <c r="B4761" s="2">
        <v>39407</v>
      </c>
      <c r="C4761" s="4">
        <v>85.72</v>
      </c>
      <c r="D4761">
        <f t="shared" si="77"/>
        <v>0.62625687725289314</v>
      </c>
      <c r="E4761">
        <v>-2.9767968307866433E-2</v>
      </c>
    </row>
    <row r="4762" spans="2:5" x14ac:dyDescent="0.35">
      <c r="B4762" s="2">
        <v>38272</v>
      </c>
      <c r="C4762" s="4">
        <v>52.71</v>
      </c>
      <c r="D4762">
        <f t="shared" si="77"/>
        <v>-0.99075846833578796</v>
      </c>
      <c r="E4762">
        <v>-2.9817780231916058E-2</v>
      </c>
    </row>
    <row r="4763" spans="2:5" x14ac:dyDescent="0.35">
      <c r="B4763" s="2">
        <v>44547</v>
      </c>
      <c r="C4763" s="4">
        <v>5703.6</v>
      </c>
      <c r="D4763">
        <f t="shared" si="77"/>
        <v>1.1569984456722753</v>
      </c>
      <c r="E4763">
        <v>-2.9828405024017846E-2</v>
      </c>
    </row>
    <row r="4764" spans="2:5" x14ac:dyDescent="0.35">
      <c r="B4764" s="2">
        <v>44273</v>
      </c>
      <c r="C4764" s="4">
        <v>2644.23</v>
      </c>
      <c r="D4764">
        <f t="shared" si="77"/>
        <v>1.0437229002264594</v>
      </c>
      <c r="E4764">
        <v>-2.9832620324779624E-2</v>
      </c>
    </row>
    <row r="4765" spans="2:5" x14ac:dyDescent="0.35">
      <c r="B4765" s="2">
        <v>43300</v>
      </c>
      <c r="C4765" s="4">
        <v>1293.83</v>
      </c>
      <c r="D4765">
        <f t="shared" si="77"/>
        <v>11.91763178913738</v>
      </c>
      <c r="E4765">
        <v>-2.9923373371121831E-2</v>
      </c>
    </row>
    <row r="4766" spans="2:5" x14ac:dyDescent="0.35">
      <c r="B4766" s="2">
        <v>40330</v>
      </c>
      <c r="C4766" s="4">
        <v>100.16</v>
      </c>
      <c r="D4766">
        <f t="shared" si="77"/>
        <v>-0.80191832295065757</v>
      </c>
      <c r="E4766">
        <v>-2.992736077481839E-2</v>
      </c>
    </row>
    <row r="4767" spans="2:5" x14ac:dyDescent="0.35">
      <c r="B4767" s="2">
        <v>42117</v>
      </c>
      <c r="C4767" s="4">
        <v>505.65</v>
      </c>
      <c r="D4767">
        <f t="shared" si="77"/>
        <v>-0.8212366541752103</v>
      </c>
      <c r="E4767">
        <v>-2.9928057553956888E-2</v>
      </c>
    </row>
    <row r="4768" spans="2:5" x14ac:dyDescent="0.35">
      <c r="B4768" s="2">
        <v>44229</v>
      </c>
      <c r="C4768" s="4">
        <v>2828.6</v>
      </c>
      <c r="D4768">
        <f t="shared" si="77"/>
        <v>26.467469411536218</v>
      </c>
      <c r="E4768">
        <v>-3.0039091969000675E-2</v>
      </c>
    </row>
    <row r="4769" spans="2:5" x14ac:dyDescent="0.35">
      <c r="B4769" s="2">
        <v>40214</v>
      </c>
      <c r="C4769" s="4">
        <v>102.98</v>
      </c>
      <c r="D4769">
        <f t="shared" si="77"/>
        <v>0.52698695136417562</v>
      </c>
      <c r="E4769">
        <v>-3.0046152397098957E-2</v>
      </c>
    </row>
    <row r="4770" spans="2:5" x14ac:dyDescent="0.35">
      <c r="B4770" s="2">
        <v>38663</v>
      </c>
      <c r="C4770" s="4">
        <v>67.44</v>
      </c>
      <c r="D4770">
        <f t="shared" si="77"/>
        <v>1.2235410484668647</v>
      </c>
      <c r="E4770">
        <v>-3.0058967352222132E-2</v>
      </c>
    </row>
    <row r="4771" spans="2:5" x14ac:dyDescent="0.35">
      <c r="B4771" s="2">
        <v>37606</v>
      </c>
      <c r="C4771" s="4">
        <v>30.33</v>
      </c>
      <c r="D4771">
        <f t="shared" si="77"/>
        <v>-0.68237511781338367</v>
      </c>
      <c r="E4771">
        <v>-3.0060761112887802E-2</v>
      </c>
    </row>
    <row r="4772" spans="2:5" x14ac:dyDescent="0.35">
      <c r="B4772" s="2">
        <v>40609</v>
      </c>
      <c r="C4772" s="4">
        <v>95.49</v>
      </c>
      <c r="D4772">
        <f t="shared" si="77"/>
        <v>-6.611246943765281E-2</v>
      </c>
      <c r="E4772">
        <v>-3.0066023362112837E-2</v>
      </c>
    </row>
    <row r="4773" spans="2:5" x14ac:dyDescent="0.35">
      <c r="B4773" s="2">
        <v>40749</v>
      </c>
      <c r="C4773" s="4">
        <v>102.25</v>
      </c>
      <c r="D4773">
        <f t="shared" si="77"/>
        <v>-0.87476115819901035</v>
      </c>
      <c r="E4773">
        <v>-3.0070195408840816E-2</v>
      </c>
    </row>
    <row r="4774" spans="2:5" x14ac:dyDescent="0.35">
      <c r="B4774" s="2">
        <v>42514</v>
      </c>
      <c r="C4774" s="4">
        <v>816.44</v>
      </c>
      <c r="D4774">
        <f t="shared" si="77"/>
        <v>0.35785919803083477</v>
      </c>
      <c r="E4774">
        <v>-3.0102877236332426E-2</v>
      </c>
    </row>
    <row r="4775" spans="2:5" x14ac:dyDescent="0.35">
      <c r="B4775" s="2">
        <v>43676</v>
      </c>
      <c r="C4775" s="4">
        <v>601.27</v>
      </c>
      <c r="D4775">
        <f t="shared" si="77"/>
        <v>-0.34648827250396708</v>
      </c>
      <c r="E4775">
        <v>-3.0147106264920454E-2</v>
      </c>
    </row>
    <row r="4776" spans="2:5" x14ac:dyDescent="0.35">
      <c r="B4776" s="2">
        <v>43444</v>
      </c>
      <c r="C4776" s="4">
        <v>920.06</v>
      </c>
      <c r="D4776">
        <f t="shared" si="77"/>
        <v>12.771291722795988</v>
      </c>
      <c r="E4776">
        <v>-3.0311334078118146E-2</v>
      </c>
    </row>
    <row r="4777" spans="2:5" x14ac:dyDescent="0.35">
      <c r="B4777" s="2">
        <v>38819</v>
      </c>
      <c r="C4777" s="4">
        <v>66.81</v>
      </c>
      <c r="D4777">
        <f t="shared" si="77"/>
        <v>0.67275913870806225</v>
      </c>
      <c r="E4777">
        <v>-3.0333817126270035E-2</v>
      </c>
    </row>
    <row r="4778" spans="2:5" x14ac:dyDescent="0.35">
      <c r="B4778" s="2">
        <v>38201</v>
      </c>
      <c r="C4778" s="4">
        <v>39.94</v>
      </c>
      <c r="D4778">
        <f t="shared" si="77"/>
        <v>0.37392500859993105</v>
      </c>
      <c r="E4778">
        <v>-3.0347171643602788E-2</v>
      </c>
    </row>
    <row r="4779" spans="2:5" x14ac:dyDescent="0.35">
      <c r="B4779" s="2">
        <v>37627</v>
      </c>
      <c r="C4779" s="4">
        <v>29.07</v>
      </c>
      <c r="D4779">
        <f t="shared" si="77"/>
        <v>-0.67259826557044722</v>
      </c>
      <c r="E4779">
        <v>-3.0353569046030704E-2</v>
      </c>
    </row>
    <row r="4780" spans="2:5" x14ac:dyDescent="0.35">
      <c r="B4780" s="2">
        <v>39058</v>
      </c>
      <c r="C4780" s="4">
        <v>88.79</v>
      </c>
      <c r="D4780">
        <f t="shared" si="77"/>
        <v>1.7903834066624764</v>
      </c>
      <c r="E4780">
        <v>-3.0465167067045162E-2</v>
      </c>
    </row>
    <row r="4781" spans="2:5" x14ac:dyDescent="0.35">
      <c r="B4781" s="2">
        <v>38132</v>
      </c>
      <c r="C4781" s="4">
        <v>31.82</v>
      </c>
      <c r="D4781">
        <f t="shared" si="77"/>
        <v>-0.70029198455307529</v>
      </c>
      <c r="E4781">
        <v>-3.0469226081657474E-2</v>
      </c>
    </row>
    <row r="4782" spans="2:5" x14ac:dyDescent="0.35">
      <c r="B4782" s="2">
        <v>40213</v>
      </c>
      <c r="C4782" s="4">
        <v>106.17</v>
      </c>
      <c r="D4782">
        <f t="shared" si="77"/>
        <v>-0.24728819567529248</v>
      </c>
      <c r="E4782">
        <v>-3.0499497762761396E-2</v>
      </c>
    </row>
    <row r="4783" spans="2:5" x14ac:dyDescent="0.35">
      <c r="B4783" s="2">
        <v>41620</v>
      </c>
      <c r="C4783" s="4">
        <v>141.05000000000001</v>
      </c>
      <c r="D4783">
        <f t="shared" si="77"/>
        <v>-0.76899392390966115</v>
      </c>
      <c r="E4783">
        <v>-3.0517561344422295E-2</v>
      </c>
    </row>
    <row r="4784" spans="2:5" x14ac:dyDescent="0.35">
      <c r="B4784" s="2">
        <v>43706</v>
      </c>
      <c r="C4784" s="4">
        <v>610.59</v>
      </c>
      <c r="D4784">
        <f t="shared" si="77"/>
        <v>-0.43642354765464919</v>
      </c>
      <c r="E4784">
        <v>-3.0532533104696613E-2</v>
      </c>
    </row>
    <row r="4785" spans="2:5" x14ac:dyDescent="0.35">
      <c r="B4785" s="2">
        <v>43377</v>
      </c>
      <c r="C4785" s="4">
        <v>1083.42</v>
      </c>
      <c r="D4785">
        <f t="shared" si="77"/>
        <v>-0.61236377167309497</v>
      </c>
      <c r="E4785">
        <v>-3.0609414564748638E-2</v>
      </c>
    </row>
    <row r="4786" spans="2:5" x14ac:dyDescent="0.35">
      <c r="B4786" s="2">
        <v>44299</v>
      </c>
      <c r="C4786" s="4">
        <v>2794.94</v>
      </c>
      <c r="D4786">
        <f t="shared" si="77"/>
        <v>42.218493892067421</v>
      </c>
      <c r="E4786">
        <v>-3.0719398512928597E-2</v>
      </c>
    </row>
    <row r="4787" spans="2:5" x14ac:dyDescent="0.35">
      <c r="B4787" s="2">
        <v>38747</v>
      </c>
      <c r="C4787" s="4">
        <v>64.67</v>
      </c>
      <c r="D4787">
        <f t="shared" si="77"/>
        <v>9.6287506357009667E-2</v>
      </c>
      <c r="E4787">
        <v>-3.0725419664268561E-2</v>
      </c>
    </row>
    <row r="4788" spans="2:5" x14ac:dyDescent="0.35">
      <c r="B4788" s="2">
        <v>40032</v>
      </c>
      <c r="C4788" s="4">
        <v>58.99</v>
      </c>
      <c r="D4788">
        <f t="shared" si="77"/>
        <v>0.66968581941692618</v>
      </c>
      <c r="E4788">
        <v>-3.0726256983240163E-2</v>
      </c>
    </row>
    <row r="4789" spans="2:5" x14ac:dyDescent="0.35">
      <c r="B4789" s="2">
        <v>38175</v>
      </c>
      <c r="C4789" s="4">
        <v>35.33</v>
      </c>
      <c r="D4789">
        <f t="shared" si="77"/>
        <v>-0.96190876648230206</v>
      </c>
      <c r="E4789">
        <v>-3.0727023319616076E-2</v>
      </c>
    </row>
    <row r="4790" spans="2:5" x14ac:dyDescent="0.35">
      <c r="B4790" s="2">
        <v>43133</v>
      </c>
      <c r="C4790" s="4">
        <v>927.51</v>
      </c>
      <c r="D4790">
        <f t="shared" si="77"/>
        <v>28.185336689741973</v>
      </c>
      <c r="E4790">
        <v>-3.0794791949675049E-2</v>
      </c>
    </row>
    <row r="4791" spans="2:5" x14ac:dyDescent="0.35">
      <c r="B4791" s="2">
        <v>37517</v>
      </c>
      <c r="C4791" s="4">
        <v>31.78</v>
      </c>
      <c r="D4791">
        <f t="shared" si="77"/>
        <v>-0.94594778467556762</v>
      </c>
      <c r="E4791">
        <v>-3.0802073802988605E-2</v>
      </c>
    </row>
    <row r="4792" spans="2:5" x14ac:dyDescent="0.35">
      <c r="B4792" s="2">
        <v>42676</v>
      </c>
      <c r="C4792" s="4">
        <v>587.95000000000005</v>
      </c>
      <c r="D4792">
        <f t="shared" si="77"/>
        <v>8.0803088803088805</v>
      </c>
      <c r="E4792">
        <v>-3.0809046551496633E-2</v>
      </c>
    </row>
    <row r="4793" spans="2:5" x14ac:dyDescent="0.35">
      <c r="B4793" s="2">
        <v>38820</v>
      </c>
      <c r="C4793" s="4">
        <v>64.75</v>
      </c>
      <c r="D4793">
        <f t="shared" si="77"/>
        <v>-0.91319560816698619</v>
      </c>
      <c r="E4793">
        <v>-3.0833707528813092E-2</v>
      </c>
    </row>
    <row r="4794" spans="2:5" x14ac:dyDescent="0.35">
      <c r="B4794" s="2">
        <v>42576</v>
      </c>
      <c r="C4794" s="4">
        <v>745.93</v>
      </c>
      <c r="D4794">
        <f t="shared" si="77"/>
        <v>0.12503204983183269</v>
      </c>
      <c r="E4794">
        <v>-3.0894752569149531E-2</v>
      </c>
    </row>
    <row r="4795" spans="2:5" x14ac:dyDescent="0.35">
      <c r="B4795" s="2">
        <v>42781</v>
      </c>
      <c r="C4795" s="4">
        <v>663.03</v>
      </c>
      <c r="D4795">
        <f t="shared" si="77"/>
        <v>6.3449651046859419</v>
      </c>
      <c r="E4795">
        <v>-3.0898753233845389E-2</v>
      </c>
    </row>
    <row r="4796" spans="2:5" x14ac:dyDescent="0.35">
      <c r="B4796" s="2">
        <v>40962</v>
      </c>
      <c r="C4796" s="4">
        <v>90.27</v>
      </c>
      <c r="D4796">
        <f t="shared" si="77"/>
        <v>-0.98739986683807424</v>
      </c>
      <c r="E4796">
        <v>-3.0917874396135359E-2</v>
      </c>
    </row>
    <row r="4797" spans="2:5" x14ac:dyDescent="0.35">
      <c r="B4797" s="2">
        <v>44582</v>
      </c>
      <c r="C4797" s="4">
        <v>7164.21</v>
      </c>
      <c r="D4797">
        <f t="shared" si="77"/>
        <v>7.8679135515175513</v>
      </c>
      <c r="E4797">
        <v>-3.0920625473433661E-2</v>
      </c>
    </row>
    <row r="4798" spans="2:5" x14ac:dyDescent="0.35">
      <c r="B4798" s="2">
        <v>42313</v>
      </c>
      <c r="C4798" s="4">
        <v>807.88</v>
      </c>
      <c r="D4798">
        <f t="shared" si="77"/>
        <v>0.22394933793897542</v>
      </c>
      <c r="E4798">
        <v>-3.0923877839886704E-2</v>
      </c>
    </row>
    <row r="4799" spans="2:5" x14ac:dyDescent="0.35">
      <c r="B4799" s="2">
        <v>43668</v>
      </c>
      <c r="C4799" s="4">
        <v>660.06</v>
      </c>
      <c r="D4799">
        <f t="shared" si="77"/>
        <v>-0.8961902125705371</v>
      </c>
      <c r="E4799">
        <v>-3.0948116393105685E-2</v>
      </c>
    </row>
    <row r="4800" spans="2:5" x14ac:dyDescent="0.35">
      <c r="B4800" s="2">
        <v>44518</v>
      </c>
      <c r="C4800" s="4">
        <v>6358.36</v>
      </c>
      <c r="D4800">
        <f t="shared" si="77"/>
        <v>-0.17545970900225638</v>
      </c>
      <c r="E4800">
        <v>-3.0985967008449133E-2</v>
      </c>
    </row>
    <row r="4801" spans="2:5" x14ac:dyDescent="0.35">
      <c r="B4801" s="2">
        <v>44755</v>
      </c>
      <c r="C4801" s="4">
        <v>7711.4</v>
      </c>
      <c r="D4801">
        <f t="shared" si="77"/>
        <v>96.823163770138265</v>
      </c>
      <c r="E4801">
        <v>-3.0987685348077498E-2</v>
      </c>
    </row>
    <row r="4802" spans="2:5" x14ac:dyDescent="0.35">
      <c r="B4802" s="2">
        <v>41520</v>
      </c>
      <c r="C4802" s="4">
        <v>78.83</v>
      </c>
      <c r="D4802">
        <f t="shared" si="77"/>
        <v>-0.71698858332734972</v>
      </c>
      <c r="E4802">
        <v>-3.1096361848574228E-2</v>
      </c>
    </row>
    <row r="4803" spans="2:5" x14ac:dyDescent="0.35">
      <c r="B4803" s="2">
        <v>41978</v>
      </c>
      <c r="C4803" s="4">
        <v>278.54000000000002</v>
      </c>
      <c r="D4803">
        <f t="shared" si="77"/>
        <v>1.9902308105206656</v>
      </c>
      <c r="E4803">
        <v>-3.1131517618004034E-2</v>
      </c>
    </row>
    <row r="4804" spans="2:5" x14ac:dyDescent="0.35">
      <c r="B4804" s="2">
        <v>40961</v>
      </c>
      <c r="C4804" s="4">
        <v>93.15</v>
      </c>
      <c r="D4804">
        <f t="shared" ref="D4804:D4867" si="78">C4804/C4805-1</f>
        <v>-0.98840808037064276</v>
      </c>
      <c r="E4804">
        <v>-3.120124804992197E-2</v>
      </c>
    </row>
    <row r="4805" spans="2:5" x14ac:dyDescent="0.35">
      <c r="B4805" s="2">
        <v>44711</v>
      </c>
      <c r="C4805" s="4">
        <v>8035.77</v>
      </c>
      <c r="D4805">
        <f t="shared" si="78"/>
        <v>86.468923478828785</v>
      </c>
      <c r="E4805">
        <v>-3.1210479043720873E-2</v>
      </c>
    </row>
    <row r="4806" spans="2:5" x14ac:dyDescent="0.35">
      <c r="B4806" s="2">
        <v>40858</v>
      </c>
      <c r="C4806" s="4">
        <v>91.87</v>
      </c>
      <c r="D4806">
        <f t="shared" si="78"/>
        <v>-7.9827724358974339E-2</v>
      </c>
      <c r="E4806">
        <v>-3.1213750922703731E-2</v>
      </c>
    </row>
    <row r="4807" spans="2:5" x14ac:dyDescent="0.35">
      <c r="B4807" s="2">
        <v>40709</v>
      </c>
      <c r="C4807" s="4">
        <v>99.84</v>
      </c>
      <c r="D4807">
        <f t="shared" si="78"/>
        <v>3.517941501658628E-3</v>
      </c>
      <c r="E4807">
        <v>-3.1337925681575562E-2</v>
      </c>
    </row>
    <row r="4808" spans="2:5" x14ac:dyDescent="0.35">
      <c r="B4808" s="2">
        <v>41250</v>
      </c>
      <c r="C4808" s="4">
        <v>99.49</v>
      </c>
      <c r="D4808">
        <f t="shared" si="78"/>
        <v>-0.8954497688104246</v>
      </c>
      <c r="E4808">
        <v>-3.1350404050238478E-2</v>
      </c>
    </row>
    <row r="4809" spans="2:5" x14ac:dyDescent="0.35">
      <c r="B4809" s="2">
        <v>43440</v>
      </c>
      <c r="C4809" s="4">
        <v>951.6</v>
      </c>
      <c r="D4809">
        <f t="shared" si="78"/>
        <v>1.4812681959241125E-2</v>
      </c>
      <c r="E4809">
        <v>-3.1371511166303545E-2</v>
      </c>
    </row>
    <row r="4810" spans="2:5" x14ac:dyDescent="0.35">
      <c r="B4810" s="2">
        <v>43416</v>
      </c>
      <c r="C4810" s="4">
        <v>937.71</v>
      </c>
      <c r="D4810">
        <f t="shared" si="78"/>
        <v>34.41200906344411</v>
      </c>
      <c r="E4810">
        <v>-3.1401390337874813E-2</v>
      </c>
    </row>
    <row r="4811" spans="2:5" x14ac:dyDescent="0.35">
      <c r="B4811" s="2">
        <v>37811</v>
      </c>
      <c r="C4811" s="4">
        <v>26.48</v>
      </c>
      <c r="D4811">
        <f t="shared" si="78"/>
        <v>-0.56468847608088113</v>
      </c>
      <c r="E4811">
        <v>-3.1455742501828809E-2</v>
      </c>
    </row>
    <row r="4812" spans="2:5" x14ac:dyDescent="0.35">
      <c r="B4812" s="2">
        <v>38932</v>
      </c>
      <c r="C4812" s="4">
        <v>60.83</v>
      </c>
      <c r="D4812">
        <f t="shared" si="78"/>
        <v>1.2604979561501302</v>
      </c>
      <c r="E4812">
        <v>-3.1523642732049106E-2</v>
      </c>
    </row>
    <row r="4813" spans="2:5" x14ac:dyDescent="0.35">
      <c r="B4813" s="2">
        <v>37557</v>
      </c>
      <c r="C4813" s="4">
        <v>26.91</v>
      </c>
      <c r="D4813">
        <f t="shared" si="78"/>
        <v>-0.72027027027027035</v>
      </c>
      <c r="E4813">
        <v>-3.1666066930550518E-2</v>
      </c>
    </row>
    <row r="4814" spans="2:5" x14ac:dyDescent="0.35">
      <c r="B4814" s="2">
        <v>40420</v>
      </c>
      <c r="C4814" s="4">
        <v>96.2</v>
      </c>
      <c r="D4814">
        <f t="shared" si="78"/>
        <v>0.3077759651984775</v>
      </c>
      <c r="E4814">
        <v>-3.1706089582284713E-2</v>
      </c>
    </row>
    <row r="4815" spans="2:5" x14ac:dyDescent="0.35">
      <c r="B4815" s="2">
        <v>38616</v>
      </c>
      <c r="C4815" s="4">
        <v>73.56</v>
      </c>
      <c r="D4815">
        <f t="shared" si="78"/>
        <v>0.93528018942383606</v>
      </c>
      <c r="E4815">
        <v>-3.1723048571804635E-2</v>
      </c>
    </row>
    <row r="4816" spans="2:5" x14ac:dyDescent="0.35">
      <c r="B4816" s="2">
        <v>39736</v>
      </c>
      <c r="C4816" s="4">
        <v>38.01</v>
      </c>
      <c r="D4816">
        <f t="shared" si="78"/>
        <v>-0.9959343245266874</v>
      </c>
      <c r="E4816">
        <v>-3.1839021905247122E-2</v>
      </c>
    </row>
    <row r="4817" spans="2:5" x14ac:dyDescent="0.35">
      <c r="B4817" s="2">
        <v>44799</v>
      </c>
      <c r="C4817" s="4">
        <v>9349</v>
      </c>
      <c r="D4817">
        <f t="shared" si="78"/>
        <v>80.168605660704984</v>
      </c>
      <c r="E4817">
        <v>-3.1853861607605172E-2</v>
      </c>
    </row>
    <row r="4818" spans="2:5" x14ac:dyDescent="0.35">
      <c r="B4818" s="2">
        <v>40478</v>
      </c>
      <c r="C4818" s="4">
        <v>115.18</v>
      </c>
      <c r="D4818">
        <f t="shared" si="78"/>
        <v>0.36956004756242589</v>
      </c>
      <c r="E4818">
        <v>-3.1856770614440588E-2</v>
      </c>
    </row>
    <row r="4819" spans="2:5" x14ac:dyDescent="0.35">
      <c r="B4819" s="2">
        <v>41386</v>
      </c>
      <c r="C4819" s="4">
        <v>84.1</v>
      </c>
      <c r="D4819">
        <f t="shared" si="78"/>
        <v>-2.0954598370198085E-2</v>
      </c>
      <c r="E4819">
        <v>-3.1886727293657269E-2</v>
      </c>
    </row>
    <row r="4820" spans="2:5" x14ac:dyDescent="0.35">
      <c r="B4820" s="2">
        <v>40966</v>
      </c>
      <c r="C4820" s="4">
        <v>85.9</v>
      </c>
      <c r="D4820">
        <f t="shared" si="78"/>
        <v>-0.68158060570115286</v>
      </c>
      <c r="E4820">
        <v>-3.2003606040117094E-2</v>
      </c>
    </row>
    <row r="4821" spans="2:5" x14ac:dyDescent="0.35">
      <c r="B4821" s="2">
        <v>41928</v>
      </c>
      <c r="C4821" s="4">
        <v>269.77</v>
      </c>
      <c r="D4821">
        <f t="shared" si="78"/>
        <v>-0.65910153535098259</v>
      </c>
      <c r="E4821">
        <v>-3.2111079219288352E-2</v>
      </c>
    </row>
    <row r="4822" spans="2:5" x14ac:dyDescent="0.35">
      <c r="B4822" s="2">
        <v>43825</v>
      </c>
      <c r="C4822" s="4">
        <v>791.35</v>
      </c>
      <c r="D4822">
        <f t="shared" si="78"/>
        <v>6.3016239158516338</v>
      </c>
      <c r="E4822">
        <v>-3.2129840268095178E-2</v>
      </c>
    </row>
    <row r="4823" spans="2:5" x14ac:dyDescent="0.35">
      <c r="B4823" s="2">
        <v>40305</v>
      </c>
      <c r="C4823" s="4">
        <v>108.38</v>
      </c>
      <c r="D4823">
        <f t="shared" si="78"/>
        <v>-0.12448501494466446</v>
      </c>
      <c r="E4823">
        <v>-3.2148597963922221E-2</v>
      </c>
    </row>
    <row r="4824" spans="2:5" x14ac:dyDescent="0.35">
      <c r="B4824" s="2">
        <v>40548</v>
      </c>
      <c r="C4824" s="4">
        <v>123.79</v>
      </c>
      <c r="D4824">
        <f t="shared" si="78"/>
        <v>2.0170606873019743</v>
      </c>
      <c r="E4824">
        <v>-3.2285803627266962E-2</v>
      </c>
    </row>
    <row r="4825" spans="2:5" x14ac:dyDescent="0.35">
      <c r="B4825" s="2">
        <v>37446</v>
      </c>
      <c r="C4825" s="4">
        <v>41.03</v>
      </c>
      <c r="D4825">
        <f t="shared" si="78"/>
        <v>0.38568051334008779</v>
      </c>
      <c r="E4825">
        <v>-3.2311320754716877E-2</v>
      </c>
    </row>
    <row r="4826" spans="2:5" x14ac:dyDescent="0.35">
      <c r="B4826" s="2">
        <v>37529</v>
      </c>
      <c r="C4826" s="4">
        <v>29.61</v>
      </c>
      <c r="D4826">
        <f t="shared" si="78"/>
        <v>6.5491183879093251E-2</v>
      </c>
      <c r="E4826">
        <v>-3.2352941176470695E-2</v>
      </c>
    </row>
    <row r="4827" spans="2:5" x14ac:dyDescent="0.35">
      <c r="B4827" s="2">
        <v>37554</v>
      </c>
      <c r="C4827" s="4">
        <v>27.79</v>
      </c>
      <c r="D4827">
        <f t="shared" si="78"/>
        <v>-0.6542242130148066</v>
      </c>
      <c r="E4827">
        <v>-3.2381615598885749E-2</v>
      </c>
    </row>
    <row r="4828" spans="2:5" x14ac:dyDescent="0.35">
      <c r="B4828" s="2">
        <v>40889</v>
      </c>
      <c r="C4828" s="4">
        <v>80.37</v>
      </c>
      <c r="D4828">
        <f t="shared" si="78"/>
        <v>-0.91104199411152675</v>
      </c>
      <c r="E4828">
        <v>-3.2386226823982622E-2</v>
      </c>
    </row>
    <row r="4829" spans="2:5" x14ac:dyDescent="0.35">
      <c r="B4829" s="2">
        <v>43888</v>
      </c>
      <c r="C4829" s="4">
        <v>903.46</v>
      </c>
      <c r="D4829">
        <f t="shared" si="78"/>
        <v>17.333198051948052</v>
      </c>
      <c r="E4829">
        <v>-3.2439089692101741E-2</v>
      </c>
    </row>
    <row r="4830" spans="2:5" x14ac:dyDescent="0.35">
      <c r="B4830" s="2">
        <v>38331</v>
      </c>
      <c r="C4830" s="4">
        <v>49.28</v>
      </c>
      <c r="D4830">
        <f t="shared" si="78"/>
        <v>-0.37094715343375029</v>
      </c>
      <c r="E4830">
        <v>-3.2587357675696871E-2</v>
      </c>
    </row>
    <row r="4831" spans="2:5" x14ac:dyDescent="0.35">
      <c r="B4831" s="2">
        <v>41428</v>
      </c>
      <c r="C4831" s="4">
        <v>78.34</v>
      </c>
      <c r="D4831">
        <f t="shared" si="78"/>
        <v>-0.11878515185601801</v>
      </c>
      <c r="E4831">
        <v>-3.2600642133860269E-2</v>
      </c>
    </row>
    <row r="4832" spans="2:5" x14ac:dyDescent="0.35">
      <c r="B4832" s="2">
        <v>39070</v>
      </c>
      <c r="C4832" s="4">
        <v>88.9</v>
      </c>
      <c r="D4832">
        <f t="shared" si="78"/>
        <v>-0.85012475554656408</v>
      </c>
      <c r="E4832">
        <v>-3.2644178454842243E-2</v>
      </c>
    </row>
    <row r="4833" spans="2:5" x14ac:dyDescent="0.35">
      <c r="B4833" s="2">
        <v>43690</v>
      </c>
      <c r="C4833" s="4">
        <v>593.16</v>
      </c>
      <c r="D4833">
        <f t="shared" si="78"/>
        <v>4.8324483775811204</v>
      </c>
      <c r="E4833">
        <v>-3.2696792289753973E-2</v>
      </c>
    </row>
    <row r="4834" spans="2:5" x14ac:dyDescent="0.35">
      <c r="B4834" s="2">
        <v>40592</v>
      </c>
      <c r="C4834" s="4">
        <v>101.7</v>
      </c>
      <c r="D4834">
        <f t="shared" si="78"/>
        <v>4.5650832819247311E-2</v>
      </c>
      <c r="E4834">
        <v>-3.2718280388054022E-2</v>
      </c>
    </row>
    <row r="4835" spans="2:5" x14ac:dyDescent="0.35">
      <c r="B4835" s="2">
        <v>41201</v>
      </c>
      <c r="C4835" s="4">
        <v>97.26</v>
      </c>
      <c r="D4835">
        <f t="shared" si="78"/>
        <v>2.6577660774727345</v>
      </c>
      <c r="E4835">
        <v>-3.2720039781203303E-2</v>
      </c>
    </row>
    <row r="4836" spans="2:5" x14ac:dyDescent="0.35">
      <c r="B4836" s="2">
        <v>38061</v>
      </c>
      <c r="C4836" s="4">
        <v>26.59</v>
      </c>
      <c r="D4836">
        <f t="shared" si="78"/>
        <v>-0.9547873697097482</v>
      </c>
      <c r="E4836">
        <v>-3.2739177882866399E-2</v>
      </c>
    </row>
    <row r="4837" spans="2:5" x14ac:dyDescent="0.35">
      <c r="B4837" s="2">
        <v>42669</v>
      </c>
      <c r="C4837" s="4">
        <v>588.11</v>
      </c>
      <c r="D4837">
        <f t="shared" si="78"/>
        <v>3.8241325568041997</v>
      </c>
      <c r="E4837">
        <v>-3.2793355809555003E-2</v>
      </c>
    </row>
    <row r="4838" spans="2:5" x14ac:dyDescent="0.35">
      <c r="B4838" s="2">
        <v>40296</v>
      </c>
      <c r="C4838" s="4">
        <v>121.91</v>
      </c>
      <c r="D4838">
        <f t="shared" si="78"/>
        <v>-0.85664224649866538</v>
      </c>
      <c r="E4838">
        <v>-3.284410948036498E-2</v>
      </c>
    </row>
    <row r="4839" spans="2:5" x14ac:dyDescent="0.35">
      <c r="B4839" s="2">
        <v>42285</v>
      </c>
      <c r="C4839" s="4">
        <v>850.39</v>
      </c>
      <c r="D4839">
        <f t="shared" si="78"/>
        <v>28.192928252660487</v>
      </c>
      <c r="E4839">
        <v>-3.286742712870605E-2</v>
      </c>
    </row>
    <row r="4840" spans="2:5" x14ac:dyDescent="0.35">
      <c r="B4840" s="2">
        <v>38040</v>
      </c>
      <c r="C4840" s="4">
        <v>29.13</v>
      </c>
      <c r="D4840">
        <f t="shared" si="78"/>
        <v>-0.70208631622008588</v>
      </c>
      <c r="E4840">
        <v>-3.2868525896414424E-2</v>
      </c>
    </row>
    <row r="4841" spans="2:5" x14ac:dyDescent="0.35">
      <c r="B4841" s="2">
        <v>41187</v>
      </c>
      <c r="C4841" s="4">
        <v>97.78</v>
      </c>
      <c r="D4841">
        <f t="shared" si="78"/>
        <v>5.1058798237127778E-2</v>
      </c>
      <c r="E4841">
        <v>-3.2934427850855541E-2</v>
      </c>
    </row>
    <row r="4842" spans="2:5" x14ac:dyDescent="0.35">
      <c r="B4842" s="2">
        <v>40421</v>
      </c>
      <c r="C4842" s="4">
        <v>93.03</v>
      </c>
      <c r="D4842">
        <f t="shared" si="78"/>
        <v>2.377022119511385E-2</v>
      </c>
      <c r="E4842">
        <v>-3.295218295218294E-2</v>
      </c>
    </row>
    <row r="4843" spans="2:5" x14ac:dyDescent="0.35">
      <c r="B4843" s="2">
        <v>39465</v>
      </c>
      <c r="C4843" s="4">
        <v>90.87</v>
      </c>
      <c r="D4843">
        <f t="shared" si="78"/>
        <v>1.8985645933014355</v>
      </c>
      <c r="E4843">
        <v>-3.2989251888900673E-2</v>
      </c>
    </row>
    <row r="4844" spans="2:5" x14ac:dyDescent="0.35">
      <c r="B4844" s="2">
        <v>38161</v>
      </c>
      <c r="C4844" s="4">
        <v>31.35</v>
      </c>
      <c r="D4844">
        <f t="shared" si="78"/>
        <v>-0.96572159594126206</v>
      </c>
      <c r="E4844">
        <v>-3.300431832202344E-2</v>
      </c>
    </row>
    <row r="4845" spans="2:5" x14ac:dyDescent="0.35">
      <c r="B4845" s="2">
        <v>43178</v>
      </c>
      <c r="C4845" s="4">
        <v>914.57</v>
      </c>
      <c r="D4845">
        <f t="shared" si="78"/>
        <v>-0.83878433833483756</v>
      </c>
      <c r="E4845">
        <v>-3.3132116163271275E-2</v>
      </c>
    </row>
    <row r="4846" spans="2:5" x14ac:dyDescent="0.35">
      <c r="B4846" s="2">
        <v>44536</v>
      </c>
      <c r="C4846" s="4">
        <v>5672.96</v>
      </c>
      <c r="D4846">
        <f t="shared" si="78"/>
        <v>4.9571143547201517</v>
      </c>
      <c r="E4846">
        <v>-3.3134095855553602E-2</v>
      </c>
    </row>
    <row r="4847" spans="2:5" x14ac:dyDescent="0.35">
      <c r="B4847" s="2">
        <v>42404</v>
      </c>
      <c r="C4847" s="4">
        <v>952.3</v>
      </c>
      <c r="D4847">
        <f t="shared" si="78"/>
        <v>10.336904761904762</v>
      </c>
      <c r="E4847">
        <v>-3.313907446138864E-2</v>
      </c>
    </row>
    <row r="4848" spans="2:5" x14ac:dyDescent="0.35">
      <c r="B4848" s="2">
        <v>39062</v>
      </c>
      <c r="C4848" s="4">
        <v>84</v>
      </c>
      <c r="D4848">
        <f t="shared" si="78"/>
        <v>-8.546543277082197E-2</v>
      </c>
      <c r="E4848">
        <v>-3.3149171270718147E-2</v>
      </c>
    </row>
    <row r="4849" spans="2:5" x14ac:dyDescent="0.35">
      <c r="B4849" s="2">
        <v>39433</v>
      </c>
      <c r="C4849" s="4">
        <v>91.85</v>
      </c>
      <c r="D4849">
        <f t="shared" si="78"/>
        <v>-0.90402098267466402</v>
      </c>
      <c r="E4849">
        <v>-3.3157894736842164E-2</v>
      </c>
    </row>
    <row r="4850" spans="2:5" x14ac:dyDescent="0.35">
      <c r="B4850" s="2">
        <v>43132</v>
      </c>
      <c r="C4850" s="4">
        <v>956.98</v>
      </c>
      <c r="D4850">
        <f t="shared" si="78"/>
        <v>38.220491803278691</v>
      </c>
      <c r="E4850">
        <v>-3.3207051573470703E-2</v>
      </c>
    </row>
    <row r="4851" spans="2:5" x14ac:dyDescent="0.35">
      <c r="B4851" s="2">
        <v>37823</v>
      </c>
      <c r="C4851" s="4">
        <v>24.4</v>
      </c>
      <c r="D4851">
        <f t="shared" si="78"/>
        <v>-0.66330895542983304</v>
      </c>
      <c r="E4851">
        <v>-3.3280507131537185E-2</v>
      </c>
    </row>
    <row r="4852" spans="2:5" x14ac:dyDescent="0.35">
      <c r="B4852" s="2">
        <v>38706</v>
      </c>
      <c r="C4852" s="4">
        <v>72.47</v>
      </c>
      <c r="D4852">
        <f t="shared" si="78"/>
        <v>1.2175642594859242</v>
      </c>
      <c r="E4852">
        <v>-3.3346672002134148E-2</v>
      </c>
    </row>
    <row r="4853" spans="2:5" x14ac:dyDescent="0.35">
      <c r="B4853" s="2">
        <v>39826</v>
      </c>
      <c r="C4853" s="4">
        <v>32.68</v>
      </c>
      <c r="D4853">
        <f t="shared" si="78"/>
        <v>-0.95980319803198033</v>
      </c>
      <c r="E4853">
        <v>-3.3422064477965141E-2</v>
      </c>
    </row>
    <row r="4854" spans="2:5" x14ac:dyDescent="0.35">
      <c r="B4854" s="2">
        <v>42318</v>
      </c>
      <c r="C4854" s="4">
        <v>813</v>
      </c>
      <c r="D4854">
        <f t="shared" si="78"/>
        <v>9.1815904821540393</v>
      </c>
      <c r="E4854">
        <v>-3.3454597332192026E-2</v>
      </c>
    </row>
    <row r="4855" spans="2:5" x14ac:dyDescent="0.35">
      <c r="B4855" s="2">
        <v>40773</v>
      </c>
      <c r="C4855" s="4">
        <v>79.849999999999994</v>
      </c>
      <c r="D4855">
        <f t="shared" si="78"/>
        <v>0.40063146816347994</v>
      </c>
      <c r="E4855">
        <v>-3.3526991043331011E-2</v>
      </c>
    </row>
    <row r="4856" spans="2:5" x14ac:dyDescent="0.35">
      <c r="B4856" s="2">
        <v>38915</v>
      </c>
      <c r="C4856" s="4">
        <v>57.01</v>
      </c>
      <c r="D4856">
        <f t="shared" si="78"/>
        <v>-0.31205502594425005</v>
      </c>
      <c r="E4856">
        <v>-3.3565011018816815E-2</v>
      </c>
    </row>
    <row r="4857" spans="2:5" x14ac:dyDescent="0.35">
      <c r="B4857" s="2">
        <v>40990</v>
      </c>
      <c r="C4857" s="4">
        <v>82.87</v>
      </c>
      <c r="D4857">
        <f t="shared" si="78"/>
        <v>0.1794762311414746</v>
      </c>
      <c r="E4857">
        <v>-3.3586005830903765E-2</v>
      </c>
    </row>
    <row r="4858" spans="2:5" x14ac:dyDescent="0.35">
      <c r="B4858" s="2">
        <v>38547</v>
      </c>
      <c r="C4858" s="4">
        <v>70.260000000000005</v>
      </c>
      <c r="D4858">
        <f t="shared" si="78"/>
        <v>-0.36179489508583884</v>
      </c>
      <c r="E4858">
        <v>-3.3695502681886813E-2</v>
      </c>
    </row>
    <row r="4859" spans="2:5" x14ac:dyDescent="0.35">
      <c r="B4859" s="2">
        <v>40515</v>
      </c>
      <c r="C4859" s="4">
        <v>110.09</v>
      </c>
      <c r="D4859">
        <f t="shared" si="78"/>
        <v>3.3223838573439801E-2</v>
      </c>
      <c r="E4859">
        <v>-3.3704906521548339E-2</v>
      </c>
    </row>
    <row r="4860" spans="2:5" x14ac:dyDescent="0.35">
      <c r="B4860" s="2">
        <v>40520</v>
      </c>
      <c r="C4860" s="4">
        <v>106.55</v>
      </c>
      <c r="D4860">
        <f t="shared" si="78"/>
        <v>0.46601541001651059</v>
      </c>
      <c r="E4860">
        <v>-3.3735376802394135E-2</v>
      </c>
    </row>
    <row r="4861" spans="2:5" x14ac:dyDescent="0.35">
      <c r="B4861" s="2">
        <v>40896</v>
      </c>
      <c r="C4861" s="4">
        <v>72.680000000000007</v>
      </c>
      <c r="D4861">
        <f t="shared" si="78"/>
        <v>0.37547312641937935</v>
      </c>
      <c r="E4861">
        <v>-3.3767614996011552E-2</v>
      </c>
    </row>
    <row r="4862" spans="2:5" x14ac:dyDescent="0.35">
      <c r="B4862" s="2">
        <v>38295</v>
      </c>
      <c r="C4862" s="4">
        <v>52.84</v>
      </c>
      <c r="D4862">
        <f t="shared" si="78"/>
        <v>-5.8949243098842308E-2</v>
      </c>
      <c r="E4862">
        <v>-3.3827025050283344E-2</v>
      </c>
    </row>
    <row r="4863" spans="2:5" x14ac:dyDescent="0.35">
      <c r="B4863" s="2">
        <v>38427</v>
      </c>
      <c r="C4863" s="4">
        <v>56.15</v>
      </c>
      <c r="D4863">
        <f t="shared" si="78"/>
        <v>-0.9770864024223529</v>
      </c>
      <c r="E4863">
        <v>-3.3895388850653796E-2</v>
      </c>
    </row>
    <row r="4864" spans="2:5" x14ac:dyDescent="0.35">
      <c r="B4864" s="2">
        <v>44221</v>
      </c>
      <c r="C4864" s="4">
        <v>2450.5100000000002</v>
      </c>
      <c r="D4864">
        <f t="shared" si="78"/>
        <v>95.973090621290083</v>
      </c>
      <c r="E4864">
        <v>-3.3946748034786367E-2</v>
      </c>
    </row>
    <row r="4865" spans="2:5" x14ac:dyDescent="0.35">
      <c r="B4865" s="2">
        <v>38064</v>
      </c>
      <c r="C4865" s="4">
        <v>25.27</v>
      </c>
      <c r="D4865">
        <f t="shared" si="78"/>
        <v>-0.94702972372447913</v>
      </c>
      <c r="E4865">
        <v>-3.4021406727828718E-2</v>
      </c>
    </row>
    <row r="4866" spans="2:5" x14ac:dyDescent="0.35">
      <c r="B4866" s="2">
        <v>42695</v>
      </c>
      <c r="C4866" s="4">
        <v>477.06</v>
      </c>
      <c r="D4866">
        <f t="shared" si="78"/>
        <v>3.8412827278262629</v>
      </c>
      <c r="E4866">
        <v>-3.4095970844300383E-2</v>
      </c>
    </row>
    <row r="4867" spans="2:5" x14ac:dyDescent="0.35">
      <c r="B4867" s="2">
        <v>39169</v>
      </c>
      <c r="C4867" s="4">
        <v>98.54</v>
      </c>
      <c r="D4867">
        <f t="shared" si="78"/>
        <v>-0.39022277227722768</v>
      </c>
      <c r="E4867">
        <v>-3.4110958635561572E-2</v>
      </c>
    </row>
    <row r="4868" spans="2:5" x14ac:dyDescent="0.35">
      <c r="B4868" s="2">
        <v>41663</v>
      </c>
      <c r="C4868" s="4">
        <v>161.6</v>
      </c>
      <c r="D4868">
        <f t="shared" ref="D4868:D4931" si="79">C4868/C4869-1</f>
        <v>4.0092994420334778</v>
      </c>
      <c r="E4868">
        <v>-3.4128264897495764E-2</v>
      </c>
    </row>
    <row r="4869" spans="2:5" x14ac:dyDescent="0.35">
      <c r="B4869" s="2">
        <v>37505</v>
      </c>
      <c r="C4869" s="4">
        <v>32.26</v>
      </c>
      <c r="D4869">
        <f t="shared" si="79"/>
        <v>0.25623052959501558</v>
      </c>
      <c r="E4869">
        <v>-3.4131736526946121E-2</v>
      </c>
    </row>
    <row r="4870" spans="2:5" x14ac:dyDescent="0.35">
      <c r="B4870" s="2">
        <v>38062</v>
      </c>
      <c r="C4870" s="4">
        <v>25.68</v>
      </c>
      <c r="D4870">
        <f t="shared" si="79"/>
        <v>-0.5130830489192264</v>
      </c>
      <c r="E4870">
        <v>-3.4223392252726637E-2</v>
      </c>
    </row>
    <row r="4871" spans="2:5" x14ac:dyDescent="0.35">
      <c r="B4871" s="2">
        <v>38919</v>
      </c>
      <c r="C4871" s="4">
        <v>52.74</v>
      </c>
      <c r="D4871">
        <f t="shared" si="79"/>
        <v>1.0821160679036717</v>
      </c>
      <c r="E4871">
        <v>-3.4242812671671841E-2</v>
      </c>
    </row>
    <row r="4872" spans="2:5" x14ac:dyDescent="0.35">
      <c r="B4872" s="2">
        <v>37645</v>
      </c>
      <c r="C4872" s="4">
        <v>25.33</v>
      </c>
      <c r="D4872">
        <f t="shared" si="79"/>
        <v>-0.95758468829015897</v>
      </c>
      <c r="E4872">
        <v>-3.4311856652687878E-2</v>
      </c>
    </row>
    <row r="4873" spans="2:5" x14ac:dyDescent="0.35">
      <c r="B4873" s="2">
        <v>43678</v>
      </c>
      <c r="C4873" s="4">
        <v>597.19000000000005</v>
      </c>
      <c r="D4873">
        <f t="shared" si="79"/>
        <v>-0.19402118901410348</v>
      </c>
      <c r="E4873">
        <v>-3.4313804757361455E-2</v>
      </c>
    </row>
    <row r="4874" spans="2:5" x14ac:dyDescent="0.35">
      <c r="B4874" s="2">
        <v>42213</v>
      </c>
      <c r="C4874" s="4">
        <v>740.95</v>
      </c>
      <c r="D4874">
        <f t="shared" si="79"/>
        <v>6.1183591123066581</v>
      </c>
      <c r="E4874">
        <v>-3.431602544051704E-2</v>
      </c>
    </row>
    <row r="4875" spans="2:5" x14ac:dyDescent="0.35">
      <c r="B4875" s="2">
        <v>39454</v>
      </c>
      <c r="C4875" s="4">
        <v>104.09</v>
      </c>
      <c r="D4875">
        <f t="shared" si="79"/>
        <v>2.8723958333333335</v>
      </c>
      <c r="E4875">
        <v>-3.4415584415584344E-2</v>
      </c>
    </row>
    <row r="4876" spans="2:5" x14ac:dyDescent="0.35">
      <c r="B4876" s="2">
        <v>37916</v>
      </c>
      <c r="C4876" s="4">
        <v>26.88</v>
      </c>
      <c r="D4876">
        <f t="shared" si="79"/>
        <v>-0.99725397652395109</v>
      </c>
      <c r="E4876">
        <v>-3.4482758620689724E-2</v>
      </c>
    </row>
    <row r="4877" spans="2:5" x14ac:dyDescent="0.35">
      <c r="B4877" s="2">
        <v>44795</v>
      </c>
      <c r="C4877" s="4">
        <v>9788.7000000000007</v>
      </c>
      <c r="D4877">
        <f t="shared" si="79"/>
        <v>10.143023017553446</v>
      </c>
      <c r="E4877">
        <v>-3.452595241030687E-2</v>
      </c>
    </row>
    <row r="4878" spans="2:5" x14ac:dyDescent="0.35">
      <c r="B4878" s="2">
        <v>43489</v>
      </c>
      <c r="C4878" s="4">
        <v>878.46</v>
      </c>
      <c r="D4878">
        <f t="shared" si="79"/>
        <v>-0.89500444622931064</v>
      </c>
      <c r="E4878">
        <v>-3.4648732403652738E-2</v>
      </c>
    </row>
    <row r="4879" spans="2:5" x14ac:dyDescent="0.35">
      <c r="B4879" s="2">
        <v>44663</v>
      </c>
      <c r="C4879" s="4">
        <v>8366.64</v>
      </c>
      <c r="D4879">
        <f t="shared" si="79"/>
        <v>-3.9117976398977961E-2</v>
      </c>
      <c r="E4879">
        <v>-3.4656703984419224E-2</v>
      </c>
    </row>
    <row r="4880" spans="2:5" x14ac:dyDescent="0.35">
      <c r="B4880" s="2">
        <v>44806</v>
      </c>
      <c r="C4880" s="4">
        <v>8707.25</v>
      </c>
      <c r="D4880">
        <f t="shared" si="79"/>
        <v>300.08056708160439</v>
      </c>
      <c r="E4880">
        <v>-3.4705054155626636E-2</v>
      </c>
    </row>
    <row r="4881" spans="2:5" x14ac:dyDescent="0.35">
      <c r="B4881" s="2">
        <v>37467</v>
      </c>
      <c r="C4881" s="4">
        <v>28.92</v>
      </c>
      <c r="D4881">
        <f t="shared" si="79"/>
        <v>-0.50198036852075079</v>
      </c>
      <c r="E4881">
        <v>-3.471295060080104E-2</v>
      </c>
    </row>
    <row r="4882" spans="2:5" x14ac:dyDescent="0.35">
      <c r="B4882" s="2">
        <v>38896</v>
      </c>
      <c r="C4882" s="4">
        <v>58.07</v>
      </c>
      <c r="D4882">
        <f t="shared" si="79"/>
        <v>-0.90151283877751776</v>
      </c>
      <c r="E4882">
        <v>-3.4740691489361653E-2</v>
      </c>
    </row>
    <row r="4883" spans="2:5" x14ac:dyDescent="0.35">
      <c r="B4883" s="2">
        <v>43922</v>
      </c>
      <c r="C4883" s="4">
        <v>589.62</v>
      </c>
      <c r="D4883">
        <f t="shared" si="79"/>
        <v>-0.34919811476947871</v>
      </c>
      <c r="E4883">
        <v>-3.480225248821367E-2</v>
      </c>
    </row>
    <row r="4884" spans="2:5" x14ac:dyDescent="0.35">
      <c r="B4884" s="2">
        <v>43420</v>
      </c>
      <c r="C4884" s="4">
        <v>905.99</v>
      </c>
      <c r="D4884">
        <f t="shared" si="79"/>
        <v>2.1030242833167789</v>
      </c>
      <c r="E4884">
        <v>-3.4846063705124108E-2</v>
      </c>
    </row>
    <row r="4885" spans="2:5" x14ac:dyDescent="0.35">
      <c r="B4885" s="2">
        <v>41905</v>
      </c>
      <c r="C4885" s="4">
        <v>291.97000000000003</v>
      </c>
      <c r="D4885">
        <f t="shared" si="79"/>
        <v>-0.68598623359862332</v>
      </c>
      <c r="E4885">
        <v>-3.4873727356868778E-2</v>
      </c>
    </row>
    <row r="4886" spans="2:5" x14ac:dyDescent="0.35">
      <c r="B4886" s="2">
        <v>43166</v>
      </c>
      <c r="C4886" s="4">
        <v>929.8</v>
      </c>
      <c r="D4886">
        <f t="shared" si="79"/>
        <v>22.890030832476874</v>
      </c>
      <c r="E4886">
        <v>-3.4946599271383771E-2</v>
      </c>
    </row>
    <row r="4887" spans="2:5" x14ac:dyDescent="0.35">
      <c r="B4887" s="2">
        <v>37992</v>
      </c>
      <c r="C4887" s="4">
        <v>38.92</v>
      </c>
      <c r="D4887">
        <f t="shared" si="79"/>
        <v>-0.96756936921923176</v>
      </c>
      <c r="E4887">
        <v>-3.4961567071658761E-2</v>
      </c>
    </row>
    <row r="4888" spans="2:5" x14ac:dyDescent="0.35">
      <c r="B4888" s="2">
        <v>43279</v>
      </c>
      <c r="C4888" s="4">
        <v>1200.0999999999999</v>
      </c>
      <c r="D4888">
        <f t="shared" si="79"/>
        <v>13.765009842519683</v>
      </c>
      <c r="E4888">
        <v>-3.4994612502211253E-2</v>
      </c>
    </row>
    <row r="4889" spans="2:5" x14ac:dyDescent="0.35">
      <c r="B4889" s="2">
        <v>40819</v>
      </c>
      <c r="C4889" s="4">
        <v>81.28</v>
      </c>
      <c r="D4889">
        <f t="shared" si="79"/>
        <v>-6.2946737376066375E-2</v>
      </c>
      <c r="E4889">
        <v>-3.5137701804368371E-2</v>
      </c>
    </row>
    <row r="4890" spans="2:5" x14ac:dyDescent="0.35">
      <c r="B4890" s="2">
        <v>39394</v>
      </c>
      <c r="C4890" s="4">
        <v>86.74</v>
      </c>
      <c r="D4890">
        <f t="shared" si="79"/>
        <v>1.5332943925233642</v>
      </c>
      <c r="E4890">
        <v>-3.5150166852057962E-2</v>
      </c>
    </row>
    <row r="4891" spans="2:5" x14ac:dyDescent="0.35">
      <c r="B4891" s="2">
        <v>39822</v>
      </c>
      <c r="C4891" s="4">
        <v>34.24</v>
      </c>
      <c r="D4891">
        <f t="shared" si="79"/>
        <v>-0.99413457585309029</v>
      </c>
      <c r="E4891">
        <v>-3.5221189067342951E-2</v>
      </c>
    </row>
    <row r="4892" spans="2:5" x14ac:dyDescent="0.35">
      <c r="B4892" s="2">
        <v>44918</v>
      </c>
      <c r="C4892" s="4">
        <v>5837.6</v>
      </c>
      <c r="D4892">
        <f t="shared" si="79"/>
        <v>26.130176139796443</v>
      </c>
      <c r="E4892">
        <v>-3.5235010246578935E-2</v>
      </c>
    </row>
    <row r="4893" spans="2:5" x14ac:dyDescent="0.35">
      <c r="B4893" s="2">
        <v>41775</v>
      </c>
      <c r="C4893" s="4">
        <v>215.17</v>
      </c>
      <c r="D4893">
        <f t="shared" si="79"/>
        <v>1.1616435603777373</v>
      </c>
      <c r="E4893">
        <v>-3.5241895709097526E-2</v>
      </c>
    </row>
    <row r="4894" spans="2:5" x14ac:dyDescent="0.35">
      <c r="B4894" s="2">
        <v>40612</v>
      </c>
      <c r="C4894" s="4">
        <v>99.54</v>
      </c>
      <c r="D4894">
        <f t="shared" si="79"/>
        <v>-2.8593734751634514E-2</v>
      </c>
      <c r="E4894">
        <v>-3.5278154681139706E-2</v>
      </c>
    </row>
    <row r="4895" spans="2:5" x14ac:dyDescent="0.35">
      <c r="B4895" s="2">
        <v>39371</v>
      </c>
      <c r="C4895" s="4">
        <v>102.47</v>
      </c>
      <c r="D4895">
        <f t="shared" si="79"/>
        <v>-0.83632297739797146</v>
      </c>
      <c r="E4895">
        <v>-3.5304085859536816E-2</v>
      </c>
    </row>
    <row r="4896" spans="2:5" x14ac:dyDescent="0.35">
      <c r="B4896" s="2">
        <v>42072</v>
      </c>
      <c r="C4896" s="4">
        <v>626.04999999999995</v>
      </c>
      <c r="D4896">
        <f t="shared" si="79"/>
        <v>6.3948736120954406</v>
      </c>
      <c r="E4896">
        <v>-3.5317503120329219E-2</v>
      </c>
    </row>
    <row r="4897" spans="2:5" x14ac:dyDescent="0.35">
      <c r="B4897" s="2">
        <v>39044</v>
      </c>
      <c r="C4897" s="4">
        <v>84.66</v>
      </c>
      <c r="D4897">
        <f t="shared" si="79"/>
        <v>1.2794830371567043</v>
      </c>
      <c r="E4897">
        <v>-3.5323609845032022E-2</v>
      </c>
    </row>
    <row r="4898" spans="2:5" x14ac:dyDescent="0.35">
      <c r="B4898" s="2">
        <v>39738</v>
      </c>
      <c r="C4898" s="4">
        <v>37.14</v>
      </c>
      <c r="D4898">
        <f t="shared" si="79"/>
        <v>0.24882313382649635</v>
      </c>
      <c r="E4898">
        <v>-3.5324675324675314E-2</v>
      </c>
    </row>
    <row r="4899" spans="2:5" x14ac:dyDescent="0.35">
      <c r="B4899" s="2">
        <v>37538</v>
      </c>
      <c r="C4899" s="4">
        <v>29.74</v>
      </c>
      <c r="D4899">
        <f t="shared" si="79"/>
        <v>0.36296975252062325</v>
      </c>
      <c r="E4899">
        <v>-3.5355173532273798E-2</v>
      </c>
    </row>
    <row r="4900" spans="2:5" x14ac:dyDescent="0.35">
      <c r="B4900" s="2">
        <v>37687</v>
      </c>
      <c r="C4900" s="4">
        <v>21.82</v>
      </c>
      <c r="D4900">
        <f t="shared" si="79"/>
        <v>-0.97987957251007407</v>
      </c>
      <c r="E4900">
        <v>-3.5366931918656141E-2</v>
      </c>
    </row>
    <row r="4901" spans="2:5" x14ac:dyDescent="0.35">
      <c r="B4901" s="2">
        <v>43256</v>
      </c>
      <c r="C4901" s="4">
        <v>1084.47</v>
      </c>
      <c r="D4901">
        <f t="shared" si="79"/>
        <v>8.4630890052356023</v>
      </c>
      <c r="E4901">
        <v>-3.5512273212380041E-2</v>
      </c>
    </row>
    <row r="4902" spans="2:5" x14ac:dyDescent="0.35">
      <c r="B4902" s="2">
        <v>40200</v>
      </c>
      <c r="C4902" s="4">
        <v>114.6</v>
      </c>
      <c r="D4902">
        <f t="shared" si="79"/>
        <v>-0.81763208147676636</v>
      </c>
      <c r="E4902">
        <v>-3.5515906413061793E-2</v>
      </c>
    </row>
    <row r="4903" spans="2:5" x14ac:dyDescent="0.35">
      <c r="B4903" s="2">
        <v>42726</v>
      </c>
      <c r="C4903" s="4">
        <v>628.4</v>
      </c>
      <c r="D4903">
        <f t="shared" si="79"/>
        <v>26.928888888888888</v>
      </c>
      <c r="E4903">
        <v>-3.5545460126465644E-2</v>
      </c>
    </row>
    <row r="4904" spans="2:5" x14ac:dyDescent="0.35">
      <c r="B4904" s="2">
        <v>37704</v>
      </c>
      <c r="C4904" s="4">
        <v>22.5</v>
      </c>
      <c r="D4904">
        <f t="shared" si="79"/>
        <v>-0.63029904699309891</v>
      </c>
      <c r="E4904">
        <v>-3.557651093013281E-2</v>
      </c>
    </row>
    <row r="4905" spans="2:5" x14ac:dyDescent="0.35">
      <c r="B4905" s="2">
        <v>40031</v>
      </c>
      <c r="C4905" s="4">
        <v>60.86</v>
      </c>
      <c r="D4905">
        <f t="shared" si="79"/>
        <v>1.1852782764811489</v>
      </c>
      <c r="E4905">
        <v>-3.5652036127396647E-2</v>
      </c>
    </row>
    <row r="4906" spans="2:5" x14ac:dyDescent="0.35">
      <c r="B4906" s="2">
        <v>37876</v>
      </c>
      <c r="C4906" s="4">
        <v>27.85</v>
      </c>
      <c r="D4906">
        <f t="shared" si="79"/>
        <v>-0.9661344650218272</v>
      </c>
      <c r="E4906">
        <v>-3.5664819944598247E-2</v>
      </c>
    </row>
    <row r="4907" spans="2:5" x14ac:dyDescent="0.35">
      <c r="B4907" s="2">
        <v>43903</v>
      </c>
      <c r="C4907" s="4">
        <v>822.37</v>
      </c>
      <c r="D4907">
        <f t="shared" si="79"/>
        <v>8.3429902294932976</v>
      </c>
      <c r="E4907">
        <v>-3.5705072582725594E-2</v>
      </c>
    </row>
    <row r="4908" spans="2:5" x14ac:dyDescent="0.35">
      <c r="B4908" s="2">
        <v>41479</v>
      </c>
      <c r="C4908" s="4">
        <v>88.02</v>
      </c>
      <c r="D4908">
        <f t="shared" si="79"/>
        <v>-0.13866327429298364</v>
      </c>
      <c r="E4908">
        <v>-3.5714285714285809E-2</v>
      </c>
    </row>
    <row r="4909" spans="2:5" x14ac:dyDescent="0.35">
      <c r="B4909" s="2">
        <v>41113</v>
      </c>
      <c r="C4909" s="4">
        <v>102.19</v>
      </c>
      <c r="D4909">
        <f t="shared" si="79"/>
        <v>-0.98332748704980222</v>
      </c>
      <c r="E4909">
        <v>-3.5761464427250478E-2</v>
      </c>
    </row>
    <row r="4910" spans="2:5" x14ac:dyDescent="0.35">
      <c r="B4910" s="2">
        <v>44985</v>
      </c>
      <c r="C4910" s="4">
        <v>6129.25</v>
      </c>
      <c r="D4910">
        <f t="shared" si="79"/>
        <v>61.902811986863711</v>
      </c>
      <c r="E4910">
        <v>-3.6084419771336917E-2</v>
      </c>
    </row>
    <row r="4911" spans="2:5" x14ac:dyDescent="0.35">
      <c r="B4911" s="2">
        <v>40158</v>
      </c>
      <c r="C4911" s="4">
        <v>97.44</v>
      </c>
      <c r="D4911">
        <f t="shared" si="79"/>
        <v>-0.98545428489538545</v>
      </c>
      <c r="E4911">
        <v>-3.6106439806113388E-2</v>
      </c>
    </row>
    <row r="4912" spans="2:5" x14ac:dyDescent="0.35">
      <c r="B4912" s="2">
        <v>44613</v>
      </c>
      <c r="C4912" s="4">
        <v>6698.88</v>
      </c>
      <c r="D4912">
        <f t="shared" si="79"/>
        <v>134.87991886409736</v>
      </c>
      <c r="E4912">
        <v>-3.6146242500107895E-2</v>
      </c>
    </row>
    <row r="4913" spans="2:5" x14ac:dyDescent="0.35">
      <c r="B4913" s="2">
        <v>38285</v>
      </c>
      <c r="C4913" s="4">
        <v>49.3</v>
      </c>
      <c r="D4913">
        <f t="shared" si="79"/>
        <v>-0.93720225205716756</v>
      </c>
      <c r="E4913">
        <v>-3.616813294232657E-2</v>
      </c>
    </row>
    <row r="4914" spans="2:5" x14ac:dyDescent="0.35">
      <c r="B4914" s="2">
        <v>42545</v>
      </c>
      <c r="C4914" s="4">
        <v>785.06</v>
      </c>
      <c r="D4914">
        <f t="shared" si="79"/>
        <v>18.965920651068156</v>
      </c>
      <c r="E4914">
        <v>-3.6215871145158118E-2</v>
      </c>
    </row>
    <row r="4915" spans="2:5" x14ac:dyDescent="0.35">
      <c r="B4915" s="2">
        <v>38205</v>
      </c>
      <c r="C4915" s="4">
        <v>39.32</v>
      </c>
      <c r="D4915">
        <f t="shared" si="79"/>
        <v>-0.99296785997242232</v>
      </c>
      <c r="E4915">
        <v>-3.627450980392144E-2</v>
      </c>
    </row>
    <row r="4916" spans="2:5" x14ac:dyDescent="0.35">
      <c r="B4916" s="2">
        <v>44460</v>
      </c>
      <c r="C4916" s="4">
        <v>5591.47</v>
      </c>
      <c r="D4916">
        <f t="shared" si="79"/>
        <v>223.37680577849116</v>
      </c>
      <c r="E4916">
        <v>-3.63106779383503E-2</v>
      </c>
    </row>
    <row r="4917" spans="2:5" x14ac:dyDescent="0.35">
      <c r="B4917" s="2">
        <v>37858</v>
      </c>
      <c r="C4917" s="4">
        <v>24.92</v>
      </c>
      <c r="D4917">
        <f t="shared" si="79"/>
        <v>-0.77909759773069764</v>
      </c>
      <c r="E4917">
        <v>-3.6349574632637216E-2</v>
      </c>
    </row>
    <row r="4918" spans="2:5" x14ac:dyDescent="0.35">
      <c r="B4918" s="2">
        <v>39195</v>
      </c>
      <c r="C4918" s="4">
        <v>112.81</v>
      </c>
      <c r="D4918">
        <f t="shared" si="79"/>
        <v>-0.98678234990860947</v>
      </c>
      <c r="E4918">
        <v>-3.6388485521482772E-2</v>
      </c>
    </row>
    <row r="4919" spans="2:5" x14ac:dyDescent="0.35">
      <c r="B4919" s="2">
        <v>44830</v>
      </c>
      <c r="C4919" s="4">
        <v>8534.7999999999993</v>
      </c>
      <c r="D4919">
        <f t="shared" si="79"/>
        <v>300.90307746727979</v>
      </c>
      <c r="E4919">
        <v>-3.6388885752673072E-2</v>
      </c>
    </row>
    <row r="4920" spans="2:5" x14ac:dyDescent="0.35">
      <c r="B4920" s="2">
        <v>38096</v>
      </c>
      <c r="C4920" s="4">
        <v>28.27</v>
      </c>
      <c r="D4920">
        <f t="shared" si="79"/>
        <v>-0.22949032433905692</v>
      </c>
      <c r="E4920">
        <v>-3.6468984321745057E-2</v>
      </c>
    </row>
    <row r="4921" spans="2:5" x14ac:dyDescent="0.35">
      <c r="B4921" s="2">
        <v>37456</v>
      </c>
      <c r="C4921" s="4">
        <v>36.69</v>
      </c>
      <c r="D4921">
        <f t="shared" si="79"/>
        <v>2.6868178001679288E-2</v>
      </c>
      <c r="E4921">
        <v>-3.6502100840336116E-2</v>
      </c>
    </row>
    <row r="4922" spans="2:5" x14ac:dyDescent="0.35">
      <c r="B4922" s="2">
        <v>37971</v>
      </c>
      <c r="C4922" s="4">
        <v>35.729999999999997</v>
      </c>
      <c r="D4922">
        <f t="shared" si="79"/>
        <v>-0.9529763236513431</v>
      </c>
      <c r="E4922">
        <v>-3.6667565381504619E-2</v>
      </c>
    </row>
    <row r="4923" spans="2:5" x14ac:dyDescent="0.35">
      <c r="B4923" s="2">
        <v>42957</v>
      </c>
      <c r="C4923" s="4">
        <v>759.83</v>
      </c>
      <c r="D4923">
        <f t="shared" si="79"/>
        <v>-9.9236550726699346E-2</v>
      </c>
      <c r="E4923">
        <v>-3.6677823419037359E-2</v>
      </c>
    </row>
    <row r="4924" spans="2:5" x14ac:dyDescent="0.35">
      <c r="B4924" s="2">
        <v>43587</v>
      </c>
      <c r="C4924" s="4">
        <v>843.54</v>
      </c>
      <c r="D4924">
        <f t="shared" si="79"/>
        <v>6.3249392150052097</v>
      </c>
      <c r="E4924">
        <v>-3.6757904833681687E-2</v>
      </c>
    </row>
    <row r="4925" spans="2:5" x14ac:dyDescent="0.35">
      <c r="B4925" s="2">
        <v>39189</v>
      </c>
      <c r="C4925" s="4">
        <v>115.16</v>
      </c>
      <c r="D4925">
        <f t="shared" si="79"/>
        <v>2.0433403805496826</v>
      </c>
      <c r="E4925">
        <v>-3.6801605888256983E-2</v>
      </c>
    </row>
    <row r="4926" spans="2:5" x14ac:dyDescent="0.35">
      <c r="B4926" s="2">
        <v>37448</v>
      </c>
      <c r="C4926" s="4">
        <v>37.840000000000003</v>
      </c>
      <c r="D4926">
        <f t="shared" si="79"/>
        <v>-0.99345301535011832</v>
      </c>
      <c r="E4926">
        <v>-3.690506490201062E-2</v>
      </c>
    </row>
    <row r="4927" spans="2:5" x14ac:dyDescent="0.35">
      <c r="B4927" s="2">
        <v>44494</v>
      </c>
      <c r="C4927" s="4">
        <v>5779.76</v>
      </c>
      <c r="D4927">
        <f t="shared" si="79"/>
        <v>64.694021368492841</v>
      </c>
      <c r="E4927">
        <v>-3.6984336183067068E-2</v>
      </c>
    </row>
    <row r="4928" spans="2:5" x14ac:dyDescent="0.35">
      <c r="B4928" s="2">
        <v>40795</v>
      </c>
      <c r="C4928" s="4">
        <v>87.98</v>
      </c>
      <c r="D4928">
        <f t="shared" si="79"/>
        <v>-0.86551307724055704</v>
      </c>
      <c r="E4928">
        <v>-3.699649737302968E-2</v>
      </c>
    </row>
    <row r="4929" spans="2:5" x14ac:dyDescent="0.35">
      <c r="B4929" s="2">
        <v>43934</v>
      </c>
      <c r="C4929" s="4">
        <v>654.19000000000005</v>
      </c>
      <c r="D4929">
        <f t="shared" si="79"/>
        <v>22.745553539019966</v>
      </c>
      <c r="E4929">
        <v>-3.7021226484529102E-2</v>
      </c>
    </row>
    <row r="4930" spans="2:5" x14ac:dyDescent="0.35">
      <c r="B4930" s="2">
        <v>37945</v>
      </c>
      <c r="C4930" s="4">
        <v>27.55</v>
      </c>
      <c r="D4930">
        <f t="shared" si="79"/>
        <v>-0.70417695694190918</v>
      </c>
      <c r="E4930">
        <v>-3.704998252359315E-2</v>
      </c>
    </row>
    <row r="4931" spans="2:5" x14ac:dyDescent="0.35">
      <c r="B4931" s="2">
        <v>40760</v>
      </c>
      <c r="C4931" s="4">
        <v>93.13</v>
      </c>
      <c r="D4931">
        <f t="shared" si="79"/>
        <v>-0.89709960775647757</v>
      </c>
      <c r="E4931">
        <v>-3.7117452440033172E-2</v>
      </c>
    </row>
    <row r="4932" spans="2:5" x14ac:dyDescent="0.35">
      <c r="B4932" s="2">
        <v>43137</v>
      </c>
      <c r="C4932" s="4">
        <v>905.05</v>
      </c>
      <c r="D4932">
        <f t="shared" ref="D4932:D4995" si="80">C4932/C4933-1</f>
        <v>12.220128542214432</v>
      </c>
      <c r="E4932">
        <v>-3.7201336141784225E-2</v>
      </c>
    </row>
    <row r="4933" spans="2:5" x14ac:dyDescent="0.35">
      <c r="B4933" s="2">
        <v>39560</v>
      </c>
      <c r="C4933" s="4">
        <v>68.459999999999994</v>
      </c>
      <c r="D4933">
        <f t="shared" si="80"/>
        <v>-0.42213218536338315</v>
      </c>
      <c r="E4933">
        <v>-3.7266207284488928E-2</v>
      </c>
    </row>
    <row r="4934" spans="2:5" x14ac:dyDescent="0.35">
      <c r="B4934" s="2">
        <v>40550</v>
      </c>
      <c r="C4934" s="4">
        <v>118.47</v>
      </c>
      <c r="D4934">
        <f t="shared" si="80"/>
        <v>4.1020671834625322</v>
      </c>
      <c r="E4934">
        <v>-3.7298878595806939E-2</v>
      </c>
    </row>
    <row r="4935" spans="2:5" x14ac:dyDescent="0.35">
      <c r="B4935" s="2">
        <v>37684</v>
      </c>
      <c r="C4935" s="4">
        <v>23.22</v>
      </c>
      <c r="D4935">
        <f t="shared" si="80"/>
        <v>-0.95637880182600365</v>
      </c>
      <c r="E4935">
        <v>-3.7313432835821003E-2</v>
      </c>
    </row>
    <row r="4936" spans="2:5" x14ac:dyDescent="0.35">
      <c r="B4936" s="2">
        <v>42184</v>
      </c>
      <c r="C4936" s="4">
        <v>532.30999999999995</v>
      </c>
      <c r="D4936">
        <f t="shared" si="80"/>
        <v>-0.92597223072087753</v>
      </c>
      <c r="E4936">
        <v>-3.7344473379629761E-2</v>
      </c>
    </row>
    <row r="4937" spans="2:5" x14ac:dyDescent="0.35">
      <c r="B4937" s="2">
        <v>44690</v>
      </c>
      <c r="C4937" s="4">
        <v>7190.68</v>
      </c>
      <c r="D4937">
        <f t="shared" si="80"/>
        <v>66.454784240150104</v>
      </c>
      <c r="E4937">
        <v>-3.7385792408249019E-2</v>
      </c>
    </row>
    <row r="4938" spans="2:5" x14ac:dyDescent="0.35">
      <c r="B4938" s="2">
        <v>39363</v>
      </c>
      <c r="C4938" s="4">
        <v>106.6</v>
      </c>
      <c r="D4938">
        <f t="shared" si="80"/>
        <v>-9.322898945219471E-2</v>
      </c>
      <c r="E4938">
        <v>-3.7558685446009488E-2</v>
      </c>
    </row>
    <row r="4939" spans="2:5" x14ac:dyDescent="0.35">
      <c r="B4939" s="2">
        <v>40198</v>
      </c>
      <c r="C4939" s="4">
        <v>117.56</v>
      </c>
      <c r="D4939">
        <f t="shared" si="80"/>
        <v>0.40891658676893572</v>
      </c>
      <c r="E4939">
        <v>-3.7576749897666795E-2</v>
      </c>
    </row>
    <row r="4940" spans="2:5" x14ac:dyDescent="0.35">
      <c r="B4940" s="2">
        <v>38840</v>
      </c>
      <c r="C4940" s="4">
        <v>83.44</v>
      </c>
      <c r="D4940">
        <f t="shared" si="80"/>
        <v>-0.26074244706299288</v>
      </c>
      <c r="E4940">
        <v>-3.7600922722030083E-2</v>
      </c>
    </row>
    <row r="4941" spans="2:5" x14ac:dyDescent="0.35">
      <c r="B4941" s="2">
        <v>39287</v>
      </c>
      <c r="C4941" s="4">
        <v>112.87</v>
      </c>
      <c r="D4941">
        <f t="shared" si="80"/>
        <v>3.0469702402294727</v>
      </c>
      <c r="E4941">
        <v>-3.7848435768476629E-2</v>
      </c>
    </row>
    <row r="4942" spans="2:5" x14ac:dyDescent="0.35">
      <c r="B4942" s="2">
        <v>38107</v>
      </c>
      <c r="C4942" s="4">
        <v>27.89</v>
      </c>
      <c r="D4942">
        <f t="shared" si="80"/>
        <v>-0.89449194219565709</v>
      </c>
      <c r="E4942">
        <v>-3.7944118661607407E-2</v>
      </c>
    </row>
    <row r="4943" spans="2:5" x14ac:dyDescent="0.35">
      <c r="B4943" s="2">
        <v>41898</v>
      </c>
      <c r="C4943" s="4">
        <v>264.33999999999997</v>
      </c>
      <c r="D4943">
        <f t="shared" si="80"/>
        <v>-0.76337155696395165</v>
      </c>
      <c r="E4943">
        <v>-3.8134051379084544E-2</v>
      </c>
    </row>
    <row r="4944" spans="2:5" x14ac:dyDescent="0.35">
      <c r="B4944" s="2">
        <v>43369</v>
      </c>
      <c r="C4944" s="4">
        <v>1117.1099999999999</v>
      </c>
      <c r="D4944">
        <f t="shared" si="80"/>
        <v>1.0235667059143192</v>
      </c>
      <c r="E4944">
        <v>-3.8135009471327863E-2</v>
      </c>
    </row>
    <row r="4945" spans="2:5" x14ac:dyDescent="0.35">
      <c r="B4945" s="2">
        <v>42683</v>
      </c>
      <c r="C4945" s="4">
        <v>552.04999999999995</v>
      </c>
      <c r="D4945">
        <f t="shared" si="80"/>
        <v>2.1309550816696912</v>
      </c>
      <c r="E4945">
        <v>-3.8206906163977927E-2</v>
      </c>
    </row>
    <row r="4946" spans="2:5" x14ac:dyDescent="0.35">
      <c r="B4946" s="2">
        <v>41646</v>
      </c>
      <c r="C4946" s="4">
        <v>176.32</v>
      </c>
      <c r="D4946">
        <f t="shared" si="80"/>
        <v>-0.33202000303076218</v>
      </c>
      <c r="E4946">
        <v>-3.8289516744845709E-2</v>
      </c>
    </row>
    <row r="4947" spans="2:5" x14ac:dyDescent="0.35">
      <c r="B4947" s="2">
        <v>41709</v>
      </c>
      <c r="C4947" s="4">
        <v>263.95999999999998</v>
      </c>
      <c r="D4947">
        <f t="shared" si="80"/>
        <v>2.8545560747663545</v>
      </c>
      <c r="E4947">
        <v>-3.8327018361993703E-2</v>
      </c>
    </row>
    <row r="4948" spans="2:5" x14ac:dyDescent="0.35">
      <c r="B4948" s="2">
        <v>38712</v>
      </c>
      <c r="C4948" s="4">
        <v>68.48</v>
      </c>
      <c r="D4948">
        <f t="shared" si="80"/>
        <v>-0.92485542790049491</v>
      </c>
      <c r="E4948">
        <v>-3.8337312175256155E-2</v>
      </c>
    </row>
    <row r="4949" spans="2:5" x14ac:dyDescent="0.35">
      <c r="B4949" s="2">
        <v>43382</v>
      </c>
      <c r="C4949" s="4">
        <v>911.31</v>
      </c>
      <c r="D4949">
        <f t="shared" si="80"/>
        <v>10.225794530672578</v>
      </c>
      <c r="E4949">
        <v>-3.8479393952183027E-2</v>
      </c>
    </row>
    <row r="4950" spans="2:5" x14ac:dyDescent="0.35">
      <c r="B4950" s="2">
        <v>39029</v>
      </c>
      <c r="C4950" s="4">
        <v>81.180000000000007</v>
      </c>
      <c r="D4950">
        <f t="shared" si="80"/>
        <v>0.73870207753266248</v>
      </c>
      <c r="E4950">
        <v>-3.8493426507165696E-2</v>
      </c>
    </row>
    <row r="4951" spans="2:5" x14ac:dyDescent="0.35">
      <c r="B4951" s="2">
        <v>39724</v>
      </c>
      <c r="C4951" s="4">
        <v>46.69</v>
      </c>
      <c r="D4951">
        <f t="shared" si="80"/>
        <v>0.41828675577156726</v>
      </c>
      <c r="E4951">
        <v>-3.8509060955519092E-2</v>
      </c>
    </row>
    <row r="4952" spans="2:5" x14ac:dyDescent="0.35">
      <c r="B4952" s="2">
        <v>37495</v>
      </c>
      <c r="C4952" s="4">
        <v>32.92</v>
      </c>
      <c r="D4952">
        <f t="shared" si="80"/>
        <v>-0.95847890521536228</v>
      </c>
      <c r="E4952">
        <v>-3.8551401869158841E-2</v>
      </c>
    </row>
    <row r="4953" spans="2:5" x14ac:dyDescent="0.35">
      <c r="B4953" s="2">
        <v>43661</v>
      </c>
      <c r="C4953" s="4">
        <v>792.85</v>
      </c>
      <c r="D4953">
        <f t="shared" si="80"/>
        <v>-0.35027739307869432</v>
      </c>
      <c r="E4953">
        <v>-3.8853194326584961E-2</v>
      </c>
    </row>
    <row r="4954" spans="2:5" x14ac:dyDescent="0.35">
      <c r="B4954" s="2">
        <v>44096</v>
      </c>
      <c r="C4954" s="4">
        <v>1220.29</v>
      </c>
      <c r="D4954">
        <f t="shared" si="80"/>
        <v>43.117498192335503</v>
      </c>
      <c r="E4954">
        <v>-3.8854145334824564E-2</v>
      </c>
    </row>
    <row r="4955" spans="2:5" x14ac:dyDescent="0.35">
      <c r="B4955" s="2">
        <v>37939</v>
      </c>
      <c r="C4955" s="4">
        <v>27.66</v>
      </c>
      <c r="D4955">
        <f t="shared" si="80"/>
        <v>-0.48606465997770343</v>
      </c>
      <c r="E4955">
        <v>-3.8915913829048021E-2</v>
      </c>
    </row>
    <row r="4956" spans="2:5" x14ac:dyDescent="0.35">
      <c r="B4956" s="2">
        <v>39981</v>
      </c>
      <c r="C4956" s="4">
        <v>53.82</v>
      </c>
      <c r="D4956">
        <f t="shared" si="80"/>
        <v>-0.57658720793013929</v>
      </c>
      <c r="E4956">
        <v>-3.8928571428571423E-2</v>
      </c>
    </row>
    <row r="4957" spans="2:5" x14ac:dyDescent="0.35">
      <c r="B4957" s="2">
        <v>40494</v>
      </c>
      <c r="C4957" s="4">
        <v>127.11</v>
      </c>
      <c r="D4957">
        <f t="shared" si="80"/>
        <v>0.27122712271227134</v>
      </c>
      <c r="E4957">
        <v>-3.893845455920153E-2</v>
      </c>
    </row>
    <row r="4958" spans="2:5" x14ac:dyDescent="0.35">
      <c r="B4958" s="2">
        <v>39133</v>
      </c>
      <c r="C4958" s="4">
        <v>99.99</v>
      </c>
      <c r="D4958">
        <f t="shared" si="80"/>
        <v>-0.93094231725509702</v>
      </c>
      <c r="E4958">
        <v>-3.9019702066314332E-2</v>
      </c>
    </row>
    <row r="4959" spans="2:5" x14ac:dyDescent="0.35">
      <c r="B4959" s="2">
        <v>44145</v>
      </c>
      <c r="C4959" s="4">
        <v>1447.92</v>
      </c>
      <c r="D4959">
        <f t="shared" si="80"/>
        <v>0.51483004299927804</v>
      </c>
      <c r="E4959">
        <v>-3.9037922932954494E-2</v>
      </c>
    </row>
    <row r="4960" spans="2:5" x14ac:dyDescent="0.35">
      <c r="B4960" s="2">
        <v>42376</v>
      </c>
      <c r="C4960" s="4">
        <v>955.83</v>
      </c>
      <c r="D4960">
        <f t="shared" si="80"/>
        <v>11.638238794129315</v>
      </c>
      <c r="E4960">
        <v>-3.9086769008052635E-2</v>
      </c>
    </row>
    <row r="4961" spans="2:5" x14ac:dyDescent="0.35">
      <c r="B4961" s="2">
        <v>41491</v>
      </c>
      <c r="C4961" s="4">
        <v>75.63</v>
      </c>
      <c r="D4961">
        <f t="shared" si="80"/>
        <v>-0.21570050814062025</v>
      </c>
      <c r="E4961">
        <v>-3.9253048780487854E-2</v>
      </c>
    </row>
    <row r="4962" spans="2:5" x14ac:dyDescent="0.35">
      <c r="B4962" s="2">
        <v>41296</v>
      </c>
      <c r="C4962" s="4">
        <v>96.43</v>
      </c>
      <c r="D4962">
        <f t="shared" si="80"/>
        <v>2.0837863767189</v>
      </c>
      <c r="E4962">
        <v>-3.9254757397628737E-2</v>
      </c>
    </row>
    <row r="4963" spans="2:5" x14ac:dyDescent="0.35">
      <c r="B4963" s="2">
        <v>38016</v>
      </c>
      <c r="C4963" s="4">
        <v>31.27</v>
      </c>
      <c r="D4963">
        <f t="shared" si="80"/>
        <v>-0.99612997444322748</v>
      </c>
      <c r="E4963">
        <v>-3.9324116743471471E-2</v>
      </c>
    </row>
    <row r="4964" spans="2:5" x14ac:dyDescent="0.35">
      <c r="B4964" s="2">
        <v>44706</v>
      </c>
      <c r="C4964" s="4">
        <v>8080.05</v>
      </c>
      <c r="D4964">
        <f t="shared" si="80"/>
        <v>109.80704882062534</v>
      </c>
      <c r="E4964">
        <v>-3.9751430262379261E-2</v>
      </c>
    </row>
    <row r="4965" spans="2:5" x14ac:dyDescent="0.35">
      <c r="B4965" s="2">
        <v>39609</v>
      </c>
      <c r="C4965" s="4">
        <v>72.92</v>
      </c>
      <c r="D4965">
        <f t="shared" si="80"/>
        <v>-0.87222037254455287</v>
      </c>
      <c r="E4965">
        <v>-3.9768238082696805E-2</v>
      </c>
    </row>
    <row r="4966" spans="2:5" x14ac:dyDescent="0.35">
      <c r="B4966" s="2">
        <v>42111</v>
      </c>
      <c r="C4966" s="4">
        <v>570.66999999999996</v>
      </c>
      <c r="D4966">
        <f t="shared" si="80"/>
        <v>-0.24865377272787126</v>
      </c>
      <c r="E4966">
        <v>-4.0213259780012889E-2</v>
      </c>
    </row>
    <row r="4967" spans="2:5" x14ac:dyDescent="0.35">
      <c r="B4967" s="2">
        <v>43003</v>
      </c>
      <c r="C4967" s="4">
        <v>759.53</v>
      </c>
      <c r="D4967">
        <f t="shared" si="80"/>
        <v>11.404540258043443</v>
      </c>
      <c r="E4967">
        <v>-4.0246152290934867E-2</v>
      </c>
    </row>
    <row r="4968" spans="2:5" x14ac:dyDescent="0.35">
      <c r="B4968" s="2">
        <v>39665</v>
      </c>
      <c r="C4968" s="4">
        <v>61.23</v>
      </c>
      <c r="D4968">
        <f t="shared" si="80"/>
        <v>-0.29515367790952007</v>
      </c>
      <c r="E4968">
        <v>-4.0282131661442011E-2</v>
      </c>
    </row>
    <row r="4969" spans="2:5" x14ac:dyDescent="0.35">
      <c r="B4969" s="2">
        <v>40764</v>
      </c>
      <c r="C4969" s="4">
        <v>86.87</v>
      </c>
      <c r="D4969">
        <f t="shared" si="80"/>
        <v>2.0184155663655319</v>
      </c>
      <c r="E4969">
        <v>-4.0322580645161143E-2</v>
      </c>
    </row>
    <row r="4970" spans="2:5" x14ac:dyDescent="0.35">
      <c r="B4970" s="2">
        <v>39877</v>
      </c>
      <c r="C4970" s="4">
        <v>28.78</v>
      </c>
      <c r="D4970">
        <f t="shared" si="80"/>
        <v>-0.99614722990113724</v>
      </c>
      <c r="E4970">
        <v>-4.03467822607535E-2</v>
      </c>
    </row>
    <row r="4971" spans="2:5" x14ac:dyDescent="0.35">
      <c r="B4971" s="2">
        <v>44687</v>
      </c>
      <c r="C4971" s="4">
        <v>7469.95</v>
      </c>
      <c r="D4971">
        <f t="shared" si="80"/>
        <v>7.138086937574899</v>
      </c>
      <c r="E4971">
        <v>-4.0658623727611976E-2</v>
      </c>
    </row>
    <row r="4972" spans="2:5" x14ac:dyDescent="0.35">
      <c r="B4972" s="2">
        <v>43384</v>
      </c>
      <c r="C4972" s="4">
        <v>917.9</v>
      </c>
      <c r="D4972">
        <f t="shared" si="80"/>
        <v>16.364737041241014</v>
      </c>
      <c r="E4972">
        <v>-4.0676407265734515E-2</v>
      </c>
    </row>
    <row r="4973" spans="2:5" x14ac:dyDescent="0.35">
      <c r="B4973" s="2">
        <v>38275</v>
      </c>
      <c r="C4973" s="4">
        <v>52.86</v>
      </c>
      <c r="D4973">
        <f t="shared" si="80"/>
        <v>-0.9141994546162836</v>
      </c>
      <c r="E4973">
        <v>-4.0827436037016884E-2</v>
      </c>
    </row>
    <row r="4974" spans="2:5" x14ac:dyDescent="0.35">
      <c r="B4974" s="2">
        <v>43725</v>
      </c>
      <c r="C4974" s="4">
        <v>616.08000000000004</v>
      </c>
      <c r="D4974">
        <f t="shared" si="80"/>
        <v>-0.24751749661060418</v>
      </c>
      <c r="E4974">
        <v>-4.0881776006476356E-2</v>
      </c>
    </row>
    <row r="4975" spans="2:5" x14ac:dyDescent="0.35">
      <c r="B4975" s="2">
        <v>42412</v>
      </c>
      <c r="C4975" s="4">
        <v>818.73</v>
      </c>
      <c r="D4975">
        <f t="shared" si="80"/>
        <v>-0.8087459266267214</v>
      </c>
      <c r="E4975">
        <v>-4.1075193253689357E-2</v>
      </c>
    </row>
    <row r="4976" spans="2:5" x14ac:dyDescent="0.35">
      <c r="B4976" s="2">
        <v>44393</v>
      </c>
      <c r="C4976" s="4">
        <v>4280.8500000000004</v>
      </c>
      <c r="D4976">
        <f t="shared" si="80"/>
        <v>3.8676445505713799</v>
      </c>
      <c r="E4976">
        <v>-4.1105556003547927E-2</v>
      </c>
    </row>
    <row r="4977" spans="2:5" x14ac:dyDescent="0.35">
      <c r="B4977" s="2">
        <v>42262</v>
      </c>
      <c r="C4977" s="4">
        <v>879.45</v>
      </c>
      <c r="D4977">
        <f t="shared" si="80"/>
        <v>8.5116807268007797</v>
      </c>
      <c r="E4977">
        <v>-4.1116053905534411E-2</v>
      </c>
    </row>
    <row r="4978" spans="2:5" x14ac:dyDescent="0.35">
      <c r="B4978" s="2">
        <v>39458</v>
      </c>
      <c r="C4978" s="4">
        <v>92.46</v>
      </c>
      <c r="D4978">
        <f t="shared" si="80"/>
        <v>-4.5426388602106238E-2</v>
      </c>
      <c r="E4978">
        <v>-4.1269182911654934E-2</v>
      </c>
    </row>
    <row r="4979" spans="2:5" x14ac:dyDescent="0.35">
      <c r="B4979" s="2">
        <v>40583</v>
      </c>
      <c r="C4979" s="4">
        <v>96.86</v>
      </c>
      <c r="D4979">
        <f t="shared" si="80"/>
        <v>-0.88240578865578867</v>
      </c>
      <c r="E4979">
        <v>-4.1274868850836421E-2</v>
      </c>
    </row>
    <row r="4980" spans="2:5" x14ac:dyDescent="0.35">
      <c r="B4980" s="2">
        <v>43493</v>
      </c>
      <c r="C4980" s="4">
        <v>823.68</v>
      </c>
      <c r="D4980">
        <f t="shared" si="80"/>
        <v>10.792125984251969</v>
      </c>
      <c r="E4980">
        <v>-4.1307308216068983E-2</v>
      </c>
    </row>
    <row r="4981" spans="2:5" x14ac:dyDescent="0.35">
      <c r="B4981" s="2">
        <v>39645</v>
      </c>
      <c r="C4981" s="4">
        <v>69.849999999999994</v>
      </c>
      <c r="D4981">
        <f t="shared" si="80"/>
        <v>0.3605375925204517</v>
      </c>
      <c r="E4981">
        <v>-4.1443666803897439E-2</v>
      </c>
    </row>
    <row r="4982" spans="2:5" x14ac:dyDescent="0.35">
      <c r="B4982" s="2">
        <v>39954</v>
      </c>
      <c r="C4982" s="4">
        <v>51.34</v>
      </c>
      <c r="D4982">
        <f t="shared" si="80"/>
        <v>-0.89462016872267491</v>
      </c>
      <c r="E4982">
        <v>-4.1448842419716136E-2</v>
      </c>
    </row>
    <row r="4983" spans="2:5" x14ac:dyDescent="0.35">
      <c r="B4983" s="2">
        <v>42163</v>
      </c>
      <c r="C4983" s="4">
        <v>487.19</v>
      </c>
      <c r="D4983">
        <f t="shared" si="80"/>
        <v>-0.93886289169901149</v>
      </c>
      <c r="E4983">
        <v>-4.1511735426626561E-2</v>
      </c>
    </row>
    <row r="4984" spans="2:5" x14ac:dyDescent="0.35">
      <c r="B4984" s="2">
        <v>44676</v>
      </c>
      <c r="C4984" s="4">
        <v>7968.81</v>
      </c>
      <c r="D4984">
        <f t="shared" si="80"/>
        <v>10.69922482896321</v>
      </c>
      <c r="E4984">
        <v>-4.1709307149771724E-2</v>
      </c>
    </row>
    <row r="4985" spans="2:5" x14ac:dyDescent="0.35">
      <c r="B4985" s="2">
        <v>43665</v>
      </c>
      <c r="C4985" s="4">
        <v>681.14</v>
      </c>
      <c r="D4985">
        <f t="shared" si="80"/>
        <v>10.499915583319265</v>
      </c>
      <c r="E4985">
        <v>-4.1795034114088803E-2</v>
      </c>
    </row>
    <row r="4986" spans="2:5" x14ac:dyDescent="0.35">
      <c r="B4986" s="2">
        <v>38457</v>
      </c>
      <c r="C4986" s="4">
        <v>59.23</v>
      </c>
      <c r="D4986">
        <f t="shared" si="80"/>
        <v>-0.2554368321810182</v>
      </c>
      <c r="E4986">
        <v>-4.1895826593335572E-2</v>
      </c>
    </row>
    <row r="4987" spans="2:5" x14ac:dyDescent="0.35">
      <c r="B4987" s="2">
        <v>40781</v>
      </c>
      <c r="C4987" s="4">
        <v>79.55</v>
      </c>
      <c r="D4987">
        <f t="shared" si="80"/>
        <v>-0.86498183916629889</v>
      </c>
      <c r="E4987">
        <v>-4.2027938342967364E-2</v>
      </c>
    </row>
    <row r="4988" spans="2:5" x14ac:dyDescent="0.35">
      <c r="B4988" s="2">
        <v>43699</v>
      </c>
      <c r="C4988" s="4">
        <v>589.17999999999995</v>
      </c>
      <c r="D4988">
        <f t="shared" si="80"/>
        <v>13.995673199287349</v>
      </c>
      <c r="E4988">
        <v>-4.2295188556567109E-2</v>
      </c>
    </row>
    <row r="4989" spans="2:5" x14ac:dyDescent="0.35">
      <c r="B4989" s="2">
        <v>37447</v>
      </c>
      <c r="C4989" s="4">
        <v>39.29</v>
      </c>
      <c r="D4989">
        <f t="shared" si="80"/>
        <v>-0.95568513777196284</v>
      </c>
      <c r="E4989">
        <v>-4.2407994150621575E-2</v>
      </c>
    </row>
    <row r="4990" spans="2:5" x14ac:dyDescent="0.35">
      <c r="B4990" s="2">
        <v>42382</v>
      </c>
      <c r="C4990" s="4">
        <v>886.61</v>
      </c>
      <c r="D4990">
        <f t="shared" si="80"/>
        <v>26.398331273176762</v>
      </c>
      <c r="E4990">
        <v>-4.2455071712458881E-2</v>
      </c>
    </row>
    <row r="4991" spans="2:5" x14ac:dyDescent="0.35">
      <c r="B4991" s="2">
        <v>37960</v>
      </c>
      <c r="C4991" s="4">
        <v>32.36</v>
      </c>
      <c r="D4991">
        <f t="shared" si="80"/>
        <v>-0.3294653957728968</v>
      </c>
      <c r="E4991">
        <v>-4.2603550295857939E-2</v>
      </c>
    </row>
    <row r="4992" spans="2:5" x14ac:dyDescent="0.35">
      <c r="B4992" s="2">
        <v>39720</v>
      </c>
      <c r="C4992" s="4">
        <v>48.26</v>
      </c>
      <c r="D4992">
        <f t="shared" si="80"/>
        <v>-0.24095627555835164</v>
      </c>
      <c r="E4992">
        <v>-4.28401428004761E-2</v>
      </c>
    </row>
    <row r="4993" spans="2:5" x14ac:dyDescent="0.35">
      <c r="B4993" s="2">
        <v>38874</v>
      </c>
      <c r="C4993" s="4">
        <v>63.58</v>
      </c>
      <c r="D4993">
        <f t="shared" si="80"/>
        <v>-0.31810381810381805</v>
      </c>
      <c r="E4993">
        <v>-4.2902303176275858E-2</v>
      </c>
    </row>
    <row r="4994" spans="2:5" x14ac:dyDescent="0.35">
      <c r="B4994" s="2">
        <v>40161</v>
      </c>
      <c r="C4994" s="4">
        <v>93.24</v>
      </c>
      <c r="D4994">
        <f t="shared" si="80"/>
        <v>-0.9031836022677715</v>
      </c>
      <c r="E4994">
        <v>-4.31034482758621E-2</v>
      </c>
    </row>
    <row r="4995" spans="2:5" x14ac:dyDescent="0.35">
      <c r="B4995" s="2">
        <v>42236</v>
      </c>
      <c r="C4995" s="4">
        <v>963.06</v>
      </c>
      <c r="D4995">
        <f t="shared" si="80"/>
        <v>0.29120746520794771</v>
      </c>
      <c r="E4995">
        <v>-4.3273529236454777E-2</v>
      </c>
    </row>
    <row r="4996" spans="2:5" x14ac:dyDescent="0.35">
      <c r="B4996" s="2">
        <v>43955</v>
      </c>
      <c r="C4996" s="4">
        <v>745.86</v>
      </c>
      <c r="D4996">
        <f t="shared" ref="D4996:D5059" si="81">C4996/C4997-1</f>
        <v>-0.87317786487336657</v>
      </c>
      <c r="E4996">
        <v>-4.3278604412519295E-2</v>
      </c>
    </row>
    <row r="4997" spans="2:5" x14ac:dyDescent="0.35">
      <c r="B4997" s="2">
        <v>44490</v>
      </c>
      <c r="C4997" s="4">
        <v>5881.15</v>
      </c>
      <c r="D4997">
        <f t="shared" si="81"/>
        <v>35.438351920693925</v>
      </c>
      <c r="E4997">
        <v>-4.3332780266578275E-2</v>
      </c>
    </row>
    <row r="4998" spans="2:5" x14ac:dyDescent="0.35">
      <c r="B4998" s="2">
        <v>41656</v>
      </c>
      <c r="C4998" s="4">
        <v>161.4</v>
      </c>
      <c r="D4998">
        <f t="shared" si="81"/>
        <v>1.203112203112203</v>
      </c>
      <c r="E4998">
        <v>-4.3442185740532158E-2</v>
      </c>
    </row>
    <row r="4999" spans="2:5" x14ac:dyDescent="0.35">
      <c r="B4999" s="2">
        <v>39477</v>
      </c>
      <c r="C4999" s="4">
        <v>73.260000000000005</v>
      </c>
      <c r="D4999">
        <f t="shared" si="81"/>
        <v>-0.40564660068148628</v>
      </c>
      <c r="E4999">
        <v>-4.3478260869565188E-2</v>
      </c>
    </row>
    <row r="5000" spans="2:5" x14ac:dyDescent="0.35">
      <c r="B5000" s="2">
        <v>40498</v>
      </c>
      <c r="C5000" s="4">
        <v>123.26</v>
      </c>
      <c r="D5000">
        <f t="shared" si="81"/>
        <v>0.45628544423440465</v>
      </c>
      <c r="E5000">
        <v>-4.360645561762877E-2</v>
      </c>
    </row>
    <row r="5001" spans="2:5" x14ac:dyDescent="0.35">
      <c r="B5001" s="2">
        <v>41333</v>
      </c>
      <c r="C5001" s="4">
        <v>84.64</v>
      </c>
      <c r="D5001">
        <f t="shared" si="81"/>
        <v>1.4669192655202563</v>
      </c>
      <c r="E5001">
        <v>-4.42637759710931E-2</v>
      </c>
    </row>
    <row r="5002" spans="2:5" x14ac:dyDescent="0.35">
      <c r="B5002" s="2">
        <v>37965</v>
      </c>
      <c r="C5002" s="4">
        <v>34.31</v>
      </c>
      <c r="D5002">
        <f t="shared" si="81"/>
        <v>-0.97809697085767178</v>
      </c>
      <c r="E5002">
        <v>-4.4289693593314694E-2</v>
      </c>
    </row>
    <row r="5003" spans="2:5" x14ac:dyDescent="0.35">
      <c r="B5003" s="2">
        <v>44132</v>
      </c>
      <c r="C5003" s="4">
        <v>1566.45</v>
      </c>
      <c r="D5003">
        <f t="shared" si="81"/>
        <v>2.2323263587965831</v>
      </c>
      <c r="E5003">
        <v>-4.4562094772218508E-2</v>
      </c>
    </row>
    <row r="5004" spans="2:5" x14ac:dyDescent="0.35">
      <c r="B5004" s="2">
        <v>42166</v>
      </c>
      <c r="C5004" s="4">
        <v>484.62</v>
      </c>
      <c r="D5004">
        <f t="shared" si="81"/>
        <v>6.2634892086330938</v>
      </c>
      <c r="E5004">
        <v>-4.465077769235315E-2</v>
      </c>
    </row>
    <row r="5005" spans="2:5" x14ac:dyDescent="0.35">
      <c r="B5005" s="2">
        <v>38762</v>
      </c>
      <c r="C5005" s="4">
        <v>66.72</v>
      </c>
      <c r="D5005">
        <f t="shared" si="81"/>
        <v>-0.99341930711379611</v>
      </c>
      <c r="E5005">
        <v>-4.4673539518900407E-2</v>
      </c>
    </row>
    <row r="5006" spans="2:5" x14ac:dyDescent="0.35">
      <c r="B5006" s="2">
        <v>44792</v>
      </c>
      <c r="C5006" s="4">
        <v>10138.75</v>
      </c>
      <c r="D5006">
        <f t="shared" si="81"/>
        <v>128.28780923233867</v>
      </c>
      <c r="E5006">
        <v>-4.4789267157520851E-2</v>
      </c>
    </row>
    <row r="5007" spans="2:5" x14ac:dyDescent="0.35">
      <c r="B5007" s="2">
        <v>40870</v>
      </c>
      <c r="C5007" s="4">
        <v>78.42</v>
      </c>
      <c r="D5007">
        <f t="shared" si="81"/>
        <v>-0.36625181832875375</v>
      </c>
      <c r="E5007">
        <v>-4.4823386114494435E-2</v>
      </c>
    </row>
    <row r="5008" spans="2:5" x14ac:dyDescent="0.35">
      <c r="B5008" s="2">
        <v>40266</v>
      </c>
      <c r="C5008" s="4">
        <v>123.74</v>
      </c>
      <c r="D5008">
        <f t="shared" si="81"/>
        <v>4.8728049359278591</v>
      </c>
      <c r="E5008">
        <v>-4.4847549208799853E-2</v>
      </c>
    </row>
    <row r="5009" spans="2:5" x14ac:dyDescent="0.35">
      <c r="B5009" s="2">
        <v>37711</v>
      </c>
      <c r="C5009" s="4">
        <v>21.07</v>
      </c>
      <c r="D5009">
        <f t="shared" si="81"/>
        <v>-0.69525600231414519</v>
      </c>
      <c r="E5009">
        <v>-4.4877606527651825E-2</v>
      </c>
    </row>
    <row r="5010" spans="2:5" x14ac:dyDescent="0.35">
      <c r="B5010" s="2">
        <v>38826</v>
      </c>
      <c r="C5010" s="4">
        <v>69.14</v>
      </c>
      <c r="D5010">
        <f t="shared" si="81"/>
        <v>-0.25254054054054054</v>
      </c>
      <c r="E5010">
        <v>-4.4895703826495326E-2</v>
      </c>
    </row>
    <row r="5011" spans="2:5" x14ac:dyDescent="0.35">
      <c r="B5011" s="2">
        <v>40584</v>
      </c>
      <c r="C5011" s="4">
        <v>92.5</v>
      </c>
      <c r="D5011">
        <f t="shared" si="81"/>
        <v>6.6405349319806461E-2</v>
      </c>
      <c r="E5011">
        <v>-4.5013421432996026E-2</v>
      </c>
    </row>
    <row r="5012" spans="2:5" x14ac:dyDescent="0.35">
      <c r="B5012" s="2">
        <v>40808</v>
      </c>
      <c r="C5012" s="4">
        <v>86.74</v>
      </c>
      <c r="D5012">
        <f t="shared" si="81"/>
        <v>-0.90954690025548779</v>
      </c>
      <c r="E5012">
        <v>-4.5134302069572918E-2</v>
      </c>
    </row>
    <row r="5013" spans="2:5" x14ac:dyDescent="0.35">
      <c r="B5013" s="2">
        <v>43878</v>
      </c>
      <c r="C5013" s="4">
        <v>958.95</v>
      </c>
      <c r="D5013">
        <f t="shared" si="81"/>
        <v>9.1820981100021228</v>
      </c>
      <c r="E5013">
        <v>-4.584937763051844E-2</v>
      </c>
    </row>
    <row r="5014" spans="2:5" x14ac:dyDescent="0.35">
      <c r="B5014" s="2">
        <v>40598</v>
      </c>
      <c r="C5014" s="4">
        <v>94.18</v>
      </c>
      <c r="D5014">
        <f t="shared" si="81"/>
        <v>-0.11209578580182888</v>
      </c>
      <c r="E5014">
        <v>-4.598865478119929E-2</v>
      </c>
    </row>
    <row r="5015" spans="2:5" x14ac:dyDescent="0.35">
      <c r="B5015" s="2">
        <v>39290</v>
      </c>
      <c r="C5015" s="4">
        <v>106.07</v>
      </c>
      <c r="D5015">
        <f t="shared" si="81"/>
        <v>1.7422440537745603</v>
      </c>
      <c r="E5015">
        <v>-4.6047306412447253E-2</v>
      </c>
    </row>
    <row r="5016" spans="2:5" x14ac:dyDescent="0.35">
      <c r="B5016" s="2">
        <v>37985</v>
      </c>
      <c r="C5016" s="4">
        <v>38.68</v>
      </c>
      <c r="D5016">
        <f t="shared" si="81"/>
        <v>-0.85898651111921254</v>
      </c>
      <c r="E5016">
        <v>-4.6115906288532571E-2</v>
      </c>
    </row>
    <row r="5017" spans="2:5" x14ac:dyDescent="0.35">
      <c r="B5017" s="2">
        <v>41907</v>
      </c>
      <c r="C5017" s="4">
        <v>274.3</v>
      </c>
      <c r="D5017">
        <f t="shared" si="81"/>
        <v>1.7424515096980606</v>
      </c>
      <c r="E5017">
        <v>-4.6178454690868564E-2</v>
      </c>
    </row>
    <row r="5018" spans="2:5" x14ac:dyDescent="0.35">
      <c r="B5018" s="2">
        <v>39122</v>
      </c>
      <c r="C5018" s="4">
        <v>100.02</v>
      </c>
      <c r="D5018">
        <f t="shared" si="81"/>
        <v>1.2461262070514261</v>
      </c>
      <c r="E5018">
        <v>-4.6338672768878708E-2</v>
      </c>
    </row>
    <row r="5019" spans="2:5" x14ac:dyDescent="0.35">
      <c r="B5019" s="2">
        <v>39728</v>
      </c>
      <c r="C5019" s="4">
        <v>44.53</v>
      </c>
      <c r="D5019">
        <f t="shared" si="81"/>
        <v>0.30242761041240152</v>
      </c>
      <c r="E5019">
        <v>-4.6670948405052481E-2</v>
      </c>
    </row>
    <row r="5020" spans="2:5" x14ac:dyDescent="0.35">
      <c r="B5020" s="2">
        <v>39748</v>
      </c>
      <c r="C5020" s="4">
        <v>34.19</v>
      </c>
      <c r="D5020">
        <f t="shared" si="81"/>
        <v>-0.84762456546929321</v>
      </c>
      <c r="E5020">
        <v>-4.6835795929746293E-2</v>
      </c>
    </row>
    <row r="5021" spans="2:5" x14ac:dyDescent="0.35">
      <c r="B5021" s="2">
        <v>41768</v>
      </c>
      <c r="C5021" s="4">
        <v>224.38</v>
      </c>
      <c r="D5021">
        <f t="shared" si="81"/>
        <v>0.92040397124272499</v>
      </c>
      <c r="E5021">
        <v>-4.6854424196083433E-2</v>
      </c>
    </row>
    <row r="5022" spans="2:5" x14ac:dyDescent="0.35">
      <c r="B5022" s="2">
        <v>39239</v>
      </c>
      <c r="C5022" s="4">
        <v>116.84</v>
      </c>
      <c r="D5022">
        <f t="shared" si="81"/>
        <v>2.7174673878460069</v>
      </c>
      <c r="E5022">
        <v>-4.6982055464926509E-2</v>
      </c>
    </row>
    <row r="5023" spans="2:5" x14ac:dyDescent="0.35">
      <c r="B5023" s="2">
        <v>38152</v>
      </c>
      <c r="C5023" s="4">
        <v>31.43</v>
      </c>
      <c r="D5023">
        <f t="shared" si="81"/>
        <v>-0.71090875643855778</v>
      </c>
      <c r="E5023">
        <v>-4.6998180715585147E-2</v>
      </c>
    </row>
    <row r="5024" spans="2:5" x14ac:dyDescent="0.35">
      <c r="B5024" s="2">
        <v>40476</v>
      </c>
      <c r="C5024" s="4">
        <v>108.72</v>
      </c>
      <c r="D5024">
        <f t="shared" si="81"/>
        <v>3.0521803950801347</v>
      </c>
      <c r="E5024">
        <v>-4.7151621384750153E-2</v>
      </c>
    </row>
    <row r="5025" spans="2:5" x14ac:dyDescent="0.35">
      <c r="B5025" s="2">
        <v>37813</v>
      </c>
      <c r="C5025" s="4">
        <v>26.83</v>
      </c>
      <c r="D5025">
        <f t="shared" si="81"/>
        <v>-0.73566502463054184</v>
      </c>
      <c r="E5025">
        <v>-4.7230113636363646E-2</v>
      </c>
    </row>
    <row r="5026" spans="2:5" x14ac:dyDescent="0.35">
      <c r="B5026" s="2">
        <v>40521</v>
      </c>
      <c r="C5026" s="4">
        <v>101.5</v>
      </c>
      <c r="D5026">
        <f t="shared" si="81"/>
        <v>1.8069690265486726</v>
      </c>
      <c r="E5026">
        <v>-4.7395588925387089E-2</v>
      </c>
    </row>
    <row r="5027" spans="2:5" x14ac:dyDescent="0.35">
      <c r="B5027" s="2">
        <v>38002</v>
      </c>
      <c r="C5027" s="4">
        <v>36.159999999999997</v>
      </c>
      <c r="D5027">
        <f t="shared" si="81"/>
        <v>3.4620886981401755E-2</v>
      </c>
      <c r="E5027">
        <v>-4.7418335089568053E-2</v>
      </c>
    </row>
    <row r="5028" spans="2:5" x14ac:dyDescent="0.35">
      <c r="B5028" s="2">
        <v>37461</v>
      </c>
      <c r="C5028" s="4">
        <v>34.950000000000003</v>
      </c>
      <c r="D5028">
        <f t="shared" si="81"/>
        <v>0.32036267472610525</v>
      </c>
      <c r="E5028">
        <v>-4.7424366312346589E-2</v>
      </c>
    </row>
    <row r="5029" spans="2:5" x14ac:dyDescent="0.35">
      <c r="B5029" s="2">
        <v>37882</v>
      </c>
      <c r="C5029" s="4">
        <v>26.47</v>
      </c>
      <c r="D5029">
        <f t="shared" si="81"/>
        <v>-0.96068617258280109</v>
      </c>
      <c r="E5029">
        <v>-4.7499100395825833E-2</v>
      </c>
    </row>
    <row r="5030" spans="2:5" x14ac:dyDescent="0.35">
      <c r="B5030" s="2">
        <v>42878</v>
      </c>
      <c r="C5030" s="4">
        <v>673.3</v>
      </c>
      <c r="D5030">
        <f t="shared" si="81"/>
        <v>-0.54860855049242097</v>
      </c>
      <c r="E5030">
        <v>-4.7544949144869952E-2</v>
      </c>
    </row>
    <row r="5031" spans="2:5" x14ac:dyDescent="0.35">
      <c r="B5031" s="2">
        <v>44133</v>
      </c>
      <c r="C5031" s="4">
        <v>1491.61</v>
      </c>
      <c r="D5031">
        <f t="shared" si="81"/>
        <v>0.59920447722789238</v>
      </c>
      <c r="E5031">
        <v>-4.7776820198538239E-2</v>
      </c>
    </row>
    <row r="5032" spans="2:5" x14ac:dyDescent="0.35">
      <c r="B5032" s="2">
        <v>43390</v>
      </c>
      <c r="C5032" s="4">
        <v>932.72</v>
      </c>
      <c r="D5032">
        <f t="shared" si="81"/>
        <v>15.360638484476407</v>
      </c>
      <c r="E5032">
        <v>-4.7807666785768865E-2</v>
      </c>
    </row>
    <row r="5033" spans="2:5" x14ac:dyDescent="0.35">
      <c r="B5033" s="2">
        <v>39969</v>
      </c>
      <c r="C5033" s="4">
        <v>57.01</v>
      </c>
      <c r="D5033">
        <f t="shared" si="81"/>
        <v>-6.4489661962586098E-2</v>
      </c>
      <c r="E5033">
        <v>-4.7929191716766906E-2</v>
      </c>
    </row>
    <row r="5034" spans="2:5" x14ac:dyDescent="0.35">
      <c r="B5034" s="2">
        <v>39524</v>
      </c>
      <c r="C5034" s="4">
        <v>60.94</v>
      </c>
      <c r="D5034">
        <f t="shared" si="81"/>
        <v>-0.86530810715232964</v>
      </c>
      <c r="E5034">
        <v>-4.7961256053741685E-2</v>
      </c>
    </row>
    <row r="5035" spans="2:5" x14ac:dyDescent="0.35">
      <c r="B5035" s="2">
        <v>42121</v>
      </c>
      <c r="C5035" s="4">
        <v>452.44</v>
      </c>
      <c r="D5035">
        <f t="shared" si="81"/>
        <v>3.2747543461829176</v>
      </c>
      <c r="E5035">
        <v>-4.8436284097840065E-2</v>
      </c>
    </row>
    <row r="5036" spans="2:5" x14ac:dyDescent="0.35">
      <c r="B5036" s="2">
        <v>40385</v>
      </c>
      <c r="C5036" s="4">
        <v>105.84</v>
      </c>
      <c r="D5036">
        <f t="shared" si="81"/>
        <v>0.87327433628318585</v>
      </c>
      <c r="E5036">
        <v>-4.8629213483146083E-2</v>
      </c>
    </row>
    <row r="5037" spans="2:5" x14ac:dyDescent="0.35">
      <c r="B5037" s="2">
        <v>38461</v>
      </c>
      <c r="C5037" s="4">
        <v>56.5</v>
      </c>
      <c r="D5037">
        <f t="shared" si="81"/>
        <v>0.68154761904761907</v>
      </c>
      <c r="E5037">
        <v>-4.8661390806533089E-2</v>
      </c>
    </row>
    <row r="5038" spans="2:5" x14ac:dyDescent="0.35">
      <c r="B5038" s="2">
        <v>38176</v>
      </c>
      <c r="C5038" s="4">
        <v>33.6</v>
      </c>
      <c r="D5038">
        <f t="shared" si="81"/>
        <v>-0.59257911967988353</v>
      </c>
      <c r="E5038">
        <v>-4.8966883668270511E-2</v>
      </c>
    </row>
    <row r="5039" spans="2:5" x14ac:dyDescent="0.35">
      <c r="B5039" s="2">
        <v>40771</v>
      </c>
      <c r="C5039" s="4">
        <v>82.47</v>
      </c>
      <c r="D5039">
        <f t="shared" si="81"/>
        <v>2.8645735707591378</v>
      </c>
      <c r="E5039">
        <v>-4.9008302583025798E-2</v>
      </c>
    </row>
    <row r="5040" spans="2:5" x14ac:dyDescent="0.35">
      <c r="B5040" s="2">
        <v>37741</v>
      </c>
      <c r="C5040" s="4">
        <v>21.34</v>
      </c>
      <c r="D5040">
        <f t="shared" si="81"/>
        <v>-0.80800719748088168</v>
      </c>
      <c r="E5040">
        <v>-4.9019607843137303E-2</v>
      </c>
    </row>
    <row r="5041" spans="2:5" x14ac:dyDescent="0.35">
      <c r="B5041" s="2">
        <v>40561</v>
      </c>
      <c r="C5041" s="4">
        <v>111.15</v>
      </c>
      <c r="D5041">
        <f t="shared" si="81"/>
        <v>-0.79938271604938271</v>
      </c>
      <c r="E5041">
        <v>-4.9024640657084118E-2</v>
      </c>
    </row>
    <row r="5042" spans="2:5" x14ac:dyDescent="0.35">
      <c r="B5042" s="2">
        <v>42076</v>
      </c>
      <c r="C5042" s="4">
        <v>554.04</v>
      </c>
      <c r="D5042">
        <f t="shared" si="81"/>
        <v>4.6824615384615385</v>
      </c>
      <c r="E5042">
        <v>-4.9201146367833126E-2</v>
      </c>
    </row>
    <row r="5043" spans="2:5" x14ac:dyDescent="0.35">
      <c r="B5043" s="2">
        <v>39143</v>
      </c>
      <c r="C5043" s="4">
        <v>97.5</v>
      </c>
      <c r="D5043">
        <f t="shared" si="81"/>
        <v>3.0506855006231826</v>
      </c>
      <c r="E5043">
        <v>-4.9244271087274472E-2</v>
      </c>
    </row>
    <row r="5044" spans="2:5" x14ac:dyDescent="0.35">
      <c r="B5044" s="2">
        <v>38068</v>
      </c>
      <c r="C5044" s="4">
        <v>24.07</v>
      </c>
      <c r="D5044">
        <f t="shared" si="81"/>
        <v>-0.34787320509347053</v>
      </c>
      <c r="E5044">
        <v>-4.9368088467614535E-2</v>
      </c>
    </row>
    <row r="5045" spans="2:5" x14ac:dyDescent="0.35">
      <c r="B5045" s="2">
        <v>39731</v>
      </c>
      <c r="C5045" s="4">
        <v>36.909999999999997</v>
      </c>
      <c r="D5045">
        <f t="shared" si="81"/>
        <v>-0.96327472811756865</v>
      </c>
      <c r="E5045">
        <v>-4.9446304403811481E-2</v>
      </c>
    </row>
    <row r="5046" spans="2:5" x14ac:dyDescent="0.35">
      <c r="B5046" s="2">
        <v>43875</v>
      </c>
      <c r="C5046" s="4">
        <v>1005.03</v>
      </c>
      <c r="D5046">
        <f t="shared" si="81"/>
        <v>0.30218968644726618</v>
      </c>
      <c r="E5046">
        <v>-4.9670940655849316E-2</v>
      </c>
    </row>
    <row r="5047" spans="2:5" x14ac:dyDescent="0.35">
      <c r="B5047" s="2">
        <v>42426</v>
      </c>
      <c r="C5047" s="4">
        <v>771.8</v>
      </c>
      <c r="D5047">
        <f t="shared" si="81"/>
        <v>25.251700680272108</v>
      </c>
      <c r="E5047">
        <v>-4.9764842037871571E-2</v>
      </c>
    </row>
    <row r="5048" spans="2:5" x14ac:dyDescent="0.35">
      <c r="B5048" s="2">
        <v>37908</v>
      </c>
      <c r="C5048" s="4">
        <v>29.4</v>
      </c>
      <c r="D5048">
        <f t="shared" si="81"/>
        <v>-0.69765528589058001</v>
      </c>
      <c r="E5048">
        <v>-4.9773755656108642E-2</v>
      </c>
    </row>
    <row r="5049" spans="2:5" x14ac:dyDescent="0.35">
      <c r="B5049" s="2">
        <v>39422</v>
      </c>
      <c r="C5049" s="4">
        <v>97.24</v>
      </c>
      <c r="D5049">
        <f t="shared" si="81"/>
        <v>0.7029772329246935</v>
      </c>
      <c r="E5049">
        <v>-4.9833887043189473E-2</v>
      </c>
    </row>
    <row r="5050" spans="2:5" x14ac:dyDescent="0.35">
      <c r="B5050" s="2">
        <v>39706</v>
      </c>
      <c r="C5050" s="4">
        <v>57.1</v>
      </c>
      <c r="D5050">
        <f t="shared" si="81"/>
        <v>-0.39875750236916918</v>
      </c>
      <c r="E5050">
        <v>-5.0390819890237859E-2</v>
      </c>
    </row>
    <row r="5051" spans="2:5" x14ac:dyDescent="0.35">
      <c r="B5051" s="2">
        <v>39125</v>
      </c>
      <c r="C5051" s="4">
        <v>94.97</v>
      </c>
      <c r="D5051">
        <f t="shared" si="81"/>
        <v>2.1281291172595522</v>
      </c>
      <c r="E5051">
        <v>-5.0489902019596022E-2</v>
      </c>
    </row>
    <row r="5052" spans="2:5" x14ac:dyDescent="0.35">
      <c r="B5052" s="2">
        <v>37593</v>
      </c>
      <c r="C5052" s="4">
        <v>30.36</v>
      </c>
      <c r="D5052">
        <f t="shared" si="81"/>
        <v>-0.21671826625386992</v>
      </c>
      <c r="E5052">
        <v>-5.0656660412757959E-2</v>
      </c>
    </row>
    <row r="5053" spans="2:5" x14ac:dyDescent="0.35">
      <c r="B5053" s="2">
        <v>39744</v>
      </c>
      <c r="C5053" s="4">
        <v>38.76</v>
      </c>
      <c r="D5053">
        <f t="shared" si="81"/>
        <v>-0.48885665303969406</v>
      </c>
      <c r="E5053">
        <v>-5.0698016164584914E-2</v>
      </c>
    </row>
    <row r="5054" spans="2:5" x14ac:dyDescent="0.35">
      <c r="B5054" s="2">
        <v>41450</v>
      </c>
      <c r="C5054" s="4">
        <v>75.83</v>
      </c>
      <c r="D5054">
        <f t="shared" si="81"/>
        <v>-0.99145177745086432</v>
      </c>
      <c r="E5054">
        <v>-5.0938673341677232E-2</v>
      </c>
    </row>
    <row r="5055" spans="2:5" x14ac:dyDescent="0.35">
      <c r="B5055" s="2">
        <v>44802</v>
      </c>
      <c r="C5055" s="4">
        <v>8870.85</v>
      </c>
      <c r="D5055">
        <f t="shared" si="81"/>
        <v>88.468986384266259</v>
      </c>
      <c r="E5055">
        <v>-5.1144507433950159E-2</v>
      </c>
    </row>
    <row r="5056" spans="2:5" x14ac:dyDescent="0.35">
      <c r="B5056" s="2">
        <v>39385</v>
      </c>
      <c r="C5056" s="4">
        <v>99.15</v>
      </c>
      <c r="D5056">
        <f t="shared" si="81"/>
        <v>-0.88433136177510241</v>
      </c>
      <c r="E5056">
        <v>-5.1196172248803795E-2</v>
      </c>
    </row>
    <row r="5057" spans="2:5" x14ac:dyDescent="0.35">
      <c r="B5057" s="2">
        <v>43889</v>
      </c>
      <c r="C5057" s="4">
        <v>857.19</v>
      </c>
      <c r="D5057">
        <f t="shared" si="81"/>
        <v>7.7602452733776204</v>
      </c>
      <c r="E5057">
        <v>-5.1214220884156392E-2</v>
      </c>
    </row>
    <row r="5058" spans="2:5" x14ac:dyDescent="0.35">
      <c r="B5058" s="2">
        <v>39136</v>
      </c>
      <c r="C5058" s="4">
        <v>97.85</v>
      </c>
      <c r="D5058">
        <f t="shared" si="81"/>
        <v>-0.61768383214815969</v>
      </c>
      <c r="E5058">
        <v>-5.1381483276781492E-2</v>
      </c>
    </row>
    <row r="5059" spans="2:5" x14ac:dyDescent="0.35">
      <c r="B5059" s="2">
        <v>41989</v>
      </c>
      <c r="C5059" s="4">
        <v>255.94</v>
      </c>
      <c r="D5059">
        <f t="shared" si="81"/>
        <v>-0.83314100934238233</v>
      </c>
      <c r="E5059">
        <v>-5.1512007115327552E-2</v>
      </c>
    </row>
    <row r="5060" spans="2:5" x14ac:dyDescent="0.35">
      <c r="B5060" s="2">
        <v>44186</v>
      </c>
      <c r="C5060" s="4">
        <v>1533.87</v>
      </c>
      <c r="D5060">
        <f t="shared" ref="D5060:D5123" si="82">C5060/C5061-1</f>
        <v>0.6053901303050917</v>
      </c>
      <c r="E5060">
        <v>-5.1679794245298227E-2</v>
      </c>
    </row>
    <row r="5061" spans="2:5" x14ac:dyDescent="0.35">
      <c r="B5061" s="2">
        <v>43894</v>
      </c>
      <c r="C5061" s="4">
        <v>955.45</v>
      </c>
      <c r="D5061">
        <f t="shared" si="82"/>
        <v>-0.82326969106184311</v>
      </c>
      <c r="E5061">
        <v>-5.1935423054406127E-2</v>
      </c>
    </row>
    <row r="5062" spans="2:5" x14ac:dyDescent="0.35">
      <c r="B5062" s="2">
        <v>44550</v>
      </c>
      <c r="C5062" s="4">
        <v>5406.26</v>
      </c>
      <c r="D5062">
        <f t="shared" si="82"/>
        <v>3.987554776511832</v>
      </c>
      <c r="E5062">
        <v>-5.21319868153447E-2</v>
      </c>
    </row>
    <row r="5063" spans="2:5" x14ac:dyDescent="0.35">
      <c r="B5063" s="2">
        <v>43224</v>
      </c>
      <c r="C5063" s="4">
        <v>1083.95</v>
      </c>
      <c r="D5063">
        <f t="shared" si="82"/>
        <v>3.7115969747022515</v>
      </c>
      <c r="E5063">
        <v>-5.2267580635289801E-2</v>
      </c>
    </row>
    <row r="5064" spans="2:5" x14ac:dyDescent="0.35">
      <c r="B5064" s="2">
        <v>41803</v>
      </c>
      <c r="C5064" s="4">
        <v>230.06</v>
      </c>
      <c r="D5064">
        <f t="shared" si="82"/>
        <v>-0.71653523903400695</v>
      </c>
      <c r="E5064">
        <v>-5.2315043664524552E-2</v>
      </c>
    </row>
    <row r="5065" spans="2:5" x14ac:dyDescent="0.35">
      <c r="B5065" s="2">
        <v>42251</v>
      </c>
      <c r="C5065" s="4">
        <v>811.6</v>
      </c>
      <c r="D5065">
        <f t="shared" si="82"/>
        <v>18.877541023757043</v>
      </c>
      <c r="E5065">
        <v>-5.2334135120618352E-2</v>
      </c>
    </row>
    <row r="5066" spans="2:5" x14ac:dyDescent="0.35">
      <c r="B5066" s="2">
        <v>39743</v>
      </c>
      <c r="C5066" s="4">
        <v>40.83</v>
      </c>
      <c r="D5066">
        <f t="shared" si="82"/>
        <v>-0.95013312489313373</v>
      </c>
      <c r="E5066">
        <v>-5.2448363889533667E-2</v>
      </c>
    </row>
    <row r="5067" spans="2:5" x14ac:dyDescent="0.35">
      <c r="B5067" s="2">
        <v>42424</v>
      </c>
      <c r="C5067" s="4">
        <v>818.78</v>
      </c>
      <c r="D5067">
        <f t="shared" si="82"/>
        <v>7.4332063034298077</v>
      </c>
      <c r="E5067">
        <v>-5.2699779019587556E-2</v>
      </c>
    </row>
    <row r="5068" spans="2:5" x14ac:dyDescent="0.35">
      <c r="B5068" s="2">
        <v>39174</v>
      </c>
      <c r="C5068" s="4">
        <v>97.09</v>
      </c>
      <c r="D5068">
        <f t="shared" si="82"/>
        <v>0.11597701149425288</v>
      </c>
      <c r="E5068">
        <v>-5.2780487804877985E-2</v>
      </c>
    </row>
    <row r="5069" spans="2:5" x14ac:dyDescent="0.35">
      <c r="B5069" s="2">
        <v>41353</v>
      </c>
      <c r="C5069" s="4">
        <v>87</v>
      </c>
      <c r="D5069">
        <f t="shared" si="82"/>
        <v>0.66093928980526906</v>
      </c>
      <c r="E5069">
        <v>-5.2803483941208484E-2</v>
      </c>
    </row>
    <row r="5070" spans="2:5" x14ac:dyDescent="0.35">
      <c r="B5070" s="2">
        <v>39709</v>
      </c>
      <c r="C5070" s="4">
        <v>52.38</v>
      </c>
      <c r="D5070">
        <f t="shared" si="82"/>
        <v>-0.46860099421730739</v>
      </c>
      <c r="E5070">
        <v>-5.297414572410053E-2</v>
      </c>
    </row>
    <row r="5071" spans="2:5" x14ac:dyDescent="0.35">
      <c r="B5071" s="2">
        <v>39455</v>
      </c>
      <c r="C5071" s="4">
        <v>98.57</v>
      </c>
      <c r="D5071">
        <f t="shared" si="82"/>
        <v>-0.95771233922795096</v>
      </c>
      <c r="E5071">
        <v>-5.3031030838697424E-2</v>
      </c>
    </row>
    <row r="5072" spans="2:5" x14ac:dyDescent="0.35">
      <c r="B5072" s="2">
        <v>44211</v>
      </c>
      <c r="C5072" s="4">
        <v>2330.94</v>
      </c>
      <c r="D5072">
        <f t="shared" si="82"/>
        <v>-0.72607823482198153</v>
      </c>
      <c r="E5072">
        <v>-5.3148534800022795E-2</v>
      </c>
    </row>
    <row r="5073" spans="2:5" x14ac:dyDescent="0.35">
      <c r="B5073" s="2">
        <v>44649</v>
      </c>
      <c r="C5073" s="4">
        <v>8509.51</v>
      </c>
      <c r="D5073">
        <f t="shared" si="82"/>
        <v>91.204030772564735</v>
      </c>
      <c r="E5073">
        <v>-5.3416628567551028E-2</v>
      </c>
    </row>
    <row r="5074" spans="2:5" x14ac:dyDescent="0.35">
      <c r="B5074" s="2">
        <v>39146</v>
      </c>
      <c r="C5074" s="4">
        <v>92.29</v>
      </c>
      <c r="D5074">
        <f t="shared" si="82"/>
        <v>-0.23493326701483863</v>
      </c>
      <c r="E5074">
        <v>-5.3435897435897384E-2</v>
      </c>
    </row>
    <row r="5075" spans="2:5" x14ac:dyDescent="0.35">
      <c r="B5075" s="2">
        <v>39232</v>
      </c>
      <c r="C5075" s="4">
        <v>120.63</v>
      </c>
      <c r="D5075">
        <f t="shared" si="82"/>
        <v>0.2815255497715925</v>
      </c>
      <c r="E5075">
        <v>-5.3659684631678028E-2</v>
      </c>
    </row>
    <row r="5076" spans="2:5" x14ac:dyDescent="0.35">
      <c r="B5076" s="2">
        <v>40323</v>
      </c>
      <c r="C5076" s="4">
        <v>94.13</v>
      </c>
      <c r="D5076">
        <f t="shared" si="82"/>
        <v>-0.89603490170090572</v>
      </c>
      <c r="E5076">
        <v>-5.3969849246231161E-2</v>
      </c>
    </row>
    <row r="5077" spans="2:5" x14ac:dyDescent="0.35">
      <c r="B5077" s="2">
        <v>43899</v>
      </c>
      <c r="C5077" s="4">
        <v>905.4</v>
      </c>
      <c r="D5077">
        <f t="shared" si="82"/>
        <v>0.81548394858735551</v>
      </c>
      <c r="E5077">
        <v>-5.4116172168825805E-2</v>
      </c>
    </row>
    <row r="5078" spans="2:5" x14ac:dyDescent="0.35">
      <c r="B5078" s="2">
        <v>42689</v>
      </c>
      <c r="C5078" s="4">
        <v>498.71</v>
      </c>
      <c r="D5078">
        <f t="shared" si="82"/>
        <v>5.4052144875417412</v>
      </c>
      <c r="E5078">
        <v>-5.421960933055181E-2</v>
      </c>
    </row>
    <row r="5079" spans="2:5" x14ac:dyDescent="0.35">
      <c r="B5079" s="2">
        <v>38852</v>
      </c>
      <c r="C5079" s="4">
        <v>77.86</v>
      </c>
      <c r="D5079">
        <f t="shared" si="82"/>
        <v>0.44506310319227915</v>
      </c>
      <c r="E5079">
        <v>-5.4293696101056721E-2</v>
      </c>
    </row>
    <row r="5080" spans="2:5" x14ac:dyDescent="0.35">
      <c r="B5080" s="2">
        <v>39972</v>
      </c>
      <c r="C5080" s="4">
        <v>53.88</v>
      </c>
      <c r="D5080">
        <f t="shared" si="82"/>
        <v>0.24405449087970443</v>
      </c>
      <c r="E5080">
        <v>-5.4902648658130104E-2</v>
      </c>
    </row>
    <row r="5081" spans="2:5" x14ac:dyDescent="0.35">
      <c r="B5081" s="2">
        <v>38224</v>
      </c>
      <c r="C5081" s="4">
        <v>43.31</v>
      </c>
      <c r="D5081">
        <f t="shared" si="82"/>
        <v>-0.94891423583670487</v>
      </c>
      <c r="E5081">
        <v>-5.5191972076788831E-2</v>
      </c>
    </row>
    <row r="5082" spans="2:5" x14ac:dyDescent="0.35">
      <c r="B5082" s="2">
        <v>42347</v>
      </c>
      <c r="C5082" s="4">
        <v>847.79</v>
      </c>
      <c r="D5082">
        <f t="shared" si="82"/>
        <v>2.7549384356453182</v>
      </c>
      <c r="E5082">
        <v>-5.5271398165791963E-2</v>
      </c>
    </row>
    <row r="5083" spans="2:5" x14ac:dyDescent="0.35">
      <c r="B5083" s="2">
        <v>41785</v>
      </c>
      <c r="C5083" s="4">
        <v>225.78</v>
      </c>
      <c r="D5083">
        <f t="shared" si="82"/>
        <v>1.8998201900847675</v>
      </c>
      <c r="E5083">
        <v>-5.5274279258546444E-2</v>
      </c>
    </row>
    <row r="5084" spans="2:5" x14ac:dyDescent="0.35">
      <c r="B5084" s="2">
        <v>38971</v>
      </c>
      <c r="C5084" s="4">
        <v>77.86</v>
      </c>
      <c r="D5084">
        <f t="shared" si="82"/>
        <v>0.36357267950963212</v>
      </c>
      <c r="E5084">
        <v>-5.5440980225646141E-2</v>
      </c>
    </row>
    <row r="5085" spans="2:5" x14ac:dyDescent="0.35">
      <c r="B5085" s="2">
        <v>40120</v>
      </c>
      <c r="C5085" s="4">
        <v>57.1</v>
      </c>
      <c r="D5085">
        <f t="shared" si="82"/>
        <v>-0.90250648818467427</v>
      </c>
      <c r="E5085">
        <v>-5.557393317896131E-2</v>
      </c>
    </row>
    <row r="5086" spans="2:5" x14ac:dyDescent="0.35">
      <c r="B5086" s="2">
        <v>43920</v>
      </c>
      <c r="C5086" s="4">
        <v>585.67999999999995</v>
      </c>
      <c r="D5086">
        <f t="shared" si="82"/>
        <v>5.7172840922124095</v>
      </c>
      <c r="E5086">
        <v>-5.6252920607808843E-2</v>
      </c>
    </row>
    <row r="5087" spans="2:5" x14ac:dyDescent="0.35">
      <c r="B5087" s="2">
        <v>41331</v>
      </c>
      <c r="C5087" s="4">
        <v>87.19</v>
      </c>
      <c r="D5087">
        <f t="shared" si="82"/>
        <v>9.9911694209663171E-2</v>
      </c>
      <c r="E5087">
        <v>-5.6283147526788646E-2</v>
      </c>
    </row>
    <row r="5088" spans="2:5" x14ac:dyDescent="0.35">
      <c r="B5088" s="2">
        <v>39063</v>
      </c>
      <c r="C5088" s="4">
        <v>79.27</v>
      </c>
      <c r="D5088">
        <f t="shared" si="82"/>
        <v>-0.92539715404306577</v>
      </c>
      <c r="E5088">
        <v>-5.6309523809523809E-2</v>
      </c>
    </row>
    <row r="5089" spans="2:5" x14ac:dyDescent="0.35">
      <c r="B5089" s="2">
        <v>44074</v>
      </c>
      <c r="C5089" s="4">
        <v>1062.56</v>
      </c>
      <c r="D5089">
        <f t="shared" si="82"/>
        <v>-0.82288423200272032</v>
      </c>
      <c r="E5089">
        <v>-5.6399690960597493E-2</v>
      </c>
    </row>
    <row r="5090" spans="2:5" x14ac:dyDescent="0.35">
      <c r="B5090" s="2">
        <v>44522</v>
      </c>
      <c r="C5090" s="4">
        <v>5999.24</v>
      </c>
      <c r="D5090">
        <f t="shared" si="82"/>
        <v>6.3346618903818177</v>
      </c>
      <c r="E5090">
        <v>-5.6479972823180846E-2</v>
      </c>
    </row>
    <row r="5091" spans="2:5" x14ac:dyDescent="0.35">
      <c r="B5091" s="2">
        <v>42384</v>
      </c>
      <c r="C5091" s="4">
        <v>817.93</v>
      </c>
      <c r="D5091">
        <f t="shared" si="82"/>
        <v>2.0810637736844084</v>
      </c>
      <c r="E5091">
        <v>-5.6836788819446094E-2</v>
      </c>
    </row>
    <row r="5092" spans="2:5" x14ac:dyDescent="0.35">
      <c r="B5092" s="2">
        <v>41828</v>
      </c>
      <c r="C5092" s="4">
        <v>265.47000000000003</v>
      </c>
      <c r="D5092">
        <f t="shared" si="82"/>
        <v>-0.96085183066024105</v>
      </c>
      <c r="E5092">
        <v>-5.6844423917291387E-2</v>
      </c>
    </row>
    <row r="5093" spans="2:5" x14ac:dyDescent="0.35">
      <c r="B5093" s="2">
        <v>44691</v>
      </c>
      <c r="C5093" s="4">
        <v>6781.16</v>
      </c>
      <c r="D5093">
        <f t="shared" si="82"/>
        <v>11.607667422749413</v>
      </c>
      <c r="E5093">
        <v>-5.6951498328391859E-2</v>
      </c>
    </row>
    <row r="5094" spans="2:5" x14ac:dyDescent="0.35">
      <c r="B5094" s="2">
        <v>42157</v>
      </c>
      <c r="C5094" s="4">
        <v>537.86</v>
      </c>
      <c r="D5094">
        <f t="shared" si="82"/>
        <v>16.698585060875288</v>
      </c>
      <c r="E5094">
        <v>-5.7047685834502038E-2</v>
      </c>
    </row>
    <row r="5095" spans="2:5" x14ac:dyDescent="0.35">
      <c r="B5095" s="2">
        <v>38135</v>
      </c>
      <c r="C5095" s="4">
        <v>30.39</v>
      </c>
      <c r="D5095">
        <f t="shared" si="82"/>
        <v>-0.12142237640936693</v>
      </c>
      <c r="E5095">
        <v>-5.7089668011169659E-2</v>
      </c>
    </row>
    <row r="5096" spans="2:5" x14ac:dyDescent="0.35">
      <c r="B5096" s="2">
        <v>37459</v>
      </c>
      <c r="C5096" s="4">
        <v>34.590000000000003</v>
      </c>
      <c r="D5096">
        <f t="shared" si="82"/>
        <v>0.21752903907074983</v>
      </c>
      <c r="E5096">
        <v>-5.7236304170073415E-2</v>
      </c>
    </row>
    <row r="5097" spans="2:5" x14ac:dyDescent="0.35">
      <c r="B5097" s="2">
        <v>38104</v>
      </c>
      <c r="C5097" s="4">
        <v>28.41</v>
      </c>
      <c r="D5097">
        <f t="shared" si="82"/>
        <v>0.2017766497461928</v>
      </c>
      <c r="E5097">
        <v>-5.7398805573988021E-2</v>
      </c>
    </row>
    <row r="5098" spans="2:5" x14ac:dyDescent="0.35">
      <c r="B5098" s="2">
        <v>37782</v>
      </c>
      <c r="C5098" s="4">
        <v>23.64</v>
      </c>
      <c r="D5098">
        <f t="shared" si="82"/>
        <v>-0.75446614042376403</v>
      </c>
      <c r="E5098">
        <v>-5.7416267942583699E-2</v>
      </c>
    </row>
    <row r="5099" spans="2:5" x14ac:dyDescent="0.35">
      <c r="B5099" s="2">
        <v>41114</v>
      </c>
      <c r="C5099" s="4">
        <v>96.28</v>
      </c>
      <c r="D5099">
        <f t="shared" si="82"/>
        <v>-0.15387995430178403</v>
      </c>
      <c r="E5099">
        <v>-5.7833447499755275E-2</v>
      </c>
    </row>
    <row r="5100" spans="2:5" x14ac:dyDescent="0.35">
      <c r="B5100" s="2">
        <v>40501</v>
      </c>
      <c r="C5100" s="4">
        <v>113.79</v>
      </c>
      <c r="D5100">
        <f t="shared" si="82"/>
        <v>3.3796674843281638E-2</v>
      </c>
      <c r="E5100">
        <v>-5.7951817203410916E-2</v>
      </c>
    </row>
    <row r="5101" spans="2:5" x14ac:dyDescent="0.35">
      <c r="B5101" s="2">
        <v>40507</v>
      </c>
      <c r="C5101" s="4">
        <v>110.07</v>
      </c>
      <c r="D5101">
        <f t="shared" si="82"/>
        <v>-0.79125734875782283</v>
      </c>
      <c r="E5101">
        <v>-5.8103713845627292E-2</v>
      </c>
    </row>
    <row r="5102" spans="2:5" x14ac:dyDescent="0.35">
      <c r="B5102" s="2">
        <v>42685</v>
      </c>
      <c r="C5102" s="4">
        <v>527.29999999999995</v>
      </c>
      <c r="D5102">
        <f t="shared" si="82"/>
        <v>4.1086694702758164E-2</v>
      </c>
      <c r="E5102">
        <v>-5.8174219015128648E-2</v>
      </c>
    </row>
    <row r="5103" spans="2:5" x14ac:dyDescent="0.35">
      <c r="B5103" s="2">
        <v>42158</v>
      </c>
      <c r="C5103" s="4">
        <v>506.49</v>
      </c>
      <c r="D5103">
        <f t="shared" si="82"/>
        <v>-0.35977297720923762</v>
      </c>
      <c r="E5103">
        <v>-5.8323727363998046E-2</v>
      </c>
    </row>
    <row r="5104" spans="2:5" x14ac:dyDescent="0.35">
      <c r="B5104" s="2">
        <v>42227</v>
      </c>
      <c r="C5104" s="4">
        <v>791.11</v>
      </c>
      <c r="D5104">
        <f t="shared" si="82"/>
        <v>9.5312832800851961</v>
      </c>
      <c r="E5104">
        <v>-5.8762641284949457E-2</v>
      </c>
    </row>
    <row r="5105" spans="2:5" x14ac:dyDescent="0.35">
      <c r="B5105" s="2">
        <v>40774</v>
      </c>
      <c r="C5105" s="4">
        <v>75.12</v>
      </c>
      <c r="D5105">
        <f t="shared" si="82"/>
        <v>-0.97394850737986904</v>
      </c>
      <c r="E5105">
        <v>-5.9236067626800115E-2</v>
      </c>
    </row>
    <row r="5106" spans="2:5" x14ac:dyDescent="0.35">
      <c r="B5106" s="2">
        <v>44298</v>
      </c>
      <c r="C5106" s="4">
        <v>2883.52</v>
      </c>
      <c r="D5106">
        <f t="shared" si="82"/>
        <v>5.0645676909163564</v>
      </c>
      <c r="E5106">
        <v>-5.9600100447775306E-2</v>
      </c>
    </row>
    <row r="5107" spans="2:5" x14ac:dyDescent="0.35">
      <c r="B5107" s="2">
        <v>42118</v>
      </c>
      <c r="C5107" s="4">
        <v>475.47</v>
      </c>
      <c r="D5107">
        <f t="shared" si="82"/>
        <v>5.5177518848526388</v>
      </c>
      <c r="E5107">
        <v>-5.9685553248294165E-2</v>
      </c>
    </row>
    <row r="5108" spans="2:5" x14ac:dyDescent="0.35">
      <c r="B5108" s="2">
        <v>39619</v>
      </c>
      <c r="C5108" s="4">
        <v>72.95</v>
      </c>
      <c r="D5108">
        <f t="shared" si="82"/>
        <v>0.22255739902798721</v>
      </c>
      <c r="E5108">
        <v>-5.9922680412371032E-2</v>
      </c>
    </row>
    <row r="5109" spans="2:5" x14ac:dyDescent="0.35">
      <c r="B5109" s="2">
        <v>38894</v>
      </c>
      <c r="C5109" s="4">
        <v>59.67</v>
      </c>
      <c r="D5109">
        <f t="shared" si="82"/>
        <v>0.5993031358885017</v>
      </c>
      <c r="E5109">
        <v>-6.0166955426051327E-2</v>
      </c>
    </row>
    <row r="5110" spans="2:5" x14ac:dyDescent="0.35">
      <c r="B5110" s="2">
        <v>37452</v>
      </c>
      <c r="C5110" s="4">
        <v>37.31</v>
      </c>
      <c r="D5110">
        <f t="shared" si="82"/>
        <v>-0.45524894145130668</v>
      </c>
      <c r="E5110">
        <v>-6.0438176781667075E-2</v>
      </c>
    </row>
    <row r="5111" spans="2:5" x14ac:dyDescent="0.35">
      <c r="B5111" s="2">
        <v>38814</v>
      </c>
      <c r="C5111" s="4">
        <v>68.489999999999995</v>
      </c>
      <c r="D5111">
        <f t="shared" si="82"/>
        <v>3.3655297313612831E-2</v>
      </c>
      <c r="E5111">
        <v>-6.0622685502674578E-2</v>
      </c>
    </row>
    <row r="5112" spans="2:5" x14ac:dyDescent="0.35">
      <c r="B5112" s="2">
        <v>38868</v>
      </c>
      <c r="C5112" s="4">
        <v>66.260000000000005</v>
      </c>
      <c r="D5112">
        <f t="shared" si="82"/>
        <v>-0.9056273233538904</v>
      </c>
      <c r="E5112">
        <v>-6.1738884168790698E-2</v>
      </c>
    </row>
    <row r="5113" spans="2:5" x14ac:dyDescent="0.35">
      <c r="B5113" s="2">
        <v>43907</v>
      </c>
      <c r="C5113" s="4">
        <v>702.11</v>
      </c>
      <c r="D5113">
        <f t="shared" si="82"/>
        <v>4.1245164586526535</v>
      </c>
      <c r="E5113">
        <v>-6.1826879392821832E-2</v>
      </c>
    </row>
    <row r="5114" spans="2:5" x14ac:dyDescent="0.35">
      <c r="B5114" s="2">
        <v>41613</v>
      </c>
      <c r="C5114" s="4">
        <v>137.01</v>
      </c>
      <c r="D5114">
        <f t="shared" si="82"/>
        <v>-0.7787592042371787</v>
      </c>
      <c r="E5114">
        <v>-6.2153467040865329E-2</v>
      </c>
    </row>
    <row r="5115" spans="2:5" x14ac:dyDescent="0.35">
      <c r="B5115" s="2">
        <v>43747</v>
      </c>
      <c r="C5115" s="4">
        <v>619.28</v>
      </c>
      <c r="D5115">
        <f t="shared" si="82"/>
        <v>19.060900550696466</v>
      </c>
      <c r="E5115">
        <v>-6.2478237832109595E-2</v>
      </c>
    </row>
    <row r="5116" spans="2:5" x14ac:dyDescent="0.35">
      <c r="B5116" s="2">
        <v>38036</v>
      </c>
      <c r="C5116" s="4">
        <v>30.87</v>
      </c>
      <c r="D5116">
        <f t="shared" si="82"/>
        <v>-0.95308011490584099</v>
      </c>
      <c r="E5116">
        <v>-6.2556938961433328E-2</v>
      </c>
    </row>
    <row r="5117" spans="2:5" x14ac:dyDescent="0.35">
      <c r="B5117" s="2">
        <v>43908</v>
      </c>
      <c r="C5117" s="4">
        <v>657.93</v>
      </c>
      <c r="D5117">
        <f t="shared" si="82"/>
        <v>20.960280373831772</v>
      </c>
      <c r="E5117">
        <v>-6.2924612952386494E-2</v>
      </c>
    </row>
    <row r="5118" spans="2:5" x14ac:dyDescent="0.35">
      <c r="B5118" s="2">
        <v>37466</v>
      </c>
      <c r="C5118" s="4">
        <v>29.96</v>
      </c>
      <c r="D5118">
        <f t="shared" si="82"/>
        <v>-0.96582795355521589</v>
      </c>
      <c r="E5118">
        <v>-6.3164477798624108E-2</v>
      </c>
    </row>
    <row r="5119" spans="2:5" x14ac:dyDescent="0.35">
      <c r="B5119" s="2">
        <v>42488</v>
      </c>
      <c r="C5119" s="4">
        <v>876.74</v>
      </c>
      <c r="D5119">
        <f t="shared" si="82"/>
        <v>27.963990749917411</v>
      </c>
      <c r="E5119">
        <v>-6.376208019648677E-2</v>
      </c>
    </row>
    <row r="5120" spans="2:5" x14ac:dyDescent="0.35">
      <c r="B5120" s="2">
        <v>38118</v>
      </c>
      <c r="C5120" s="4">
        <v>30.27</v>
      </c>
      <c r="D5120">
        <f t="shared" si="82"/>
        <v>-0.69784388101417449</v>
      </c>
      <c r="E5120">
        <v>-6.4007421150278354E-2</v>
      </c>
    </row>
    <row r="5121" spans="2:5" x14ac:dyDescent="0.35">
      <c r="B5121" s="2">
        <v>40317</v>
      </c>
      <c r="C5121" s="4">
        <v>100.18</v>
      </c>
      <c r="D5121">
        <f t="shared" si="82"/>
        <v>8.0806991045420329E-2</v>
      </c>
      <c r="E5121">
        <v>-6.4612511671335082E-2</v>
      </c>
    </row>
    <row r="5122" spans="2:5" x14ac:dyDescent="0.35">
      <c r="B5122" s="2">
        <v>39386</v>
      </c>
      <c r="C5122" s="4">
        <v>92.69</v>
      </c>
      <c r="D5122">
        <f t="shared" si="82"/>
        <v>-0.98652042586670508</v>
      </c>
      <c r="E5122">
        <v>-6.5153807362582028E-2</v>
      </c>
    </row>
    <row r="5123" spans="2:5" x14ac:dyDescent="0.35">
      <c r="B5123" s="2">
        <v>44606</v>
      </c>
      <c r="C5123" s="4">
        <v>6876.33</v>
      </c>
      <c r="D5123">
        <f t="shared" si="82"/>
        <v>26.52513809943159</v>
      </c>
      <c r="E5123">
        <v>-6.572999588321371E-2</v>
      </c>
    </row>
    <row r="5124" spans="2:5" x14ac:dyDescent="0.35">
      <c r="B5124" s="2">
        <v>41705</v>
      </c>
      <c r="C5124" s="4">
        <v>249.82</v>
      </c>
      <c r="D5124">
        <f t="shared" ref="D5124:D5187" si="83">C5124/C5125-1</f>
        <v>2.859416035841186</v>
      </c>
      <c r="E5124">
        <v>-6.574420344053844E-2</v>
      </c>
    </row>
    <row r="5125" spans="2:5" x14ac:dyDescent="0.35">
      <c r="B5125" s="2">
        <v>39514</v>
      </c>
      <c r="C5125" s="4">
        <v>64.73</v>
      </c>
      <c r="D5125">
        <f t="shared" si="83"/>
        <v>-0.93428026072654169</v>
      </c>
      <c r="E5125">
        <v>-6.5810362245634302E-2</v>
      </c>
    </row>
    <row r="5126" spans="2:5" x14ac:dyDescent="0.35">
      <c r="B5126" s="2">
        <v>42403</v>
      </c>
      <c r="C5126" s="4">
        <v>984.94</v>
      </c>
      <c r="D5126">
        <f t="shared" si="83"/>
        <v>0.96901363400103957</v>
      </c>
      <c r="E5126">
        <v>-6.5973769807777916E-2</v>
      </c>
    </row>
    <row r="5127" spans="2:5" x14ac:dyDescent="0.35">
      <c r="B5127" s="2">
        <v>42130</v>
      </c>
      <c r="C5127" s="4">
        <v>500.22</v>
      </c>
      <c r="D5127">
        <f t="shared" si="83"/>
        <v>6.2443157132512681</v>
      </c>
      <c r="E5127">
        <v>-6.6109067826671364E-2</v>
      </c>
    </row>
    <row r="5128" spans="2:5" x14ac:dyDescent="0.35">
      <c r="B5128" s="2">
        <v>38856</v>
      </c>
      <c r="C5128" s="4">
        <v>69.05</v>
      </c>
      <c r="D5128">
        <f t="shared" si="83"/>
        <v>-0.90958254766394298</v>
      </c>
      <c r="E5128">
        <v>-6.6260987153482165E-2</v>
      </c>
    </row>
    <row r="5129" spans="2:5" x14ac:dyDescent="0.35">
      <c r="B5129" s="2">
        <v>42387</v>
      </c>
      <c r="C5129" s="4">
        <v>763.68</v>
      </c>
      <c r="D5129">
        <f t="shared" si="83"/>
        <v>-0.90179441742516397</v>
      </c>
      <c r="E5129">
        <v>-6.6325969214969471E-2</v>
      </c>
    </row>
    <row r="5130" spans="2:5" x14ac:dyDescent="0.35">
      <c r="B5130" s="2">
        <v>44669</v>
      </c>
      <c r="C5130" s="4">
        <v>7776.34</v>
      </c>
      <c r="D5130">
        <f t="shared" si="83"/>
        <v>8.107917545092528</v>
      </c>
      <c r="E5130">
        <v>-6.773156734373853E-2</v>
      </c>
    </row>
    <row r="5131" spans="2:5" x14ac:dyDescent="0.35">
      <c r="B5131" s="2">
        <v>42411</v>
      </c>
      <c r="C5131" s="4">
        <v>853.8</v>
      </c>
      <c r="D5131">
        <f t="shared" si="83"/>
        <v>7.3216374269005851</v>
      </c>
      <c r="E5131">
        <v>-6.7822517250414882E-2</v>
      </c>
    </row>
    <row r="5132" spans="2:5" x14ac:dyDescent="0.35">
      <c r="B5132" s="2">
        <v>40508</v>
      </c>
      <c r="C5132" s="4">
        <v>102.6</v>
      </c>
      <c r="D5132">
        <f t="shared" si="83"/>
        <v>-0.56899810964083186</v>
      </c>
      <c r="E5132">
        <v>-6.7865903515944348E-2</v>
      </c>
    </row>
    <row r="5133" spans="2:5" x14ac:dyDescent="0.35">
      <c r="B5133" s="2">
        <v>41724</v>
      </c>
      <c r="C5133" s="4">
        <v>238.05</v>
      </c>
      <c r="D5133">
        <f t="shared" si="83"/>
        <v>0.37768389374385114</v>
      </c>
      <c r="E5133">
        <v>-6.7896158815928476E-2</v>
      </c>
    </row>
    <row r="5134" spans="2:5" x14ac:dyDescent="0.35">
      <c r="B5134" s="2">
        <v>41641</v>
      </c>
      <c r="C5134" s="4">
        <v>172.79</v>
      </c>
      <c r="D5134">
        <f t="shared" si="83"/>
        <v>2.3395825280247387</v>
      </c>
      <c r="E5134">
        <v>-6.9370388323369392E-2</v>
      </c>
    </row>
    <row r="5135" spans="2:5" x14ac:dyDescent="0.35">
      <c r="B5135" s="2">
        <v>38881</v>
      </c>
      <c r="C5135" s="4">
        <v>51.74</v>
      </c>
      <c r="D5135">
        <f t="shared" si="83"/>
        <v>-0.46582696675614288</v>
      </c>
      <c r="E5135">
        <v>-6.9424460431654622E-2</v>
      </c>
    </row>
    <row r="5136" spans="2:5" x14ac:dyDescent="0.35">
      <c r="B5136" s="2">
        <v>39141</v>
      </c>
      <c r="C5136" s="4">
        <v>96.86</v>
      </c>
      <c r="D5136">
        <f t="shared" si="83"/>
        <v>0.50942808165809561</v>
      </c>
      <c r="E5136">
        <v>-6.9727237802535535E-2</v>
      </c>
    </row>
    <row r="5137" spans="2:5" x14ac:dyDescent="0.35">
      <c r="B5137" s="2">
        <v>38859</v>
      </c>
      <c r="C5137" s="4">
        <v>64.17</v>
      </c>
      <c r="D5137">
        <f t="shared" si="83"/>
        <v>0.16566757493188011</v>
      </c>
      <c r="E5137">
        <v>-7.0673425054308403E-2</v>
      </c>
    </row>
    <row r="5138" spans="2:5" x14ac:dyDescent="0.35">
      <c r="B5138" s="2">
        <v>39959</v>
      </c>
      <c r="C5138" s="4">
        <v>55.05</v>
      </c>
      <c r="D5138">
        <f t="shared" si="83"/>
        <v>-0.99241197268034487</v>
      </c>
      <c r="E5138">
        <v>-7.0886075949367133E-2</v>
      </c>
    </row>
    <row r="5139" spans="2:5" x14ac:dyDescent="0.35">
      <c r="B5139" s="2">
        <v>44732</v>
      </c>
      <c r="C5139" s="4">
        <v>7254.85</v>
      </c>
      <c r="D5139">
        <f t="shared" si="83"/>
        <v>62.146052746104971</v>
      </c>
      <c r="E5139">
        <v>-7.1420800348144353E-2</v>
      </c>
    </row>
    <row r="5140" spans="2:5" x14ac:dyDescent="0.35">
      <c r="B5140" s="2">
        <v>40301</v>
      </c>
      <c r="C5140" s="4">
        <v>114.89</v>
      </c>
      <c r="D5140">
        <f t="shared" si="83"/>
        <v>1.1236598890942697</v>
      </c>
      <c r="E5140">
        <v>-7.2120820545953701E-2</v>
      </c>
    </row>
    <row r="5141" spans="2:5" x14ac:dyDescent="0.35">
      <c r="B5141" s="2">
        <v>40023</v>
      </c>
      <c r="C5141" s="4">
        <v>54.1</v>
      </c>
      <c r="D5141">
        <f t="shared" si="83"/>
        <v>8.4168336673346777E-2</v>
      </c>
      <c r="E5141">
        <v>-7.2359396433470446E-2</v>
      </c>
    </row>
    <row r="5142" spans="2:5" x14ac:dyDescent="0.35">
      <c r="B5142" s="2">
        <v>39982</v>
      </c>
      <c r="C5142" s="4">
        <v>49.9</v>
      </c>
      <c r="D5142">
        <f t="shared" si="83"/>
        <v>-6.1853731904493281E-2</v>
      </c>
      <c r="E5142">
        <v>-7.283537718320332E-2</v>
      </c>
    </row>
    <row r="5143" spans="2:5" x14ac:dyDescent="0.35">
      <c r="B5143" s="2">
        <v>38357</v>
      </c>
      <c r="C5143" s="4">
        <v>53.19</v>
      </c>
      <c r="D5143">
        <f t="shared" si="83"/>
        <v>-0.19396878314896193</v>
      </c>
      <c r="E5143">
        <v>-7.2860379989541535E-2</v>
      </c>
    </row>
    <row r="5144" spans="2:5" x14ac:dyDescent="0.35">
      <c r="B5144" s="2">
        <v>39651</v>
      </c>
      <c r="C5144" s="4">
        <v>65.989999999999995</v>
      </c>
      <c r="D5144">
        <f t="shared" si="83"/>
        <v>2.0735910572892409</v>
      </c>
      <c r="E5144">
        <v>-7.3304311192248228E-2</v>
      </c>
    </row>
    <row r="5145" spans="2:5" x14ac:dyDescent="0.35">
      <c r="B5145" s="2">
        <v>37721</v>
      </c>
      <c r="C5145" s="4">
        <v>21.47</v>
      </c>
      <c r="D5145">
        <f t="shared" si="83"/>
        <v>-0.99701998015170756</v>
      </c>
      <c r="E5145">
        <v>-7.337073802330607E-2</v>
      </c>
    </row>
    <row r="5146" spans="2:5" x14ac:dyDescent="0.35">
      <c r="B5146" s="2">
        <v>44852</v>
      </c>
      <c r="C5146" s="4">
        <v>7204.65</v>
      </c>
      <c r="D5146">
        <f t="shared" si="83"/>
        <v>199.8544744912183</v>
      </c>
      <c r="E5146">
        <v>-7.4285604152747098E-2</v>
      </c>
    </row>
    <row r="5147" spans="2:5" x14ac:dyDescent="0.35">
      <c r="B5147" s="2">
        <v>39745</v>
      </c>
      <c r="C5147" s="4">
        <v>35.869999999999997</v>
      </c>
      <c r="D5147">
        <f t="shared" si="83"/>
        <v>-0.57246722288438623</v>
      </c>
      <c r="E5147">
        <v>-7.456140350877194E-2</v>
      </c>
    </row>
    <row r="5148" spans="2:5" x14ac:dyDescent="0.35">
      <c r="B5148" s="2">
        <v>40862</v>
      </c>
      <c r="C5148" s="4">
        <v>83.9</v>
      </c>
      <c r="D5148">
        <f t="shared" si="83"/>
        <v>-0.86880580444402744</v>
      </c>
      <c r="E5148">
        <v>-7.4666372559832328E-2</v>
      </c>
    </row>
    <row r="5149" spans="2:5" x14ac:dyDescent="0.35">
      <c r="B5149" s="2">
        <v>42642</v>
      </c>
      <c r="C5149" s="4">
        <v>639.51</v>
      </c>
      <c r="D5149">
        <f t="shared" si="83"/>
        <v>-0.7490385520987034</v>
      </c>
      <c r="E5149">
        <v>-7.5157632903337768E-2</v>
      </c>
    </row>
    <row r="5150" spans="2:5" x14ac:dyDescent="0.35">
      <c r="B5150" s="2">
        <v>44217</v>
      </c>
      <c r="C5150" s="4">
        <v>2548.2399999999998</v>
      </c>
      <c r="D5150">
        <f t="shared" si="83"/>
        <v>52.099395707439044</v>
      </c>
      <c r="E5150">
        <v>-7.5297379288321808E-2</v>
      </c>
    </row>
    <row r="5151" spans="2:5" x14ac:dyDescent="0.35">
      <c r="B5151" s="2">
        <v>38364</v>
      </c>
      <c r="C5151" s="4">
        <v>47.99</v>
      </c>
      <c r="D5151">
        <f t="shared" si="83"/>
        <v>0.44722557297949361</v>
      </c>
      <c r="E5151">
        <v>-7.5515314968214065E-2</v>
      </c>
    </row>
    <row r="5152" spans="2:5" x14ac:dyDescent="0.35">
      <c r="B5152" s="2">
        <v>39919</v>
      </c>
      <c r="C5152" s="4">
        <v>33.159999999999997</v>
      </c>
      <c r="D5152">
        <f t="shared" si="83"/>
        <v>-0.94258704572605923</v>
      </c>
      <c r="E5152">
        <v>-7.7351140790205886E-2</v>
      </c>
    </row>
    <row r="5153" spans="2:5" x14ac:dyDescent="0.35">
      <c r="B5153" s="2">
        <v>42073</v>
      </c>
      <c r="C5153" s="4">
        <v>577.57000000000005</v>
      </c>
      <c r="D5153">
        <f t="shared" si="83"/>
        <v>6.8102772143340102</v>
      </c>
      <c r="E5153">
        <v>-7.7437904320741047E-2</v>
      </c>
    </row>
    <row r="5154" spans="2:5" x14ac:dyDescent="0.35">
      <c r="B5154" s="2">
        <v>38855</v>
      </c>
      <c r="C5154" s="4">
        <v>73.95</v>
      </c>
      <c r="D5154">
        <f t="shared" si="83"/>
        <v>-0.98776334862294235</v>
      </c>
      <c r="E5154">
        <v>-7.8849028400597931E-2</v>
      </c>
    </row>
    <row r="5155" spans="2:5" x14ac:dyDescent="0.35">
      <c r="B5155" s="2">
        <v>44616</v>
      </c>
      <c r="C5155" s="4">
        <v>6043.32</v>
      </c>
      <c r="D5155">
        <f t="shared" si="83"/>
        <v>56.908394020697585</v>
      </c>
      <c r="E5155">
        <v>-8.0204983341679026E-2</v>
      </c>
    </row>
    <row r="5156" spans="2:5" x14ac:dyDescent="0.35">
      <c r="B5156" s="2">
        <v>40205</v>
      </c>
      <c r="C5156" s="4">
        <v>104.36</v>
      </c>
      <c r="D5156">
        <f t="shared" si="83"/>
        <v>-0.9865909441332168</v>
      </c>
      <c r="E5156">
        <v>-8.0609637917364196E-2</v>
      </c>
    </row>
    <row r="5157" spans="2:5" x14ac:dyDescent="0.35">
      <c r="B5157" s="2">
        <v>44851</v>
      </c>
      <c r="C5157" s="4">
        <v>7782.8</v>
      </c>
      <c r="D5157">
        <f t="shared" si="83"/>
        <v>267.00275482093667</v>
      </c>
      <c r="E5157">
        <v>-8.0650400741830053E-2</v>
      </c>
    </row>
    <row r="5158" spans="2:5" x14ac:dyDescent="0.35">
      <c r="B5158" s="2">
        <v>38121</v>
      </c>
      <c r="C5158" s="4">
        <v>29.04</v>
      </c>
      <c r="D5158">
        <f t="shared" si="83"/>
        <v>-0.47844827586206895</v>
      </c>
      <c r="E5158">
        <v>-8.1303385004745321E-2</v>
      </c>
    </row>
    <row r="5159" spans="2:5" x14ac:dyDescent="0.35">
      <c r="B5159" s="2">
        <v>39526</v>
      </c>
      <c r="C5159" s="4">
        <v>55.68</v>
      </c>
      <c r="D5159">
        <f t="shared" si="83"/>
        <v>-0.79177262528047865</v>
      </c>
      <c r="E5159">
        <v>-8.2550667325753779E-2</v>
      </c>
    </row>
    <row r="5160" spans="2:5" x14ac:dyDescent="0.35">
      <c r="B5160" s="2">
        <v>41704</v>
      </c>
      <c r="C5160" s="4">
        <v>267.39999999999998</v>
      </c>
      <c r="D5160">
        <f t="shared" si="83"/>
        <v>6.5345167652859946</v>
      </c>
      <c r="E5160">
        <v>-8.3744517543859698E-2</v>
      </c>
    </row>
    <row r="5161" spans="2:5" x14ac:dyDescent="0.35">
      <c r="B5161" s="2">
        <v>39820</v>
      </c>
      <c r="C5161" s="4">
        <v>35.49</v>
      </c>
      <c r="D5161">
        <f t="shared" si="83"/>
        <v>0.53238341968911929</v>
      </c>
      <c r="E5161">
        <v>-8.3892617449664475E-2</v>
      </c>
    </row>
    <row r="5162" spans="2:5" x14ac:dyDescent="0.35">
      <c r="B5162" s="2">
        <v>37648</v>
      </c>
      <c r="C5162" s="4">
        <v>23.16</v>
      </c>
      <c r="D5162">
        <f t="shared" si="83"/>
        <v>-0.54499017681728879</v>
      </c>
      <c r="E5162">
        <v>-8.5669166995657298E-2</v>
      </c>
    </row>
    <row r="5163" spans="2:5" x14ac:dyDescent="0.35">
      <c r="B5163" s="2">
        <v>39531</v>
      </c>
      <c r="C5163" s="4">
        <v>50.9</v>
      </c>
      <c r="D5163">
        <f t="shared" si="83"/>
        <v>-0.91722769701109053</v>
      </c>
      <c r="E5163">
        <v>-8.5847701149425304E-2</v>
      </c>
    </row>
    <row r="5164" spans="2:5" x14ac:dyDescent="0.35">
      <c r="B5164" s="2">
        <v>42879</v>
      </c>
      <c r="C5164" s="4">
        <v>614.94000000000005</v>
      </c>
      <c r="D5164">
        <f t="shared" si="83"/>
        <v>15.363491218733373</v>
      </c>
      <c r="E5164">
        <v>-8.6677558294964929E-2</v>
      </c>
    </row>
    <row r="5165" spans="2:5" x14ac:dyDescent="0.35">
      <c r="B5165" s="2">
        <v>39763</v>
      </c>
      <c r="C5165" s="4">
        <v>37.58</v>
      </c>
      <c r="D5165">
        <f t="shared" si="83"/>
        <v>-0.40575585072738773</v>
      </c>
      <c r="E5165">
        <v>-8.6755771567436191E-2</v>
      </c>
    </row>
    <row r="5166" spans="2:5" x14ac:dyDescent="0.35">
      <c r="B5166" s="2">
        <v>40113</v>
      </c>
      <c r="C5166" s="4">
        <v>63.24</v>
      </c>
      <c r="D5166">
        <f t="shared" si="83"/>
        <v>-0.87152086465401646</v>
      </c>
      <c r="E5166">
        <v>-8.7840761575075699E-2</v>
      </c>
    </row>
    <row r="5167" spans="2:5" x14ac:dyDescent="0.35">
      <c r="B5167" s="2">
        <v>42083</v>
      </c>
      <c r="C5167" s="4">
        <v>492.22</v>
      </c>
      <c r="D5167">
        <f t="shared" si="83"/>
        <v>-0.31726194604341496</v>
      </c>
      <c r="E5167">
        <v>-8.8481481481481383E-2</v>
      </c>
    </row>
    <row r="5168" spans="2:5" x14ac:dyDescent="0.35">
      <c r="B5168" s="2">
        <v>43663</v>
      </c>
      <c r="C5168" s="4">
        <v>720.95</v>
      </c>
      <c r="D5168">
        <f t="shared" si="83"/>
        <v>0.38750962278675916</v>
      </c>
      <c r="E5168">
        <v>-8.8685517816738502E-2</v>
      </c>
    </row>
    <row r="5169" spans="2:5" x14ac:dyDescent="0.35">
      <c r="B5169" s="2">
        <v>42114</v>
      </c>
      <c r="C5169" s="4">
        <v>519.6</v>
      </c>
      <c r="D5169">
        <f t="shared" si="83"/>
        <v>-0.30570031267537878</v>
      </c>
      <c r="E5169">
        <v>-8.9491299700352078E-2</v>
      </c>
    </row>
    <row r="5170" spans="2:5" x14ac:dyDescent="0.35">
      <c r="B5170" s="2">
        <v>43906</v>
      </c>
      <c r="C5170" s="4">
        <v>748.38</v>
      </c>
      <c r="D5170">
        <f t="shared" si="83"/>
        <v>0.4156971795017308</v>
      </c>
      <c r="E5170">
        <v>-8.9971667254398868E-2</v>
      </c>
    </row>
    <row r="5171" spans="2:5" x14ac:dyDescent="0.35">
      <c r="B5171" s="2">
        <v>43913</v>
      </c>
      <c r="C5171" s="4">
        <v>528.63</v>
      </c>
      <c r="D5171">
        <f t="shared" si="83"/>
        <v>-0.38013883351703759</v>
      </c>
      <c r="E5171">
        <v>-9.0544678801224965E-2</v>
      </c>
    </row>
    <row r="5172" spans="2:5" x14ac:dyDescent="0.35">
      <c r="B5172" s="2">
        <v>43902</v>
      </c>
      <c r="C5172" s="4">
        <v>852.82</v>
      </c>
      <c r="D5172">
        <f t="shared" si="83"/>
        <v>29.360270558917765</v>
      </c>
      <c r="E5172">
        <v>-9.6952497935153148E-2</v>
      </c>
    </row>
    <row r="5173" spans="2:5" x14ac:dyDescent="0.35">
      <c r="B5173" s="2">
        <v>38020</v>
      </c>
      <c r="C5173" s="4">
        <v>28.09</v>
      </c>
      <c r="D5173">
        <f t="shared" si="83"/>
        <v>-0.6530813881684574</v>
      </c>
      <c r="E5173">
        <v>-0.10169491525423724</v>
      </c>
    </row>
    <row r="5174" spans="2:5" x14ac:dyDescent="0.35">
      <c r="B5174" s="2">
        <v>39468</v>
      </c>
      <c r="C5174" s="4">
        <v>80.97</v>
      </c>
      <c r="D5174">
        <f t="shared" si="83"/>
        <v>-0.91456878178480239</v>
      </c>
      <c r="E5174">
        <v>-0.10894684714427205</v>
      </c>
    </row>
    <row r="5175" spans="2:5" x14ac:dyDescent="0.35">
      <c r="B5175" s="2">
        <v>43381</v>
      </c>
      <c r="C5175" s="4">
        <v>947.78</v>
      </c>
      <c r="D5175">
        <f t="shared" si="83"/>
        <v>13.587963675542557</v>
      </c>
      <c r="E5175">
        <v>-0.11527439394363703</v>
      </c>
    </row>
    <row r="5176" spans="2:5" x14ac:dyDescent="0.35">
      <c r="B5176" s="2">
        <v>38617</v>
      </c>
      <c r="C5176" s="4">
        <v>64.97</v>
      </c>
      <c r="D5176">
        <f t="shared" si="83"/>
        <v>1.0315822388993121</v>
      </c>
      <c r="E5176">
        <v>-0.11677542142468733</v>
      </c>
    </row>
    <row r="5177" spans="2:5" x14ac:dyDescent="0.35">
      <c r="B5177" s="2">
        <v>37463</v>
      </c>
      <c r="C5177" s="4">
        <v>31.98</v>
      </c>
      <c r="D5177">
        <f t="shared" si="83"/>
        <v>-0.17640999227401488</v>
      </c>
      <c r="E5177">
        <v>-0.11949339207048459</v>
      </c>
    </row>
    <row r="5178" spans="2:5" x14ac:dyDescent="0.35">
      <c r="B5178" s="2">
        <v>39729</v>
      </c>
      <c r="C5178" s="4">
        <v>38.83</v>
      </c>
      <c r="D5178">
        <f t="shared" si="83"/>
        <v>0.26564537157757484</v>
      </c>
      <c r="E5178">
        <v>-0.12800359308331466</v>
      </c>
    </row>
    <row r="5179" spans="2:5" x14ac:dyDescent="0.35">
      <c r="B5179" s="2">
        <v>38007</v>
      </c>
      <c r="C5179" s="4">
        <v>30.68</v>
      </c>
      <c r="D5179">
        <f t="shared" si="83"/>
        <v>-0.55932203389830515</v>
      </c>
      <c r="E5179">
        <v>-0.13357808528664217</v>
      </c>
    </row>
    <row r="5180" spans="2:5" x14ac:dyDescent="0.35">
      <c r="B5180" s="2">
        <v>39469</v>
      </c>
      <c r="C5180" s="4">
        <v>69.62</v>
      </c>
      <c r="D5180">
        <f t="shared" si="83"/>
        <v>0.30717236199774711</v>
      </c>
      <c r="E5180">
        <v>-0.14017537359515864</v>
      </c>
    </row>
    <row r="5181" spans="2:5" x14ac:dyDescent="0.35">
      <c r="B5181" s="2">
        <v>38876</v>
      </c>
      <c r="C5181" s="4">
        <v>53.26</v>
      </c>
      <c r="D5181">
        <f t="shared" si="83"/>
        <v>-0.90475168553391638</v>
      </c>
      <c r="E5181">
        <v>-0.14537869062901154</v>
      </c>
    </row>
    <row r="5182" spans="2:5" x14ac:dyDescent="0.35">
      <c r="B5182" s="2">
        <v>43909</v>
      </c>
      <c r="C5182" s="4">
        <v>559.16999999999996</v>
      </c>
      <c r="D5182">
        <f t="shared" si="83"/>
        <v>21.916803278688523</v>
      </c>
      <c r="E5182">
        <v>-0.15010715425653187</v>
      </c>
    </row>
    <row r="5183" spans="2:5" x14ac:dyDescent="0.35">
      <c r="B5183" s="2">
        <v>38124</v>
      </c>
      <c r="C5183" s="4">
        <v>24.4</v>
      </c>
      <c r="D5183" t="e">
        <f>C5183/#REF!-1</f>
        <v>#REF!</v>
      </c>
      <c r="E5183">
        <v>-0.15977961432506893</v>
      </c>
    </row>
  </sheetData>
  <autoFilter ref="B3:E5183" xr:uid="{953BED94-F632-4312-93F5-736E147B1414}">
    <sortState xmlns:xlrd2="http://schemas.microsoft.com/office/spreadsheetml/2017/richdata2" ref="B4:E5183">
      <sortCondition descending="1" ref="E3:E5183"/>
    </sortState>
  </autoFilter>
  <pageMargins left="0.7" right="0.7" top="0.75" bottom="0.75" header="0.3" footer="0.3"/>
  <ignoredErrors>
    <ignoredError sqref="I14:I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A694-946E-4F0A-8E3E-0F44C890FF01}">
  <dimension ref="B3:M10003"/>
  <sheetViews>
    <sheetView showGridLines="0" tabSelected="1" workbookViewId="0">
      <selection activeCell="H3" sqref="H3"/>
    </sheetView>
  </sheetViews>
  <sheetFormatPr defaultRowHeight="14.5" x14ac:dyDescent="0.35"/>
  <cols>
    <col min="1" max="1" width="1.81640625" customWidth="1"/>
    <col min="2" max="2" width="12.36328125" customWidth="1"/>
    <col min="3" max="3" width="12.81640625" customWidth="1"/>
    <col min="4" max="4" width="10.90625" customWidth="1"/>
    <col min="5" max="5" width="16.6328125" customWidth="1"/>
    <col min="6" max="6" width="10.08984375" bestFit="1" customWidth="1"/>
    <col min="7" max="7" width="16.26953125" bestFit="1" customWidth="1"/>
    <col min="9" max="10" width="12" customWidth="1"/>
    <col min="11" max="11" width="11" customWidth="1"/>
    <col min="12" max="12" width="12.6328125" customWidth="1"/>
    <col min="13" max="13" width="10.90625" customWidth="1"/>
  </cols>
  <sheetData>
    <row r="3" spans="2:13" x14ac:dyDescent="0.35">
      <c r="B3" s="1" t="s">
        <v>0</v>
      </c>
      <c r="C3" s="3" t="s">
        <v>1</v>
      </c>
      <c r="D3" s="6" t="s">
        <v>2</v>
      </c>
      <c r="E3" s="6" t="s">
        <v>3</v>
      </c>
      <c r="F3" s="6" t="s">
        <v>15</v>
      </c>
      <c r="G3" s="6" t="s">
        <v>16</v>
      </c>
      <c r="H3" s="5"/>
      <c r="I3" s="5" t="s">
        <v>18</v>
      </c>
      <c r="J3" s="5"/>
      <c r="K3" s="5"/>
      <c r="L3" s="5"/>
      <c r="M3" s="5"/>
    </row>
    <row r="4" spans="2:13" ht="15" thickBot="1" x14ac:dyDescent="0.4">
      <c r="B4" s="2">
        <v>40149</v>
      </c>
      <c r="C4" s="4">
        <v>79.180000000000007</v>
      </c>
      <c r="D4">
        <f t="shared" ref="D4:D67" si="0">C4/C5-1</f>
        <v>-0.8736879047953291</v>
      </c>
      <c r="E4">
        <v>0.20006062443164607</v>
      </c>
      <c r="F4">
        <v>1</v>
      </c>
      <c r="G4">
        <f ca="1">_xlfn.NORM.INV(RAND(),K$6,K$7)</f>
        <v>-1.1810015456628296E-2</v>
      </c>
      <c r="I4" s="15"/>
      <c r="J4" s="15"/>
      <c r="K4" s="15"/>
      <c r="L4" s="15"/>
      <c r="M4" s="15"/>
    </row>
    <row r="5" spans="2:13" ht="15" thickBot="1" x14ac:dyDescent="0.4">
      <c r="B5" s="2">
        <v>42066</v>
      </c>
      <c r="C5" s="4">
        <v>626.86</v>
      </c>
      <c r="D5">
        <f t="shared" si="0"/>
        <v>-0.35994853939697158</v>
      </c>
      <c r="E5">
        <v>0.19996171516079642</v>
      </c>
      <c r="F5">
        <v>2</v>
      </c>
      <c r="G5">
        <f t="shared" ref="G5:G68" ca="1" si="1">_xlfn.NORM.INV(RAND(),K$6,K$7)</f>
        <v>3.5657746944765513E-2</v>
      </c>
      <c r="I5" s="20" t="s">
        <v>17</v>
      </c>
      <c r="J5" s="18"/>
      <c r="K5" s="18"/>
      <c r="L5" s="18"/>
      <c r="M5" s="18"/>
    </row>
    <row r="6" spans="2:13" x14ac:dyDescent="0.35">
      <c r="B6" s="2">
        <v>42234</v>
      </c>
      <c r="C6" s="4">
        <v>979.39</v>
      </c>
      <c r="D6">
        <f t="shared" si="0"/>
        <v>23.218348170128586</v>
      </c>
      <c r="E6">
        <v>0.19652303519724379</v>
      </c>
      <c r="F6">
        <v>3</v>
      </c>
      <c r="G6">
        <f t="shared" ca="1" si="1"/>
        <v>-3.0652814041617762E-2</v>
      </c>
      <c r="I6" s="16" t="s">
        <v>5</v>
      </c>
      <c r="J6" s="16"/>
      <c r="K6" s="17">
        <f>AVERAGE(E4:E5183)</f>
        <v>1.4241178234824898E-3</v>
      </c>
      <c r="L6" s="16"/>
      <c r="M6" s="16"/>
    </row>
    <row r="7" spans="2:13" x14ac:dyDescent="0.35">
      <c r="B7" s="2">
        <v>39925</v>
      </c>
      <c r="C7" s="4">
        <v>40.44</v>
      </c>
      <c r="D7">
        <f t="shared" si="0"/>
        <v>-0.91136049799443264</v>
      </c>
      <c r="E7">
        <v>0.17387518142235114</v>
      </c>
      <c r="F7">
        <v>4</v>
      </c>
      <c r="G7">
        <f t="shared" ca="1" si="1"/>
        <v>1.017068616463036E-2</v>
      </c>
      <c r="I7" s="7" t="s">
        <v>6</v>
      </c>
      <c r="J7" s="7"/>
      <c r="K7" s="8">
        <f>_xlfn.STDEV.S(E4:E5183)</f>
        <v>2.7276089363325089E-2</v>
      </c>
      <c r="L7" s="7"/>
      <c r="M7" s="7"/>
    </row>
    <row r="8" spans="2:13" x14ac:dyDescent="0.35">
      <c r="B8" s="2">
        <v>42051</v>
      </c>
      <c r="C8" s="4">
        <v>456.23</v>
      </c>
      <c r="D8">
        <f t="shared" si="0"/>
        <v>6.678054527095254</v>
      </c>
      <c r="E8">
        <v>0.16379266363961031</v>
      </c>
      <c r="F8">
        <v>5</v>
      </c>
      <c r="G8">
        <f t="shared" ca="1" si="1"/>
        <v>-3.147330433924117E-2</v>
      </c>
      <c r="I8" s="7" t="s">
        <v>8</v>
      </c>
      <c r="J8" s="7"/>
      <c r="K8" s="8">
        <f>MIN(E4:E5183)</f>
        <v>-0.15977961432506893</v>
      </c>
      <c r="L8" s="7"/>
      <c r="M8" s="7"/>
    </row>
    <row r="9" spans="2:13" x14ac:dyDescent="0.35">
      <c r="B9" s="2">
        <v>39955</v>
      </c>
      <c r="C9" s="4">
        <v>59.42</v>
      </c>
      <c r="D9">
        <f t="shared" si="0"/>
        <v>-0.40621564904566798</v>
      </c>
      <c r="E9">
        <v>0.15738215816127776</v>
      </c>
      <c r="F9">
        <v>6</v>
      </c>
      <c r="G9">
        <f t="shared" ca="1" si="1"/>
        <v>-1.168782364164927E-2</v>
      </c>
      <c r="I9" s="7" t="s">
        <v>7</v>
      </c>
      <c r="J9" s="7"/>
      <c r="K9" s="8">
        <f>MAX(E4:E5183)</f>
        <v>0.20006062443164607</v>
      </c>
      <c r="L9" s="7"/>
      <c r="M9" s="7"/>
    </row>
    <row r="10" spans="2:13" x14ac:dyDescent="0.35">
      <c r="B10" s="2">
        <v>41575</v>
      </c>
      <c r="C10" s="4">
        <v>100.07</v>
      </c>
      <c r="D10">
        <f t="shared" si="0"/>
        <v>-0.98724683560435755</v>
      </c>
      <c r="E10">
        <v>0.14825014343086607</v>
      </c>
      <c r="F10">
        <v>7</v>
      </c>
      <c r="G10">
        <f t="shared" ca="1" si="1"/>
        <v>-8.4389381637869059E-3</v>
      </c>
      <c r="I10" s="7" t="s">
        <v>10</v>
      </c>
      <c r="J10" s="7"/>
      <c r="K10" s="7">
        <v>7115.7</v>
      </c>
      <c r="L10" s="7"/>
      <c r="M10" s="7"/>
    </row>
    <row r="11" spans="2:13" ht="15" thickBot="1" x14ac:dyDescent="0.4">
      <c r="B11" s="2">
        <v>44694</v>
      </c>
      <c r="C11" s="4">
        <v>7846.68</v>
      </c>
      <c r="D11">
        <f t="shared" si="0"/>
        <v>2.3463747904965393</v>
      </c>
      <c r="E11">
        <v>0.14556595193011002</v>
      </c>
      <c r="F11">
        <v>8</v>
      </c>
      <c r="G11">
        <f t="shared" ca="1" si="1"/>
        <v>1.7906265791409453E-2</v>
      </c>
      <c r="I11" s="19"/>
      <c r="J11" s="19"/>
      <c r="K11" s="19"/>
      <c r="L11" s="19"/>
      <c r="M11" s="19"/>
    </row>
    <row r="12" spans="2:13" ht="15" thickBot="1" x14ac:dyDescent="0.4">
      <c r="B12" s="2">
        <v>44209</v>
      </c>
      <c r="C12" s="4">
        <v>2344.83</v>
      </c>
      <c r="D12">
        <f t="shared" si="0"/>
        <v>70.445155393053014</v>
      </c>
      <c r="E12">
        <v>0.1361601302439166</v>
      </c>
      <c r="F12">
        <v>9</v>
      </c>
      <c r="G12">
        <f t="shared" ca="1" si="1"/>
        <v>-2.4617580204521736E-2</v>
      </c>
      <c r="I12" s="20" t="s">
        <v>19</v>
      </c>
      <c r="J12" s="18"/>
      <c r="K12" s="18"/>
      <c r="L12" s="18"/>
      <c r="M12" s="18"/>
    </row>
    <row r="13" spans="2:13" x14ac:dyDescent="0.35">
      <c r="B13" s="2">
        <v>38131</v>
      </c>
      <c r="C13" s="4">
        <v>32.82</v>
      </c>
      <c r="D13">
        <f t="shared" si="0"/>
        <v>-0.61456253669994132</v>
      </c>
      <c r="E13">
        <v>0.13524731926668965</v>
      </c>
      <c r="F13">
        <v>10</v>
      </c>
      <c r="G13">
        <f t="shared" ca="1" si="1"/>
        <v>1.9703130797084519E-2</v>
      </c>
      <c r="I13" s="16" t="s">
        <v>5</v>
      </c>
      <c r="J13" s="16"/>
      <c r="K13" s="17">
        <f ca="1">AVERAGE(G4:G10003)</f>
        <v>1.1904992948124124E-3</v>
      </c>
      <c r="L13" s="16"/>
      <c r="M13" s="16"/>
    </row>
    <row r="14" spans="2:13" x14ac:dyDescent="0.35">
      <c r="B14" s="2">
        <v>41543</v>
      </c>
      <c r="C14" s="4">
        <v>85.15</v>
      </c>
      <c r="D14">
        <f t="shared" si="0"/>
        <v>-0.67281460134486071</v>
      </c>
      <c r="E14">
        <v>0.13156146179401995</v>
      </c>
      <c r="F14">
        <v>11</v>
      </c>
      <c r="G14">
        <f t="shared" ca="1" si="1"/>
        <v>7.0023392726368087E-3</v>
      </c>
      <c r="I14" s="7" t="s">
        <v>6</v>
      </c>
      <c r="J14" s="7"/>
      <c r="K14" s="8">
        <f ca="1">_xlfn.STDEV.S(G4:G10003)</f>
        <v>2.7662708772876979E-2</v>
      </c>
      <c r="L14" s="7"/>
      <c r="M14" s="7"/>
    </row>
    <row r="15" spans="2:13" x14ac:dyDescent="0.35">
      <c r="B15" s="2">
        <v>41698</v>
      </c>
      <c r="C15" s="4">
        <v>260.25</v>
      </c>
      <c r="D15">
        <f t="shared" si="0"/>
        <v>1.4778634675806912</v>
      </c>
      <c r="E15">
        <v>0.13068601468479835</v>
      </c>
      <c r="F15">
        <v>12</v>
      </c>
      <c r="G15">
        <f t="shared" ca="1" si="1"/>
        <v>3.3944715079660941E-3</v>
      </c>
      <c r="I15" s="7" t="s">
        <v>8</v>
      </c>
      <c r="J15" s="7"/>
      <c r="K15" s="8">
        <f ca="1">MIN(G4:G10003)</f>
        <v>-0.10969257409720133</v>
      </c>
      <c r="L15" s="7"/>
      <c r="M15" s="7"/>
    </row>
    <row r="16" spans="2:13" x14ac:dyDescent="0.35">
      <c r="B16" s="2">
        <v>41243</v>
      </c>
      <c r="C16" s="4">
        <v>105.03</v>
      </c>
      <c r="D16">
        <f t="shared" si="0"/>
        <v>-0.28105962078170987</v>
      </c>
      <c r="E16">
        <v>0.12705225882605431</v>
      </c>
      <c r="F16">
        <v>13</v>
      </c>
      <c r="G16">
        <f t="shared" ca="1" si="1"/>
        <v>-9.5221941920724707E-4</v>
      </c>
      <c r="I16" s="7" t="s">
        <v>7</v>
      </c>
      <c r="J16" s="7"/>
      <c r="K16" s="8">
        <f ca="1">MAX(G4:G10003)</f>
        <v>0.10878004576497513</v>
      </c>
      <c r="L16" s="7"/>
      <c r="M16" s="7"/>
    </row>
    <row r="17" spans="2:13" x14ac:dyDescent="0.35">
      <c r="B17" s="2">
        <v>41612</v>
      </c>
      <c r="C17" s="4">
        <v>146.09</v>
      </c>
      <c r="D17">
        <f t="shared" si="0"/>
        <v>-0.79992330553158852</v>
      </c>
      <c r="E17">
        <v>0.12558748747977511</v>
      </c>
      <c r="F17">
        <v>14</v>
      </c>
      <c r="G17">
        <f t="shared" ca="1" si="1"/>
        <v>1.9171321806164095E-2</v>
      </c>
      <c r="I17" s="7" t="s">
        <v>10</v>
      </c>
      <c r="J17" s="7"/>
      <c r="K17" s="7">
        <v>7115.7</v>
      </c>
      <c r="L17" s="7"/>
      <c r="M17" s="7"/>
    </row>
    <row r="18" spans="2:13" ht="15" thickBot="1" x14ac:dyDescent="0.4">
      <c r="B18" s="2">
        <v>42209</v>
      </c>
      <c r="C18" s="4">
        <v>730.17</v>
      </c>
      <c r="D18">
        <f t="shared" si="0"/>
        <v>25.765762463343105</v>
      </c>
      <c r="E18">
        <v>0.124445607983245</v>
      </c>
      <c r="F18">
        <v>15</v>
      </c>
      <c r="G18">
        <f t="shared" ca="1" si="1"/>
        <v>2.7062518375437446E-2</v>
      </c>
      <c r="I18" s="19"/>
      <c r="J18" s="19"/>
      <c r="K18" s="19"/>
      <c r="L18" s="19"/>
      <c r="M18" s="19"/>
    </row>
    <row r="19" spans="2:13" ht="15" thickBot="1" x14ac:dyDescent="0.4">
      <c r="B19" s="2">
        <v>38125</v>
      </c>
      <c r="C19" s="4">
        <v>27.28</v>
      </c>
      <c r="D19">
        <f t="shared" si="0"/>
        <v>-0.30585241730279888</v>
      </c>
      <c r="E19">
        <v>0.11803278688524599</v>
      </c>
      <c r="F19">
        <v>16</v>
      </c>
      <c r="G19">
        <f t="shared" ca="1" si="1"/>
        <v>-4.2023247767601017E-2</v>
      </c>
      <c r="I19" s="13" t="s">
        <v>9</v>
      </c>
      <c r="J19" s="13" t="s">
        <v>14</v>
      </c>
      <c r="K19" s="14" t="s">
        <v>11</v>
      </c>
      <c r="L19" s="14" t="s">
        <v>12</v>
      </c>
      <c r="M19" s="14" t="s">
        <v>13</v>
      </c>
    </row>
    <row r="20" spans="2:13" x14ac:dyDescent="0.35">
      <c r="B20" s="2">
        <v>39818</v>
      </c>
      <c r="C20" s="4">
        <v>39.299999999999997</v>
      </c>
      <c r="D20">
        <f t="shared" si="0"/>
        <v>-0.55492638731596833</v>
      </c>
      <c r="E20">
        <v>0.11647727272727249</v>
      </c>
      <c r="F20">
        <v>17</v>
      </c>
      <c r="G20">
        <f t="shared" ca="1" si="1"/>
        <v>-2.9332757384849893E-2</v>
      </c>
      <c r="I20" s="9">
        <v>0.05</v>
      </c>
      <c r="J20" s="10">
        <f>100%-I20</f>
        <v>0.95</v>
      </c>
      <c r="K20" s="8">
        <f ca="1">_xlfn.PERCENTILE.INC($G$4:$G$10003,I20)</f>
        <v>-4.4666728446215685E-2</v>
      </c>
      <c r="L20" s="11">
        <f ca="1">$K$10*(1-K20)</f>
        <v>7433.535039604737</v>
      </c>
      <c r="M20" s="11">
        <f ca="1">$K$10-L20</f>
        <v>-317.83503960473718</v>
      </c>
    </row>
    <row r="21" spans="2:13" x14ac:dyDescent="0.35">
      <c r="B21" s="2">
        <v>40150</v>
      </c>
      <c r="C21" s="4">
        <v>88.3</v>
      </c>
      <c r="D21">
        <f t="shared" si="0"/>
        <v>-0.98948238567603364</v>
      </c>
      <c r="E21">
        <v>0.11518060116190942</v>
      </c>
      <c r="F21">
        <v>18</v>
      </c>
      <c r="G21">
        <f t="shared" ca="1" si="1"/>
        <v>-2.1491589513710349E-3</v>
      </c>
      <c r="I21" s="9">
        <v>0.01</v>
      </c>
      <c r="J21" s="10">
        <f t="shared" ref="J21:J23" si="2">100%-I21</f>
        <v>0.99</v>
      </c>
      <c r="K21" s="8">
        <f t="shared" ref="K21:K23" ca="1" si="3">_xlfn.PERCENTILE.INC($G$4:$G$10003,I21)</f>
        <v>-6.400770754714398E-2</v>
      </c>
      <c r="L21" s="11">
        <f t="shared" ref="L21:L23" ca="1" si="4">$K$10*(1-K21)</f>
        <v>7571.1596445932119</v>
      </c>
      <c r="M21" s="11">
        <f t="shared" ref="M21:M23" ca="1" si="5">$K$10-L21</f>
        <v>-455.45964459321203</v>
      </c>
    </row>
    <row r="22" spans="2:13" x14ac:dyDescent="0.35">
      <c r="B22" s="2">
        <v>44645</v>
      </c>
      <c r="C22" s="4">
        <v>8395.44</v>
      </c>
      <c r="D22">
        <f t="shared" si="0"/>
        <v>203.02041312272178</v>
      </c>
      <c r="E22">
        <v>0.10928273665990607</v>
      </c>
      <c r="F22">
        <v>19</v>
      </c>
      <c r="G22">
        <f t="shared" ca="1" si="1"/>
        <v>-1.7588464339874339E-2</v>
      </c>
      <c r="I22" s="9">
        <v>5.0000000000000001E-3</v>
      </c>
      <c r="J22" s="10">
        <f t="shared" si="2"/>
        <v>0.995</v>
      </c>
      <c r="K22" s="8">
        <f t="shared" ca="1" si="3"/>
        <v>-7.0786771970552845E-2</v>
      </c>
      <c r="L22" s="11">
        <f t="shared" ca="1" si="4"/>
        <v>7619.3974333108627</v>
      </c>
      <c r="M22" s="11">
        <f t="shared" ca="1" si="5"/>
        <v>-503.69743331086283</v>
      </c>
    </row>
    <row r="23" spans="2:13" x14ac:dyDescent="0.35">
      <c r="B23" s="2">
        <v>39762</v>
      </c>
      <c r="C23" s="4">
        <v>41.15</v>
      </c>
      <c r="D23">
        <f t="shared" si="0"/>
        <v>-0.41498436167187946</v>
      </c>
      <c r="E23">
        <v>0.10796984383414099</v>
      </c>
      <c r="F23">
        <v>20</v>
      </c>
      <c r="G23">
        <f t="shared" ca="1" si="1"/>
        <v>-1.5799178059013642E-2</v>
      </c>
      <c r="I23" s="12">
        <v>0.1</v>
      </c>
      <c r="J23" s="10">
        <f t="shared" si="2"/>
        <v>0.9</v>
      </c>
      <c r="K23" s="8">
        <f t="shared" ca="1" si="3"/>
        <v>-3.3958852449534088E-2</v>
      </c>
      <c r="L23" s="11">
        <f t="shared" ca="1" si="4"/>
        <v>7357.3410063751489</v>
      </c>
      <c r="M23" s="11">
        <f t="shared" ca="1" si="5"/>
        <v>-241.64100637514912</v>
      </c>
    </row>
    <row r="24" spans="2:13" x14ac:dyDescent="0.35">
      <c r="B24" s="2">
        <v>40063</v>
      </c>
      <c r="C24" s="4">
        <v>70.34</v>
      </c>
      <c r="D24">
        <f t="shared" si="0"/>
        <v>1.1649647634114801E-2</v>
      </c>
      <c r="E24">
        <v>0.10754211935128333</v>
      </c>
      <c r="F24">
        <v>21</v>
      </c>
      <c r="G24">
        <f t="shared" ca="1" si="1"/>
        <v>-1.3371894895343722E-4</v>
      </c>
    </row>
    <row r="25" spans="2:13" x14ac:dyDescent="0.35">
      <c r="B25" s="2">
        <v>38658</v>
      </c>
      <c r="C25" s="4">
        <v>69.53</v>
      </c>
      <c r="D25">
        <f t="shared" si="0"/>
        <v>0.46842661034846889</v>
      </c>
      <c r="E25">
        <v>0.10575699745547062</v>
      </c>
      <c r="F25">
        <v>22</v>
      </c>
      <c r="G25">
        <f t="shared" ca="1" si="1"/>
        <v>1.1351670057763063E-2</v>
      </c>
    </row>
    <row r="26" spans="2:13" x14ac:dyDescent="0.35">
      <c r="B26" s="2">
        <v>38226</v>
      </c>
      <c r="C26" s="4">
        <v>47.35</v>
      </c>
      <c r="D26">
        <f t="shared" si="0"/>
        <v>-0.94119035198847401</v>
      </c>
      <c r="E26">
        <v>0.10372960372960383</v>
      </c>
      <c r="F26">
        <v>23</v>
      </c>
      <c r="G26">
        <f t="shared" ca="1" si="1"/>
        <v>9.4132072199495896E-3</v>
      </c>
    </row>
    <row r="27" spans="2:13" x14ac:dyDescent="0.35">
      <c r="B27" s="2">
        <v>43948</v>
      </c>
      <c r="C27" s="4">
        <v>805.14</v>
      </c>
      <c r="D27">
        <f t="shared" si="0"/>
        <v>-0.20108355907480724</v>
      </c>
      <c r="E27">
        <v>0.10370258673868049</v>
      </c>
      <c r="F27">
        <v>24</v>
      </c>
      <c r="G27">
        <f t="shared" ca="1" si="1"/>
        <v>-8.9929407147859575E-3</v>
      </c>
    </row>
    <row r="28" spans="2:13" x14ac:dyDescent="0.35">
      <c r="B28" s="2">
        <v>43893</v>
      </c>
      <c r="C28" s="4">
        <v>1007.79</v>
      </c>
      <c r="D28">
        <f t="shared" si="0"/>
        <v>5.538147138964578</v>
      </c>
      <c r="E28">
        <v>0.10262694340200662</v>
      </c>
      <c r="F28">
        <v>25</v>
      </c>
      <c r="G28">
        <f t="shared" ca="1" si="1"/>
        <v>4.307381761685037E-2</v>
      </c>
    </row>
    <row r="29" spans="2:13" x14ac:dyDescent="0.35">
      <c r="B29" s="2">
        <v>41624</v>
      </c>
      <c r="C29" s="4">
        <v>154.13999999999999</v>
      </c>
      <c r="D29">
        <f t="shared" si="0"/>
        <v>2.0035074045206542</v>
      </c>
      <c r="E29">
        <v>0.10186575166202028</v>
      </c>
      <c r="F29">
        <v>26</v>
      </c>
      <c r="G29">
        <f t="shared" ca="1" si="1"/>
        <v>1.8342539320812177E-2</v>
      </c>
    </row>
    <row r="30" spans="2:13" x14ac:dyDescent="0.35">
      <c r="B30" s="2">
        <v>39951</v>
      </c>
      <c r="C30" s="4">
        <v>51.32</v>
      </c>
      <c r="D30">
        <f t="shared" si="0"/>
        <v>-0.2910623014228485</v>
      </c>
      <c r="E30">
        <v>0.10176041219407472</v>
      </c>
      <c r="F30">
        <v>27</v>
      </c>
      <c r="G30">
        <f t="shared" ca="1" si="1"/>
        <v>-1.9311355019852718E-3</v>
      </c>
    </row>
    <row r="31" spans="2:13" x14ac:dyDescent="0.35">
      <c r="B31" s="2">
        <v>38825</v>
      </c>
      <c r="C31" s="4">
        <v>72.39</v>
      </c>
      <c r="D31">
        <f t="shared" si="0"/>
        <v>-0.89513558929192261</v>
      </c>
      <c r="E31">
        <v>0.10149117468046254</v>
      </c>
      <c r="F31">
        <v>28</v>
      </c>
      <c r="G31">
        <f t="shared" ca="1" si="1"/>
        <v>-5.3861635655581039E-2</v>
      </c>
    </row>
    <row r="32" spans="2:13" x14ac:dyDescent="0.35">
      <c r="B32" s="2">
        <v>42891</v>
      </c>
      <c r="C32" s="4">
        <v>690.32</v>
      </c>
      <c r="D32">
        <f t="shared" si="0"/>
        <v>8.7779036827195487</v>
      </c>
      <c r="E32">
        <v>0.10026936134266284</v>
      </c>
      <c r="F32">
        <v>29</v>
      </c>
      <c r="G32">
        <f t="shared" ca="1" si="1"/>
        <v>-2.4413046307677173E-2</v>
      </c>
    </row>
    <row r="33" spans="2:7" x14ac:dyDescent="0.35">
      <c r="B33" s="2">
        <v>38860</v>
      </c>
      <c r="C33" s="4">
        <v>70.599999999999994</v>
      </c>
      <c r="D33">
        <f t="shared" si="0"/>
        <v>0.2306083318807739</v>
      </c>
      <c r="E33">
        <v>0.10020258687860362</v>
      </c>
      <c r="F33">
        <v>30</v>
      </c>
      <c r="G33">
        <f t="shared" ca="1" si="1"/>
        <v>4.3330369916987889E-2</v>
      </c>
    </row>
    <row r="34" spans="2:7" x14ac:dyDescent="0.35">
      <c r="B34" s="2">
        <v>38356</v>
      </c>
      <c r="C34" s="4">
        <v>57.37</v>
      </c>
      <c r="D34">
        <f t="shared" si="0"/>
        <v>-0.90001394262609358</v>
      </c>
      <c r="E34">
        <v>0.10009587727708524</v>
      </c>
      <c r="F34">
        <v>31</v>
      </c>
      <c r="G34">
        <f t="shared" ca="1" si="1"/>
        <v>2.1955861258617836E-2</v>
      </c>
    </row>
    <row r="35" spans="2:7" x14ac:dyDescent="0.35">
      <c r="B35" s="2">
        <v>42095</v>
      </c>
      <c r="C35" s="4">
        <v>573.78</v>
      </c>
      <c r="D35">
        <f t="shared" si="0"/>
        <v>0.90037425893418987</v>
      </c>
      <c r="E35">
        <v>9.9975078120506877E-2</v>
      </c>
      <c r="F35">
        <v>32</v>
      </c>
      <c r="G35">
        <f t="shared" ca="1" si="1"/>
        <v>-1.58833037148235E-2</v>
      </c>
    </row>
    <row r="36" spans="2:7" x14ac:dyDescent="0.35">
      <c r="B36" s="2">
        <v>41901</v>
      </c>
      <c r="C36" s="4">
        <v>301.93</v>
      </c>
      <c r="D36">
        <f t="shared" si="0"/>
        <v>0.10000728650539203</v>
      </c>
      <c r="E36">
        <v>9.9887071509234593E-2</v>
      </c>
      <c r="F36">
        <v>33</v>
      </c>
      <c r="G36">
        <f t="shared" ca="1" si="1"/>
        <v>3.7191667713584391E-2</v>
      </c>
    </row>
    <row r="37" spans="2:7" x14ac:dyDescent="0.35">
      <c r="B37" s="2">
        <v>41708</v>
      </c>
      <c r="C37" s="4">
        <v>274.48</v>
      </c>
      <c r="D37">
        <f t="shared" si="0"/>
        <v>-0.5959607854682486</v>
      </c>
      <c r="E37">
        <v>9.871107197181983E-2</v>
      </c>
      <c r="F37">
        <v>34</v>
      </c>
      <c r="G37">
        <f t="shared" ca="1" si="1"/>
        <v>6.5897532244383215E-3</v>
      </c>
    </row>
    <row r="38" spans="2:7" x14ac:dyDescent="0.35">
      <c r="B38" s="2">
        <v>43930</v>
      </c>
      <c r="C38" s="4">
        <v>679.34</v>
      </c>
      <c r="D38">
        <f t="shared" si="0"/>
        <v>0.36944382849194679</v>
      </c>
      <c r="E38">
        <v>9.7320260382173895E-2</v>
      </c>
      <c r="F38">
        <v>35</v>
      </c>
      <c r="G38">
        <f t="shared" ca="1" si="1"/>
        <v>1.897336314736716E-2</v>
      </c>
    </row>
    <row r="39" spans="2:7" x14ac:dyDescent="0.35">
      <c r="B39" s="2">
        <v>42122</v>
      </c>
      <c r="C39" s="4">
        <v>496.07</v>
      </c>
      <c r="D39">
        <f t="shared" si="0"/>
        <v>-0.82989163980522596</v>
      </c>
      <c r="E39">
        <v>9.6432676155954411E-2</v>
      </c>
      <c r="F39">
        <v>36</v>
      </c>
      <c r="G39">
        <f t="shared" ca="1" si="1"/>
        <v>-9.6410381197429094E-3</v>
      </c>
    </row>
    <row r="40" spans="2:7" x14ac:dyDescent="0.35">
      <c r="B40" s="2">
        <v>44228</v>
      </c>
      <c r="C40" s="4">
        <v>2916.2</v>
      </c>
      <c r="D40">
        <f t="shared" si="0"/>
        <v>21.877539813289399</v>
      </c>
      <c r="E40">
        <v>9.6336397300701204E-2</v>
      </c>
      <c r="F40">
        <v>37</v>
      </c>
      <c r="G40">
        <f t="shared" ca="1" si="1"/>
        <v>2.6746742148479061E-3</v>
      </c>
    </row>
    <row r="41" spans="2:7" x14ac:dyDescent="0.35">
      <c r="B41" s="2">
        <v>39231</v>
      </c>
      <c r="C41" s="4">
        <v>127.47</v>
      </c>
      <c r="D41">
        <f t="shared" si="0"/>
        <v>0.24555403556771549</v>
      </c>
      <c r="E41">
        <v>9.632751354605662E-2</v>
      </c>
      <c r="F41">
        <v>38</v>
      </c>
      <c r="G41">
        <f t="shared" ca="1" si="1"/>
        <v>-5.1172506979606833E-2</v>
      </c>
    </row>
    <row r="42" spans="2:7" x14ac:dyDescent="0.35">
      <c r="B42" s="2">
        <v>39421</v>
      </c>
      <c r="C42" s="4">
        <v>102.34</v>
      </c>
      <c r="D42">
        <f t="shared" si="0"/>
        <v>0.39522835719154759</v>
      </c>
      <c r="E42">
        <v>9.5952023988006063E-2</v>
      </c>
      <c r="F42">
        <v>39</v>
      </c>
      <c r="G42">
        <f t="shared" ca="1" si="1"/>
        <v>-1.7767312857977412E-2</v>
      </c>
    </row>
    <row r="43" spans="2:7" x14ac:dyDescent="0.35">
      <c r="B43" s="2">
        <v>39591</v>
      </c>
      <c r="C43" s="4">
        <v>73.349999999999994</v>
      </c>
      <c r="D43">
        <f t="shared" si="0"/>
        <v>0.22209263578807059</v>
      </c>
      <c r="E43">
        <v>9.5921111609143628E-2</v>
      </c>
      <c r="F43">
        <v>40</v>
      </c>
      <c r="G43">
        <f t="shared" ca="1" si="1"/>
        <v>2.1251784991809259E-2</v>
      </c>
    </row>
    <row r="44" spans="2:7" x14ac:dyDescent="0.35">
      <c r="B44" s="2">
        <v>38924</v>
      </c>
      <c r="C44" s="4">
        <v>60.02</v>
      </c>
      <c r="D44">
        <f t="shared" si="0"/>
        <v>0.3928985843583197</v>
      </c>
      <c r="E44">
        <v>9.545537506844326E-2</v>
      </c>
      <c r="F44">
        <v>41</v>
      </c>
      <c r="G44">
        <f t="shared" ca="1" si="1"/>
        <v>5.2173055209959462E-2</v>
      </c>
    </row>
    <row r="45" spans="2:7" x14ac:dyDescent="0.35">
      <c r="B45" s="2">
        <v>39742</v>
      </c>
      <c r="C45" s="4">
        <v>43.09</v>
      </c>
      <c r="D45">
        <f t="shared" si="0"/>
        <v>-0.63780785071866852</v>
      </c>
      <c r="E45">
        <v>9.4766260162601812E-2</v>
      </c>
      <c r="F45">
        <v>42</v>
      </c>
      <c r="G45">
        <f t="shared" ca="1" si="1"/>
        <v>6.1282401240391618E-3</v>
      </c>
    </row>
    <row r="46" spans="2:7" x14ac:dyDescent="0.35">
      <c r="B46" s="2">
        <v>40477</v>
      </c>
      <c r="C46" s="4">
        <v>118.97</v>
      </c>
      <c r="D46">
        <f t="shared" si="0"/>
        <v>-0.98286201596395217</v>
      </c>
      <c r="E46">
        <v>9.4278881530537095E-2</v>
      </c>
      <c r="F46">
        <v>43</v>
      </c>
      <c r="G46">
        <f t="shared" ca="1" si="1"/>
        <v>1.1411181922129884E-2</v>
      </c>
    </row>
    <row r="47" spans="2:7" x14ac:dyDescent="0.35">
      <c r="B47" s="2">
        <v>44580</v>
      </c>
      <c r="C47" s="4">
        <v>6941.89</v>
      </c>
      <c r="D47">
        <f t="shared" si="0"/>
        <v>174.96679340937897</v>
      </c>
      <c r="E47">
        <v>9.4246680716709941E-2</v>
      </c>
      <c r="F47">
        <v>44</v>
      </c>
      <c r="G47">
        <f t="shared" ca="1" si="1"/>
        <v>3.1554130965926373E-2</v>
      </c>
    </row>
    <row r="48" spans="2:7" x14ac:dyDescent="0.35">
      <c r="B48" s="2">
        <v>37440</v>
      </c>
      <c r="C48" s="4">
        <v>39.450000000000003</v>
      </c>
      <c r="D48">
        <f t="shared" si="0"/>
        <v>-0.92448315467075037</v>
      </c>
      <c r="E48">
        <v>9.2797783933518119E-2</v>
      </c>
      <c r="F48">
        <v>45</v>
      </c>
      <c r="G48">
        <f t="shared" ca="1" si="1"/>
        <v>2.2129778975729493E-2</v>
      </c>
    </row>
    <row r="49" spans="2:7" x14ac:dyDescent="0.35">
      <c r="B49" s="2">
        <v>42065</v>
      </c>
      <c r="C49" s="4">
        <v>522.4</v>
      </c>
      <c r="D49">
        <f t="shared" si="0"/>
        <v>19.829346092503989</v>
      </c>
      <c r="E49">
        <v>9.2429945629443733E-2</v>
      </c>
      <c r="F49">
        <v>46</v>
      </c>
      <c r="G49">
        <f t="shared" ca="1" si="1"/>
        <v>-1.6207755880142609E-2</v>
      </c>
    </row>
    <row r="50" spans="2:7" x14ac:dyDescent="0.35">
      <c r="B50" s="2">
        <v>37781</v>
      </c>
      <c r="C50" s="4">
        <v>25.08</v>
      </c>
      <c r="D50">
        <f t="shared" si="0"/>
        <v>-0.7297122534755901</v>
      </c>
      <c r="E50">
        <v>9.1858946451893742E-2</v>
      </c>
      <c r="F50">
        <v>47</v>
      </c>
      <c r="G50">
        <f t="shared" ca="1" si="1"/>
        <v>1.2357007632519795E-2</v>
      </c>
    </row>
    <row r="51" spans="2:7" x14ac:dyDescent="0.35">
      <c r="B51" s="2">
        <v>40844</v>
      </c>
      <c r="C51" s="4">
        <v>92.79</v>
      </c>
      <c r="D51">
        <f t="shared" si="0"/>
        <v>1.6079258010118047</v>
      </c>
      <c r="E51">
        <v>9.1647058823529415E-2</v>
      </c>
      <c r="F51">
        <v>48</v>
      </c>
      <c r="G51">
        <f t="shared" ca="1" si="1"/>
        <v>-6.4763301627031256E-2</v>
      </c>
    </row>
    <row r="52" spans="2:7" x14ac:dyDescent="0.35">
      <c r="B52" s="2">
        <v>38166</v>
      </c>
      <c r="C52" s="4">
        <v>35.58</v>
      </c>
      <c r="D52">
        <f t="shared" si="0"/>
        <v>-0.95876312556500776</v>
      </c>
      <c r="E52">
        <v>9.1076356945722248E-2</v>
      </c>
      <c r="F52">
        <v>49</v>
      </c>
      <c r="G52">
        <f t="shared" ca="1" si="1"/>
        <v>-1.0013463931686685E-2</v>
      </c>
    </row>
    <row r="53" spans="2:7" x14ac:dyDescent="0.35">
      <c r="B53" s="2">
        <v>42255</v>
      </c>
      <c r="C53" s="4">
        <v>862.82</v>
      </c>
      <c r="D53">
        <f t="shared" si="0"/>
        <v>7.5716272600834493</v>
      </c>
      <c r="E53">
        <v>9.0989555673570699E-2</v>
      </c>
      <c r="F53">
        <v>50</v>
      </c>
      <c r="G53">
        <f t="shared" ca="1" si="1"/>
        <v>3.530114111329373E-2</v>
      </c>
    </row>
    <row r="54" spans="2:7" x14ac:dyDescent="0.35">
      <c r="B54" s="2">
        <v>40155</v>
      </c>
      <c r="C54" s="4">
        <v>100.66</v>
      </c>
      <c r="D54">
        <f t="shared" si="0"/>
        <v>-0.85877037910037324</v>
      </c>
      <c r="E54">
        <v>8.9865742745777411E-2</v>
      </c>
      <c r="F54">
        <v>51</v>
      </c>
      <c r="G54">
        <f t="shared" ca="1" si="1"/>
        <v>-2.5089071163209815E-2</v>
      </c>
    </row>
    <row r="55" spans="2:7" x14ac:dyDescent="0.35">
      <c r="B55" s="2">
        <v>43936</v>
      </c>
      <c r="C55" s="4">
        <v>712.74</v>
      </c>
      <c r="D55">
        <f t="shared" si="0"/>
        <v>1.5141627570637413</v>
      </c>
      <c r="E55">
        <v>8.9499992356960378E-2</v>
      </c>
      <c r="F55">
        <v>52</v>
      </c>
      <c r="G55">
        <f t="shared" ca="1" si="1"/>
        <v>-5.2359795182430079E-4</v>
      </c>
    </row>
    <row r="56" spans="2:7" x14ac:dyDescent="0.35">
      <c r="B56" s="2">
        <v>41701</v>
      </c>
      <c r="C56" s="4">
        <v>283.49</v>
      </c>
      <c r="D56">
        <f t="shared" si="0"/>
        <v>1.5769475502227071</v>
      </c>
      <c r="E56">
        <v>8.9298751200768578E-2</v>
      </c>
      <c r="F56">
        <v>53</v>
      </c>
      <c r="G56">
        <f t="shared" ca="1" si="1"/>
        <v>9.3570461275751266E-3</v>
      </c>
    </row>
    <row r="57" spans="2:7" x14ac:dyDescent="0.35">
      <c r="B57" s="2">
        <v>40191</v>
      </c>
      <c r="C57" s="4">
        <v>110.01</v>
      </c>
      <c r="D57">
        <f t="shared" si="0"/>
        <v>-0.97107382603276771</v>
      </c>
      <c r="E57">
        <v>8.8884489755518103E-2</v>
      </c>
      <c r="F57">
        <v>54</v>
      </c>
      <c r="G57">
        <f t="shared" ca="1" si="1"/>
        <v>8.3906196396560905E-3</v>
      </c>
    </row>
    <row r="58" spans="2:7" x14ac:dyDescent="0.35">
      <c r="B58" s="2">
        <v>44320</v>
      </c>
      <c r="C58" s="4">
        <v>3803.13</v>
      </c>
      <c r="D58">
        <f t="shared" si="0"/>
        <v>101.26216724926056</v>
      </c>
      <c r="E58">
        <v>8.8110163454138135E-2</v>
      </c>
      <c r="F58">
        <v>55</v>
      </c>
      <c r="G58">
        <f t="shared" ca="1" si="1"/>
        <v>-2.2406149679312242E-2</v>
      </c>
    </row>
    <row r="59" spans="2:7" x14ac:dyDescent="0.35">
      <c r="B59" s="2">
        <v>39750</v>
      </c>
      <c r="C59" s="4">
        <v>37.19</v>
      </c>
      <c r="D59">
        <f t="shared" si="0"/>
        <v>0.11883273164861596</v>
      </c>
      <c r="E59">
        <v>8.7744954665106789E-2</v>
      </c>
      <c r="F59">
        <v>56</v>
      </c>
      <c r="G59">
        <f t="shared" ca="1" si="1"/>
        <v>-1.0839355278147923E-2</v>
      </c>
    </row>
    <row r="60" spans="2:7" x14ac:dyDescent="0.35">
      <c r="B60" s="2">
        <v>38033</v>
      </c>
      <c r="C60" s="4">
        <v>33.24</v>
      </c>
      <c r="D60">
        <f t="shared" si="0"/>
        <v>-0.55791993616172353</v>
      </c>
      <c r="E60">
        <v>8.7340529931305255E-2</v>
      </c>
      <c r="F60">
        <v>57</v>
      </c>
      <c r="G60">
        <f t="shared" ca="1" si="1"/>
        <v>-1.6399319119528293E-2</v>
      </c>
    </row>
    <row r="61" spans="2:7" x14ac:dyDescent="0.35">
      <c r="B61" s="2">
        <v>38833</v>
      </c>
      <c r="C61" s="4">
        <v>75.19</v>
      </c>
      <c r="D61">
        <f t="shared" si="0"/>
        <v>-0.40729938514898312</v>
      </c>
      <c r="E61">
        <v>8.6246749494365726E-2</v>
      </c>
      <c r="F61">
        <v>58</v>
      </c>
      <c r="G61">
        <f t="shared" ca="1" si="1"/>
        <v>4.3627011905929533E-2</v>
      </c>
    </row>
    <row r="62" spans="2:7" x14ac:dyDescent="0.35">
      <c r="B62" s="2">
        <v>40484</v>
      </c>
      <c r="C62" s="4">
        <v>126.86</v>
      </c>
      <c r="D62">
        <f t="shared" si="0"/>
        <v>3.4779385810095311</v>
      </c>
      <c r="E62">
        <v>8.5572479890467124E-2</v>
      </c>
      <c r="F62">
        <v>59</v>
      </c>
      <c r="G62">
        <f t="shared" ca="1" si="1"/>
        <v>-1.1945583729023924E-3</v>
      </c>
    </row>
    <row r="63" spans="2:7" x14ac:dyDescent="0.35">
      <c r="B63" s="2">
        <v>37861</v>
      </c>
      <c r="C63" s="4">
        <v>28.33</v>
      </c>
      <c r="D63">
        <f t="shared" si="0"/>
        <v>-0.91383819951338197</v>
      </c>
      <c r="E63">
        <v>8.5440613026819712E-2</v>
      </c>
      <c r="F63">
        <v>60</v>
      </c>
      <c r="G63">
        <f t="shared" ca="1" si="1"/>
        <v>-4.1153253782388086E-2</v>
      </c>
    </row>
    <row r="64" spans="2:7" x14ac:dyDescent="0.35">
      <c r="B64" s="2">
        <v>42016</v>
      </c>
      <c r="C64" s="4">
        <v>328.8</v>
      </c>
      <c r="D64">
        <f t="shared" si="0"/>
        <v>2.5320657428295199</v>
      </c>
      <c r="E64">
        <v>8.5327611817131555E-2</v>
      </c>
      <c r="F64">
        <v>61</v>
      </c>
      <c r="G64">
        <f t="shared" ca="1" si="1"/>
        <v>4.9029004063214768E-2</v>
      </c>
    </row>
    <row r="65" spans="2:7" x14ac:dyDescent="0.35">
      <c r="B65" s="2">
        <v>40941</v>
      </c>
      <c r="C65" s="4">
        <v>93.09</v>
      </c>
      <c r="D65">
        <f t="shared" si="0"/>
        <v>-0.13218980143562964</v>
      </c>
      <c r="E65">
        <v>8.5091502506119632E-2</v>
      </c>
      <c r="F65">
        <v>62</v>
      </c>
      <c r="G65">
        <f t="shared" ca="1" si="1"/>
        <v>8.4466806292913549E-3</v>
      </c>
    </row>
    <row r="66" spans="2:7" x14ac:dyDescent="0.35">
      <c r="B66" s="2">
        <v>40429</v>
      </c>
      <c r="C66" s="4">
        <v>107.27</v>
      </c>
      <c r="D66">
        <f t="shared" si="0"/>
        <v>4.5888743210338312E-3</v>
      </c>
      <c r="E66">
        <v>8.4630940343781491E-2</v>
      </c>
      <c r="F66">
        <v>63</v>
      </c>
      <c r="G66">
        <f t="shared" ca="1" si="1"/>
        <v>6.5889626719405667E-2</v>
      </c>
    </row>
    <row r="67" spans="2:7" x14ac:dyDescent="0.35">
      <c r="B67" s="2">
        <v>40452</v>
      </c>
      <c r="C67" s="4">
        <v>106.78</v>
      </c>
      <c r="D67">
        <f t="shared" si="0"/>
        <v>-0.70432519244614278</v>
      </c>
      <c r="E67">
        <v>8.4170981825566038E-2</v>
      </c>
      <c r="F67">
        <v>64</v>
      </c>
      <c r="G67">
        <f t="shared" ca="1" si="1"/>
        <v>-2.862168556627377E-3</v>
      </c>
    </row>
    <row r="68" spans="2:7" x14ac:dyDescent="0.35">
      <c r="B68" s="2">
        <v>42025</v>
      </c>
      <c r="C68" s="4">
        <v>361.14</v>
      </c>
      <c r="D68">
        <f t="shared" ref="D68:D131" si="6">C68/C69-1</f>
        <v>2.9896155545735748</v>
      </c>
      <c r="E68">
        <v>8.3365831708414495E-2</v>
      </c>
      <c r="F68">
        <v>65</v>
      </c>
      <c r="G68">
        <f t="shared" ca="1" si="1"/>
        <v>-4.9440525320228003E-2</v>
      </c>
    </row>
    <row r="69" spans="2:7" x14ac:dyDescent="0.35">
      <c r="B69" s="2">
        <v>40793</v>
      </c>
      <c r="C69" s="4">
        <v>90.52</v>
      </c>
      <c r="D69">
        <f t="shared" si="6"/>
        <v>-0.94873566473170046</v>
      </c>
      <c r="E69">
        <v>8.2127913927076968E-2</v>
      </c>
      <c r="F69">
        <v>66</v>
      </c>
      <c r="G69">
        <f t="shared" ref="G69:G132" ca="1" si="7">_xlfn.NORM.INV(RAND(),K$6,K$7)</f>
        <v>2.9314977313758796E-2</v>
      </c>
    </row>
    <row r="70" spans="2:7" x14ac:dyDescent="0.35">
      <c r="B70" s="2">
        <v>44188</v>
      </c>
      <c r="C70" s="4">
        <v>1765.75</v>
      </c>
      <c r="D70">
        <f t="shared" si="6"/>
        <v>19.366205305651672</v>
      </c>
      <c r="E70">
        <v>8.1663032025679261E-2</v>
      </c>
      <c r="F70">
        <v>67</v>
      </c>
      <c r="G70">
        <f t="shared" ca="1" si="7"/>
        <v>-6.1989519769530097E-4</v>
      </c>
    </row>
    <row r="71" spans="2:7" x14ac:dyDescent="0.35">
      <c r="B71" s="2">
        <v>38839</v>
      </c>
      <c r="C71" s="4">
        <v>86.7</v>
      </c>
      <c r="D71">
        <f t="shared" si="6"/>
        <v>-0.91601929522075209</v>
      </c>
      <c r="E71">
        <v>8.1586826347305408E-2</v>
      </c>
      <c r="F71">
        <v>68</v>
      </c>
      <c r="G71">
        <f t="shared" ca="1" si="7"/>
        <v>1.5123039851847866E-3</v>
      </c>
    </row>
    <row r="72" spans="2:7" x14ac:dyDescent="0.35">
      <c r="B72" s="2">
        <v>42401</v>
      </c>
      <c r="C72" s="4">
        <v>1032.3800000000001</v>
      </c>
      <c r="D72">
        <f t="shared" si="6"/>
        <v>13.518070594853047</v>
      </c>
      <c r="E72">
        <v>8.0550961880639038E-2</v>
      </c>
      <c r="F72">
        <v>69</v>
      </c>
      <c r="G72">
        <f t="shared" ca="1" si="7"/>
        <v>-3.2453035535988939E-3</v>
      </c>
    </row>
    <row r="73" spans="2:7" x14ac:dyDescent="0.35">
      <c r="B73" s="2">
        <v>39559</v>
      </c>
      <c r="C73" s="4">
        <v>71.11</v>
      </c>
      <c r="D73">
        <f t="shared" si="6"/>
        <v>-0.45663635668984492</v>
      </c>
      <c r="E73">
        <v>7.9059180576631194E-2</v>
      </c>
      <c r="F73">
        <v>70</v>
      </c>
      <c r="G73">
        <f t="shared" ca="1" si="7"/>
        <v>5.0552309409666006E-3</v>
      </c>
    </row>
    <row r="74" spans="2:7" x14ac:dyDescent="0.35">
      <c r="B74" s="2">
        <v>40260</v>
      </c>
      <c r="C74" s="4">
        <v>130.87</v>
      </c>
      <c r="D74">
        <f t="shared" si="6"/>
        <v>1.4298180467879691</v>
      </c>
      <c r="E74">
        <v>7.8806363861182005E-2</v>
      </c>
      <c r="F74">
        <v>71</v>
      </c>
      <c r="G74">
        <f t="shared" ca="1" si="7"/>
        <v>1.7063000997469768E-2</v>
      </c>
    </row>
    <row r="75" spans="2:7" x14ac:dyDescent="0.35">
      <c r="B75" s="2">
        <v>39986</v>
      </c>
      <c r="C75" s="4">
        <v>53.86</v>
      </c>
      <c r="D75">
        <f t="shared" si="6"/>
        <v>-0.994739232568702</v>
      </c>
      <c r="E75">
        <v>7.8494193031638071E-2</v>
      </c>
      <c r="F75">
        <v>72</v>
      </c>
      <c r="G75">
        <f t="shared" ca="1" si="7"/>
        <v>4.2938997361087354E-2</v>
      </c>
    </row>
    <row r="76" spans="2:7" x14ac:dyDescent="0.35">
      <c r="B76" s="2">
        <v>44785</v>
      </c>
      <c r="C76" s="4">
        <v>10238.049999999999</v>
      </c>
      <c r="D76">
        <f t="shared" si="6"/>
        <v>109.84939367691641</v>
      </c>
      <c r="E76">
        <v>7.7842640796323748E-2</v>
      </c>
      <c r="F76">
        <v>73</v>
      </c>
      <c r="G76">
        <f t="shared" ca="1" si="7"/>
        <v>5.0989829351802372E-2</v>
      </c>
    </row>
    <row r="77" spans="2:7" x14ac:dyDescent="0.35">
      <c r="B77" s="2">
        <v>40154</v>
      </c>
      <c r="C77" s="4">
        <v>92.36</v>
      </c>
      <c r="D77">
        <f t="shared" si="6"/>
        <v>1.5727019498607242</v>
      </c>
      <c r="E77">
        <v>7.7587212693968066E-2</v>
      </c>
      <c r="F77">
        <v>74</v>
      </c>
      <c r="G77">
        <f t="shared" ca="1" si="7"/>
        <v>-4.5616513256447003E-3</v>
      </c>
    </row>
    <row r="78" spans="2:7" x14ac:dyDescent="0.35">
      <c r="B78" s="2">
        <v>37964</v>
      </c>
      <c r="C78" s="4">
        <v>35.9</v>
      </c>
      <c r="D78">
        <f t="shared" si="6"/>
        <v>-0.50625773621235037</v>
      </c>
      <c r="E78">
        <v>7.7430972388955466E-2</v>
      </c>
      <c r="F78">
        <v>75</v>
      </c>
      <c r="G78">
        <f t="shared" ca="1" si="7"/>
        <v>2.074031180475356E-2</v>
      </c>
    </row>
    <row r="79" spans="2:7" x14ac:dyDescent="0.35">
      <c r="B79" s="2">
        <v>38546</v>
      </c>
      <c r="C79" s="4">
        <v>72.709999999999994</v>
      </c>
      <c r="D79">
        <f t="shared" si="6"/>
        <v>0.85721583652618127</v>
      </c>
      <c r="E79">
        <v>7.7344791821010617E-2</v>
      </c>
      <c r="F79">
        <v>76</v>
      </c>
      <c r="G79">
        <f t="shared" ca="1" si="7"/>
        <v>-3.251023224138707E-2</v>
      </c>
    </row>
    <row r="80" spans="2:7" x14ac:dyDescent="0.35">
      <c r="B80" s="2">
        <v>37978</v>
      </c>
      <c r="C80" s="4">
        <v>39.15</v>
      </c>
      <c r="D80">
        <f t="shared" si="6"/>
        <v>-0.96086995632227568</v>
      </c>
      <c r="E80">
        <v>7.7028885832187033E-2</v>
      </c>
      <c r="F80">
        <v>77</v>
      </c>
      <c r="G80">
        <f t="shared" ca="1" si="7"/>
        <v>-2.2592443942214418E-2</v>
      </c>
    </row>
    <row r="81" spans="2:7" x14ac:dyDescent="0.35">
      <c r="B81" s="2">
        <v>43865</v>
      </c>
      <c r="C81" s="4">
        <v>1000.51</v>
      </c>
      <c r="D81">
        <f t="shared" si="6"/>
        <v>8.2280944475189077</v>
      </c>
      <c r="E81">
        <v>7.6534894230562367E-2</v>
      </c>
      <c r="F81">
        <v>78</v>
      </c>
      <c r="G81">
        <f t="shared" ca="1" si="7"/>
        <v>-1.5301631004450329E-2</v>
      </c>
    </row>
    <row r="82" spans="2:7" x14ac:dyDescent="0.35">
      <c r="B82" s="2">
        <v>41600</v>
      </c>
      <c r="C82" s="4">
        <v>108.42</v>
      </c>
      <c r="D82">
        <f t="shared" si="6"/>
        <v>-0.82519951632406285</v>
      </c>
      <c r="E82">
        <v>7.6235854675402059E-2</v>
      </c>
      <c r="F82">
        <v>79</v>
      </c>
      <c r="G82">
        <f t="shared" ca="1" si="7"/>
        <v>-1.1918315762196943E-2</v>
      </c>
    </row>
    <row r="83" spans="2:7" x14ac:dyDescent="0.35">
      <c r="B83" s="2">
        <v>43928</v>
      </c>
      <c r="C83" s="4">
        <v>620.25</v>
      </c>
      <c r="D83">
        <f t="shared" si="6"/>
        <v>21.562750090942163</v>
      </c>
      <c r="E83">
        <v>7.6056973334952538E-2</v>
      </c>
      <c r="F83">
        <v>80</v>
      </c>
      <c r="G83">
        <f t="shared" ca="1" si="7"/>
        <v>-8.3297807094345564E-3</v>
      </c>
    </row>
    <row r="84" spans="2:7" x14ac:dyDescent="0.35">
      <c r="B84" s="2">
        <v>37802</v>
      </c>
      <c r="C84" s="4">
        <v>27.49</v>
      </c>
      <c r="D84">
        <f t="shared" si="6"/>
        <v>-0.61808835787718808</v>
      </c>
      <c r="E84">
        <v>7.5929549902152615E-2</v>
      </c>
      <c r="F84">
        <v>81</v>
      </c>
      <c r="G84">
        <f t="shared" ca="1" si="7"/>
        <v>-2.8246944879256001E-3</v>
      </c>
    </row>
    <row r="85" spans="2:7" x14ac:dyDescent="0.35">
      <c r="B85" s="2">
        <v>38811</v>
      </c>
      <c r="C85" s="4">
        <v>71.98</v>
      </c>
      <c r="D85">
        <f t="shared" si="6"/>
        <v>-0.98319202146414819</v>
      </c>
      <c r="E85">
        <v>7.529130564684805E-2</v>
      </c>
      <c r="F85">
        <v>82</v>
      </c>
      <c r="G85">
        <f t="shared" ca="1" si="7"/>
        <v>4.798521489130618E-2</v>
      </c>
    </row>
    <row r="86" spans="2:7" x14ac:dyDescent="0.35">
      <c r="B86" s="2">
        <v>44377</v>
      </c>
      <c r="C86" s="4">
        <v>4282.49</v>
      </c>
      <c r="D86">
        <f t="shared" si="6"/>
        <v>20.683493670886076</v>
      </c>
      <c r="E86">
        <v>7.5283855513651687E-2</v>
      </c>
      <c r="F86">
        <v>83</v>
      </c>
      <c r="G86">
        <f t="shared" ca="1" si="7"/>
        <v>-1.2230343971185002E-2</v>
      </c>
    </row>
    <row r="87" spans="2:7" x14ac:dyDescent="0.35">
      <c r="B87" s="2">
        <v>41684</v>
      </c>
      <c r="C87" s="4">
        <v>197.5</v>
      </c>
      <c r="D87">
        <f t="shared" si="6"/>
        <v>0.65189026430244223</v>
      </c>
      <c r="E87">
        <v>7.4654478180433026E-2</v>
      </c>
      <c r="F87">
        <v>84</v>
      </c>
      <c r="G87">
        <f t="shared" ca="1" si="7"/>
        <v>-2.7509691256931611E-2</v>
      </c>
    </row>
    <row r="88" spans="2:7" x14ac:dyDescent="0.35">
      <c r="B88" s="2">
        <v>39188</v>
      </c>
      <c r="C88" s="4">
        <v>119.56</v>
      </c>
      <c r="D88">
        <f t="shared" si="6"/>
        <v>-7.9316186662559796E-2</v>
      </c>
      <c r="E88">
        <v>7.4600035951824628E-2</v>
      </c>
      <c r="F88">
        <v>85</v>
      </c>
      <c r="G88">
        <f t="shared" ca="1" si="7"/>
        <v>4.5233894789501643E-3</v>
      </c>
    </row>
    <row r="89" spans="2:7" x14ac:dyDescent="0.35">
      <c r="B89" s="2">
        <v>41606</v>
      </c>
      <c r="C89" s="4">
        <v>129.86000000000001</v>
      </c>
      <c r="D89">
        <f t="shared" si="6"/>
        <v>1.8328970331588135</v>
      </c>
      <c r="E89">
        <v>7.4555233760860817E-2</v>
      </c>
      <c r="F89">
        <v>86</v>
      </c>
      <c r="G89">
        <f t="shared" ca="1" si="7"/>
        <v>-4.7970558853161326E-3</v>
      </c>
    </row>
    <row r="90" spans="2:7" x14ac:dyDescent="0.35">
      <c r="B90" s="2">
        <v>38223</v>
      </c>
      <c r="C90" s="4">
        <v>45.84</v>
      </c>
      <c r="D90">
        <f t="shared" si="6"/>
        <v>0.43294779618630841</v>
      </c>
      <c r="E90">
        <v>7.4291071010077481E-2</v>
      </c>
      <c r="F90">
        <v>87</v>
      </c>
      <c r="G90">
        <f t="shared" ca="1" si="7"/>
        <v>-2.5544140550762068E-2</v>
      </c>
    </row>
    <row r="91" spans="2:7" x14ac:dyDescent="0.35">
      <c r="B91" s="2">
        <v>38009</v>
      </c>
      <c r="C91" s="4">
        <v>31.99</v>
      </c>
      <c r="D91">
        <f t="shared" si="6"/>
        <v>-0.9878971999742735</v>
      </c>
      <c r="E91">
        <v>7.3850285330647747E-2</v>
      </c>
      <c r="F91">
        <v>88</v>
      </c>
      <c r="G91">
        <f t="shared" ca="1" si="7"/>
        <v>3.4581058950664427E-2</v>
      </c>
    </row>
    <row r="92" spans="2:7" x14ac:dyDescent="0.35">
      <c r="B92" s="2">
        <v>44215</v>
      </c>
      <c r="C92" s="4">
        <v>2643.19</v>
      </c>
      <c r="D92">
        <f t="shared" si="6"/>
        <v>3.5955734056610336</v>
      </c>
      <c r="E92">
        <v>7.3838891055642231E-2</v>
      </c>
      <c r="F92">
        <v>89</v>
      </c>
      <c r="G92">
        <f t="shared" ca="1" si="7"/>
        <v>1.5761515596818571E-2</v>
      </c>
    </row>
    <row r="93" spans="2:7" x14ac:dyDescent="0.35">
      <c r="B93" s="2">
        <v>42699</v>
      </c>
      <c r="C93" s="4">
        <v>575.16</v>
      </c>
      <c r="D93">
        <f t="shared" si="6"/>
        <v>0.13363292336802268</v>
      </c>
      <c r="E93">
        <v>7.3620548047487411E-2</v>
      </c>
      <c r="F93">
        <v>90</v>
      </c>
      <c r="G93">
        <f t="shared" ca="1" si="7"/>
        <v>7.246731807875903E-2</v>
      </c>
    </row>
    <row r="94" spans="2:7" x14ac:dyDescent="0.35">
      <c r="B94" s="2">
        <v>42090</v>
      </c>
      <c r="C94" s="4">
        <v>507.36</v>
      </c>
      <c r="D94">
        <f t="shared" si="6"/>
        <v>1.1076769690927217</v>
      </c>
      <c r="E94">
        <v>7.348242811501593E-2</v>
      </c>
      <c r="F94">
        <v>91</v>
      </c>
      <c r="G94">
        <f t="shared" ca="1" si="7"/>
        <v>4.253545125118368E-3</v>
      </c>
    </row>
    <row r="95" spans="2:7" x14ac:dyDescent="0.35">
      <c r="B95" s="2">
        <v>41781</v>
      </c>
      <c r="C95" s="4">
        <v>240.72</v>
      </c>
      <c r="D95">
        <f t="shared" si="6"/>
        <v>-0.90841088781170809</v>
      </c>
      <c r="E95">
        <v>7.3253377324000279E-2</v>
      </c>
      <c r="F95">
        <v>92</v>
      </c>
      <c r="G95">
        <f t="shared" ca="1" si="7"/>
        <v>2.9246229298330081E-2</v>
      </c>
    </row>
    <row r="96" spans="2:7" x14ac:dyDescent="0.35">
      <c r="B96" s="2">
        <v>44223</v>
      </c>
      <c r="C96" s="4">
        <v>2628.26</v>
      </c>
      <c r="D96">
        <f t="shared" si="6"/>
        <v>43.896822685343359</v>
      </c>
      <c r="E96">
        <v>7.2535921093976441E-2</v>
      </c>
      <c r="F96">
        <v>93</v>
      </c>
      <c r="G96">
        <f t="shared" ca="1" si="7"/>
        <v>9.3730476061336145E-3</v>
      </c>
    </row>
    <row r="97" spans="2:7" x14ac:dyDescent="0.35">
      <c r="B97" s="2">
        <v>39535</v>
      </c>
      <c r="C97" s="4">
        <v>58.54</v>
      </c>
      <c r="D97">
        <f t="shared" si="6"/>
        <v>-1.8114726601811459E-2</v>
      </c>
      <c r="E97">
        <v>7.1964841604101881E-2</v>
      </c>
      <c r="F97">
        <v>94</v>
      </c>
      <c r="G97">
        <f t="shared" ca="1" si="7"/>
        <v>1.4118502761655712E-2</v>
      </c>
    </row>
    <row r="98" spans="2:7" x14ac:dyDescent="0.35">
      <c r="B98" s="2">
        <v>38397</v>
      </c>
      <c r="C98" s="4">
        <v>59.62</v>
      </c>
      <c r="D98">
        <f t="shared" si="6"/>
        <v>-0.26720747295968539</v>
      </c>
      <c r="E98">
        <v>7.1916576770945762E-2</v>
      </c>
      <c r="F98">
        <v>95</v>
      </c>
      <c r="G98">
        <f t="shared" ca="1" si="7"/>
        <v>6.1491806048402459E-2</v>
      </c>
    </row>
    <row r="99" spans="2:7" x14ac:dyDescent="0.35">
      <c r="B99" s="2">
        <v>41519</v>
      </c>
      <c r="C99" s="4">
        <v>81.36</v>
      </c>
      <c r="D99">
        <f t="shared" si="6"/>
        <v>-0.90726937017027964</v>
      </c>
      <c r="E99">
        <v>7.1654373024236051E-2</v>
      </c>
      <c r="F99">
        <v>96</v>
      </c>
      <c r="G99">
        <f t="shared" ca="1" si="7"/>
        <v>-1.7716686081121303E-2</v>
      </c>
    </row>
    <row r="100" spans="2:7" x14ac:dyDescent="0.35">
      <c r="B100" s="2">
        <v>42415</v>
      </c>
      <c r="C100" s="4">
        <v>877.38</v>
      </c>
      <c r="D100">
        <f t="shared" si="6"/>
        <v>6.6433487237564242</v>
      </c>
      <c r="E100">
        <v>7.163533765710306E-2</v>
      </c>
      <c r="F100">
        <v>97</v>
      </c>
      <c r="G100">
        <f t="shared" ca="1" si="7"/>
        <v>2.8251974110887795E-2</v>
      </c>
    </row>
    <row r="101" spans="2:7" x14ac:dyDescent="0.35">
      <c r="B101" s="2">
        <v>40525</v>
      </c>
      <c r="C101" s="4">
        <v>114.79</v>
      </c>
      <c r="D101">
        <f t="shared" si="6"/>
        <v>-0.98164138405316148</v>
      </c>
      <c r="E101">
        <v>7.1201941022769777E-2</v>
      </c>
      <c r="F101">
        <v>98</v>
      </c>
      <c r="G101">
        <f t="shared" ca="1" si="7"/>
        <v>-2.8906626006879E-3</v>
      </c>
    </row>
    <row r="102" spans="2:7" x14ac:dyDescent="0.35">
      <c r="B102" s="2">
        <v>44921</v>
      </c>
      <c r="C102" s="4">
        <v>6252.65</v>
      </c>
      <c r="D102">
        <f t="shared" si="6"/>
        <v>51.441918980122445</v>
      </c>
      <c r="E102">
        <v>7.1099424420994817E-2</v>
      </c>
      <c r="F102">
        <v>99</v>
      </c>
      <c r="G102">
        <f t="shared" ca="1" si="7"/>
        <v>3.6141175448346545E-2</v>
      </c>
    </row>
    <row r="103" spans="2:7" x14ac:dyDescent="0.35">
      <c r="B103" s="2">
        <v>40254</v>
      </c>
      <c r="C103" s="4">
        <v>119.23</v>
      </c>
      <c r="D103">
        <f t="shared" si="6"/>
        <v>1.0556896551724138</v>
      </c>
      <c r="E103">
        <v>7.105641394178952E-2</v>
      </c>
      <c r="F103">
        <v>100</v>
      </c>
      <c r="G103">
        <f t="shared" ca="1" si="7"/>
        <v>1.4934001573084854E-2</v>
      </c>
    </row>
    <row r="104" spans="2:7" x14ac:dyDescent="0.35">
      <c r="B104" s="2">
        <v>38884</v>
      </c>
      <c r="C104" s="4">
        <v>58</v>
      </c>
      <c r="D104">
        <f t="shared" si="6"/>
        <v>-0.99354817897351533</v>
      </c>
      <c r="E104">
        <v>7.0901033973412186E-2</v>
      </c>
      <c r="F104">
        <v>101</v>
      </c>
      <c r="G104">
        <f t="shared" ca="1" si="7"/>
        <v>1.2878915259913975E-2</v>
      </c>
    </row>
    <row r="105" spans="2:7" x14ac:dyDescent="0.35">
      <c r="B105" s="2">
        <v>44648</v>
      </c>
      <c r="C105" s="4">
        <v>8989.7099999999991</v>
      </c>
      <c r="D105">
        <f t="shared" si="6"/>
        <v>22.367497595591484</v>
      </c>
      <c r="E105">
        <v>7.0784854635373318E-2</v>
      </c>
      <c r="F105">
        <v>102</v>
      </c>
      <c r="G105">
        <f t="shared" ca="1" si="7"/>
        <v>1.0784422498703554E-2</v>
      </c>
    </row>
    <row r="106" spans="2:7" x14ac:dyDescent="0.35">
      <c r="B106" s="2">
        <v>42047</v>
      </c>
      <c r="C106" s="4">
        <v>384.71</v>
      </c>
      <c r="D106">
        <f t="shared" si="6"/>
        <v>-0.91799606084376384</v>
      </c>
      <c r="E106">
        <v>7.0750647109577125E-2</v>
      </c>
      <c r="F106">
        <v>103</v>
      </c>
      <c r="G106">
        <f t="shared" ca="1" si="7"/>
        <v>-1.1966826834214168E-2</v>
      </c>
    </row>
    <row r="107" spans="2:7" x14ac:dyDescent="0.35">
      <c r="B107" s="2">
        <v>44425</v>
      </c>
      <c r="C107" s="4">
        <v>4691.3599999999997</v>
      </c>
      <c r="D107">
        <f t="shared" si="6"/>
        <v>185.16507936507935</v>
      </c>
      <c r="E107">
        <v>7.0712741896095554E-2</v>
      </c>
      <c r="F107">
        <v>104</v>
      </c>
      <c r="G107">
        <f t="shared" ca="1" si="7"/>
        <v>4.7034461037444653E-3</v>
      </c>
    </row>
    <row r="108" spans="2:7" x14ac:dyDescent="0.35">
      <c r="B108" s="2">
        <v>37798</v>
      </c>
      <c r="C108" s="4">
        <v>25.2</v>
      </c>
      <c r="D108">
        <f t="shared" si="6"/>
        <v>-0.17512274959083474</v>
      </c>
      <c r="E108">
        <v>7.0518266779949101E-2</v>
      </c>
      <c r="F108">
        <v>105</v>
      </c>
      <c r="G108">
        <f t="shared" ca="1" si="7"/>
        <v>-3.6391798116493089E-2</v>
      </c>
    </row>
    <row r="109" spans="2:7" x14ac:dyDescent="0.35">
      <c r="B109" s="2">
        <v>37904</v>
      </c>
      <c r="C109" s="4">
        <v>30.55</v>
      </c>
      <c r="D109">
        <f t="shared" si="6"/>
        <v>-0.82559799052349148</v>
      </c>
      <c r="E109">
        <v>7.0427470217238941E-2</v>
      </c>
      <c r="F109">
        <v>106</v>
      </c>
      <c r="G109">
        <f t="shared" ca="1" si="7"/>
        <v>-3.11396181114238E-3</v>
      </c>
    </row>
    <row r="110" spans="2:7" x14ac:dyDescent="0.35">
      <c r="B110" s="2">
        <v>41635</v>
      </c>
      <c r="C110" s="4">
        <v>175.17</v>
      </c>
      <c r="D110">
        <f t="shared" si="6"/>
        <v>-0.97291245606411814</v>
      </c>
      <c r="E110">
        <v>7.0394133822181404E-2</v>
      </c>
      <c r="F110">
        <v>107</v>
      </c>
      <c r="G110">
        <f t="shared" ca="1" si="7"/>
        <v>-1.7874565298414347E-2</v>
      </c>
    </row>
    <row r="111" spans="2:7" x14ac:dyDescent="0.35">
      <c r="B111" s="2">
        <v>44617</v>
      </c>
      <c r="C111" s="4">
        <v>6466.81</v>
      </c>
      <c r="D111">
        <f t="shared" si="6"/>
        <v>9.2574510270441746</v>
      </c>
      <c r="E111">
        <v>7.0075719968494266E-2</v>
      </c>
      <c r="F111">
        <v>108</v>
      </c>
      <c r="G111">
        <f t="shared" ca="1" si="7"/>
        <v>-6.9178701055617769E-2</v>
      </c>
    </row>
    <row r="112" spans="2:7" x14ac:dyDescent="0.35">
      <c r="B112" s="2">
        <v>43700</v>
      </c>
      <c r="C112" s="4">
        <v>630.45000000000005</v>
      </c>
      <c r="D112">
        <f t="shared" si="6"/>
        <v>13.377423033067275</v>
      </c>
      <c r="E112">
        <v>7.0046505312468366E-2</v>
      </c>
      <c r="F112">
        <v>109</v>
      </c>
      <c r="G112">
        <f t="shared" ca="1" si="7"/>
        <v>2.1931837998181689E-2</v>
      </c>
    </row>
    <row r="113" spans="2:7" x14ac:dyDescent="0.35">
      <c r="B113" s="2">
        <v>39937</v>
      </c>
      <c r="C113" s="4">
        <v>43.85</v>
      </c>
      <c r="D113">
        <f t="shared" si="6"/>
        <v>-0.92536678353814206</v>
      </c>
      <c r="E113">
        <v>7.0034163006344574E-2</v>
      </c>
      <c r="F113">
        <v>110</v>
      </c>
      <c r="G113">
        <f t="shared" ca="1" si="7"/>
        <v>2.1799454484079623E-2</v>
      </c>
    </row>
    <row r="114" spans="2:7" x14ac:dyDescent="0.35">
      <c r="B114" s="2">
        <v>42199</v>
      </c>
      <c r="C114" s="4">
        <v>587.54</v>
      </c>
      <c r="D114">
        <f t="shared" si="6"/>
        <v>8.309776580573601</v>
      </c>
      <c r="E114">
        <v>6.9869075149771476E-2</v>
      </c>
      <c r="F114">
        <v>111</v>
      </c>
      <c r="G114">
        <f t="shared" ca="1" si="7"/>
        <v>-2.607430481354157E-2</v>
      </c>
    </row>
    <row r="115" spans="2:7" x14ac:dyDescent="0.35">
      <c r="B115" s="2">
        <v>40030</v>
      </c>
      <c r="C115" s="4">
        <v>63.11</v>
      </c>
      <c r="D115">
        <f t="shared" si="6"/>
        <v>-0.92960558604381383</v>
      </c>
      <c r="E115">
        <v>6.9842346160366109E-2</v>
      </c>
      <c r="F115">
        <v>112</v>
      </c>
      <c r="G115">
        <f t="shared" ca="1" si="7"/>
        <v>-9.9454797919776589E-3</v>
      </c>
    </row>
    <row r="116" spans="2:7" x14ac:dyDescent="0.35">
      <c r="B116" s="2">
        <v>42396</v>
      </c>
      <c r="C116" s="4">
        <v>896.52</v>
      </c>
      <c r="D116">
        <f t="shared" si="6"/>
        <v>7.0139447573075895</v>
      </c>
      <c r="E116">
        <v>6.9769106855199547E-2</v>
      </c>
      <c r="F116">
        <v>113</v>
      </c>
      <c r="G116">
        <f t="shared" ca="1" si="7"/>
        <v>3.5240389305927912E-2</v>
      </c>
    </row>
    <row r="117" spans="2:7" x14ac:dyDescent="0.35">
      <c r="B117" s="2">
        <v>40456</v>
      </c>
      <c r="C117" s="4">
        <v>111.87</v>
      </c>
      <c r="D117">
        <f t="shared" si="6"/>
        <v>2.2864277320799062</v>
      </c>
      <c r="E117">
        <v>6.96051247729228E-2</v>
      </c>
      <c r="F117">
        <v>114</v>
      </c>
      <c r="G117">
        <f t="shared" ca="1" si="7"/>
        <v>-1.991027021874622E-2</v>
      </c>
    </row>
    <row r="118" spans="2:7" x14ac:dyDescent="0.35">
      <c r="B118" s="2">
        <v>37958</v>
      </c>
      <c r="C118" s="4">
        <v>34.04</v>
      </c>
      <c r="D118">
        <f t="shared" si="6"/>
        <v>-0.95935134102362019</v>
      </c>
      <c r="E118">
        <v>6.9431354068488771E-2</v>
      </c>
      <c r="F118">
        <v>115</v>
      </c>
      <c r="G118">
        <f t="shared" ca="1" si="7"/>
        <v>4.1902758782530879E-2</v>
      </c>
    </row>
    <row r="119" spans="2:7" x14ac:dyDescent="0.35">
      <c r="B119" s="2">
        <v>43804</v>
      </c>
      <c r="C119" s="4">
        <v>837.42</v>
      </c>
      <c r="D119">
        <f t="shared" si="6"/>
        <v>0.76954610768320508</v>
      </c>
      <c r="E119">
        <v>6.8969478803661E-2</v>
      </c>
      <c r="F119">
        <v>116</v>
      </c>
      <c r="G119">
        <f t="shared" ca="1" si="7"/>
        <v>-1.4983356251065828E-2</v>
      </c>
    </row>
    <row r="120" spans="2:7" x14ac:dyDescent="0.35">
      <c r="B120" s="2">
        <v>42058</v>
      </c>
      <c r="C120" s="4">
        <v>473.24</v>
      </c>
      <c r="D120">
        <f t="shared" si="6"/>
        <v>16.797668296352011</v>
      </c>
      <c r="E120">
        <v>6.8768490706655472E-2</v>
      </c>
      <c r="F120">
        <v>117</v>
      </c>
      <c r="G120">
        <f t="shared" ca="1" si="7"/>
        <v>-1.4756302796063527E-2</v>
      </c>
    </row>
    <row r="121" spans="2:7" x14ac:dyDescent="0.35">
      <c r="B121" s="2">
        <v>37834</v>
      </c>
      <c r="C121" s="4">
        <v>26.59</v>
      </c>
      <c r="D121">
        <f t="shared" si="6"/>
        <v>-0.74491557943207987</v>
      </c>
      <c r="E121">
        <v>6.8729903536977499E-2</v>
      </c>
      <c r="F121">
        <v>118</v>
      </c>
      <c r="G121">
        <f t="shared" ca="1" si="7"/>
        <v>7.7839748523369483E-3</v>
      </c>
    </row>
    <row r="122" spans="2:7" x14ac:dyDescent="0.35">
      <c r="B122" s="2">
        <v>41583</v>
      </c>
      <c r="C122" s="4">
        <v>104.24</v>
      </c>
      <c r="D122">
        <f t="shared" si="6"/>
        <v>-0.89308279314023142</v>
      </c>
      <c r="E122">
        <v>6.8689768300184362E-2</v>
      </c>
      <c r="F122">
        <v>119</v>
      </c>
      <c r="G122">
        <f t="shared" ca="1" si="7"/>
        <v>1.7482497529608489E-2</v>
      </c>
    </row>
    <row r="123" spans="2:7" x14ac:dyDescent="0.35">
      <c r="B123" s="2">
        <v>42352</v>
      </c>
      <c r="C123" s="4">
        <v>974.96</v>
      </c>
      <c r="D123">
        <f t="shared" si="6"/>
        <v>7.1867495171718865</v>
      </c>
      <c r="E123">
        <v>6.8203481938403199E-2</v>
      </c>
      <c r="F123">
        <v>120</v>
      </c>
      <c r="G123">
        <f t="shared" ca="1" si="7"/>
        <v>7.7539155191998709E-4</v>
      </c>
    </row>
    <row r="124" spans="2:7" x14ac:dyDescent="0.35">
      <c r="B124" s="2">
        <v>40193</v>
      </c>
      <c r="C124" s="4">
        <v>119.09</v>
      </c>
      <c r="D124">
        <f t="shared" si="6"/>
        <v>-0.86970316961892358</v>
      </c>
      <c r="E124">
        <v>6.7401631262884454E-2</v>
      </c>
      <c r="F124">
        <v>121</v>
      </c>
      <c r="G124">
        <f t="shared" ca="1" si="7"/>
        <v>-1.4948148001879834E-2</v>
      </c>
    </row>
    <row r="125" spans="2:7" x14ac:dyDescent="0.35">
      <c r="B125" s="2">
        <v>43892</v>
      </c>
      <c r="C125" s="4">
        <v>913.99</v>
      </c>
      <c r="D125">
        <f t="shared" si="6"/>
        <v>15.84153307536392</v>
      </c>
      <c r="E125">
        <v>6.6263022200445665E-2</v>
      </c>
      <c r="F125">
        <v>122</v>
      </c>
      <c r="G125">
        <f t="shared" ca="1" si="7"/>
        <v>-6.1809019836329401E-2</v>
      </c>
    </row>
    <row r="126" spans="2:7" x14ac:dyDescent="0.35">
      <c r="B126" s="2">
        <v>39532</v>
      </c>
      <c r="C126" s="4">
        <v>54.27</v>
      </c>
      <c r="D126">
        <f t="shared" si="6"/>
        <v>1.2603082049146188</v>
      </c>
      <c r="E126">
        <v>6.620825147347742E-2</v>
      </c>
      <c r="F126">
        <v>123</v>
      </c>
      <c r="G126">
        <f t="shared" ca="1" si="7"/>
        <v>2.4684509699435548E-2</v>
      </c>
    </row>
    <row r="127" spans="2:7" x14ac:dyDescent="0.35">
      <c r="B127" s="2">
        <v>37669</v>
      </c>
      <c r="C127" s="4">
        <v>24.01</v>
      </c>
      <c r="D127">
        <f t="shared" si="6"/>
        <v>-2.7541514783313015E-2</v>
      </c>
      <c r="E127">
        <v>6.616341030195394E-2</v>
      </c>
      <c r="F127">
        <v>124</v>
      </c>
      <c r="G127">
        <f t="shared" ca="1" si="7"/>
        <v>4.0273898302513836E-2</v>
      </c>
    </row>
    <row r="128" spans="2:7" x14ac:dyDescent="0.35">
      <c r="B128" s="2">
        <v>37649</v>
      </c>
      <c r="C128" s="4">
        <v>24.69</v>
      </c>
      <c r="D128">
        <f t="shared" si="6"/>
        <v>-0.98027986773374232</v>
      </c>
      <c r="E128">
        <v>6.6062176165803121E-2</v>
      </c>
      <c r="F128">
        <v>125</v>
      </c>
      <c r="G128">
        <f t="shared" ca="1" si="7"/>
        <v>-4.4204953471254794E-3</v>
      </c>
    </row>
    <row r="129" spans="2:7" x14ac:dyDescent="0.35">
      <c r="B129" s="2">
        <v>44099</v>
      </c>
      <c r="C129" s="4">
        <v>1252.02</v>
      </c>
      <c r="D129">
        <f t="shared" si="6"/>
        <v>13.469201433029006</v>
      </c>
      <c r="E129">
        <v>6.6029783647091778E-2</v>
      </c>
      <c r="F129">
        <v>126</v>
      </c>
      <c r="G129">
        <f t="shared" ca="1" si="7"/>
        <v>5.5474060826804443E-2</v>
      </c>
    </row>
    <row r="130" spans="2:7" x14ac:dyDescent="0.35">
      <c r="B130" s="2">
        <v>39030</v>
      </c>
      <c r="C130" s="4">
        <v>86.53</v>
      </c>
      <c r="D130">
        <f t="shared" si="6"/>
        <v>6.6296980899568592E-2</v>
      </c>
      <c r="E130">
        <v>6.5902931756590233E-2</v>
      </c>
      <c r="F130">
        <v>127</v>
      </c>
      <c r="G130">
        <f t="shared" ca="1" si="7"/>
        <v>4.3373111994201768E-2</v>
      </c>
    </row>
    <row r="131" spans="2:7" x14ac:dyDescent="0.35">
      <c r="B131" s="2">
        <v>40778</v>
      </c>
      <c r="C131" s="4">
        <v>81.150000000000006</v>
      </c>
      <c r="D131">
        <f t="shared" si="6"/>
        <v>-0.98514506217473363</v>
      </c>
      <c r="E131">
        <v>6.5659881812212717E-2</v>
      </c>
      <c r="F131">
        <v>128</v>
      </c>
      <c r="G131">
        <f t="shared" ca="1" si="7"/>
        <v>-2.7056337034703379E-2</v>
      </c>
    </row>
    <row r="132" spans="2:7" x14ac:dyDescent="0.35">
      <c r="B132" s="2">
        <v>44456</v>
      </c>
      <c r="C132" s="4">
        <v>5462.83</v>
      </c>
      <c r="D132">
        <f t="shared" ref="D132:D195" si="8">C132/C133-1</f>
        <v>8.6002495474755296</v>
      </c>
      <c r="E132">
        <v>6.5402497913205071E-2</v>
      </c>
      <c r="F132">
        <v>129</v>
      </c>
      <c r="G132">
        <f t="shared" ca="1" si="7"/>
        <v>1.4635140469247682E-2</v>
      </c>
    </row>
    <row r="133" spans="2:7" x14ac:dyDescent="0.35">
      <c r="B133" s="2">
        <v>43915</v>
      </c>
      <c r="C133" s="4">
        <v>569.03</v>
      </c>
      <c r="D133">
        <f t="shared" si="8"/>
        <v>-0.92302916351044262</v>
      </c>
      <c r="E133">
        <v>6.5060737080502307E-2</v>
      </c>
      <c r="F133">
        <v>130</v>
      </c>
      <c r="G133">
        <f t="shared" ref="G133:G196" ca="1" si="9">_xlfn.NORM.INV(RAND(),K$6,K$7)</f>
        <v>-2.5424685324389101E-2</v>
      </c>
    </row>
    <row r="134" spans="2:7" x14ac:dyDescent="0.35">
      <c r="B134" s="2">
        <v>44581</v>
      </c>
      <c r="C134" s="4">
        <v>7392.8</v>
      </c>
      <c r="D134">
        <f t="shared" si="8"/>
        <v>171.12572759022117</v>
      </c>
      <c r="E134">
        <v>6.4954933022562944E-2</v>
      </c>
      <c r="F134">
        <v>131</v>
      </c>
      <c r="G134">
        <f t="shared" ca="1" si="9"/>
        <v>-4.0384794340057789E-2</v>
      </c>
    </row>
    <row r="135" spans="2:7" x14ac:dyDescent="0.35">
      <c r="B135" s="2">
        <v>37442</v>
      </c>
      <c r="C135" s="4">
        <v>42.95</v>
      </c>
      <c r="D135">
        <f t="shared" si="8"/>
        <v>-0.57310406520226609</v>
      </c>
      <c r="E135">
        <v>6.4700049578582108E-2</v>
      </c>
      <c r="F135">
        <v>132</v>
      </c>
      <c r="G135">
        <f t="shared" ca="1" si="9"/>
        <v>-1.7189915874056664E-2</v>
      </c>
    </row>
    <row r="136" spans="2:7" x14ac:dyDescent="0.35">
      <c r="B136" s="2">
        <v>40170</v>
      </c>
      <c r="C136" s="4">
        <v>100.61</v>
      </c>
      <c r="D136">
        <f t="shared" si="8"/>
        <v>-0.85644574445316402</v>
      </c>
      <c r="E136">
        <v>6.4656084656084634E-2</v>
      </c>
      <c r="F136">
        <v>133</v>
      </c>
      <c r="G136">
        <f t="shared" ca="1" si="9"/>
        <v>-1.5717130031424976E-2</v>
      </c>
    </row>
    <row r="137" spans="2:7" x14ac:dyDescent="0.35">
      <c r="B137" s="2">
        <v>42753</v>
      </c>
      <c r="C137" s="4">
        <v>700.85</v>
      </c>
      <c r="D137">
        <f t="shared" si="8"/>
        <v>5.2016635695956106</v>
      </c>
      <c r="E137">
        <v>6.4539157907527844E-2</v>
      </c>
      <c r="F137">
        <v>134</v>
      </c>
      <c r="G137">
        <f t="shared" ca="1" si="9"/>
        <v>-1.8143466135910884E-2</v>
      </c>
    </row>
    <row r="138" spans="2:7" x14ac:dyDescent="0.35">
      <c r="B138" s="2">
        <v>39325</v>
      </c>
      <c r="C138" s="4">
        <v>113.01</v>
      </c>
      <c r="D138">
        <f t="shared" si="8"/>
        <v>-0.93077234079047311</v>
      </c>
      <c r="E138">
        <v>6.4324731587869666E-2</v>
      </c>
      <c r="F138">
        <v>135</v>
      </c>
      <c r="G138">
        <f t="shared" ca="1" si="9"/>
        <v>-9.3536192494886768E-3</v>
      </c>
    </row>
    <row r="139" spans="2:7" x14ac:dyDescent="0.35">
      <c r="B139" s="2">
        <v>44187</v>
      </c>
      <c r="C139" s="4">
        <v>1632.44</v>
      </c>
      <c r="D139">
        <f t="shared" si="8"/>
        <v>2.0471888299858136</v>
      </c>
      <c r="E139">
        <v>6.4262290806913258E-2</v>
      </c>
      <c r="F139">
        <v>136</v>
      </c>
      <c r="G139">
        <f t="shared" ca="1" si="9"/>
        <v>3.0228322266871277E-2</v>
      </c>
    </row>
    <row r="140" spans="2:7" x14ac:dyDescent="0.35">
      <c r="B140" s="2">
        <v>42698</v>
      </c>
      <c r="C140" s="4">
        <v>535.72</v>
      </c>
      <c r="D140">
        <f t="shared" si="8"/>
        <v>15.28823350562481</v>
      </c>
      <c r="E140">
        <v>6.4097725692720209E-2</v>
      </c>
      <c r="F140">
        <v>137</v>
      </c>
      <c r="G140">
        <f t="shared" ca="1" si="9"/>
        <v>-4.0508046165755568E-2</v>
      </c>
    </row>
    <row r="141" spans="2:7" x14ac:dyDescent="0.35">
      <c r="B141" s="2">
        <v>37488</v>
      </c>
      <c r="C141" s="4">
        <v>32.89</v>
      </c>
      <c r="D141">
        <f t="shared" si="8"/>
        <v>-0.99527276803937015</v>
      </c>
      <c r="E141">
        <v>6.4056939501779375E-2</v>
      </c>
      <c r="F141">
        <v>138</v>
      </c>
      <c r="G141">
        <f t="shared" ca="1" si="9"/>
        <v>3.6221951084157017E-2</v>
      </c>
    </row>
    <row r="142" spans="2:7" x14ac:dyDescent="0.35">
      <c r="B142" s="2">
        <v>44629</v>
      </c>
      <c r="C142" s="4">
        <v>6957.56</v>
      </c>
      <c r="D142">
        <f t="shared" si="8"/>
        <v>246.07244318181819</v>
      </c>
      <c r="E142">
        <v>6.3946331385649202E-2</v>
      </c>
      <c r="F142">
        <v>139</v>
      </c>
      <c r="G142">
        <f t="shared" ca="1" si="9"/>
        <v>-1.7664025992726498E-2</v>
      </c>
    </row>
    <row r="143" spans="2:7" x14ac:dyDescent="0.35">
      <c r="B143" s="2">
        <v>37812</v>
      </c>
      <c r="C143" s="4">
        <v>28.16</v>
      </c>
      <c r="D143">
        <f t="shared" si="8"/>
        <v>-0.75154402682195165</v>
      </c>
      <c r="E143">
        <v>6.3444108761329332E-2</v>
      </c>
      <c r="F143">
        <v>140</v>
      </c>
      <c r="G143">
        <f t="shared" ca="1" si="9"/>
        <v>1.7736483293468382E-2</v>
      </c>
    </row>
    <row r="144" spans="2:7" x14ac:dyDescent="0.35">
      <c r="B144" s="2">
        <v>40639</v>
      </c>
      <c r="C144" s="4">
        <v>113.34</v>
      </c>
      <c r="D144">
        <f t="shared" si="8"/>
        <v>0.15264924234719834</v>
      </c>
      <c r="E144">
        <v>6.3127286370884494E-2</v>
      </c>
      <c r="F144">
        <v>141</v>
      </c>
      <c r="G144">
        <f t="shared" ca="1" si="9"/>
        <v>-2.1107059112291569E-2</v>
      </c>
    </row>
    <row r="145" spans="2:7" x14ac:dyDescent="0.35">
      <c r="B145" s="2">
        <v>40585</v>
      </c>
      <c r="C145" s="4">
        <v>98.33</v>
      </c>
      <c r="D145">
        <f t="shared" si="8"/>
        <v>-0.92871228268592221</v>
      </c>
      <c r="E145">
        <v>6.3027027027027005E-2</v>
      </c>
      <c r="F145">
        <v>142</v>
      </c>
      <c r="G145">
        <f t="shared" ca="1" si="9"/>
        <v>3.8119011370011779E-2</v>
      </c>
    </row>
    <row r="146" spans="2:7" x14ac:dyDescent="0.35">
      <c r="B146" s="2">
        <v>43306</v>
      </c>
      <c r="C146" s="4">
        <v>1379.34</v>
      </c>
      <c r="D146">
        <f t="shared" si="8"/>
        <v>-0.76227088234533746</v>
      </c>
      <c r="E146">
        <v>6.2993218249075333E-2</v>
      </c>
      <c r="F146">
        <v>143</v>
      </c>
      <c r="G146">
        <f t="shared" ca="1" si="9"/>
        <v>4.085252093315824E-3</v>
      </c>
    </row>
    <row r="147" spans="2:7" x14ac:dyDescent="0.35">
      <c r="B147" s="2">
        <v>44459</v>
      </c>
      <c r="C147" s="4">
        <v>5802.15</v>
      </c>
      <c r="D147">
        <f t="shared" si="8"/>
        <v>202.0854042702135</v>
      </c>
      <c r="E147">
        <v>6.2114325358834099E-2</v>
      </c>
      <c r="F147">
        <v>144</v>
      </c>
      <c r="G147">
        <f t="shared" ca="1" si="9"/>
        <v>1.7999680167826498E-4</v>
      </c>
    </row>
    <row r="148" spans="2:7" x14ac:dyDescent="0.35">
      <c r="B148" s="2">
        <v>38090</v>
      </c>
      <c r="C148" s="4">
        <v>28.57</v>
      </c>
      <c r="D148">
        <f t="shared" si="8"/>
        <v>-0.69622541201488564</v>
      </c>
      <c r="E148">
        <v>6.2081784386617267E-2</v>
      </c>
      <c r="F148">
        <v>145</v>
      </c>
      <c r="G148">
        <f t="shared" ca="1" si="9"/>
        <v>2.2400044879731865E-2</v>
      </c>
    </row>
    <row r="149" spans="2:7" x14ac:dyDescent="0.35">
      <c r="B149" s="2">
        <v>41351</v>
      </c>
      <c r="C149" s="4">
        <v>94.05</v>
      </c>
      <c r="D149">
        <f t="shared" si="8"/>
        <v>1.3998468997193161</v>
      </c>
      <c r="E149">
        <v>6.1991869918699205E-2</v>
      </c>
      <c r="F149">
        <v>146</v>
      </c>
      <c r="G149">
        <f t="shared" ca="1" si="9"/>
        <v>-3.5074725020291131E-2</v>
      </c>
    </row>
    <row r="150" spans="2:7" x14ac:dyDescent="0.35">
      <c r="B150" s="2">
        <v>39734</v>
      </c>
      <c r="C150" s="4">
        <v>39.19</v>
      </c>
      <c r="D150">
        <f t="shared" si="8"/>
        <v>0.35324585635359096</v>
      </c>
      <c r="E150">
        <v>6.177187753996205E-2</v>
      </c>
      <c r="F150">
        <v>147</v>
      </c>
      <c r="G150">
        <f t="shared" ca="1" si="9"/>
        <v>-2.7483907136351553E-2</v>
      </c>
    </row>
    <row r="151" spans="2:7" x14ac:dyDescent="0.35">
      <c r="B151" s="2">
        <v>38126</v>
      </c>
      <c r="C151" s="4">
        <v>28.96</v>
      </c>
      <c r="D151">
        <f t="shared" si="8"/>
        <v>-0.7397087902211037</v>
      </c>
      <c r="E151">
        <v>6.1583577712609916E-2</v>
      </c>
      <c r="F151">
        <v>148</v>
      </c>
      <c r="G151">
        <f t="shared" ca="1" si="9"/>
        <v>1.4184927946704855E-2</v>
      </c>
    </row>
    <row r="152" spans="2:7" x14ac:dyDescent="0.35">
      <c r="B152" s="2">
        <v>39185</v>
      </c>
      <c r="C152" s="4">
        <v>111.26</v>
      </c>
      <c r="D152">
        <f t="shared" si="8"/>
        <v>-0.57632991889113128</v>
      </c>
      <c r="E152">
        <v>6.1337403415053116E-2</v>
      </c>
      <c r="F152">
        <v>149</v>
      </c>
      <c r="G152">
        <f t="shared" ca="1" si="9"/>
        <v>1.0593899044640512E-2</v>
      </c>
    </row>
    <row r="153" spans="2:7" x14ac:dyDescent="0.35">
      <c r="B153" s="2">
        <v>41816</v>
      </c>
      <c r="C153" s="4">
        <v>262.61</v>
      </c>
      <c r="D153">
        <f t="shared" si="8"/>
        <v>6.1575361133823936</v>
      </c>
      <c r="E153">
        <v>6.0921908455540796E-2</v>
      </c>
      <c r="F153">
        <v>150</v>
      </c>
      <c r="G153">
        <f t="shared" ca="1" si="9"/>
        <v>-2.1111706898367794E-2</v>
      </c>
    </row>
    <row r="154" spans="2:7" x14ac:dyDescent="0.35">
      <c r="B154" s="2">
        <v>37460</v>
      </c>
      <c r="C154" s="4">
        <v>36.69</v>
      </c>
      <c r="D154">
        <f t="shared" si="8"/>
        <v>-0.35050451407328742</v>
      </c>
      <c r="E154">
        <v>6.0711188204683353E-2</v>
      </c>
      <c r="F154">
        <v>151</v>
      </c>
      <c r="G154">
        <f t="shared" ca="1" si="9"/>
        <v>1.0578364111986861E-3</v>
      </c>
    </row>
    <row r="155" spans="2:7" x14ac:dyDescent="0.35">
      <c r="B155" s="2">
        <v>38877</v>
      </c>
      <c r="C155" s="4">
        <v>56.49</v>
      </c>
      <c r="D155">
        <f t="shared" si="8"/>
        <v>0.43521341463414642</v>
      </c>
      <c r="E155">
        <v>6.064588809613225E-2</v>
      </c>
      <c r="F155">
        <v>152</v>
      </c>
      <c r="G155">
        <f t="shared" ca="1" si="9"/>
        <v>3.3470822073435734E-2</v>
      </c>
    </row>
    <row r="156" spans="2:7" x14ac:dyDescent="0.35">
      <c r="B156" s="2">
        <v>39741</v>
      </c>
      <c r="C156" s="4">
        <v>39.36</v>
      </c>
      <c r="D156">
        <f t="shared" si="8"/>
        <v>-0.99479970404819784</v>
      </c>
      <c r="E156">
        <v>5.9773828756058078E-2</v>
      </c>
      <c r="F156">
        <v>153</v>
      </c>
      <c r="G156">
        <f t="shared" ca="1" si="9"/>
        <v>-6.7885126738433735E-3</v>
      </c>
    </row>
    <row r="157" spans="2:7" x14ac:dyDescent="0.35">
      <c r="B157" s="2">
        <v>44592</v>
      </c>
      <c r="C157" s="4">
        <v>7568.8</v>
      </c>
      <c r="D157">
        <f t="shared" si="8"/>
        <v>11.560655846526602</v>
      </c>
      <c r="E157">
        <v>5.9054815125756388E-2</v>
      </c>
      <c r="F157">
        <v>154</v>
      </c>
      <c r="G157">
        <f t="shared" ca="1" si="9"/>
        <v>2.8459659157661593E-3</v>
      </c>
    </row>
    <row r="158" spans="2:7" x14ac:dyDescent="0.35">
      <c r="B158" s="2">
        <v>43916</v>
      </c>
      <c r="C158" s="4">
        <v>602.58000000000004</v>
      </c>
      <c r="D158">
        <f t="shared" si="8"/>
        <v>4.8759629449049253</v>
      </c>
      <c r="E158">
        <v>5.8959984535086107E-2</v>
      </c>
      <c r="F158">
        <v>155</v>
      </c>
      <c r="G158">
        <f t="shared" ca="1" si="9"/>
        <v>3.3505547428772077E-2</v>
      </c>
    </row>
    <row r="159" spans="2:7" x14ac:dyDescent="0.35">
      <c r="B159" s="2">
        <v>39142</v>
      </c>
      <c r="C159" s="4">
        <v>102.55</v>
      </c>
      <c r="D159">
        <f t="shared" si="8"/>
        <v>-0.8724819696592887</v>
      </c>
      <c r="E159">
        <v>5.8744579805905417E-2</v>
      </c>
      <c r="F159">
        <v>156</v>
      </c>
      <c r="G159">
        <f t="shared" ca="1" si="9"/>
        <v>-4.2514325026051882E-2</v>
      </c>
    </row>
    <row r="160" spans="2:7" x14ac:dyDescent="0.35">
      <c r="B160" s="2">
        <v>42590</v>
      </c>
      <c r="C160" s="4">
        <v>804.2</v>
      </c>
      <c r="D160">
        <f t="shared" si="8"/>
        <v>-0.44870230472873851</v>
      </c>
      <c r="E160">
        <v>5.8520020006844531E-2</v>
      </c>
      <c r="F160">
        <v>157</v>
      </c>
      <c r="G160">
        <f t="shared" ca="1" si="9"/>
        <v>1.8098216745558362E-2</v>
      </c>
    </row>
    <row r="161" spans="2:7" x14ac:dyDescent="0.35">
      <c r="B161" s="2">
        <v>44116</v>
      </c>
      <c r="C161" s="4">
        <v>1458.74</v>
      </c>
      <c r="D161">
        <f t="shared" si="8"/>
        <v>0.77365189373214172</v>
      </c>
      <c r="E161">
        <v>5.846158311383931E-2</v>
      </c>
      <c r="F161">
        <v>158</v>
      </c>
      <c r="G161">
        <f t="shared" ca="1" si="9"/>
        <v>1.1421540437599263E-2</v>
      </c>
    </row>
    <row r="162" spans="2:7" x14ac:dyDescent="0.35">
      <c r="B162" s="2">
        <v>42430</v>
      </c>
      <c r="C162" s="4">
        <v>822.45</v>
      </c>
      <c r="D162">
        <f t="shared" si="8"/>
        <v>3.4515289115860215E-2</v>
      </c>
      <c r="E162">
        <v>5.8140133288732354E-2</v>
      </c>
      <c r="F162">
        <v>159</v>
      </c>
      <c r="G162">
        <f t="shared" ca="1" si="9"/>
        <v>-1.5764135006157847E-2</v>
      </c>
    </row>
    <row r="163" spans="2:7" x14ac:dyDescent="0.35">
      <c r="B163" s="2">
        <v>42215</v>
      </c>
      <c r="C163" s="4">
        <v>795.01</v>
      </c>
      <c r="D163">
        <f t="shared" si="8"/>
        <v>12.123308022449654</v>
      </c>
      <c r="E163">
        <v>5.7799007411152514E-2</v>
      </c>
      <c r="F163">
        <v>160</v>
      </c>
      <c r="G163">
        <f t="shared" ca="1" si="9"/>
        <v>-2.5429011204966264E-2</v>
      </c>
    </row>
    <row r="164" spans="2:7" x14ac:dyDescent="0.35">
      <c r="B164" s="2">
        <v>38415</v>
      </c>
      <c r="C164" s="4">
        <v>60.58</v>
      </c>
      <c r="D164">
        <f t="shared" si="8"/>
        <v>-0.66852702998467928</v>
      </c>
      <c r="E164">
        <v>5.7796403003317565E-2</v>
      </c>
      <c r="F164">
        <v>161</v>
      </c>
      <c r="G164">
        <f t="shared" ca="1" si="9"/>
        <v>1.1505508148725191E-2</v>
      </c>
    </row>
    <row r="165" spans="2:7" x14ac:dyDescent="0.35">
      <c r="B165" s="2">
        <v>41642</v>
      </c>
      <c r="C165" s="4">
        <v>182.76</v>
      </c>
      <c r="D165">
        <f t="shared" si="8"/>
        <v>-0.9780221630299496</v>
      </c>
      <c r="E165">
        <v>5.7700098385323306E-2</v>
      </c>
      <c r="F165">
        <v>162</v>
      </c>
      <c r="G165">
        <f t="shared" ca="1" si="9"/>
        <v>4.4707517117318803E-2</v>
      </c>
    </row>
    <row r="166" spans="2:7" x14ac:dyDescent="0.35">
      <c r="B166" s="2">
        <v>44673</v>
      </c>
      <c r="C166" s="4">
        <v>8315.65</v>
      </c>
      <c r="D166">
        <f t="shared" si="8"/>
        <v>38.029616070590443</v>
      </c>
      <c r="E166">
        <v>5.7459497952643712E-2</v>
      </c>
      <c r="F166">
        <v>163</v>
      </c>
      <c r="G166">
        <f t="shared" ca="1" si="9"/>
        <v>9.0746991352298034E-3</v>
      </c>
    </row>
    <row r="167" spans="2:7" x14ac:dyDescent="0.35">
      <c r="B167" s="2">
        <v>41688</v>
      </c>
      <c r="C167" s="4">
        <v>213.06</v>
      </c>
      <c r="D167">
        <f t="shared" si="8"/>
        <v>2.5587105395022549</v>
      </c>
      <c r="E167">
        <v>5.7422204575909408E-2</v>
      </c>
      <c r="F167">
        <v>164</v>
      </c>
      <c r="G167">
        <f t="shared" ca="1" si="9"/>
        <v>-1.418822031788897E-2</v>
      </c>
    </row>
    <row r="168" spans="2:7" x14ac:dyDescent="0.35">
      <c r="B168" s="2">
        <v>40021</v>
      </c>
      <c r="C168" s="4">
        <v>59.87</v>
      </c>
      <c r="D168">
        <f t="shared" si="8"/>
        <v>8.5916442048517006E-3</v>
      </c>
      <c r="E168">
        <v>5.740021193924405E-2</v>
      </c>
      <c r="F168">
        <v>165</v>
      </c>
      <c r="G168">
        <f t="shared" ca="1" si="9"/>
        <v>5.4722721636964447E-3</v>
      </c>
    </row>
    <row r="169" spans="2:7" x14ac:dyDescent="0.35">
      <c r="B169" s="2">
        <v>38428</v>
      </c>
      <c r="C169" s="4">
        <v>59.36</v>
      </c>
      <c r="D169">
        <f t="shared" si="8"/>
        <v>-0.39876430669502683</v>
      </c>
      <c r="E169">
        <v>5.7168299198575356E-2</v>
      </c>
      <c r="F169">
        <v>166</v>
      </c>
      <c r="G169">
        <f t="shared" ca="1" si="9"/>
        <v>-6.9636535126102836E-2</v>
      </c>
    </row>
    <row r="170" spans="2:7" x14ac:dyDescent="0.35">
      <c r="B170" s="2">
        <v>39128</v>
      </c>
      <c r="C170" s="4">
        <v>98.73</v>
      </c>
      <c r="D170">
        <f t="shared" si="8"/>
        <v>-0.21543229497774952</v>
      </c>
      <c r="E170">
        <v>5.6726961361446948E-2</v>
      </c>
      <c r="F170">
        <v>167</v>
      </c>
      <c r="G170">
        <f t="shared" ca="1" si="9"/>
        <v>-5.7614632643445806E-3</v>
      </c>
    </row>
    <row r="171" spans="2:7" x14ac:dyDescent="0.35">
      <c r="B171" s="2">
        <v>40196</v>
      </c>
      <c r="C171" s="4">
        <v>125.84</v>
      </c>
      <c r="D171">
        <f t="shared" si="8"/>
        <v>2.7230769230769236</v>
      </c>
      <c r="E171">
        <v>5.6679821983373957E-2</v>
      </c>
      <c r="F171">
        <v>168</v>
      </c>
      <c r="G171">
        <f t="shared" ca="1" si="9"/>
        <v>-3.2765118176779677E-2</v>
      </c>
    </row>
    <row r="172" spans="2:7" x14ac:dyDescent="0.35">
      <c r="B172" s="2">
        <v>38013</v>
      </c>
      <c r="C172" s="4">
        <v>33.799999999999997</v>
      </c>
      <c r="D172">
        <f t="shared" si="8"/>
        <v>-0.86698150334513968</v>
      </c>
      <c r="E172">
        <v>5.6580181306658206E-2</v>
      </c>
      <c r="F172">
        <v>169</v>
      </c>
      <c r="G172">
        <f t="shared" ca="1" si="9"/>
        <v>-1.4156546672306355E-2</v>
      </c>
    </row>
    <row r="173" spans="2:7" x14ac:dyDescent="0.35">
      <c r="B173" s="2">
        <v>41810</v>
      </c>
      <c r="C173" s="4">
        <v>254.1</v>
      </c>
      <c r="D173">
        <f t="shared" si="8"/>
        <v>-0.69255526382654353</v>
      </c>
      <c r="E173">
        <v>5.6548856548856552E-2</v>
      </c>
      <c r="F173">
        <v>170</v>
      </c>
      <c r="G173">
        <f t="shared" ca="1" si="9"/>
        <v>-6.1749369808465392E-3</v>
      </c>
    </row>
    <row r="174" spans="2:7" x14ac:dyDescent="0.35">
      <c r="B174" s="2">
        <v>42219</v>
      </c>
      <c r="C174" s="4">
        <v>826.49</v>
      </c>
      <c r="D174">
        <f t="shared" si="8"/>
        <v>7.3089373680506693</v>
      </c>
      <c r="E174">
        <v>5.651429155800991E-2</v>
      </c>
      <c r="F174">
        <v>171</v>
      </c>
      <c r="G174">
        <f t="shared" ca="1" si="9"/>
        <v>1.1954719053976342E-2</v>
      </c>
    </row>
    <row r="175" spans="2:7" x14ac:dyDescent="0.35">
      <c r="B175" s="2">
        <v>39443</v>
      </c>
      <c r="C175" s="4">
        <v>99.47</v>
      </c>
      <c r="D175">
        <f t="shared" si="8"/>
        <v>5.2815410668924478E-2</v>
      </c>
      <c r="E175">
        <v>5.650557620817831E-2</v>
      </c>
      <c r="F175">
        <v>172</v>
      </c>
      <c r="G175">
        <f t="shared" ca="1" si="9"/>
        <v>-3.8471207727095114E-2</v>
      </c>
    </row>
    <row r="176" spans="2:7" x14ac:dyDescent="0.35">
      <c r="B176" s="2">
        <v>39416</v>
      </c>
      <c r="C176" s="4">
        <v>94.48</v>
      </c>
      <c r="D176">
        <f t="shared" si="8"/>
        <v>-0.87138403735417036</v>
      </c>
      <c r="E176">
        <v>5.6468746505646816E-2</v>
      </c>
      <c r="F176">
        <v>173</v>
      </c>
      <c r="G176">
        <f t="shared" ca="1" si="9"/>
        <v>4.2676824013166581E-2</v>
      </c>
    </row>
    <row r="177" spans="2:7" x14ac:dyDescent="0.35">
      <c r="B177" s="2">
        <v>43762</v>
      </c>
      <c r="C177" s="4">
        <v>734.59</v>
      </c>
      <c r="D177">
        <f t="shared" si="8"/>
        <v>6.0722056416674688</v>
      </c>
      <c r="E177">
        <v>5.6416820064427053E-2</v>
      </c>
      <c r="F177">
        <v>174</v>
      </c>
      <c r="G177">
        <f t="shared" ca="1" si="9"/>
        <v>-4.1562225986441744E-3</v>
      </c>
    </row>
    <row r="178" spans="2:7" x14ac:dyDescent="0.35">
      <c r="B178" s="2">
        <v>40588</v>
      </c>
      <c r="C178" s="4">
        <v>103.87</v>
      </c>
      <c r="D178">
        <f t="shared" si="8"/>
        <v>0.2938465371200798</v>
      </c>
      <c r="E178">
        <v>5.6340892911624252E-2</v>
      </c>
      <c r="F178">
        <v>175</v>
      </c>
      <c r="G178">
        <f t="shared" ca="1" si="9"/>
        <v>3.9873343383810947E-2</v>
      </c>
    </row>
    <row r="179" spans="2:7" x14ac:dyDescent="0.35">
      <c r="B179" s="2">
        <v>38854</v>
      </c>
      <c r="C179" s="4">
        <v>80.28</v>
      </c>
      <c r="D179">
        <f t="shared" si="8"/>
        <v>1.5103189493433398</v>
      </c>
      <c r="E179">
        <v>5.617681883962633E-2</v>
      </c>
      <c r="F179">
        <v>176</v>
      </c>
      <c r="G179">
        <f t="shared" ca="1" si="9"/>
        <v>9.2301907264110868E-3</v>
      </c>
    </row>
    <row r="180" spans="2:7" x14ac:dyDescent="0.35">
      <c r="B180" s="2">
        <v>37592</v>
      </c>
      <c r="C180" s="4">
        <v>31.98</v>
      </c>
      <c r="D180">
        <f t="shared" si="8"/>
        <v>-0.98700760530421217</v>
      </c>
      <c r="E180">
        <v>5.6142668428005305E-2</v>
      </c>
      <c r="F180">
        <v>177</v>
      </c>
      <c r="G180">
        <f t="shared" ca="1" si="9"/>
        <v>-1.6411304560725246E-2</v>
      </c>
    </row>
    <row r="181" spans="2:7" x14ac:dyDescent="0.35">
      <c r="B181" s="2">
        <v>44214</v>
      </c>
      <c r="C181" s="4">
        <v>2461.44</v>
      </c>
      <c r="D181">
        <f t="shared" si="8"/>
        <v>2.6977991436941338</v>
      </c>
      <c r="E181">
        <v>5.5985997065561621E-2</v>
      </c>
      <c r="F181">
        <v>178</v>
      </c>
      <c r="G181">
        <f t="shared" ca="1" si="9"/>
        <v>-3.1508620604420202E-2</v>
      </c>
    </row>
    <row r="182" spans="2:7" x14ac:dyDescent="0.35">
      <c r="B182" s="2">
        <v>43732</v>
      </c>
      <c r="C182" s="4">
        <v>665.65</v>
      </c>
      <c r="D182">
        <f t="shared" si="8"/>
        <v>5.2117394550205303</v>
      </c>
      <c r="E182">
        <v>5.5916878172588724E-2</v>
      </c>
      <c r="F182">
        <v>179</v>
      </c>
      <c r="G182">
        <f t="shared" ca="1" si="9"/>
        <v>-5.6088563146100827E-2</v>
      </c>
    </row>
    <row r="183" spans="2:7" x14ac:dyDescent="0.35">
      <c r="B183" s="2">
        <v>40522</v>
      </c>
      <c r="C183" s="4">
        <v>107.16</v>
      </c>
      <c r="D183">
        <f t="shared" si="8"/>
        <v>-0.98252648502864148</v>
      </c>
      <c r="E183">
        <v>5.5763546798029529E-2</v>
      </c>
      <c r="F183">
        <v>180</v>
      </c>
      <c r="G183">
        <f t="shared" ca="1" si="9"/>
        <v>-2.062872439021643E-2</v>
      </c>
    </row>
    <row r="184" spans="2:7" x14ac:dyDescent="0.35">
      <c r="B184" s="2">
        <v>44475</v>
      </c>
      <c r="C184" s="4">
        <v>6132.71</v>
      </c>
      <c r="D184">
        <f t="shared" si="8"/>
        <v>3.6061769101929535</v>
      </c>
      <c r="E184">
        <v>5.5443976904079539E-2</v>
      </c>
      <c r="F184">
        <v>181</v>
      </c>
      <c r="G184">
        <f t="shared" ca="1" si="9"/>
        <v>8.2383837822211214E-3</v>
      </c>
    </row>
    <row r="185" spans="2:7" x14ac:dyDescent="0.35">
      <c r="B185" s="2">
        <v>44109</v>
      </c>
      <c r="C185" s="4">
        <v>1331.41</v>
      </c>
      <c r="D185">
        <f t="shared" si="8"/>
        <v>43.919365721997302</v>
      </c>
      <c r="E185">
        <v>5.5200672077098778E-2</v>
      </c>
      <c r="F185">
        <v>182</v>
      </c>
      <c r="G185">
        <f t="shared" ca="1" si="9"/>
        <v>-5.4530164651956828E-2</v>
      </c>
    </row>
    <row r="186" spans="2:7" x14ac:dyDescent="0.35">
      <c r="B186" s="2">
        <v>38021</v>
      </c>
      <c r="C186" s="4">
        <v>29.64</v>
      </c>
      <c r="D186">
        <f t="shared" si="8"/>
        <v>-0.44660194174757284</v>
      </c>
      <c r="E186">
        <v>5.5179779280882801E-2</v>
      </c>
      <c r="F186">
        <v>183</v>
      </c>
      <c r="G186">
        <f t="shared" ca="1" si="9"/>
        <v>4.4728256852868929E-2</v>
      </c>
    </row>
    <row r="187" spans="2:7" x14ac:dyDescent="0.35">
      <c r="B187" s="2">
        <v>39953</v>
      </c>
      <c r="C187" s="4">
        <v>53.56</v>
      </c>
      <c r="D187">
        <f t="shared" si="8"/>
        <v>-0.9010585040548279</v>
      </c>
      <c r="E187">
        <v>5.5161544523246731E-2</v>
      </c>
      <c r="F187">
        <v>184</v>
      </c>
      <c r="G187">
        <f t="shared" ca="1" si="9"/>
        <v>-7.9065471069307276E-4</v>
      </c>
    </row>
    <row r="188" spans="2:7" x14ac:dyDescent="0.35">
      <c r="B188" s="2">
        <v>42174</v>
      </c>
      <c r="C188" s="4">
        <v>541.33000000000004</v>
      </c>
      <c r="D188">
        <f t="shared" si="8"/>
        <v>-0.36937325256290765</v>
      </c>
      <c r="E188">
        <v>5.5080203481006507E-2</v>
      </c>
      <c r="F188">
        <v>185</v>
      </c>
      <c r="G188">
        <f t="shared" ca="1" si="9"/>
        <v>1.8648007658029191E-2</v>
      </c>
    </row>
    <row r="189" spans="2:7" x14ac:dyDescent="0.35">
      <c r="B189" s="2">
        <v>43992</v>
      </c>
      <c r="C189" s="4">
        <v>858.4</v>
      </c>
      <c r="D189">
        <f t="shared" si="8"/>
        <v>19.117178345441761</v>
      </c>
      <c r="E189">
        <v>5.5076881475927708E-2</v>
      </c>
      <c r="F189">
        <v>186</v>
      </c>
      <c r="G189">
        <f t="shared" ca="1" si="9"/>
        <v>-1.7510603417728594E-2</v>
      </c>
    </row>
    <row r="190" spans="2:7" x14ac:dyDescent="0.35">
      <c r="B190" s="2">
        <v>38222</v>
      </c>
      <c r="C190" s="4">
        <v>42.67</v>
      </c>
      <c r="D190">
        <f t="shared" si="8"/>
        <v>-0.49616247490848975</v>
      </c>
      <c r="E190">
        <v>5.4882571075401732E-2</v>
      </c>
      <c r="F190">
        <v>187</v>
      </c>
      <c r="G190">
        <f t="shared" ca="1" si="9"/>
        <v>2.382096750832452E-2</v>
      </c>
    </row>
    <row r="191" spans="2:7" x14ac:dyDescent="0.35">
      <c r="B191" s="2">
        <v>39023</v>
      </c>
      <c r="C191" s="4">
        <v>84.69</v>
      </c>
      <c r="D191">
        <f t="shared" si="8"/>
        <v>1.8766983695652173</v>
      </c>
      <c r="E191">
        <v>5.453866268210672E-2</v>
      </c>
      <c r="F191">
        <v>188</v>
      </c>
      <c r="G191">
        <f t="shared" ca="1" si="9"/>
        <v>1.6025248133934248E-2</v>
      </c>
    </row>
    <row r="192" spans="2:7" x14ac:dyDescent="0.35">
      <c r="B192" s="2">
        <v>37868</v>
      </c>
      <c r="C192" s="4">
        <v>29.44</v>
      </c>
      <c r="D192">
        <f t="shared" si="8"/>
        <v>-0.72137043346583374</v>
      </c>
      <c r="E192">
        <v>5.4441260744985565E-2</v>
      </c>
      <c r="F192">
        <v>189</v>
      </c>
      <c r="G192">
        <f t="shared" ca="1" si="9"/>
        <v>1.9184644506629368E-2</v>
      </c>
    </row>
    <row r="193" spans="2:7" x14ac:dyDescent="0.35">
      <c r="B193" s="2">
        <v>40233</v>
      </c>
      <c r="C193" s="4">
        <v>105.66</v>
      </c>
      <c r="D193">
        <f t="shared" si="8"/>
        <v>0.61782269177767568</v>
      </c>
      <c r="E193">
        <v>5.4280582718020387E-2</v>
      </c>
      <c r="F193">
        <v>190</v>
      </c>
      <c r="G193">
        <f t="shared" ca="1" si="9"/>
        <v>1.4806044691957156E-2</v>
      </c>
    </row>
    <row r="194" spans="2:7" x14ac:dyDescent="0.35">
      <c r="B194" s="2">
        <v>38889</v>
      </c>
      <c r="C194" s="4">
        <v>65.31</v>
      </c>
      <c r="D194">
        <f t="shared" si="8"/>
        <v>-0.37232099951946174</v>
      </c>
      <c r="E194">
        <v>5.4237288135593253E-2</v>
      </c>
      <c r="F194">
        <v>191</v>
      </c>
      <c r="G194">
        <f t="shared" ca="1" si="9"/>
        <v>-1.0121287917450279E-2</v>
      </c>
    </row>
    <row r="195" spans="2:7" x14ac:dyDescent="0.35">
      <c r="B195" s="2">
        <v>39132</v>
      </c>
      <c r="C195" s="4">
        <v>104.05</v>
      </c>
      <c r="D195">
        <f t="shared" si="8"/>
        <v>-0.84867435535711688</v>
      </c>
      <c r="E195">
        <v>5.3884331003747565E-2</v>
      </c>
      <c r="F195">
        <v>192</v>
      </c>
      <c r="G195">
        <f t="shared" ca="1" si="9"/>
        <v>2.9329059500926746E-3</v>
      </c>
    </row>
    <row r="196" spans="2:7" x14ac:dyDescent="0.35">
      <c r="B196" s="2">
        <v>43755</v>
      </c>
      <c r="C196" s="4">
        <v>687.59</v>
      </c>
      <c r="D196">
        <f t="shared" ref="D196:D259" si="10">C196/C197-1</f>
        <v>0.23631688722669741</v>
      </c>
      <c r="E196">
        <v>5.3874685794862431E-2</v>
      </c>
      <c r="F196">
        <v>193</v>
      </c>
      <c r="G196">
        <f t="shared" ca="1" si="9"/>
        <v>-6.468234870227399E-2</v>
      </c>
    </row>
    <row r="197" spans="2:7" x14ac:dyDescent="0.35">
      <c r="B197" s="2">
        <v>42146</v>
      </c>
      <c r="C197" s="4">
        <v>556.16</v>
      </c>
      <c r="D197">
        <f t="shared" si="10"/>
        <v>-0.64579405920415756</v>
      </c>
      <c r="E197">
        <v>5.3812338941943372E-2</v>
      </c>
      <c r="F197">
        <v>194</v>
      </c>
      <c r="G197">
        <f t="shared" ref="G197:G260" ca="1" si="11">_xlfn.NORM.INV(RAND(),K$6,K$7)</f>
        <v>-1.1078289198147665E-2</v>
      </c>
    </row>
    <row r="198" spans="2:7" x14ac:dyDescent="0.35">
      <c r="B198" s="2">
        <v>44162</v>
      </c>
      <c r="C198" s="4">
        <v>1570.16</v>
      </c>
      <c r="D198">
        <f t="shared" si="10"/>
        <v>14.207360774818403</v>
      </c>
      <c r="E198">
        <v>5.3636015917006175E-2</v>
      </c>
      <c r="F198">
        <v>195</v>
      </c>
      <c r="G198">
        <f t="shared" ca="1" si="11"/>
        <v>-7.8195257527414342E-3</v>
      </c>
    </row>
    <row r="199" spans="2:7" x14ac:dyDescent="0.35">
      <c r="B199" s="2">
        <v>40329</v>
      </c>
      <c r="C199" s="4">
        <v>103.25</v>
      </c>
      <c r="D199">
        <f t="shared" si="10"/>
        <v>-0.43818696267276092</v>
      </c>
      <c r="E199">
        <v>5.3571428571428603E-2</v>
      </c>
      <c r="F199">
        <v>196</v>
      </c>
      <c r="G199">
        <f t="shared" ca="1" si="11"/>
        <v>-1.1588653594011487E-2</v>
      </c>
    </row>
    <row r="200" spans="2:7" x14ac:dyDescent="0.35">
      <c r="B200" s="2">
        <v>41683</v>
      </c>
      <c r="C200" s="4">
        <v>183.78</v>
      </c>
      <c r="D200">
        <f t="shared" si="10"/>
        <v>-0.81238323720075545</v>
      </c>
      <c r="E200">
        <v>5.3301237964236581E-2</v>
      </c>
      <c r="F200">
        <v>197</v>
      </c>
      <c r="G200">
        <f t="shared" ca="1" si="11"/>
        <v>-7.0731309686810247E-3</v>
      </c>
    </row>
    <row r="201" spans="2:7" x14ac:dyDescent="0.35">
      <c r="B201" s="2">
        <v>43389</v>
      </c>
      <c r="C201" s="4">
        <v>979.55</v>
      </c>
      <c r="D201">
        <f t="shared" si="10"/>
        <v>10.750839731285987</v>
      </c>
      <c r="E201">
        <v>5.3177649474781985E-2</v>
      </c>
      <c r="F201">
        <v>198</v>
      </c>
      <c r="G201">
        <f t="shared" ca="1" si="11"/>
        <v>1.6521182088951005E-2</v>
      </c>
    </row>
    <row r="202" spans="2:7" x14ac:dyDescent="0.35">
      <c r="B202" s="2">
        <v>41464</v>
      </c>
      <c r="C202" s="4">
        <v>83.36</v>
      </c>
      <c r="D202">
        <f t="shared" si="10"/>
        <v>-0.92582838025411962</v>
      </c>
      <c r="E202">
        <v>5.3057099545224862E-2</v>
      </c>
      <c r="F202">
        <v>199</v>
      </c>
      <c r="G202">
        <f t="shared" ca="1" si="11"/>
        <v>1.0795980873061944E-2</v>
      </c>
    </row>
    <row r="203" spans="2:7" x14ac:dyDescent="0.35">
      <c r="B203" s="2">
        <v>43213</v>
      </c>
      <c r="C203" s="4">
        <v>1123.8800000000001</v>
      </c>
      <c r="D203">
        <f t="shared" si="10"/>
        <v>9.6287119349347474</v>
      </c>
      <c r="E203">
        <v>5.2982676398115158E-2</v>
      </c>
      <c r="F203">
        <v>200</v>
      </c>
      <c r="G203">
        <f t="shared" ca="1" si="11"/>
        <v>-4.176871330243484E-3</v>
      </c>
    </row>
    <row r="204" spans="2:7" x14ac:dyDescent="0.35">
      <c r="B204" s="2">
        <v>40339</v>
      </c>
      <c r="C204" s="4">
        <v>105.74</v>
      </c>
      <c r="D204">
        <f t="shared" si="10"/>
        <v>-0.55934322387064517</v>
      </c>
      <c r="E204">
        <v>5.2663016426082621E-2</v>
      </c>
      <c r="F204">
        <v>201</v>
      </c>
      <c r="G204">
        <f t="shared" ca="1" si="11"/>
        <v>-1.9692436416275907E-2</v>
      </c>
    </row>
    <row r="205" spans="2:7" x14ac:dyDescent="0.35">
      <c r="B205" s="2">
        <v>41793</v>
      </c>
      <c r="C205" s="4">
        <v>239.96</v>
      </c>
      <c r="D205">
        <f t="shared" si="10"/>
        <v>1.666518502055784</v>
      </c>
      <c r="E205">
        <v>5.2548469163961942E-2</v>
      </c>
      <c r="F205">
        <v>202</v>
      </c>
      <c r="G205">
        <f t="shared" ca="1" si="11"/>
        <v>-3.4872325865882389E-2</v>
      </c>
    </row>
    <row r="206" spans="2:7" x14ac:dyDescent="0.35">
      <c r="B206" s="2">
        <v>39036</v>
      </c>
      <c r="C206" s="4">
        <v>89.99</v>
      </c>
      <c r="D206">
        <f t="shared" si="10"/>
        <v>7.8758091584751666E-2</v>
      </c>
      <c r="E206">
        <v>5.2514619883040847E-2</v>
      </c>
      <c r="F206">
        <v>203</v>
      </c>
      <c r="G206">
        <f t="shared" ca="1" si="11"/>
        <v>9.2399469553062982E-3</v>
      </c>
    </row>
    <row r="207" spans="2:7" x14ac:dyDescent="0.35">
      <c r="B207" s="2">
        <v>39064</v>
      </c>
      <c r="C207" s="4">
        <v>83.42</v>
      </c>
      <c r="D207">
        <f t="shared" si="10"/>
        <v>-0.89518256979870836</v>
      </c>
      <c r="E207">
        <v>5.2352718556831102E-2</v>
      </c>
      <c r="F207">
        <v>204</v>
      </c>
      <c r="G207">
        <f t="shared" ca="1" si="11"/>
        <v>1.1864087640632516E-2</v>
      </c>
    </row>
    <row r="208" spans="2:7" x14ac:dyDescent="0.35">
      <c r="B208" s="2">
        <v>43984</v>
      </c>
      <c r="C208" s="4">
        <v>795.86</v>
      </c>
      <c r="D208">
        <f t="shared" si="10"/>
        <v>11.517458320226487</v>
      </c>
      <c r="E208">
        <v>5.2251632863526964E-2</v>
      </c>
      <c r="F208">
        <v>205</v>
      </c>
      <c r="G208">
        <f t="shared" ca="1" si="11"/>
        <v>-8.5389310157559569E-3</v>
      </c>
    </row>
    <row r="209" spans="2:7" x14ac:dyDescent="0.35">
      <c r="B209" s="2">
        <v>40038</v>
      </c>
      <c r="C209" s="4">
        <v>63.58</v>
      </c>
      <c r="D209">
        <f t="shared" si="10"/>
        <v>-0.99289704967261405</v>
      </c>
      <c r="E209">
        <v>5.1952349437458745E-2</v>
      </c>
      <c r="F209">
        <v>206</v>
      </c>
      <c r="G209">
        <f t="shared" ca="1" si="11"/>
        <v>-4.4008866314840363E-2</v>
      </c>
    </row>
    <row r="210" spans="2:7" x14ac:dyDescent="0.35">
      <c r="B210" s="2">
        <v>44650</v>
      </c>
      <c r="C210" s="4">
        <v>8951.2099999999991</v>
      </c>
      <c r="D210">
        <f t="shared" si="10"/>
        <v>107.59165352420233</v>
      </c>
      <c r="E210">
        <v>5.1906631521673852E-2</v>
      </c>
      <c r="F210">
        <v>207</v>
      </c>
      <c r="G210">
        <f t="shared" ca="1" si="11"/>
        <v>-2.5313551836264964E-2</v>
      </c>
    </row>
    <row r="211" spans="2:7" x14ac:dyDescent="0.35">
      <c r="B211" s="2">
        <v>38968</v>
      </c>
      <c r="C211" s="4">
        <v>82.43</v>
      </c>
      <c r="D211">
        <f t="shared" si="10"/>
        <v>0.11754338394793917</v>
      </c>
      <c r="E211">
        <v>5.180553783335462E-2</v>
      </c>
      <c r="F211">
        <v>208</v>
      </c>
      <c r="G211">
        <f t="shared" ca="1" si="11"/>
        <v>-8.7197145207581154E-3</v>
      </c>
    </row>
    <row r="212" spans="2:7" x14ac:dyDescent="0.35">
      <c r="B212" s="2">
        <v>38721</v>
      </c>
      <c r="C212" s="4">
        <v>73.760000000000005</v>
      </c>
      <c r="D212">
        <f t="shared" si="10"/>
        <v>1.5156889495225103</v>
      </c>
      <c r="E212">
        <v>5.161106358711165E-2</v>
      </c>
      <c r="F212">
        <v>209</v>
      </c>
      <c r="G212">
        <f t="shared" ca="1" si="11"/>
        <v>3.5054627234176655E-2</v>
      </c>
    </row>
    <row r="213" spans="2:7" x14ac:dyDescent="0.35">
      <c r="B213" s="2">
        <v>38110</v>
      </c>
      <c r="C213" s="4">
        <v>29.32</v>
      </c>
      <c r="D213">
        <f t="shared" si="10"/>
        <v>-0.45864106351550959</v>
      </c>
      <c r="E213">
        <v>5.1272857655073389E-2</v>
      </c>
      <c r="F213">
        <v>210</v>
      </c>
      <c r="G213">
        <f t="shared" ca="1" si="11"/>
        <v>-6.7474326370170964E-3</v>
      </c>
    </row>
    <row r="214" spans="2:7" x14ac:dyDescent="0.35">
      <c r="B214" s="2">
        <v>38883</v>
      </c>
      <c r="C214" s="4">
        <v>54.16</v>
      </c>
      <c r="D214">
        <f t="shared" si="10"/>
        <v>1.6135084427767454E-2</v>
      </c>
      <c r="E214">
        <v>5.1242236024844567E-2</v>
      </c>
      <c r="F214">
        <v>211</v>
      </c>
      <c r="G214">
        <f t="shared" ca="1" si="11"/>
        <v>-2.8473824040989568E-2</v>
      </c>
    </row>
    <row r="215" spans="2:7" x14ac:dyDescent="0.35">
      <c r="B215" s="2">
        <v>38379</v>
      </c>
      <c r="C215" s="4">
        <v>53.3</v>
      </c>
      <c r="D215">
        <f t="shared" si="10"/>
        <v>-0.93053383380252319</v>
      </c>
      <c r="E215">
        <v>5.1074738710313428E-2</v>
      </c>
      <c r="F215">
        <v>212</v>
      </c>
      <c r="G215">
        <f t="shared" ca="1" si="11"/>
        <v>-9.0431620760236271E-3</v>
      </c>
    </row>
    <row r="216" spans="2:7" x14ac:dyDescent="0.35">
      <c r="B216" s="2">
        <v>42212</v>
      </c>
      <c r="C216" s="4">
        <v>767.28</v>
      </c>
      <c r="D216">
        <f t="shared" si="10"/>
        <v>26.43224883804076</v>
      </c>
      <c r="E216">
        <v>5.0823780763383786E-2</v>
      </c>
      <c r="F216">
        <v>213</v>
      </c>
      <c r="G216">
        <f t="shared" ca="1" si="11"/>
        <v>1.5143767105840091E-2</v>
      </c>
    </row>
    <row r="217" spans="2:7" x14ac:dyDescent="0.35">
      <c r="B217" s="2">
        <v>37918</v>
      </c>
      <c r="C217" s="4">
        <v>27.97</v>
      </c>
      <c r="D217">
        <f t="shared" si="10"/>
        <v>-0.89538450029922201</v>
      </c>
      <c r="E217">
        <v>5.0713749060856461E-2</v>
      </c>
      <c r="F217">
        <v>214</v>
      </c>
      <c r="G217">
        <f t="shared" ca="1" si="11"/>
        <v>9.0595524564209585E-3</v>
      </c>
    </row>
    <row r="218" spans="2:7" x14ac:dyDescent="0.35">
      <c r="B218" s="2">
        <v>41991</v>
      </c>
      <c r="C218" s="4">
        <v>267.36</v>
      </c>
      <c r="D218">
        <f t="shared" si="10"/>
        <v>4.1130235226620773</v>
      </c>
      <c r="E218">
        <v>5.0654301096396459E-2</v>
      </c>
      <c r="F218">
        <v>215</v>
      </c>
      <c r="G218">
        <f t="shared" ca="1" si="11"/>
        <v>8.3780055228755627E-4</v>
      </c>
    </row>
    <row r="219" spans="2:7" x14ac:dyDescent="0.35">
      <c r="B219" s="2">
        <v>40009</v>
      </c>
      <c r="C219" s="4">
        <v>52.29</v>
      </c>
      <c r="D219">
        <f t="shared" si="10"/>
        <v>0.3111835506519558</v>
      </c>
      <c r="E219">
        <v>5.0632911392404889E-2</v>
      </c>
      <c r="F219">
        <v>216</v>
      </c>
      <c r="G219">
        <f t="shared" ca="1" si="11"/>
        <v>6.269057317662783E-3</v>
      </c>
    </row>
    <row r="220" spans="2:7" x14ac:dyDescent="0.35">
      <c r="B220" s="2">
        <v>37994</v>
      </c>
      <c r="C220" s="4">
        <v>39.880000000000003</v>
      </c>
      <c r="D220">
        <f t="shared" si="10"/>
        <v>-0.4793053923488706</v>
      </c>
      <c r="E220">
        <v>5.0579557428872546E-2</v>
      </c>
      <c r="F220">
        <v>217</v>
      </c>
      <c r="G220">
        <f t="shared" ca="1" si="11"/>
        <v>2.7806851346848401E-2</v>
      </c>
    </row>
    <row r="221" spans="2:7" x14ac:dyDescent="0.35">
      <c r="B221" s="2">
        <v>39610</v>
      </c>
      <c r="C221" s="4">
        <v>76.59</v>
      </c>
      <c r="D221">
        <f t="shared" si="10"/>
        <v>1.3265492102065615</v>
      </c>
      <c r="E221">
        <v>5.0329127811300056E-2</v>
      </c>
      <c r="F221">
        <v>218</v>
      </c>
      <c r="G221">
        <f t="shared" ca="1" si="11"/>
        <v>-6.8597172330199969E-3</v>
      </c>
    </row>
    <row r="222" spans="2:7" x14ac:dyDescent="0.35">
      <c r="B222" s="2">
        <v>39911</v>
      </c>
      <c r="C222" s="4">
        <v>32.92</v>
      </c>
      <c r="D222">
        <f t="shared" si="10"/>
        <v>-0.96195275299338912</v>
      </c>
      <c r="E222">
        <v>5.0079744816586835E-2</v>
      </c>
      <c r="F222">
        <v>219</v>
      </c>
      <c r="G222">
        <f t="shared" ca="1" si="11"/>
        <v>-1.3529882676419597E-2</v>
      </c>
    </row>
    <row r="223" spans="2:7" x14ac:dyDescent="0.35">
      <c r="B223" s="2">
        <v>43843</v>
      </c>
      <c r="C223" s="4">
        <v>865.24</v>
      </c>
      <c r="D223">
        <f t="shared" si="10"/>
        <v>-9.5712882255805765E-2</v>
      </c>
      <c r="E223">
        <v>5.0074030923080715E-2</v>
      </c>
      <c r="F223">
        <v>220</v>
      </c>
      <c r="G223">
        <f t="shared" ca="1" si="11"/>
        <v>-1.4067975120146312E-4</v>
      </c>
    </row>
    <row r="224" spans="2:7" x14ac:dyDescent="0.35">
      <c r="B224" s="2">
        <v>43383</v>
      </c>
      <c r="C224" s="4">
        <v>956.82</v>
      </c>
      <c r="D224">
        <f t="shared" si="10"/>
        <v>0.90052636806038344</v>
      </c>
      <c r="E224">
        <v>4.9939098660170655E-2</v>
      </c>
      <c r="F224">
        <v>221</v>
      </c>
      <c r="G224">
        <f t="shared" ca="1" si="11"/>
        <v>-8.1370820391115928E-3</v>
      </c>
    </row>
    <row r="225" spans="2:7" x14ac:dyDescent="0.35">
      <c r="B225" s="2">
        <v>42697</v>
      </c>
      <c r="C225" s="4">
        <v>503.45</v>
      </c>
      <c r="D225">
        <f t="shared" si="10"/>
        <v>-0.79549350469985136</v>
      </c>
      <c r="E225">
        <v>4.9882176297624703E-2</v>
      </c>
      <c r="F225">
        <v>222</v>
      </c>
      <c r="G225">
        <f t="shared" ca="1" si="11"/>
        <v>-1.0120136727084924E-2</v>
      </c>
    </row>
    <row r="226" spans="2:7" x14ac:dyDescent="0.35">
      <c r="B226" s="2">
        <v>44210</v>
      </c>
      <c r="C226" s="4">
        <v>2461.7800000000002</v>
      </c>
      <c r="D226">
        <f t="shared" si="10"/>
        <v>79.529277069021916</v>
      </c>
      <c r="E226">
        <v>4.9875683951501992E-2</v>
      </c>
      <c r="F226">
        <v>223</v>
      </c>
      <c r="G226">
        <f t="shared" ca="1" si="11"/>
        <v>-1.9688719882574954E-2</v>
      </c>
    </row>
    <row r="227" spans="2:7" x14ac:dyDescent="0.35">
      <c r="B227" s="2">
        <v>38098</v>
      </c>
      <c r="C227" s="4">
        <v>30.57</v>
      </c>
      <c r="D227">
        <f t="shared" si="10"/>
        <v>-0.24087409982617336</v>
      </c>
      <c r="E227">
        <v>4.9793956043955978E-2</v>
      </c>
      <c r="F227">
        <v>224</v>
      </c>
      <c r="G227">
        <f t="shared" ca="1" si="11"/>
        <v>-4.3993089406623241E-2</v>
      </c>
    </row>
    <row r="228" spans="2:7" x14ac:dyDescent="0.35">
      <c r="B228" s="2">
        <v>38184</v>
      </c>
      <c r="C228" s="4">
        <v>40.270000000000003</v>
      </c>
      <c r="D228">
        <f t="shared" si="10"/>
        <v>-0.18728557013118052</v>
      </c>
      <c r="E228">
        <v>4.9791449426485945E-2</v>
      </c>
      <c r="F228">
        <v>225</v>
      </c>
      <c r="G228">
        <f t="shared" ca="1" si="11"/>
        <v>4.8666930295077418E-3</v>
      </c>
    </row>
    <row r="229" spans="2:7" x14ac:dyDescent="0.35">
      <c r="B229" s="2">
        <v>38236</v>
      </c>
      <c r="C229" s="4">
        <v>49.55</v>
      </c>
      <c r="D229">
        <f t="shared" si="10"/>
        <v>-0.40193120096560042</v>
      </c>
      <c r="E229">
        <v>4.9788135593220151E-2</v>
      </c>
      <c r="F229">
        <v>226</v>
      </c>
      <c r="G229">
        <f t="shared" ca="1" si="11"/>
        <v>1.5886853033846383E-2</v>
      </c>
    </row>
    <row r="230" spans="2:7" x14ac:dyDescent="0.35">
      <c r="B230" s="2">
        <v>40917</v>
      </c>
      <c r="C230" s="4">
        <v>82.85</v>
      </c>
      <c r="D230">
        <f t="shared" si="10"/>
        <v>1.0863762276504656</v>
      </c>
      <c r="E230">
        <v>4.9531289587028127E-2</v>
      </c>
      <c r="F230">
        <v>227</v>
      </c>
      <c r="G230">
        <f t="shared" ca="1" si="11"/>
        <v>3.4424853292077714E-2</v>
      </c>
    </row>
    <row r="231" spans="2:7" x14ac:dyDescent="0.35">
      <c r="B231" s="2">
        <v>37449</v>
      </c>
      <c r="C231" s="4">
        <v>39.71</v>
      </c>
      <c r="D231">
        <f t="shared" si="10"/>
        <v>-0.95535894956944034</v>
      </c>
      <c r="E231">
        <v>4.9418604651162656E-2</v>
      </c>
      <c r="F231">
        <v>228</v>
      </c>
      <c r="G231">
        <f t="shared" ca="1" si="11"/>
        <v>-6.7878962224350425E-3</v>
      </c>
    </row>
    <row r="232" spans="2:7" x14ac:dyDescent="0.35">
      <c r="B232" s="2">
        <v>42348</v>
      </c>
      <c r="C232" s="4">
        <v>889.54</v>
      </c>
      <c r="D232">
        <f t="shared" si="10"/>
        <v>10.525524747343869</v>
      </c>
      <c r="E232">
        <v>4.9245685842012721E-2</v>
      </c>
      <c r="F232">
        <v>229</v>
      </c>
      <c r="G232">
        <f t="shared" ca="1" si="11"/>
        <v>4.330955006883682E-2</v>
      </c>
    </row>
    <row r="233" spans="2:7" x14ac:dyDescent="0.35">
      <c r="B233" s="2">
        <v>40903</v>
      </c>
      <c r="C233" s="4">
        <v>77.180000000000007</v>
      </c>
      <c r="D233">
        <f t="shared" si="10"/>
        <v>-0.88107308504245185</v>
      </c>
      <c r="E233">
        <v>4.9211528004350358E-2</v>
      </c>
      <c r="F233">
        <v>230</v>
      </c>
      <c r="G233">
        <f t="shared" ca="1" si="11"/>
        <v>-1.9086860984277677E-2</v>
      </c>
    </row>
    <row r="234" spans="2:7" x14ac:dyDescent="0.35">
      <c r="B234" s="2">
        <v>42068</v>
      </c>
      <c r="C234" s="4">
        <v>648.97</v>
      </c>
      <c r="D234">
        <f t="shared" si="10"/>
        <v>9.4757062146892661</v>
      </c>
      <c r="E234">
        <v>4.9111689487382648E-2</v>
      </c>
      <c r="F234">
        <v>231</v>
      </c>
      <c r="G234">
        <f t="shared" ca="1" si="11"/>
        <v>-5.4444816841722067E-2</v>
      </c>
    </row>
    <row r="235" spans="2:7" x14ac:dyDescent="0.35">
      <c r="B235" s="2">
        <v>38888</v>
      </c>
      <c r="C235" s="4">
        <v>61.95</v>
      </c>
      <c r="D235">
        <f t="shared" si="10"/>
        <v>-0.66287548976926425</v>
      </c>
      <c r="E235">
        <v>4.9110922946655533E-2</v>
      </c>
      <c r="F235">
        <v>232</v>
      </c>
      <c r="G235">
        <f t="shared" ca="1" si="11"/>
        <v>-2.8953383683463597E-2</v>
      </c>
    </row>
    <row r="236" spans="2:7" x14ac:dyDescent="0.35">
      <c r="B236" s="2">
        <v>41638</v>
      </c>
      <c r="C236" s="4">
        <v>183.76</v>
      </c>
      <c r="D236">
        <f t="shared" si="10"/>
        <v>-0.73819259428115513</v>
      </c>
      <c r="E236">
        <v>4.9038077296340798E-2</v>
      </c>
      <c r="F236">
        <v>233</v>
      </c>
      <c r="G236">
        <f t="shared" ca="1" si="11"/>
        <v>2.0727974551790915E-2</v>
      </c>
    </row>
    <row r="237" spans="2:7" x14ac:dyDescent="0.35">
      <c r="B237" s="2">
        <v>42811</v>
      </c>
      <c r="C237" s="4">
        <v>701.89</v>
      </c>
      <c r="D237">
        <f t="shared" si="10"/>
        <v>-0.38463629110738984</v>
      </c>
      <c r="E237">
        <v>4.8880719686780871E-2</v>
      </c>
      <c r="F237">
        <v>234</v>
      </c>
      <c r="G237">
        <f t="shared" ca="1" si="11"/>
        <v>-5.1461685275632052E-2</v>
      </c>
    </row>
    <row r="238" spans="2:7" x14ac:dyDescent="0.35">
      <c r="B238" s="2">
        <v>44070</v>
      </c>
      <c r="C238" s="4">
        <v>1140.6099999999999</v>
      </c>
      <c r="D238">
        <f t="shared" si="10"/>
        <v>0.34574135469636702</v>
      </c>
      <c r="E238">
        <v>4.8537888050302902E-2</v>
      </c>
      <c r="F238">
        <v>235</v>
      </c>
      <c r="G238">
        <f t="shared" ca="1" si="11"/>
        <v>-1.2798630846189173E-2</v>
      </c>
    </row>
    <row r="239" spans="2:7" x14ac:dyDescent="0.35">
      <c r="B239" s="2">
        <v>42331</v>
      </c>
      <c r="C239" s="4">
        <v>847.57</v>
      </c>
      <c r="D239">
        <f t="shared" si="10"/>
        <v>12.239144017494535</v>
      </c>
      <c r="E239">
        <v>4.850561630956518E-2</v>
      </c>
      <c r="F239">
        <v>236</v>
      </c>
      <c r="G239">
        <f t="shared" ca="1" si="11"/>
        <v>-2.5438273608505976E-2</v>
      </c>
    </row>
    <row r="240" spans="2:7" x14ac:dyDescent="0.35">
      <c r="B240" s="2">
        <v>38509</v>
      </c>
      <c r="C240" s="4">
        <v>64.02</v>
      </c>
      <c r="D240">
        <f t="shared" si="10"/>
        <v>-0.7767159598214286</v>
      </c>
      <c r="E240">
        <v>4.8476907959384086E-2</v>
      </c>
      <c r="F240">
        <v>237</v>
      </c>
      <c r="G240">
        <f t="shared" ca="1" si="11"/>
        <v>4.918898640903592E-2</v>
      </c>
    </row>
    <row r="241" spans="2:7" x14ac:dyDescent="0.35">
      <c r="B241" s="2">
        <v>41837</v>
      </c>
      <c r="C241" s="4">
        <v>286.72000000000003</v>
      </c>
      <c r="D241">
        <f t="shared" si="10"/>
        <v>-2.2534346981215592E-2</v>
      </c>
      <c r="E241">
        <v>4.8451384064065461E-2</v>
      </c>
      <c r="F241">
        <v>238</v>
      </c>
      <c r="G241">
        <f t="shared" ca="1" si="11"/>
        <v>5.5775646386213726E-2</v>
      </c>
    </row>
    <row r="242" spans="2:7" x14ac:dyDescent="0.35">
      <c r="B242" s="2">
        <v>42011</v>
      </c>
      <c r="C242" s="4">
        <v>293.33</v>
      </c>
      <c r="D242">
        <f t="shared" si="10"/>
        <v>0.14318562687556025</v>
      </c>
      <c r="E242">
        <v>4.8355968548963402E-2</v>
      </c>
      <c r="F242">
        <v>239</v>
      </c>
      <c r="G242">
        <f t="shared" ca="1" si="11"/>
        <v>-3.0608988703187987E-2</v>
      </c>
    </row>
    <row r="243" spans="2:7" x14ac:dyDescent="0.35">
      <c r="B243" s="2">
        <v>41750</v>
      </c>
      <c r="C243" s="4">
        <v>256.58999999999997</v>
      </c>
      <c r="D243">
        <f t="shared" si="10"/>
        <v>2.3112659698025553</v>
      </c>
      <c r="E243">
        <v>4.8333060957672869E-2</v>
      </c>
      <c r="F243">
        <v>240</v>
      </c>
      <c r="G243">
        <f t="shared" ca="1" si="11"/>
        <v>2.5489144336760531E-2</v>
      </c>
    </row>
    <row r="244" spans="2:7" x14ac:dyDescent="0.35">
      <c r="B244" s="2">
        <v>39482</v>
      </c>
      <c r="C244" s="4">
        <v>77.489999999999995</v>
      </c>
      <c r="D244">
        <f t="shared" si="10"/>
        <v>-0.34887824552558611</v>
      </c>
      <c r="E244">
        <v>4.8295454545454364E-2</v>
      </c>
      <c r="F244">
        <v>241</v>
      </c>
      <c r="G244">
        <f t="shared" ca="1" si="11"/>
        <v>2.76812217431106E-2</v>
      </c>
    </row>
    <row r="245" spans="2:7" x14ac:dyDescent="0.35">
      <c r="B245" s="2">
        <v>40555</v>
      </c>
      <c r="C245" s="4">
        <v>119.01</v>
      </c>
      <c r="D245">
        <f t="shared" si="10"/>
        <v>4.9563453567333937E-2</v>
      </c>
      <c r="E245">
        <v>4.8269179952435515E-2</v>
      </c>
      <c r="F245">
        <v>242</v>
      </c>
      <c r="G245">
        <f t="shared" ca="1" si="11"/>
        <v>-2.3595558963005322E-3</v>
      </c>
    </row>
    <row r="246" spans="2:7" x14ac:dyDescent="0.35">
      <c r="B246" s="2">
        <v>39358</v>
      </c>
      <c r="C246" s="4">
        <v>113.39</v>
      </c>
      <c r="D246">
        <f t="shared" si="10"/>
        <v>0.29204649042844122</v>
      </c>
      <c r="E246">
        <v>4.8160473285265182E-2</v>
      </c>
      <c r="F246">
        <v>243</v>
      </c>
      <c r="G246">
        <f t="shared" ca="1" si="11"/>
        <v>-2.2649435765915008E-2</v>
      </c>
    </row>
    <row r="247" spans="2:7" x14ac:dyDescent="0.35">
      <c r="B247" s="2">
        <v>41394</v>
      </c>
      <c r="C247" s="4">
        <v>87.76</v>
      </c>
      <c r="D247">
        <f t="shared" si="10"/>
        <v>1.823680823680824</v>
      </c>
      <c r="E247">
        <v>4.8130896930610234E-2</v>
      </c>
      <c r="F247">
        <v>244</v>
      </c>
      <c r="G247">
        <f t="shared" ca="1" si="11"/>
        <v>-3.3872885320656229E-3</v>
      </c>
    </row>
    <row r="248" spans="2:7" x14ac:dyDescent="0.35">
      <c r="B248" s="2">
        <v>38113</v>
      </c>
      <c r="C248" s="4">
        <v>31.08</v>
      </c>
      <c r="D248">
        <f t="shared" si="10"/>
        <v>-0.75183647396997766</v>
      </c>
      <c r="E248">
        <v>4.7875927174645838E-2</v>
      </c>
      <c r="F248">
        <v>245</v>
      </c>
      <c r="G248">
        <f t="shared" ca="1" si="11"/>
        <v>-2.2747044563949874E-2</v>
      </c>
    </row>
    <row r="249" spans="2:7" x14ac:dyDescent="0.35">
      <c r="B249" s="2">
        <v>40540</v>
      </c>
      <c r="C249" s="4">
        <v>125.24</v>
      </c>
      <c r="D249">
        <f t="shared" si="10"/>
        <v>0.14249224594052179</v>
      </c>
      <c r="E249">
        <v>4.7507527601204247E-2</v>
      </c>
      <c r="F249">
        <v>246</v>
      </c>
      <c r="G249">
        <f t="shared" ca="1" si="11"/>
        <v>-1.9252534903649521E-2</v>
      </c>
    </row>
    <row r="250" spans="2:7" x14ac:dyDescent="0.35">
      <c r="B250" s="2">
        <v>40512</v>
      </c>
      <c r="C250" s="4">
        <v>109.62</v>
      </c>
      <c r="D250">
        <f t="shared" si="10"/>
        <v>-0.98278934452868516</v>
      </c>
      <c r="E250">
        <v>4.7491638795986502E-2</v>
      </c>
      <c r="F250">
        <v>247</v>
      </c>
      <c r="G250">
        <f t="shared" ca="1" si="11"/>
        <v>-2.4805991072852359E-2</v>
      </c>
    </row>
    <row r="251" spans="2:7" x14ac:dyDescent="0.35">
      <c r="B251" s="2">
        <v>44574</v>
      </c>
      <c r="C251" s="4">
        <v>6369.31</v>
      </c>
      <c r="D251">
        <f t="shared" si="10"/>
        <v>125.77766719745223</v>
      </c>
      <c r="E251">
        <v>4.704658135956552E-2</v>
      </c>
      <c r="F251">
        <v>248</v>
      </c>
      <c r="G251">
        <f t="shared" ca="1" si="11"/>
        <v>-4.0791895959878872E-2</v>
      </c>
    </row>
    <row r="252" spans="2:7" x14ac:dyDescent="0.35">
      <c r="B252" s="2">
        <v>38365</v>
      </c>
      <c r="C252" s="4">
        <v>50.24</v>
      </c>
      <c r="D252">
        <f t="shared" si="10"/>
        <v>0.62958157638663659</v>
      </c>
      <c r="E252">
        <v>4.6884767659929105E-2</v>
      </c>
      <c r="F252">
        <v>249</v>
      </c>
      <c r="G252">
        <f t="shared" ca="1" si="11"/>
        <v>3.8151423358205046E-2</v>
      </c>
    </row>
    <row r="253" spans="2:7" x14ac:dyDescent="0.35">
      <c r="B253" s="2">
        <v>37537</v>
      </c>
      <c r="C253" s="4">
        <v>30.83</v>
      </c>
      <c r="D253">
        <f t="shared" si="10"/>
        <v>-0.54460856720827189</v>
      </c>
      <c r="E253">
        <v>4.6859083191850504E-2</v>
      </c>
      <c r="F253">
        <v>250</v>
      </c>
      <c r="G253">
        <f t="shared" ca="1" si="11"/>
        <v>2.3832755110682769E-3</v>
      </c>
    </row>
    <row r="254" spans="2:7" x14ac:dyDescent="0.35">
      <c r="B254" s="2">
        <v>38943</v>
      </c>
      <c r="C254" s="4">
        <v>67.7</v>
      </c>
      <c r="D254">
        <f t="shared" si="10"/>
        <v>-0.92914111071570615</v>
      </c>
      <c r="E254">
        <v>4.6367851622874712E-2</v>
      </c>
      <c r="F254">
        <v>251</v>
      </c>
      <c r="G254">
        <f t="shared" ca="1" si="11"/>
        <v>-8.9210445135384023E-3</v>
      </c>
    </row>
    <row r="255" spans="2:7" x14ac:dyDescent="0.35">
      <c r="B255" s="2">
        <v>42398</v>
      </c>
      <c r="C255" s="4">
        <v>955.42</v>
      </c>
      <c r="D255">
        <f t="shared" si="10"/>
        <v>-0.76010505541522499</v>
      </c>
      <c r="E255">
        <v>4.6324688978447437E-2</v>
      </c>
      <c r="F255">
        <v>252</v>
      </c>
      <c r="G255">
        <f t="shared" ca="1" si="11"/>
        <v>6.197215477563525E-3</v>
      </c>
    </row>
    <row r="256" spans="2:7" x14ac:dyDescent="0.35">
      <c r="B256" s="2">
        <v>44376</v>
      </c>
      <c r="C256" s="4">
        <v>3982.66</v>
      </c>
      <c r="D256">
        <f t="shared" si="10"/>
        <v>0.29886148317010575</v>
      </c>
      <c r="E256">
        <v>4.6193532117442038E-2</v>
      </c>
      <c r="F256">
        <v>253</v>
      </c>
      <c r="G256">
        <f t="shared" ca="1" si="11"/>
        <v>-6.9566094162630779E-2</v>
      </c>
    </row>
    <row r="257" spans="2:7" x14ac:dyDescent="0.35">
      <c r="B257" s="2">
        <v>44295</v>
      </c>
      <c r="C257" s="4">
        <v>3066.27</v>
      </c>
      <c r="D257">
        <f t="shared" si="10"/>
        <v>3.098688695512692</v>
      </c>
      <c r="E257">
        <v>4.6090810154306938E-2</v>
      </c>
      <c r="F257">
        <v>254</v>
      </c>
      <c r="G257">
        <f t="shared" ca="1" si="11"/>
        <v>4.8949392894106512E-2</v>
      </c>
    </row>
    <row r="258" spans="2:7" x14ac:dyDescent="0.35">
      <c r="B258" s="2">
        <v>42905</v>
      </c>
      <c r="C258" s="4">
        <v>748.11</v>
      </c>
      <c r="D258">
        <f t="shared" si="10"/>
        <v>6.7564541213063762</v>
      </c>
      <c r="E258">
        <v>4.6000475384851969E-2</v>
      </c>
      <c r="F258">
        <v>255</v>
      </c>
      <c r="G258">
        <f t="shared" ca="1" si="11"/>
        <v>-1.0352416068546309E-2</v>
      </c>
    </row>
    <row r="259" spans="2:7" x14ac:dyDescent="0.35">
      <c r="B259" s="2">
        <v>39093</v>
      </c>
      <c r="C259" s="4">
        <v>96.45</v>
      </c>
      <c r="D259">
        <f t="shared" si="10"/>
        <v>-0.89277614727854859</v>
      </c>
      <c r="E259">
        <v>4.5868575146389201E-2</v>
      </c>
      <c r="F259">
        <v>256</v>
      </c>
      <c r="G259">
        <f t="shared" ca="1" si="11"/>
        <v>6.19450242210208E-3</v>
      </c>
    </row>
    <row r="260" spans="2:7" x14ac:dyDescent="0.35">
      <c r="B260" s="2">
        <v>42438</v>
      </c>
      <c r="C260" s="4">
        <v>899.52</v>
      </c>
      <c r="D260">
        <f t="shared" ref="D260:D323" si="12">C260/C261-1</f>
        <v>-0.86325742604359856</v>
      </c>
      <c r="E260">
        <v>4.5868359552129423E-2</v>
      </c>
      <c r="F260">
        <v>257</v>
      </c>
      <c r="G260">
        <f t="shared" ca="1" si="11"/>
        <v>-2.475539085784494E-2</v>
      </c>
    </row>
    <row r="261" spans="2:7" x14ac:dyDescent="0.35">
      <c r="B261" s="2">
        <v>45043</v>
      </c>
      <c r="C261" s="4">
        <v>6578.2</v>
      </c>
      <c r="D261">
        <f t="shared" si="12"/>
        <v>118.3649065505353</v>
      </c>
      <c r="E261">
        <v>4.5677452172599775E-2</v>
      </c>
      <c r="F261">
        <v>258</v>
      </c>
      <c r="G261">
        <f t="shared" ref="G261:G324" ca="1" si="13">_xlfn.NORM.INV(RAND(),K$6,K$7)</f>
        <v>-2.5549353736348236E-2</v>
      </c>
    </row>
    <row r="262" spans="2:7" x14ac:dyDescent="0.35">
      <c r="B262" s="2">
        <v>38274</v>
      </c>
      <c r="C262" s="4">
        <v>55.11</v>
      </c>
      <c r="D262">
        <f t="shared" si="12"/>
        <v>-0.24059528730880519</v>
      </c>
      <c r="E262">
        <v>4.5532157085941938E-2</v>
      </c>
      <c r="F262">
        <v>259</v>
      </c>
      <c r="G262">
        <f t="shared" ca="1" si="13"/>
        <v>-6.3647330186796382E-4</v>
      </c>
    </row>
    <row r="263" spans="2:7" x14ac:dyDescent="0.35">
      <c r="B263" s="2">
        <v>40106</v>
      </c>
      <c r="C263" s="4">
        <v>72.569999999999993</v>
      </c>
      <c r="D263">
        <f t="shared" si="12"/>
        <v>-0.38986043383218438</v>
      </c>
      <c r="E263">
        <v>4.5375972342264426E-2</v>
      </c>
      <c r="F263">
        <v>260</v>
      </c>
      <c r="G263">
        <f t="shared" ca="1" si="13"/>
        <v>-1.0041084197855024E-4</v>
      </c>
    </row>
    <row r="264" spans="2:7" x14ac:dyDescent="0.35">
      <c r="B264" s="2">
        <v>40504</v>
      </c>
      <c r="C264" s="4">
        <v>118.94</v>
      </c>
      <c r="D264">
        <f t="shared" si="12"/>
        <v>0.84947908567874353</v>
      </c>
      <c r="E264">
        <v>4.5258810088759871E-2</v>
      </c>
      <c r="F264">
        <v>261</v>
      </c>
      <c r="G264">
        <f t="shared" ca="1" si="13"/>
        <v>6.0055924945528562E-2</v>
      </c>
    </row>
    <row r="265" spans="2:7" x14ac:dyDescent="0.35">
      <c r="B265" s="2">
        <v>40133</v>
      </c>
      <c r="C265" s="4">
        <v>64.31</v>
      </c>
      <c r="D265">
        <f t="shared" si="12"/>
        <v>-0.35837573580764237</v>
      </c>
      <c r="E265">
        <v>4.518121241670725E-2</v>
      </c>
      <c r="F265">
        <v>262</v>
      </c>
      <c r="G265">
        <f t="shared" ca="1" si="13"/>
        <v>5.2908315823534627E-2</v>
      </c>
    </row>
    <row r="266" spans="2:7" x14ac:dyDescent="0.35">
      <c r="B266" s="2">
        <v>41101</v>
      </c>
      <c r="C266" s="4">
        <v>100.23</v>
      </c>
      <c r="D266">
        <f t="shared" si="12"/>
        <v>-0.96817448624482438</v>
      </c>
      <c r="E266">
        <v>4.5151199165797795E-2</v>
      </c>
      <c r="F266">
        <v>263</v>
      </c>
      <c r="G266">
        <f t="shared" ca="1" si="13"/>
        <v>2.381380035817366E-2</v>
      </c>
    </row>
    <row r="267" spans="2:7" x14ac:dyDescent="0.35">
      <c r="B267" s="2">
        <v>44309</v>
      </c>
      <c r="C267" s="4">
        <v>3149.36</v>
      </c>
      <c r="D267">
        <f t="shared" si="12"/>
        <v>4.2574328497738012</v>
      </c>
      <c r="E267">
        <v>4.5125407349886126E-2</v>
      </c>
      <c r="F267">
        <v>264</v>
      </c>
      <c r="G267">
        <f t="shared" ca="1" si="13"/>
        <v>-8.5058327017349909E-3</v>
      </c>
    </row>
    <row r="268" spans="2:7" x14ac:dyDescent="0.35">
      <c r="B268" s="2">
        <v>42671</v>
      </c>
      <c r="C268" s="4">
        <v>599.03</v>
      </c>
      <c r="D268">
        <f t="shared" si="12"/>
        <v>0.12988286775939795</v>
      </c>
      <c r="E268">
        <v>4.5081037701285576E-2</v>
      </c>
      <c r="F268">
        <v>265</v>
      </c>
      <c r="G268">
        <f t="shared" ca="1" si="13"/>
        <v>-1.3052880821710708E-2</v>
      </c>
    </row>
    <row r="269" spans="2:7" x14ac:dyDescent="0.35">
      <c r="B269" s="2">
        <v>42093</v>
      </c>
      <c r="C269" s="4">
        <v>530.16999999999996</v>
      </c>
      <c r="D269">
        <f t="shared" si="12"/>
        <v>12.922531512605042</v>
      </c>
      <c r="E269">
        <v>4.495821507410902E-2</v>
      </c>
      <c r="F269">
        <v>266</v>
      </c>
      <c r="G269">
        <f t="shared" ca="1" si="13"/>
        <v>1.7474097194285713E-2</v>
      </c>
    </row>
    <row r="270" spans="2:7" x14ac:dyDescent="0.35">
      <c r="B270" s="2">
        <v>37455</v>
      </c>
      <c r="C270" s="4">
        <v>38.08</v>
      </c>
      <c r="D270">
        <f t="shared" si="12"/>
        <v>-0.57400156617071263</v>
      </c>
      <c r="E270">
        <v>4.4718792866940804E-2</v>
      </c>
      <c r="F270">
        <v>267</v>
      </c>
      <c r="G270">
        <f t="shared" ca="1" si="13"/>
        <v>2.8677400226648535E-2</v>
      </c>
    </row>
    <row r="271" spans="2:7" x14ac:dyDescent="0.35">
      <c r="B271" s="2">
        <v>41561</v>
      </c>
      <c r="C271" s="4">
        <v>89.39</v>
      </c>
      <c r="D271">
        <f t="shared" si="12"/>
        <v>-5.0557620817843874E-2</v>
      </c>
      <c r="E271">
        <v>4.4641813719761725E-2</v>
      </c>
      <c r="F271">
        <v>268</v>
      </c>
      <c r="G271">
        <f t="shared" ca="1" si="13"/>
        <v>-2.5339597499627962E-2</v>
      </c>
    </row>
    <row r="272" spans="2:7" x14ac:dyDescent="0.35">
      <c r="B272" s="2">
        <v>39442</v>
      </c>
      <c r="C272" s="4">
        <v>94.15</v>
      </c>
      <c r="D272">
        <f t="shared" si="12"/>
        <v>-5.6045718869059402E-2</v>
      </c>
      <c r="E272">
        <v>4.4602241207145399E-2</v>
      </c>
      <c r="F272">
        <v>269</v>
      </c>
      <c r="G272">
        <f t="shared" ca="1" si="13"/>
        <v>-6.7440234143144352E-3</v>
      </c>
    </row>
    <row r="273" spans="2:7" x14ac:dyDescent="0.35">
      <c r="B273" s="2">
        <v>40610</v>
      </c>
      <c r="C273" s="4">
        <v>99.74</v>
      </c>
      <c r="D273">
        <f t="shared" si="12"/>
        <v>-0.9623117761529596</v>
      </c>
      <c r="E273">
        <v>4.4507278249031224E-2</v>
      </c>
      <c r="F273">
        <v>270</v>
      </c>
      <c r="G273">
        <f t="shared" ca="1" si="13"/>
        <v>-8.3418447074015446E-3</v>
      </c>
    </row>
    <row r="274" spans="2:7" x14ac:dyDescent="0.35">
      <c r="B274" s="2">
        <v>44259</v>
      </c>
      <c r="C274" s="4">
        <v>2646.45</v>
      </c>
      <c r="D274">
        <f t="shared" si="12"/>
        <v>1.9416112753706956</v>
      </c>
      <c r="E274">
        <v>4.4500138137901102E-2</v>
      </c>
      <c r="F274">
        <v>271</v>
      </c>
      <c r="G274">
        <f t="shared" ca="1" si="13"/>
        <v>2.2734867359579868E-2</v>
      </c>
    </row>
    <row r="275" spans="2:7" x14ac:dyDescent="0.35">
      <c r="B275" s="2">
        <v>42335</v>
      </c>
      <c r="C275" s="4">
        <v>899.66</v>
      </c>
      <c r="D275">
        <f t="shared" si="12"/>
        <v>6.9572247188339542E-2</v>
      </c>
      <c r="E275">
        <v>4.445244204000609E-2</v>
      </c>
      <c r="F275">
        <v>272</v>
      </c>
      <c r="G275">
        <f t="shared" ca="1" si="13"/>
        <v>-4.0624207142598611E-3</v>
      </c>
    </row>
    <row r="276" spans="2:7" x14ac:dyDescent="0.35">
      <c r="B276" s="2">
        <v>42317</v>
      </c>
      <c r="C276" s="4">
        <v>841.14</v>
      </c>
      <c r="D276">
        <f t="shared" si="12"/>
        <v>12.244213509683515</v>
      </c>
      <c r="E276">
        <v>4.440140058109221E-2</v>
      </c>
      <c r="F276">
        <v>273</v>
      </c>
      <c r="G276">
        <f t="shared" ca="1" si="13"/>
        <v>-5.0873061291843401E-3</v>
      </c>
    </row>
    <row r="277" spans="2:7" x14ac:dyDescent="0.35">
      <c r="B277" s="2">
        <v>38443</v>
      </c>
      <c r="C277" s="4">
        <v>63.51</v>
      </c>
      <c r="D277">
        <f t="shared" si="12"/>
        <v>-0.96504312503784107</v>
      </c>
      <c r="E277">
        <v>4.4400592007893369E-2</v>
      </c>
      <c r="F277">
        <v>274</v>
      </c>
      <c r="G277">
        <f t="shared" ca="1" si="13"/>
        <v>2.0746477346557695E-2</v>
      </c>
    </row>
    <row r="278" spans="2:7" x14ac:dyDescent="0.35">
      <c r="B278" s="2">
        <v>44193</v>
      </c>
      <c r="C278" s="4">
        <v>1816.81</v>
      </c>
      <c r="D278">
        <f t="shared" si="12"/>
        <v>0.973527846272499</v>
      </c>
      <c r="E278">
        <v>4.4383766383076617E-2</v>
      </c>
      <c r="F278">
        <v>275</v>
      </c>
      <c r="G278">
        <f t="shared" ca="1" si="13"/>
        <v>-2.5569441386384565E-2</v>
      </c>
    </row>
    <row r="279" spans="2:7" x14ac:dyDescent="0.35">
      <c r="B279" s="2">
        <v>43845</v>
      </c>
      <c r="C279" s="4">
        <v>920.59</v>
      </c>
      <c r="D279">
        <f t="shared" si="12"/>
        <v>7.356086048833621</v>
      </c>
      <c r="E279">
        <v>4.4214561994532664E-2</v>
      </c>
      <c r="F279">
        <v>276</v>
      </c>
      <c r="G279">
        <f t="shared" ca="1" si="13"/>
        <v>3.9850597936754155E-2</v>
      </c>
    </row>
    <row r="280" spans="2:7" x14ac:dyDescent="0.35">
      <c r="B280" s="2">
        <v>40646</v>
      </c>
      <c r="C280" s="4">
        <v>110.17</v>
      </c>
      <c r="D280">
        <f t="shared" si="12"/>
        <v>2.6492215965551504</v>
      </c>
      <c r="E280">
        <v>4.4166429722301226E-2</v>
      </c>
      <c r="F280">
        <v>277</v>
      </c>
      <c r="G280">
        <f t="shared" ca="1" si="13"/>
        <v>-1.2153809954298942E-2</v>
      </c>
    </row>
    <row r="281" spans="2:7" x14ac:dyDescent="0.35">
      <c r="B281" s="2">
        <v>37468</v>
      </c>
      <c r="C281" s="4">
        <v>30.19</v>
      </c>
      <c r="D281">
        <f t="shared" si="12"/>
        <v>0.28140916808149408</v>
      </c>
      <c r="E281">
        <v>4.3914246196403939E-2</v>
      </c>
      <c r="F281">
        <v>278</v>
      </c>
      <c r="G281">
        <f t="shared" ca="1" si="13"/>
        <v>-5.4619361162835415E-3</v>
      </c>
    </row>
    <row r="282" spans="2:7" x14ac:dyDescent="0.35">
      <c r="B282" s="2">
        <v>37715</v>
      </c>
      <c r="C282" s="4">
        <v>23.56</v>
      </c>
      <c r="D282">
        <f t="shared" si="12"/>
        <v>-0.99465408091488738</v>
      </c>
      <c r="E282">
        <v>4.3863535666814224E-2</v>
      </c>
      <c r="F282">
        <v>279</v>
      </c>
      <c r="G282">
        <f t="shared" ca="1" si="13"/>
        <v>3.3134841370004435E-2</v>
      </c>
    </row>
    <row r="283" spans="2:7" x14ac:dyDescent="0.35">
      <c r="B283" s="2">
        <v>44379</v>
      </c>
      <c r="C283" s="4">
        <v>4407.1000000000004</v>
      </c>
      <c r="D283">
        <f t="shared" si="12"/>
        <v>25.164212776062694</v>
      </c>
      <c r="E283">
        <v>4.3782447231801358E-2</v>
      </c>
      <c r="F283">
        <v>280</v>
      </c>
      <c r="G283">
        <f t="shared" ca="1" si="13"/>
        <v>-2.7935044293053237E-2</v>
      </c>
    </row>
    <row r="284" spans="2:7" x14ac:dyDescent="0.35">
      <c r="B284" s="2">
        <v>41659</v>
      </c>
      <c r="C284" s="4">
        <v>168.44</v>
      </c>
      <c r="D284">
        <f t="shared" si="12"/>
        <v>3.1163245356793743</v>
      </c>
      <c r="E284">
        <v>4.3618339529120087E-2</v>
      </c>
      <c r="F284">
        <v>281</v>
      </c>
      <c r="G284">
        <f t="shared" ca="1" si="13"/>
        <v>1.9075180836937568E-2</v>
      </c>
    </row>
    <row r="285" spans="2:7" x14ac:dyDescent="0.35">
      <c r="B285" s="2">
        <v>37988</v>
      </c>
      <c r="C285" s="4">
        <v>40.92</v>
      </c>
      <c r="D285">
        <f t="shared" si="12"/>
        <v>0.44900849858356962</v>
      </c>
      <c r="E285">
        <v>4.361132364192799E-2</v>
      </c>
      <c r="F285">
        <v>282</v>
      </c>
      <c r="G285">
        <f t="shared" ca="1" si="13"/>
        <v>-1.326085858299439E-3</v>
      </c>
    </row>
    <row r="286" spans="2:7" x14ac:dyDescent="0.35">
      <c r="B286" s="2">
        <v>37889</v>
      </c>
      <c r="C286" s="4">
        <v>28.24</v>
      </c>
      <c r="D286">
        <f t="shared" si="12"/>
        <v>-0.9651336502253226</v>
      </c>
      <c r="E286">
        <v>4.3606799704360766E-2</v>
      </c>
      <c r="F286">
        <v>283</v>
      </c>
      <c r="G286">
        <f t="shared" ca="1" si="13"/>
        <v>5.3995073466199389E-3</v>
      </c>
    </row>
    <row r="287" spans="2:7" x14ac:dyDescent="0.35">
      <c r="B287" s="2">
        <v>42241</v>
      </c>
      <c r="C287" s="4">
        <v>809.95</v>
      </c>
      <c r="D287">
        <f t="shared" si="12"/>
        <v>-7.0348009733253725E-2</v>
      </c>
      <c r="E287">
        <v>4.3561728554126988E-2</v>
      </c>
      <c r="F287">
        <v>284</v>
      </c>
      <c r="G287">
        <f t="shared" ca="1" si="13"/>
        <v>8.1120428090711953E-3</v>
      </c>
    </row>
    <row r="288" spans="2:7" x14ac:dyDescent="0.35">
      <c r="B288" s="2">
        <v>43059</v>
      </c>
      <c r="C288" s="4">
        <v>871.24</v>
      </c>
      <c r="D288">
        <f t="shared" si="12"/>
        <v>-0.86909375023476998</v>
      </c>
      <c r="E288">
        <v>4.3526170798898089E-2</v>
      </c>
      <c r="F288">
        <v>285</v>
      </c>
      <c r="G288">
        <f t="shared" ca="1" si="13"/>
        <v>-9.3769578041303734E-3</v>
      </c>
    </row>
    <row r="289" spans="2:7" x14ac:dyDescent="0.35">
      <c r="B289" s="2">
        <v>44949</v>
      </c>
      <c r="C289" s="4">
        <v>6655.45</v>
      </c>
      <c r="D289">
        <f t="shared" si="12"/>
        <v>77.613867233640448</v>
      </c>
      <c r="E289">
        <v>4.3452016995124021E-2</v>
      </c>
      <c r="F289">
        <v>286</v>
      </c>
      <c r="G289">
        <f t="shared" ca="1" si="13"/>
        <v>-9.2555739726919075E-3</v>
      </c>
    </row>
    <row r="290" spans="2:7" x14ac:dyDescent="0.35">
      <c r="B290" s="2">
        <v>40779</v>
      </c>
      <c r="C290" s="4">
        <v>84.66</v>
      </c>
      <c r="D290">
        <f t="shared" si="12"/>
        <v>0.66949319660816387</v>
      </c>
      <c r="E290">
        <v>4.3253234750461944E-2</v>
      </c>
      <c r="F290">
        <v>287</v>
      </c>
      <c r="G290">
        <f t="shared" ca="1" si="13"/>
        <v>3.1991107474585037E-3</v>
      </c>
    </row>
    <row r="291" spans="2:7" x14ac:dyDescent="0.35">
      <c r="B291" s="2">
        <v>38377</v>
      </c>
      <c r="C291" s="4">
        <v>50.71</v>
      </c>
      <c r="D291">
        <f t="shared" si="12"/>
        <v>-0.54108597285067872</v>
      </c>
      <c r="E291">
        <v>4.320098745114187E-2</v>
      </c>
      <c r="F291">
        <v>288</v>
      </c>
      <c r="G291">
        <f t="shared" ca="1" si="13"/>
        <v>3.1460053978838498E-2</v>
      </c>
    </row>
    <row r="292" spans="2:7" x14ac:dyDescent="0.35">
      <c r="B292" s="2">
        <v>40210</v>
      </c>
      <c r="C292" s="4">
        <v>110.5</v>
      </c>
      <c r="D292">
        <f t="shared" si="12"/>
        <v>-0.88299201592579257</v>
      </c>
      <c r="E292">
        <v>4.3141697347304664E-2</v>
      </c>
      <c r="F292">
        <v>289</v>
      </c>
      <c r="G292">
        <f t="shared" ca="1" si="13"/>
        <v>-1.7983366923894142E-2</v>
      </c>
    </row>
    <row r="293" spans="2:7" x14ac:dyDescent="0.35">
      <c r="B293" s="2">
        <v>43901</v>
      </c>
      <c r="C293" s="4">
        <v>944.38</v>
      </c>
      <c r="D293">
        <f t="shared" si="12"/>
        <v>0.54593373493975905</v>
      </c>
      <c r="E293">
        <v>4.3052794345040946E-2</v>
      </c>
      <c r="F293">
        <v>290</v>
      </c>
      <c r="G293">
        <f t="shared" ca="1" si="13"/>
        <v>4.1503292742338327E-2</v>
      </c>
    </row>
    <row r="294" spans="2:7" x14ac:dyDescent="0.35">
      <c r="B294" s="2">
        <v>43921</v>
      </c>
      <c r="C294" s="4">
        <v>610.88</v>
      </c>
      <c r="D294">
        <f t="shared" si="12"/>
        <v>-0.29133894805224936</v>
      </c>
      <c r="E294">
        <v>4.3026908892227933E-2</v>
      </c>
      <c r="F294">
        <v>291</v>
      </c>
      <c r="G294">
        <f t="shared" ca="1" si="13"/>
        <v>-2.1978683192885136E-3</v>
      </c>
    </row>
    <row r="295" spans="2:7" x14ac:dyDescent="0.35">
      <c r="B295" s="2">
        <v>42220</v>
      </c>
      <c r="C295" s="4">
        <v>862.02</v>
      </c>
      <c r="D295">
        <f t="shared" si="12"/>
        <v>26.081998114985865</v>
      </c>
      <c r="E295">
        <v>4.2989025880530995E-2</v>
      </c>
      <c r="F295">
        <v>292</v>
      </c>
      <c r="G295">
        <f t="shared" ca="1" si="13"/>
        <v>4.4729621444490796E-2</v>
      </c>
    </row>
    <row r="296" spans="2:7" x14ac:dyDescent="0.35">
      <c r="B296" s="2">
        <v>37957</v>
      </c>
      <c r="C296" s="4">
        <v>31.83</v>
      </c>
      <c r="D296">
        <f t="shared" si="12"/>
        <v>0.1667888563049853</v>
      </c>
      <c r="E296">
        <v>4.2922673656618615E-2</v>
      </c>
      <c r="F296">
        <v>293</v>
      </c>
      <c r="G296">
        <f t="shared" ca="1" si="13"/>
        <v>-1.7483473842972826E-2</v>
      </c>
    </row>
    <row r="297" spans="2:7" x14ac:dyDescent="0.35">
      <c r="B297" s="2">
        <v>37809</v>
      </c>
      <c r="C297" s="4">
        <v>27.28</v>
      </c>
      <c r="D297">
        <f t="shared" si="12"/>
        <v>-9.9075297225891701E-2</v>
      </c>
      <c r="E297">
        <v>4.2813455657492394E-2</v>
      </c>
      <c r="F297">
        <v>294</v>
      </c>
      <c r="G297">
        <f t="shared" ca="1" si="13"/>
        <v>3.5898936477183473E-2</v>
      </c>
    </row>
    <row r="298" spans="2:7" x14ac:dyDescent="0.35">
      <c r="B298" s="2">
        <v>37589</v>
      </c>
      <c r="C298" s="4">
        <v>30.28</v>
      </c>
      <c r="D298">
        <f t="shared" si="12"/>
        <v>-0.98901202580795</v>
      </c>
      <c r="E298">
        <v>4.2699724517906379E-2</v>
      </c>
      <c r="F298">
        <v>295</v>
      </c>
      <c r="G298">
        <f t="shared" ca="1" si="13"/>
        <v>-2.5499563950117106E-2</v>
      </c>
    </row>
    <row r="299" spans="2:7" x14ac:dyDescent="0.35">
      <c r="B299" s="2">
        <v>44216</v>
      </c>
      <c r="C299" s="4">
        <v>2755.74</v>
      </c>
      <c r="D299">
        <f t="shared" si="12"/>
        <v>10.489430894308942</v>
      </c>
      <c r="E299">
        <v>4.2581123566599377E-2</v>
      </c>
      <c r="F299">
        <v>296</v>
      </c>
      <c r="G299">
        <f t="shared" ca="1" si="13"/>
        <v>1.8766483218330056E-2</v>
      </c>
    </row>
    <row r="300" spans="2:7" x14ac:dyDescent="0.35">
      <c r="B300" s="2">
        <v>41806</v>
      </c>
      <c r="C300" s="4">
        <v>239.85</v>
      </c>
      <c r="D300">
        <f t="shared" si="12"/>
        <v>-0.93316241936158062</v>
      </c>
      <c r="E300">
        <v>4.2554116317482293E-2</v>
      </c>
      <c r="F300">
        <v>297</v>
      </c>
      <c r="G300">
        <f t="shared" ca="1" si="13"/>
        <v>1.8148239849698183E-3</v>
      </c>
    </row>
    <row r="301" spans="2:7" x14ac:dyDescent="0.35">
      <c r="B301" s="2">
        <v>44333</v>
      </c>
      <c r="C301" s="4">
        <v>3588.55</v>
      </c>
      <c r="D301">
        <f t="shared" si="12"/>
        <v>103.5614801864802</v>
      </c>
      <c r="E301">
        <v>4.2537614790841838E-2</v>
      </c>
      <c r="F301">
        <v>298</v>
      </c>
      <c r="G301">
        <f t="shared" ca="1" si="13"/>
        <v>1.8869686450634856E-2</v>
      </c>
    </row>
    <row r="302" spans="2:7" x14ac:dyDescent="0.35">
      <c r="B302" s="2">
        <v>39912</v>
      </c>
      <c r="C302" s="4">
        <v>34.32</v>
      </c>
      <c r="D302">
        <f t="shared" si="12"/>
        <v>0.3844292053247278</v>
      </c>
      <c r="E302">
        <v>4.2527339003645137E-2</v>
      </c>
      <c r="F302">
        <v>299</v>
      </c>
      <c r="G302">
        <f t="shared" ca="1" si="13"/>
        <v>-6.5788725065007003E-3</v>
      </c>
    </row>
    <row r="303" spans="2:7" x14ac:dyDescent="0.35">
      <c r="B303" s="2">
        <v>37825</v>
      </c>
      <c r="C303" s="4">
        <v>24.79</v>
      </c>
      <c r="D303">
        <f t="shared" si="12"/>
        <v>-0.18774574049803405</v>
      </c>
      <c r="E303">
        <v>4.2472666105971335E-2</v>
      </c>
      <c r="F303">
        <v>300</v>
      </c>
      <c r="G303">
        <f t="shared" ca="1" si="13"/>
        <v>-1.9263385927348987E-2</v>
      </c>
    </row>
    <row r="304" spans="2:7" x14ac:dyDescent="0.35">
      <c r="B304" s="2">
        <v>37956</v>
      </c>
      <c r="C304" s="4">
        <v>30.52</v>
      </c>
      <c r="D304">
        <f t="shared" si="12"/>
        <v>-0.88833193077457828</v>
      </c>
      <c r="E304">
        <v>4.2349726775956276E-2</v>
      </c>
      <c r="F304">
        <v>301</v>
      </c>
      <c r="G304">
        <f t="shared" ca="1" si="13"/>
        <v>-1.3121121837389364E-2</v>
      </c>
    </row>
    <row r="305" spans="2:7" x14ac:dyDescent="0.35">
      <c r="B305" s="2">
        <v>41855</v>
      </c>
      <c r="C305" s="4">
        <v>273.31</v>
      </c>
      <c r="D305">
        <f t="shared" si="12"/>
        <v>-0.77101276852441436</v>
      </c>
      <c r="E305">
        <v>4.2292731294332864E-2</v>
      </c>
      <c r="F305">
        <v>302</v>
      </c>
      <c r="G305">
        <f t="shared" ca="1" si="13"/>
        <v>-3.389934964745743E-2</v>
      </c>
    </row>
    <row r="306" spans="2:7" x14ac:dyDescent="0.35">
      <c r="B306" s="2">
        <v>43263</v>
      </c>
      <c r="C306" s="4">
        <v>1193.56</v>
      </c>
      <c r="D306">
        <f t="shared" si="12"/>
        <v>19.05646109897496</v>
      </c>
      <c r="E306">
        <v>4.2292141503584624E-2</v>
      </c>
      <c r="F306">
        <v>303</v>
      </c>
      <c r="G306">
        <f t="shared" ca="1" si="13"/>
        <v>-1.4841394142599419E-2</v>
      </c>
    </row>
    <row r="307" spans="2:7" x14ac:dyDescent="0.35">
      <c r="B307" s="2">
        <v>40121</v>
      </c>
      <c r="C307" s="4">
        <v>59.51</v>
      </c>
      <c r="D307">
        <f t="shared" si="12"/>
        <v>-0.43916690227122801</v>
      </c>
      <c r="E307">
        <v>4.2206654991243431E-2</v>
      </c>
      <c r="F307">
        <v>304</v>
      </c>
      <c r="G307">
        <f t="shared" ca="1" si="13"/>
        <v>-4.1129800340167388E-2</v>
      </c>
    </row>
    <row r="308" spans="2:7" x14ac:dyDescent="0.35">
      <c r="B308" s="2">
        <v>39450</v>
      </c>
      <c r="C308" s="4">
        <v>106.11</v>
      </c>
      <c r="D308">
        <f t="shared" si="12"/>
        <v>2.3504894221660875</v>
      </c>
      <c r="E308">
        <v>4.2133176193282385E-2</v>
      </c>
      <c r="F308">
        <v>305</v>
      </c>
      <c r="G308">
        <f t="shared" ca="1" si="13"/>
        <v>3.9724607443154245E-2</v>
      </c>
    </row>
    <row r="309" spans="2:7" x14ac:dyDescent="0.35">
      <c r="B309" s="2">
        <v>37474</v>
      </c>
      <c r="C309" s="4">
        <v>31.67</v>
      </c>
      <c r="D309">
        <f t="shared" si="12"/>
        <v>-0.63568388358449335</v>
      </c>
      <c r="E309">
        <v>4.2119118130964139E-2</v>
      </c>
      <c r="F309">
        <v>306</v>
      </c>
      <c r="G309">
        <f t="shared" ca="1" si="13"/>
        <v>-4.5078315028423549E-3</v>
      </c>
    </row>
    <row r="310" spans="2:7" x14ac:dyDescent="0.35">
      <c r="B310" s="2">
        <v>39065</v>
      </c>
      <c r="C310" s="4">
        <v>86.93</v>
      </c>
      <c r="D310">
        <f t="shared" si="12"/>
        <v>-0.85841788954217491</v>
      </c>
      <c r="E310">
        <v>4.2076240709661983E-2</v>
      </c>
      <c r="F310">
        <v>307</v>
      </c>
      <c r="G310">
        <f t="shared" ca="1" si="13"/>
        <v>-1.2163351718577707E-2</v>
      </c>
    </row>
    <row r="311" spans="2:7" x14ac:dyDescent="0.35">
      <c r="B311" s="2">
        <v>42102</v>
      </c>
      <c r="C311" s="4">
        <v>613.99</v>
      </c>
      <c r="D311">
        <f t="shared" si="12"/>
        <v>23.030919765166342</v>
      </c>
      <c r="E311">
        <v>4.2073998642226718E-2</v>
      </c>
      <c r="F311">
        <v>308</v>
      </c>
      <c r="G311">
        <f t="shared" ca="1" si="13"/>
        <v>4.2988315585790679E-2</v>
      </c>
    </row>
    <row r="312" spans="2:7" x14ac:dyDescent="0.35">
      <c r="B312" s="2">
        <v>37655</v>
      </c>
      <c r="C312" s="4">
        <v>25.55</v>
      </c>
      <c r="D312">
        <f t="shared" si="12"/>
        <v>-0.66886988076723686</v>
      </c>
      <c r="E312">
        <v>4.2006525285481322E-2</v>
      </c>
      <c r="F312">
        <v>309</v>
      </c>
      <c r="G312">
        <f t="shared" ca="1" si="13"/>
        <v>7.0384842185599742E-3</v>
      </c>
    </row>
    <row r="313" spans="2:7" x14ac:dyDescent="0.35">
      <c r="B313" s="2">
        <v>38595</v>
      </c>
      <c r="C313" s="4">
        <v>77.16</v>
      </c>
      <c r="D313">
        <f t="shared" si="12"/>
        <v>-0.78358669434004602</v>
      </c>
      <c r="E313">
        <v>4.1717294451194764E-2</v>
      </c>
      <c r="F313">
        <v>310</v>
      </c>
      <c r="G313">
        <f t="shared" ca="1" si="13"/>
        <v>1.7017866599468957E-2</v>
      </c>
    </row>
    <row r="314" spans="2:7" x14ac:dyDescent="0.35">
      <c r="B314" s="2">
        <v>42038</v>
      </c>
      <c r="C314" s="4">
        <v>356.54</v>
      </c>
      <c r="D314">
        <f t="shared" si="12"/>
        <v>4.2470934510669611</v>
      </c>
      <c r="E314">
        <v>4.1661797358887531E-2</v>
      </c>
      <c r="F314">
        <v>311</v>
      </c>
      <c r="G314">
        <f t="shared" ca="1" si="13"/>
        <v>4.1312265425967817E-3</v>
      </c>
    </row>
    <row r="315" spans="2:7" x14ac:dyDescent="0.35">
      <c r="B315" s="2">
        <v>38758</v>
      </c>
      <c r="C315" s="4">
        <v>67.95</v>
      </c>
      <c r="D315">
        <f t="shared" si="12"/>
        <v>-0.93436368027046601</v>
      </c>
      <c r="E315">
        <v>4.1538933169834591E-2</v>
      </c>
      <c r="F315">
        <v>312</v>
      </c>
      <c r="G315">
        <f t="shared" ca="1" si="13"/>
        <v>1.357758341282472E-3</v>
      </c>
    </row>
    <row r="316" spans="2:7" x14ac:dyDescent="0.35">
      <c r="B316" s="2">
        <v>43209</v>
      </c>
      <c r="C316" s="4">
        <v>1035.25</v>
      </c>
      <c r="D316">
        <f t="shared" si="12"/>
        <v>45.738148984198645</v>
      </c>
      <c r="E316">
        <v>4.139422593300468E-2</v>
      </c>
      <c r="F316">
        <v>313</v>
      </c>
      <c r="G316">
        <f t="shared" ca="1" si="13"/>
        <v>1.9218016702903479E-3</v>
      </c>
    </row>
    <row r="317" spans="2:7" x14ac:dyDescent="0.35">
      <c r="B317" s="2">
        <v>37774</v>
      </c>
      <c r="C317" s="4">
        <v>22.15</v>
      </c>
      <c r="D317">
        <f t="shared" si="12"/>
        <v>-0.45710784313725494</v>
      </c>
      <c r="E317">
        <v>4.1372825575928474E-2</v>
      </c>
      <c r="F317">
        <v>314</v>
      </c>
      <c r="G317">
        <f t="shared" ca="1" si="13"/>
        <v>-9.7200154953324559E-3</v>
      </c>
    </row>
    <row r="318" spans="2:7" x14ac:dyDescent="0.35">
      <c r="B318" s="2">
        <v>38204</v>
      </c>
      <c r="C318" s="4">
        <v>40.799999999999997</v>
      </c>
      <c r="D318">
        <f t="shared" si="12"/>
        <v>-0.25533856543164812</v>
      </c>
      <c r="E318">
        <v>4.1347626339969246E-2</v>
      </c>
      <c r="F318">
        <v>315</v>
      </c>
      <c r="G318">
        <f t="shared" ca="1" si="13"/>
        <v>3.7890295761663362E-2</v>
      </c>
    </row>
    <row r="319" spans="2:7" x14ac:dyDescent="0.35">
      <c r="B319" s="2">
        <v>38923</v>
      </c>
      <c r="C319" s="4">
        <v>54.79</v>
      </c>
      <c r="D319">
        <f t="shared" si="12"/>
        <v>-0.67437299417568042</v>
      </c>
      <c r="E319">
        <v>4.1239072595971038E-2</v>
      </c>
      <c r="F319">
        <v>316</v>
      </c>
      <c r="G319">
        <f t="shared" ca="1" si="13"/>
        <v>-7.154116207046755E-3</v>
      </c>
    </row>
    <row r="320" spans="2:7" x14ac:dyDescent="0.35">
      <c r="B320" s="2">
        <v>41666</v>
      </c>
      <c r="C320" s="4">
        <v>168.26</v>
      </c>
      <c r="D320">
        <f t="shared" si="12"/>
        <v>-0.97771862916468033</v>
      </c>
      <c r="E320">
        <v>4.1212871287128694E-2</v>
      </c>
      <c r="F320">
        <v>317</v>
      </c>
      <c r="G320">
        <f t="shared" ca="1" si="13"/>
        <v>-8.2455782616181628E-3</v>
      </c>
    </row>
    <row r="321" spans="2:7" x14ac:dyDescent="0.35">
      <c r="B321" s="2">
        <v>44733</v>
      </c>
      <c r="C321" s="4">
        <v>7551.6</v>
      </c>
      <c r="D321">
        <f t="shared" si="12"/>
        <v>8.3573889122946152</v>
      </c>
      <c r="E321">
        <v>4.0903671337105596E-2</v>
      </c>
      <c r="F321">
        <v>318</v>
      </c>
      <c r="G321">
        <f t="shared" ca="1" si="13"/>
        <v>1.6333214287543422E-2</v>
      </c>
    </row>
    <row r="322" spans="2:7" x14ac:dyDescent="0.35">
      <c r="B322" s="2">
        <v>43017</v>
      </c>
      <c r="C322" s="4">
        <v>807.02</v>
      </c>
      <c r="D322">
        <f t="shared" si="12"/>
        <v>3.3795517447224181</v>
      </c>
      <c r="E322">
        <v>4.0899769124608243E-2</v>
      </c>
      <c r="F322">
        <v>319</v>
      </c>
      <c r="G322">
        <f t="shared" ca="1" si="13"/>
        <v>-3.8471465382189034E-2</v>
      </c>
    </row>
    <row r="323" spans="2:7" x14ac:dyDescent="0.35">
      <c r="B323" s="2">
        <v>41670</v>
      </c>
      <c r="C323" s="4">
        <v>184.27</v>
      </c>
      <c r="D323">
        <f t="shared" si="12"/>
        <v>-0.90479954536061169</v>
      </c>
      <c r="E323">
        <v>4.0897023103428909E-2</v>
      </c>
      <c r="F323">
        <v>320</v>
      </c>
      <c r="G323">
        <f t="shared" ca="1" si="13"/>
        <v>1.0628260869219379E-2</v>
      </c>
    </row>
    <row r="324" spans="2:7" x14ac:dyDescent="0.35">
      <c r="B324" s="2">
        <v>44201</v>
      </c>
      <c r="C324" s="4">
        <v>1935.6</v>
      </c>
      <c r="D324">
        <f t="shared" ref="D324:D387" si="14">C324/C325-1</f>
        <v>6.0815497749972565</v>
      </c>
      <c r="E324">
        <v>4.0829824646308133E-2</v>
      </c>
      <c r="F324">
        <v>321</v>
      </c>
      <c r="G324">
        <f t="shared" ca="1" si="13"/>
        <v>-3.5597265272522896E-2</v>
      </c>
    </row>
    <row r="325" spans="2:7" x14ac:dyDescent="0.35">
      <c r="B325" s="2">
        <v>41817</v>
      </c>
      <c r="C325" s="4">
        <v>273.33</v>
      </c>
      <c r="D325">
        <f t="shared" si="14"/>
        <v>1.6518870670418164</v>
      </c>
      <c r="E325">
        <v>4.0820989299721999E-2</v>
      </c>
      <c r="F325">
        <v>322</v>
      </c>
      <c r="G325">
        <f t="shared" ref="G325:G388" ca="1" si="15">_xlfn.NORM.INV(RAND(),K$6,K$7)</f>
        <v>3.7945034692476856E-2</v>
      </c>
    </row>
    <row r="326" spans="2:7" x14ac:dyDescent="0.35">
      <c r="B326" s="2">
        <v>40708</v>
      </c>
      <c r="C326" s="4">
        <v>103.07</v>
      </c>
      <c r="D326">
        <f t="shared" si="14"/>
        <v>-0.84981786390791203</v>
      </c>
      <c r="E326">
        <v>4.0795718469150755E-2</v>
      </c>
      <c r="F326">
        <v>323</v>
      </c>
      <c r="G326">
        <f t="shared" ca="1" si="15"/>
        <v>-1.8545493635605342E-2</v>
      </c>
    </row>
    <row r="327" spans="2:7" x14ac:dyDescent="0.35">
      <c r="B327" s="2">
        <v>42716</v>
      </c>
      <c r="C327" s="4">
        <v>686.3</v>
      </c>
      <c r="D327">
        <f t="shared" si="14"/>
        <v>-0.14934493486533051</v>
      </c>
      <c r="E327">
        <v>4.0794661813770006E-2</v>
      </c>
      <c r="F327">
        <v>324</v>
      </c>
      <c r="G327">
        <f t="shared" ca="1" si="15"/>
        <v>-3.6003849459070834E-2</v>
      </c>
    </row>
    <row r="328" spans="2:7" x14ac:dyDescent="0.35">
      <c r="B328" s="2">
        <v>42982</v>
      </c>
      <c r="C328" s="4">
        <v>806.79</v>
      </c>
      <c r="D328">
        <f t="shared" si="14"/>
        <v>27.398099260823653</v>
      </c>
      <c r="E328">
        <v>4.0750773993807998E-2</v>
      </c>
      <c r="F328">
        <v>325</v>
      </c>
      <c r="G328">
        <f t="shared" ca="1" si="15"/>
        <v>5.2602964328386168E-3</v>
      </c>
    </row>
    <row r="329" spans="2:7" x14ac:dyDescent="0.35">
      <c r="B329" s="2">
        <v>37925</v>
      </c>
      <c r="C329" s="4">
        <v>28.41</v>
      </c>
      <c r="D329">
        <f t="shared" si="14"/>
        <v>-0.68590381426202329</v>
      </c>
      <c r="E329">
        <v>4.0659340659340737E-2</v>
      </c>
      <c r="F329">
        <v>326</v>
      </c>
      <c r="G329">
        <f t="shared" ca="1" si="15"/>
        <v>-5.2288306133039093E-2</v>
      </c>
    </row>
    <row r="330" spans="2:7" x14ac:dyDescent="0.35">
      <c r="B330" s="2">
        <v>39066</v>
      </c>
      <c r="C330" s="4">
        <v>90.45</v>
      </c>
      <c r="D330">
        <f t="shared" si="14"/>
        <v>0.47216796875</v>
      </c>
      <c r="E330">
        <v>4.0492350166800861E-2</v>
      </c>
      <c r="F330">
        <v>327</v>
      </c>
      <c r="G330">
        <f t="shared" ca="1" si="15"/>
        <v>3.1439733804415684E-2</v>
      </c>
    </row>
    <row r="331" spans="2:7" x14ac:dyDescent="0.35">
      <c r="B331" s="2">
        <v>38898</v>
      </c>
      <c r="C331" s="4">
        <v>61.44</v>
      </c>
      <c r="D331">
        <f t="shared" si="14"/>
        <v>-0.42353161944079565</v>
      </c>
      <c r="E331">
        <v>4.0474174428450471E-2</v>
      </c>
      <c r="F331">
        <v>328</v>
      </c>
      <c r="G331">
        <f t="shared" ca="1" si="15"/>
        <v>-2.8286975777418169E-3</v>
      </c>
    </row>
    <row r="332" spans="2:7" x14ac:dyDescent="0.35">
      <c r="B332" s="2">
        <v>39100</v>
      </c>
      <c r="C332" s="4">
        <v>106.58</v>
      </c>
      <c r="D332">
        <f t="shared" si="14"/>
        <v>2.3717178108193608</v>
      </c>
      <c r="E332">
        <v>4.0210813976185866E-2</v>
      </c>
      <c r="F332">
        <v>329</v>
      </c>
      <c r="G332">
        <f t="shared" ca="1" si="15"/>
        <v>1.0878122731177586E-2</v>
      </c>
    </row>
    <row r="333" spans="2:7" x14ac:dyDescent="0.35">
      <c r="B333" s="2">
        <v>38120</v>
      </c>
      <c r="C333" s="4">
        <v>31.61</v>
      </c>
      <c r="D333">
        <f t="shared" si="14"/>
        <v>-0.43381694429518181</v>
      </c>
      <c r="E333">
        <v>4.0144784468575168E-2</v>
      </c>
      <c r="F333">
        <v>330</v>
      </c>
      <c r="G333">
        <f t="shared" ca="1" si="15"/>
        <v>4.0993444393996548E-2</v>
      </c>
    </row>
    <row r="334" spans="2:7" x14ac:dyDescent="0.35">
      <c r="B334" s="2">
        <v>38411</v>
      </c>
      <c r="C334" s="4">
        <v>55.83</v>
      </c>
      <c r="D334">
        <f t="shared" si="14"/>
        <v>-3.4250129735340029E-2</v>
      </c>
      <c r="E334">
        <v>4.0052160953800264E-2</v>
      </c>
      <c r="F334">
        <v>331</v>
      </c>
      <c r="G334">
        <f t="shared" ca="1" si="15"/>
        <v>-7.3300844766967157E-3</v>
      </c>
    </row>
    <row r="335" spans="2:7" x14ac:dyDescent="0.35">
      <c r="B335" s="2">
        <v>40028</v>
      </c>
      <c r="C335" s="4">
        <v>57.81</v>
      </c>
      <c r="D335">
        <f t="shared" si="14"/>
        <v>-0.51570746418698166</v>
      </c>
      <c r="E335">
        <v>3.9935240151106388E-2</v>
      </c>
      <c r="F335">
        <v>332</v>
      </c>
      <c r="G335">
        <f t="shared" ca="1" si="15"/>
        <v>-4.172133065244988E-2</v>
      </c>
    </row>
    <row r="336" spans="2:7" x14ac:dyDescent="0.35">
      <c r="B336" s="2">
        <v>40526</v>
      </c>
      <c r="C336" s="4">
        <v>119.37</v>
      </c>
      <c r="D336">
        <f t="shared" si="14"/>
        <v>1.8980335032774946</v>
      </c>
      <c r="E336">
        <v>3.9898945901210903E-2</v>
      </c>
      <c r="F336">
        <v>333</v>
      </c>
      <c r="G336">
        <f t="shared" ca="1" si="15"/>
        <v>-2.9362126682448281E-2</v>
      </c>
    </row>
    <row r="337" spans="2:7" x14ac:dyDescent="0.35">
      <c r="B337" s="2">
        <v>38198</v>
      </c>
      <c r="C337" s="4">
        <v>41.19</v>
      </c>
      <c r="D337">
        <f t="shared" si="14"/>
        <v>0.24893875075803518</v>
      </c>
      <c r="E337">
        <v>3.9888916940166608E-2</v>
      </c>
      <c r="F337">
        <v>334</v>
      </c>
      <c r="G337">
        <f t="shared" ca="1" si="15"/>
        <v>-1.4215751380860391E-2</v>
      </c>
    </row>
    <row r="338" spans="2:7" x14ac:dyDescent="0.35">
      <c r="B338" s="2">
        <v>38149</v>
      </c>
      <c r="C338" s="4">
        <v>32.979999999999997</v>
      </c>
      <c r="D338">
        <f t="shared" si="14"/>
        <v>-0.9432611912053126</v>
      </c>
      <c r="E338">
        <v>3.9722572509457654E-2</v>
      </c>
      <c r="F338">
        <v>335</v>
      </c>
      <c r="G338">
        <f t="shared" ca="1" si="15"/>
        <v>-1.9696796272206992E-3</v>
      </c>
    </row>
    <row r="339" spans="2:7" x14ac:dyDescent="0.35">
      <c r="B339" s="2">
        <v>43910</v>
      </c>
      <c r="C339" s="4">
        <v>581.26</v>
      </c>
      <c r="D339">
        <f t="shared" si="14"/>
        <v>-0.92536514275075277</v>
      </c>
      <c r="E339">
        <v>3.9504980596240857E-2</v>
      </c>
      <c r="F339">
        <v>336</v>
      </c>
      <c r="G339">
        <f t="shared" ca="1" si="15"/>
        <v>1.2450228015386951E-2</v>
      </c>
    </row>
    <row r="340" spans="2:7" x14ac:dyDescent="0.35">
      <c r="B340" s="2">
        <v>44735</v>
      </c>
      <c r="C340" s="4">
        <v>7788.05</v>
      </c>
      <c r="D340">
        <f t="shared" si="14"/>
        <v>214.19894998618406</v>
      </c>
      <c r="E340">
        <v>3.9473859829424862E-2</v>
      </c>
      <c r="F340">
        <v>337</v>
      </c>
      <c r="G340">
        <f t="shared" ca="1" si="15"/>
        <v>6.1886939687330203E-3</v>
      </c>
    </row>
    <row r="341" spans="2:7" x14ac:dyDescent="0.35">
      <c r="B341" s="2">
        <v>37967</v>
      </c>
      <c r="C341" s="4">
        <v>36.19</v>
      </c>
      <c r="D341">
        <f t="shared" si="14"/>
        <v>-0.96408118703786416</v>
      </c>
      <c r="E341">
        <v>3.9345203905801096E-2</v>
      </c>
      <c r="F341">
        <v>338</v>
      </c>
      <c r="G341">
        <f t="shared" ca="1" si="15"/>
        <v>1.4900108089501535E-2</v>
      </c>
    </row>
    <row r="342" spans="2:7" x14ac:dyDescent="0.35">
      <c r="B342" s="2">
        <v>43122</v>
      </c>
      <c r="C342" s="4">
        <v>1007.55</v>
      </c>
      <c r="D342">
        <f t="shared" si="14"/>
        <v>-0.89176138194787613</v>
      </c>
      <c r="E342">
        <v>3.9300634380318611E-2</v>
      </c>
      <c r="F342">
        <v>339</v>
      </c>
      <c r="G342">
        <f t="shared" ca="1" si="15"/>
        <v>-1.8190862954821772E-2</v>
      </c>
    </row>
    <row r="343" spans="2:7" x14ac:dyDescent="0.35">
      <c r="B343" s="2">
        <v>44778</v>
      </c>
      <c r="C343" s="4">
        <v>9308.6</v>
      </c>
      <c r="D343">
        <f t="shared" si="14"/>
        <v>52.234587670136108</v>
      </c>
      <c r="E343">
        <v>3.9289023859233829E-2</v>
      </c>
      <c r="F343">
        <v>340</v>
      </c>
      <c r="G343">
        <f t="shared" ca="1" si="15"/>
        <v>-3.0254713679789384E-2</v>
      </c>
    </row>
    <row r="344" spans="2:7" x14ac:dyDescent="0.35">
      <c r="B344" s="2">
        <v>41667</v>
      </c>
      <c r="C344" s="4">
        <v>174.86</v>
      </c>
      <c r="D344">
        <f t="shared" si="14"/>
        <v>3.8144273127753303</v>
      </c>
      <c r="E344">
        <v>3.9225008914774984E-2</v>
      </c>
      <c r="F344">
        <v>341</v>
      </c>
      <c r="G344">
        <f t="shared" ca="1" si="15"/>
        <v>4.293430243227276E-2</v>
      </c>
    </row>
    <row r="345" spans="2:7" x14ac:dyDescent="0.35">
      <c r="B345" s="2">
        <v>37462</v>
      </c>
      <c r="C345" s="4">
        <v>36.32</v>
      </c>
      <c r="D345">
        <f t="shared" si="14"/>
        <v>-0.97709846650524612</v>
      </c>
      <c r="E345">
        <v>3.9198855507868391E-2</v>
      </c>
      <c r="F345">
        <v>342</v>
      </c>
      <c r="G345">
        <f t="shared" ca="1" si="15"/>
        <v>6.6092537217139452E-2</v>
      </c>
    </row>
    <row r="346" spans="2:7" x14ac:dyDescent="0.35">
      <c r="B346" s="2">
        <v>44126</v>
      </c>
      <c r="C346" s="4">
        <v>1585.92</v>
      </c>
      <c r="D346">
        <f t="shared" si="14"/>
        <v>12.123045097227969</v>
      </c>
      <c r="E346">
        <v>3.9157100172983128E-2</v>
      </c>
      <c r="F346">
        <v>343</v>
      </c>
      <c r="G346">
        <f t="shared" ca="1" si="15"/>
        <v>-2.5369824046624859E-3</v>
      </c>
    </row>
    <row r="347" spans="2:7" x14ac:dyDescent="0.35">
      <c r="B347" s="2">
        <v>41605</v>
      </c>
      <c r="C347" s="4">
        <v>120.85</v>
      </c>
      <c r="D347">
        <f t="shared" si="14"/>
        <v>-0.85567219614727763</v>
      </c>
      <c r="E347">
        <v>3.9122957867583796E-2</v>
      </c>
      <c r="F347">
        <v>344</v>
      </c>
      <c r="G347">
        <f t="shared" ca="1" si="15"/>
        <v>-2.9291941972482971E-3</v>
      </c>
    </row>
    <row r="348" spans="2:7" x14ac:dyDescent="0.35">
      <c r="B348" s="2">
        <v>43516</v>
      </c>
      <c r="C348" s="4">
        <v>837.33</v>
      </c>
      <c r="D348">
        <f t="shared" si="14"/>
        <v>-8.5913728297826175E-4</v>
      </c>
      <c r="E348">
        <v>3.9077236175915742E-2</v>
      </c>
      <c r="F348">
        <v>345</v>
      </c>
      <c r="G348">
        <f t="shared" ca="1" si="15"/>
        <v>1.1746473054263617E-2</v>
      </c>
    </row>
    <row r="349" spans="2:7" x14ac:dyDescent="0.35">
      <c r="B349" s="2">
        <v>42394</v>
      </c>
      <c r="C349" s="4">
        <v>838.05</v>
      </c>
      <c r="D349">
        <f t="shared" si="14"/>
        <v>32.375149342891277</v>
      </c>
      <c r="E349">
        <v>3.8939303778637191E-2</v>
      </c>
      <c r="F349">
        <v>346</v>
      </c>
      <c r="G349">
        <f t="shared" ca="1" si="15"/>
        <v>-3.438251777525806E-2</v>
      </c>
    </row>
    <row r="350" spans="2:7" x14ac:dyDescent="0.35">
      <c r="B350" s="2">
        <v>38072</v>
      </c>
      <c r="C350" s="4">
        <v>25.11</v>
      </c>
      <c r="D350">
        <f t="shared" si="14"/>
        <v>-0.25994694960212206</v>
      </c>
      <c r="E350">
        <v>3.8891187422424478E-2</v>
      </c>
      <c r="F350">
        <v>347</v>
      </c>
      <c r="G350">
        <f t="shared" ca="1" si="15"/>
        <v>-2.9751606780056585E-2</v>
      </c>
    </row>
    <row r="351" spans="2:7" x14ac:dyDescent="0.35">
      <c r="B351" s="2">
        <v>39813</v>
      </c>
      <c r="C351" s="4">
        <v>33.93</v>
      </c>
      <c r="D351">
        <f t="shared" si="14"/>
        <v>-0.68035798398492697</v>
      </c>
      <c r="E351">
        <v>3.88854868340478E-2</v>
      </c>
      <c r="F351">
        <v>348</v>
      </c>
      <c r="G351">
        <f t="shared" ca="1" si="15"/>
        <v>6.5921784501823094E-2</v>
      </c>
    </row>
    <row r="352" spans="2:7" x14ac:dyDescent="0.35">
      <c r="B352" s="2">
        <v>40218</v>
      </c>
      <c r="C352" s="4">
        <v>106.15</v>
      </c>
      <c r="D352">
        <f t="shared" si="14"/>
        <v>-0.91484907067968324</v>
      </c>
      <c r="E352">
        <v>3.8853004501859356E-2</v>
      </c>
      <c r="F352">
        <v>349</v>
      </c>
      <c r="G352">
        <f t="shared" ca="1" si="15"/>
        <v>-1.3657657083729242E-2</v>
      </c>
    </row>
    <row r="353" spans="2:7" x14ac:dyDescent="0.35">
      <c r="B353" s="2">
        <v>43280</v>
      </c>
      <c r="C353" s="4">
        <v>1246.6099999999999</v>
      </c>
      <c r="D353">
        <f t="shared" si="14"/>
        <v>20.118244960189731</v>
      </c>
      <c r="E353">
        <v>3.8755103741354935E-2</v>
      </c>
      <c r="F353">
        <v>350</v>
      </c>
      <c r="G353">
        <f t="shared" ca="1" si="15"/>
        <v>-2.7039400361315129E-2</v>
      </c>
    </row>
    <row r="354" spans="2:7" x14ac:dyDescent="0.35">
      <c r="B354" s="2">
        <v>38467</v>
      </c>
      <c r="C354" s="4">
        <v>59.03</v>
      </c>
      <c r="D354">
        <f t="shared" si="14"/>
        <v>0.69140401146131825</v>
      </c>
      <c r="E354">
        <v>3.8711947914833678E-2</v>
      </c>
      <c r="F354">
        <v>351</v>
      </c>
      <c r="G354">
        <f t="shared" ca="1" si="15"/>
        <v>-1.5101082961044086E-2</v>
      </c>
    </row>
    <row r="355" spans="2:7" x14ac:dyDescent="0.35">
      <c r="B355" s="2">
        <v>38177</v>
      </c>
      <c r="C355" s="4">
        <v>34.9</v>
      </c>
      <c r="D355">
        <f t="shared" si="14"/>
        <v>-0.56462075848303395</v>
      </c>
      <c r="E355">
        <v>3.8690476190476053E-2</v>
      </c>
      <c r="F355">
        <v>352</v>
      </c>
      <c r="G355">
        <f t="shared" ca="1" si="15"/>
        <v>7.3337051618992044E-3</v>
      </c>
    </row>
    <row r="356" spans="2:7" x14ac:dyDescent="0.35">
      <c r="B356" s="2">
        <v>38835</v>
      </c>
      <c r="C356" s="4">
        <v>80.16</v>
      </c>
      <c r="D356">
        <f t="shared" si="14"/>
        <v>-0.96986409518975925</v>
      </c>
      <c r="E356">
        <v>3.8611039129307967E-2</v>
      </c>
      <c r="F356">
        <v>353</v>
      </c>
      <c r="G356">
        <f t="shared" ca="1" si="15"/>
        <v>1.0196241287249424E-2</v>
      </c>
    </row>
    <row r="357" spans="2:7" x14ac:dyDescent="0.35">
      <c r="B357" s="2">
        <v>44225</v>
      </c>
      <c r="C357" s="4">
        <v>2659.95</v>
      </c>
      <c r="D357">
        <f t="shared" si="14"/>
        <v>1.6293184401719962</v>
      </c>
      <c r="E357">
        <v>3.8519652206505217E-2</v>
      </c>
      <c r="F357">
        <v>354</v>
      </c>
      <c r="G357">
        <f t="shared" ca="1" si="15"/>
        <v>2.7870065183876802E-2</v>
      </c>
    </row>
    <row r="358" spans="2:7" x14ac:dyDescent="0.35">
      <c r="B358" s="2">
        <v>43405</v>
      </c>
      <c r="C358" s="4">
        <v>1011.65</v>
      </c>
      <c r="D358">
        <f t="shared" si="14"/>
        <v>-4.3953655401829717E-2</v>
      </c>
      <c r="E358">
        <v>3.8505758925821754E-2</v>
      </c>
      <c r="F358">
        <v>355</v>
      </c>
      <c r="G358">
        <f t="shared" ca="1" si="15"/>
        <v>-2.0620138434533253E-2</v>
      </c>
    </row>
    <row r="359" spans="2:7" x14ac:dyDescent="0.35">
      <c r="B359" s="2">
        <v>44061</v>
      </c>
      <c r="C359" s="4">
        <v>1058.1600000000001</v>
      </c>
      <c r="D359">
        <f t="shared" si="14"/>
        <v>0.33442627085513954</v>
      </c>
      <c r="E359">
        <v>3.8419642594282877E-2</v>
      </c>
      <c r="F359">
        <v>356</v>
      </c>
      <c r="G359">
        <f t="shared" ca="1" si="15"/>
        <v>2.0229808291663657E-2</v>
      </c>
    </row>
    <row r="360" spans="2:7" x14ac:dyDescent="0.35">
      <c r="B360" s="2">
        <v>42388</v>
      </c>
      <c r="C360" s="4">
        <v>792.97</v>
      </c>
      <c r="D360">
        <f t="shared" si="14"/>
        <v>-0.75667929854707805</v>
      </c>
      <c r="E360">
        <v>3.8353760737481757E-2</v>
      </c>
      <c r="F360">
        <v>357</v>
      </c>
      <c r="G360">
        <f t="shared" ca="1" si="15"/>
        <v>5.5439828912846614E-2</v>
      </c>
    </row>
    <row r="361" spans="2:7" x14ac:dyDescent="0.35">
      <c r="B361" s="2">
        <v>44314</v>
      </c>
      <c r="C361" s="4">
        <v>3258.95</v>
      </c>
      <c r="D361">
        <f t="shared" si="14"/>
        <v>53.424682698730791</v>
      </c>
      <c r="E361">
        <v>3.8269036551836111E-2</v>
      </c>
      <c r="F361">
        <v>358</v>
      </c>
      <c r="G361">
        <f t="shared" ca="1" si="15"/>
        <v>-1.2639381468054952E-2</v>
      </c>
    </row>
    <row r="362" spans="2:7" x14ac:dyDescent="0.35">
      <c r="B362" s="2">
        <v>39968</v>
      </c>
      <c r="C362" s="4">
        <v>59.88</v>
      </c>
      <c r="D362">
        <f t="shared" si="14"/>
        <v>-0.21499737808075514</v>
      </c>
      <c r="E362">
        <v>3.8141470180305115E-2</v>
      </c>
      <c r="F362">
        <v>359</v>
      </c>
      <c r="G362">
        <f t="shared" ca="1" si="15"/>
        <v>-2.2369819698179964E-2</v>
      </c>
    </row>
    <row r="363" spans="2:7" x14ac:dyDescent="0.35">
      <c r="B363" s="2">
        <v>38950</v>
      </c>
      <c r="C363" s="4">
        <v>76.28</v>
      </c>
      <c r="D363">
        <f t="shared" si="14"/>
        <v>5.3591160220994416E-2</v>
      </c>
      <c r="E363">
        <v>3.8105606967882455E-2</v>
      </c>
      <c r="F363">
        <v>360</v>
      </c>
      <c r="G363">
        <f t="shared" ca="1" si="15"/>
        <v>-3.2662266696795464E-2</v>
      </c>
    </row>
    <row r="364" spans="2:7" x14ac:dyDescent="0.35">
      <c r="B364" s="2">
        <v>38691</v>
      </c>
      <c r="C364" s="4">
        <v>72.400000000000006</v>
      </c>
      <c r="D364">
        <f t="shared" si="14"/>
        <v>-0.33663184900128273</v>
      </c>
      <c r="E364">
        <v>3.7992831541218797E-2</v>
      </c>
      <c r="F364">
        <v>361</v>
      </c>
      <c r="G364">
        <f t="shared" ca="1" si="15"/>
        <v>-5.7953626051047502E-3</v>
      </c>
    </row>
    <row r="365" spans="2:7" x14ac:dyDescent="0.35">
      <c r="B365" s="2">
        <v>39302</v>
      </c>
      <c r="C365" s="4">
        <v>109.14</v>
      </c>
      <c r="D365">
        <f t="shared" si="14"/>
        <v>3.324088748019018</v>
      </c>
      <c r="E365">
        <v>3.794579172610546E-2</v>
      </c>
      <c r="F365">
        <v>362</v>
      </c>
      <c r="G365">
        <f t="shared" ca="1" si="15"/>
        <v>-4.8435665429255842E-2</v>
      </c>
    </row>
    <row r="366" spans="2:7" x14ac:dyDescent="0.35">
      <c r="B366" s="2">
        <v>37651</v>
      </c>
      <c r="C366" s="4">
        <v>25.24</v>
      </c>
      <c r="D366">
        <f t="shared" si="14"/>
        <v>-0.98129857812882049</v>
      </c>
      <c r="E366">
        <v>3.7828947368421018E-2</v>
      </c>
      <c r="F366">
        <v>363</v>
      </c>
      <c r="G366">
        <f t="shared" ca="1" si="15"/>
        <v>1.4514821815634137E-2</v>
      </c>
    </row>
    <row r="367" spans="2:7" x14ac:dyDescent="0.35">
      <c r="B367" s="2">
        <v>43292</v>
      </c>
      <c r="C367" s="4">
        <v>1349.63</v>
      </c>
      <c r="D367">
        <f t="shared" si="14"/>
        <v>12.291609218042151</v>
      </c>
      <c r="E367">
        <v>3.7737880127638457E-2</v>
      </c>
      <c r="F367">
        <v>364</v>
      </c>
      <c r="G367">
        <f t="shared" ca="1" si="15"/>
        <v>1.2332078925658043E-2</v>
      </c>
    </row>
    <row r="368" spans="2:7" x14ac:dyDescent="0.35">
      <c r="B368" s="2">
        <v>39139</v>
      </c>
      <c r="C368" s="4">
        <v>101.54</v>
      </c>
      <c r="D368">
        <f t="shared" si="14"/>
        <v>-0.98782293973950153</v>
      </c>
      <c r="E368">
        <v>3.7710781808891314E-2</v>
      </c>
      <c r="F368">
        <v>365</v>
      </c>
      <c r="G368">
        <f t="shared" ca="1" si="15"/>
        <v>-4.7083523374225278E-2</v>
      </c>
    </row>
    <row r="369" spans="2:7" x14ac:dyDescent="0.35">
      <c r="B369" s="2">
        <v>44712</v>
      </c>
      <c r="C369" s="4">
        <v>8338.6299999999992</v>
      </c>
      <c r="D369">
        <f t="shared" si="14"/>
        <v>70.699312123817705</v>
      </c>
      <c r="E369">
        <v>3.7688983134161136E-2</v>
      </c>
      <c r="F369">
        <v>366</v>
      </c>
      <c r="G369">
        <f t="shared" ca="1" si="15"/>
        <v>2.071696245428448E-2</v>
      </c>
    </row>
    <row r="370" spans="2:7" x14ac:dyDescent="0.35">
      <c r="B370" s="2">
        <v>41604</v>
      </c>
      <c r="C370" s="4">
        <v>116.3</v>
      </c>
      <c r="D370">
        <f t="shared" si="14"/>
        <v>0.66666666666666652</v>
      </c>
      <c r="E370">
        <v>3.7651677373304882E-2</v>
      </c>
      <c r="F370">
        <v>367</v>
      </c>
      <c r="G370">
        <f t="shared" ca="1" si="15"/>
        <v>1.1515184427592808E-2</v>
      </c>
    </row>
    <row r="371" spans="2:7" x14ac:dyDescent="0.35">
      <c r="B371" s="2">
        <v>38831</v>
      </c>
      <c r="C371" s="4">
        <v>69.78</v>
      </c>
      <c r="D371">
        <f t="shared" si="14"/>
        <v>0.95956192080876157</v>
      </c>
      <c r="E371">
        <v>3.7620817843866172E-2</v>
      </c>
      <c r="F371">
        <v>368</v>
      </c>
      <c r="G371">
        <f t="shared" ca="1" si="15"/>
        <v>6.0257123896725343E-2</v>
      </c>
    </row>
    <row r="372" spans="2:7" x14ac:dyDescent="0.35">
      <c r="B372" s="2">
        <v>39916</v>
      </c>
      <c r="C372" s="4">
        <v>35.61</v>
      </c>
      <c r="D372">
        <f t="shared" si="14"/>
        <v>-0.95118507450410561</v>
      </c>
      <c r="E372">
        <v>3.7587412587412494E-2</v>
      </c>
      <c r="F372">
        <v>369</v>
      </c>
      <c r="G372">
        <f t="shared" ca="1" si="15"/>
        <v>1.7658663471923328E-2</v>
      </c>
    </row>
    <row r="373" spans="2:7" x14ac:dyDescent="0.35">
      <c r="B373" s="2">
        <v>43945</v>
      </c>
      <c r="C373" s="4">
        <v>729.49</v>
      </c>
      <c r="D373">
        <f t="shared" si="14"/>
        <v>13.326197957580519</v>
      </c>
      <c r="E373">
        <v>3.7563292939637005E-2</v>
      </c>
      <c r="F373">
        <v>370</v>
      </c>
      <c r="G373">
        <f t="shared" ca="1" si="15"/>
        <v>-6.4295327443374045E-2</v>
      </c>
    </row>
    <row r="374" spans="2:7" x14ac:dyDescent="0.35">
      <c r="B374" s="2">
        <v>38246</v>
      </c>
      <c r="C374" s="4">
        <v>50.92</v>
      </c>
      <c r="D374">
        <f t="shared" si="14"/>
        <v>0.44659090909090904</v>
      </c>
      <c r="E374">
        <v>3.7489812550937307E-2</v>
      </c>
      <c r="F374">
        <v>371</v>
      </c>
      <c r="G374">
        <f t="shared" ca="1" si="15"/>
        <v>7.0826284621436173E-3</v>
      </c>
    </row>
    <row r="375" spans="2:7" x14ac:dyDescent="0.35">
      <c r="B375" s="2">
        <v>39815</v>
      </c>
      <c r="C375" s="4">
        <v>35.200000000000003</v>
      </c>
      <c r="D375">
        <f t="shared" si="14"/>
        <v>-0.95976729034986452</v>
      </c>
      <c r="E375">
        <v>3.7430002947244523E-2</v>
      </c>
      <c r="F375">
        <v>372</v>
      </c>
      <c r="G375">
        <f t="shared" ca="1" si="15"/>
        <v>2.473005655254357E-2</v>
      </c>
    </row>
    <row r="376" spans="2:7" x14ac:dyDescent="0.35">
      <c r="B376" s="2">
        <v>44008</v>
      </c>
      <c r="C376" s="4">
        <v>874.91</v>
      </c>
      <c r="D376">
        <f t="shared" si="14"/>
        <v>9.546166827386692</v>
      </c>
      <c r="E376">
        <v>3.724999703612375E-2</v>
      </c>
      <c r="F376">
        <v>373</v>
      </c>
      <c r="G376">
        <f t="shared" ca="1" si="15"/>
        <v>3.2738672979352609E-2</v>
      </c>
    </row>
    <row r="377" spans="2:7" x14ac:dyDescent="0.35">
      <c r="B377" s="2">
        <v>39017</v>
      </c>
      <c r="C377" s="4">
        <v>82.96</v>
      </c>
      <c r="D377">
        <f t="shared" si="14"/>
        <v>-0.18161191674065313</v>
      </c>
      <c r="E377">
        <v>3.7129641205150721E-2</v>
      </c>
      <c r="F377">
        <v>374</v>
      </c>
      <c r="G377">
        <f t="shared" ca="1" si="15"/>
        <v>5.6371685345316114E-2</v>
      </c>
    </row>
    <row r="378" spans="2:7" x14ac:dyDescent="0.35">
      <c r="B378" s="2">
        <v>41163</v>
      </c>
      <c r="C378" s="4">
        <v>101.37</v>
      </c>
      <c r="D378">
        <f t="shared" si="14"/>
        <v>-0.66539032843703572</v>
      </c>
      <c r="E378">
        <v>3.7033248081841386E-2</v>
      </c>
      <c r="F378">
        <v>375</v>
      </c>
      <c r="G378">
        <f t="shared" ca="1" si="15"/>
        <v>4.1935213109144651E-2</v>
      </c>
    </row>
    <row r="379" spans="2:7" x14ac:dyDescent="0.35">
      <c r="B379" s="2">
        <v>42013</v>
      </c>
      <c r="C379" s="4">
        <v>302.95</v>
      </c>
      <c r="D379">
        <f t="shared" si="14"/>
        <v>2.525954376163873</v>
      </c>
      <c r="E379">
        <v>3.6967311312681828E-2</v>
      </c>
      <c r="F379">
        <v>376</v>
      </c>
      <c r="G379">
        <f t="shared" ca="1" si="15"/>
        <v>1.9380551168049272E-2</v>
      </c>
    </row>
    <row r="380" spans="2:7" x14ac:dyDescent="0.35">
      <c r="B380" s="2">
        <v>41339</v>
      </c>
      <c r="C380" s="4">
        <v>85.92</v>
      </c>
      <c r="D380">
        <f t="shared" si="14"/>
        <v>-0.22258414766558088</v>
      </c>
      <c r="E380">
        <v>3.6929761042722609E-2</v>
      </c>
      <c r="F380">
        <v>377</v>
      </c>
      <c r="G380">
        <f t="shared" ca="1" si="15"/>
        <v>-2.8348567000729052E-3</v>
      </c>
    </row>
    <row r="381" spans="2:7" x14ac:dyDescent="0.35">
      <c r="B381" s="2">
        <v>40659</v>
      </c>
      <c r="C381" s="4">
        <v>110.52</v>
      </c>
      <c r="D381">
        <f t="shared" si="14"/>
        <v>1.1585937499999996</v>
      </c>
      <c r="E381">
        <v>3.6870250492541334E-2</v>
      </c>
      <c r="F381">
        <v>378</v>
      </c>
      <c r="G381">
        <f t="shared" ca="1" si="15"/>
        <v>2.6917853544226936E-2</v>
      </c>
    </row>
    <row r="382" spans="2:7" x14ac:dyDescent="0.35">
      <c r="B382" s="2">
        <v>38251</v>
      </c>
      <c r="C382" s="4">
        <v>51.2</v>
      </c>
      <c r="D382">
        <f t="shared" si="14"/>
        <v>-0.12598156367360869</v>
      </c>
      <c r="E382">
        <v>3.6857027136492526E-2</v>
      </c>
      <c r="F382">
        <v>379</v>
      </c>
      <c r="G382">
        <f t="shared" ca="1" si="15"/>
        <v>-4.477332446285625E-2</v>
      </c>
    </row>
    <row r="383" spans="2:7" x14ac:dyDescent="0.35">
      <c r="B383" s="2">
        <v>38462</v>
      </c>
      <c r="C383" s="4">
        <v>58.58</v>
      </c>
      <c r="D383">
        <f t="shared" si="14"/>
        <v>-0.88687188598354638</v>
      </c>
      <c r="E383">
        <v>3.6814159292035464E-2</v>
      </c>
      <c r="F383">
        <v>380</v>
      </c>
      <c r="G383">
        <f t="shared" ca="1" si="15"/>
        <v>-3.3731001293949812E-2</v>
      </c>
    </row>
    <row r="384" spans="2:7" x14ac:dyDescent="0.35">
      <c r="B384" s="2">
        <v>42128</v>
      </c>
      <c r="C384" s="4">
        <v>517.82000000000005</v>
      </c>
      <c r="D384">
        <f t="shared" si="14"/>
        <v>8.0417321459752049</v>
      </c>
      <c r="E384">
        <v>3.6780458504354963E-2</v>
      </c>
      <c r="F384">
        <v>381</v>
      </c>
      <c r="G384">
        <f t="shared" ca="1" si="15"/>
        <v>-7.6255097914208394E-3</v>
      </c>
    </row>
    <row r="385" spans="2:7" x14ac:dyDescent="0.35">
      <c r="B385" s="2">
        <v>38414</v>
      </c>
      <c r="C385" s="4">
        <v>57.27</v>
      </c>
      <c r="D385">
        <f t="shared" si="14"/>
        <v>-0.94135597038614738</v>
      </c>
      <c r="E385">
        <v>3.6748732802317274E-2</v>
      </c>
      <c r="F385">
        <v>382</v>
      </c>
      <c r="G385">
        <f t="shared" ca="1" si="15"/>
        <v>-6.5791551287647902E-3</v>
      </c>
    </row>
    <row r="386" spans="2:7" x14ac:dyDescent="0.35">
      <c r="B386" s="2">
        <v>43880</v>
      </c>
      <c r="C386" s="4">
        <v>976.57</v>
      </c>
      <c r="D386">
        <f t="shared" si="14"/>
        <v>19.791356184798808</v>
      </c>
      <c r="E386">
        <v>3.6742536838082263E-2</v>
      </c>
      <c r="F386">
        <v>383</v>
      </c>
      <c r="G386">
        <f t="shared" ca="1" si="15"/>
        <v>2.1155175062882017E-2</v>
      </c>
    </row>
    <row r="387" spans="2:7" x14ac:dyDescent="0.35">
      <c r="B387" s="2">
        <v>39946</v>
      </c>
      <c r="C387" s="4">
        <v>46.97</v>
      </c>
      <c r="D387">
        <f t="shared" si="14"/>
        <v>-0.78732171156893815</v>
      </c>
      <c r="E387">
        <v>3.6636504082983912E-2</v>
      </c>
      <c r="F387">
        <v>384</v>
      </c>
      <c r="G387">
        <f t="shared" ca="1" si="15"/>
        <v>7.428402462247366E-2</v>
      </c>
    </row>
    <row r="388" spans="2:7" x14ac:dyDescent="0.35">
      <c r="B388" s="2">
        <v>41689</v>
      </c>
      <c r="C388" s="4">
        <v>220.85</v>
      </c>
      <c r="D388">
        <f t="shared" ref="D388:D451" si="16">C388/C389-1</f>
        <v>1.1786524612804574</v>
      </c>
      <c r="E388">
        <v>3.6562470665540081E-2</v>
      </c>
      <c r="F388">
        <v>385</v>
      </c>
      <c r="G388">
        <f t="shared" ca="1" si="15"/>
        <v>-3.2209289296833837E-2</v>
      </c>
    </row>
    <row r="389" spans="2:7" x14ac:dyDescent="0.35">
      <c r="B389" s="2">
        <v>41254</v>
      </c>
      <c r="C389" s="4">
        <v>101.37</v>
      </c>
      <c r="D389">
        <f t="shared" si="16"/>
        <v>2.3356367226061203</v>
      </c>
      <c r="E389">
        <v>3.6503067484662699E-2</v>
      </c>
      <c r="F389">
        <v>386</v>
      </c>
      <c r="G389">
        <f t="shared" ref="G389:G452" ca="1" si="17">_xlfn.NORM.INV(RAND(),K$6,K$7)</f>
        <v>1.7537837768490234E-2</v>
      </c>
    </row>
    <row r="390" spans="2:7" x14ac:dyDescent="0.35">
      <c r="B390" s="2">
        <v>37473</v>
      </c>
      <c r="C390" s="4">
        <v>30.39</v>
      </c>
      <c r="D390">
        <f t="shared" si="16"/>
        <v>-0.95004602537970939</v>
      </c>
      <c r="E390">
        <v>3.6493860845838944E-2</v>
      </c>
      <c r="F390">
        <v>387</v>
      </c>
      <c r="G390">
        <f t="shared" ca="1" si="17"/>
        <v>-2.1101750540617106E-2</v>
      </c>
    </row>
    <row r="391" spans="2:7" x14ac:dyDescent="0.35">
      <c r="B391" s="2">
        <v>43683</v>
      </c>
      <c r="C391" s="4">
        <v>608.36</v>
      </c>
      <c r="D391">
        <f t="shared" si="16"/>
        <v>21.481892091648191</v>
      </c>
      <c r="E391">
        <v>3.6406071653690919E-2</v>
      </c>
      <c r="F391">
        <v>388</v>
      </c>
      <c r="G391">
        <f t="shared" ca="1" si="17"/>
        <v>5.821379487161929E-2</v>
      </c>
    </row>
    <row r="392" spans="2:7" x14ac:dyDescent="0.35">
      <c r="B392" s="2">
        <v>37888</v>
      </c>
      <c r="C392" s="4">
        <v>27.06</v>
      </c>
      <c r="D392">
        <f t="shared" si="16"/>
        <v>-0.98707384531606024</v>
      </c>
      <c r="E392">
        <v>3.6384527001148914E-2</v>
      </c>
      <c r="F392">
        <v>389</v>
      </c>
      <c r="G392">
        <f t="shared" ca="1" si="17"/>
        <v>4.9398920897753891E-2</v>
      </c>
    </row>
    <row r="393" spans="2:7" x14ac:dyDescent="0.35">
      <c r="B393" s="2">
        <v>44207</v>
      </c>
      <c r="C393" s="4">
        <v>2093.4299999999998</v>
      </c>
      <c r="D393">
        <f t="shared" si="16"/>
        <v>20.460071758072782</v>
      </c>
      <c r="E393">
        <v>3.6341224344313305E-2</v>
      </c>
      <c r="F393">
        <v>390</v>
      </c>
      <c r="G393">
        <f t="shared" ca="1" si="17"/>
        <v>2.9842539071756245E-2</v>
      </c>
    </row>
    <row r="394" spans="2:7" x14ac:dyDescent="0.35">
      <c r="B394" s="2">
        <v>40324</v>
      </c>
      <c r="C394" s="4">
        <v>97.55</v>
      </c>
      <c r="D394">
        <f t="shared" si="16"/>
        <v>0.21648584611547572</v>
      </c>
      <c r="E394">
        <v>3.6332731329013157E-2</v>
      </c>
      <c r="F394">
        <v>391</v>
      </c>
      <c r="G394">
        <f t="shared" ca="1" si="17"/>
        <v>2.7821035869107228E-2</v>
      </c>
    </row>
    <row r="395" spans="2:7" x14ac:dyDescent="0.35">
      <c r="B395" s="2">
        <v>39013</v>
      </c>
      <c r="C395" s="4">
        <v>80.19</v>
      </c>
      <c r="D395">
        <f t="shared" si="16"/>
        <v>0.19526009837531655</v>
      </c>
      <c r="E395">
        <v>3.6314293098991923E-2</v>
      </c>
      <c r="F395">
        <v>392</v>
      </c>
      <c r="G395">
        <f t="shared" ca="1" si="17"/>
        <v>8.0036662740298539E-3</v>
      </c>
    </row>
    <row r="396" spans="2:7" x14ac:dyDescent="0.35">
      <c r="B396" s="2">
        <v>40140</v>
      </c>
      <c r="C396" s="4">
        <v>67.09</v>
      </c>
      <c r="D396">
        <f t="shared" si="16"/>
        <v>-0.31756688027667579</v>
      </c>
      <c r="E396">
        <v>3.6299042323138853E-2</v>
      </c>
      <c r="F396">
        <v>393</v>
      </c>
      <c r="G396">
        <f t="shared" ca="1" si="17"/>
        <v>5.9130121549256752E-2</v>
      </c>
    </row>
    <row r="397" spans="2:7" x14ac:dyDescent="0.35">
      <c r="B397" s="2">
        <v>40424</v>
      </c>
      <c r="C397" s="4">
        <v>98.31</v>
      </c>
      <c r="D397">
        <f t="shared" si="16"/>
        <v>-0.87275598296682677</v>
      </c>
      <c r="E397">
        <v>3.6260145462211346E-2</v>
      </c>
      <c r="F397">
        <v>394</v>
      </c>
      <c r="G397">
        <f t="shared" ca="1" si="17"/>
        <v>2.8037258539588536E-2</v>
      </c>
    </row>
    <row r="398" spans="2:7" x14ac:dyDescent="0.35">
      <c r="B398" s="2">
        <v>43013</v>
      </c>
      <c r="C398" s="4">
        <v>772.61</v>
      </c>
      <c r="D398">
        <f t="shared" si="16"/>
        <v>26.071128241065171</v>
      </c>
      <c r="E398">
        <v>3.6142477804897766E-2</v>
      </c>
      <c r="F398">
        <v>395</v>
      </c>
      <c r="G398">
        <f t="shared" ca="1" si="17"/>
        <v>-1.9204405636411896E-2</v>
      </c>
    </row>
    <row r="399" spans="2:7" x14ac:dyDescent="0.35">
      <c r="B399" s="2">
        <v>37903</v>
      </c>
      <c r="C399" s="4">
        <v>28.54</v>
      </c>
      <c r="D399">
        <f t="shared" si="16"/>
        <v>-0.16108171663727233</v>
      </c>
      <c r="E399">
        <v>3.59346642468239E-2</v>
      </c>
      <c r="F399">
        <v>396</v>
      </c>
      <c r="G399">
        <f t="shared" ca="1" si="17"/>
        <v>-2.0091093499954586E-2</v>
      </c>
    </row>
    <row r="400" spans="2:7" x14ac:dyDescent="0.35">
      <c r="B400" s="2">
        <v>37498</v>
      </c>
      <c r="C400" s="4">
        <v>34.020000000000003</v>
      </c>
      <c r="D400">
        <f t="shared" si="16"/>
        <v>-0.96193438660878128</v>
      </c>
      <c r="E400">
        <v>3.5931790499390992E-2</v>
      </c>
      <c r="F400">
        <v>397</v>
      </c>
      <c r="G400">
        <f t="shared" ca="1" si="17"/>
        <v>1.9966949412021796E-2</v>
      </c>
    </row>
    <row r="401" spans="2:7" x14ac:dyDescent="0.35">
      <c r="B401" s="2">
        <v>42256</v>
      </c>
      <c r="C401" s="4">
        <v>893.72</v>
      </c>
      <c r="D401">
        <f t="shared" si="16"/>
        <v>10.774967061923583</v>
      </c>
      <c r="E401">
        <v>3.5812799888736979E-2</v>
      </c>
      <c r="F401">
        <v>398</v>
      </c>
      <c r="G401">
        <f t="shared" ca="1" si="17"/>
        <v>8.8653587244582367E-3</v>
      </c>
    </row>
    <row r="402" spans="2:7" x14ac:dyDescent="0.35">
      <c r="B402" s="2">
        <v>41515</v>
      </c>
      <c r="C402" s="4">
        <v>75.900000000000006</v>
      </c>
      <c r="D402">
        <f t="shared" si="16"/>
        <v>-0.2109366878053851</v>
      </c>
      <c r="E402">
        <v>3.5753275109170257E-2</v>
      </c>
      <c r="F402">
        <v>399</v>
      </c>
      <c r="G402">
        <f t="shared" ca="1" si="17"/>
        <v>1.801774490274401E-2</v>
      </c>
    </row>
    <row r="403" spans="2:7" x14ac:dyDescent="0.35">
      <c r="B403" s="2">
        <v>39077</v>
      </c>
      <c r="C403" s="4">
        <v>96.19</v>
      </c>
      <c r="D403">
        <f t="shared" si="16"/>
        <v>-0.97399862681177052</v>
      </c>
      <c r="E403">
        <v>3.5748896306665223E-2</v>
      </c>
      <c r="F403">
        <v>400</v>
      </c>
      <c r="G403">
        <f t="shared" ca="1" si="17"/>
        <v>-4.1694702618268221E-2</v>
      </c>
    </row>
    <row r="404" spans="2:7" x14ac:dyDescent="0.35">
      <c r="B404" s="2">
        <v>44355</v>
      </c>
      <c r="C404" s="4">
        <v>3699.42</v>
      </c>
      <c r="D404">
        <f t="shared" si="16"/>
        <v>38.693347639484976</v>
      </c>
      <c r="E404">
        <v>3.5718285253538706E-2</v>
      </c>
      <c r="F404">
        <v>401</v>
      </c>
      <c r="G404">
        <f t="shared" ca="1" si="17"/>
        <v>9.2882597582090859E-3</v>
      </c>
    </row>
    <row r="405" spans="2:7" x14ac:dyDescent="0.35">
      <c r="B405" s="2">
        <v>39037</v>
      </c>
      <c r="C405" s="4">
        <v>93.2</v>
      </c>
      <c r="D405">
        <f t="shared" si="16"/>
        <v>0.67025089605734789</v>
      </c>
      <c r="E405">
        <v>3.5670630070007814E-2</v>
      </c>
      <c r="F405">
        <v>402</v>
      </c>
      <c r="G405">
        <f t="shared" ca="1" si="17"/>
        <v>3.5228809249906214E-3</v>
      </c>
    </row>
    <row r="406" spans="2:7" x14ac:dyDescent="0.35">
      <c r="B406" s="2">
        <v>39973</v>
      </c>
      <c r="C406" s="4">
        <v>55.8</v>
      </c>
      <c r="D406">
        <f t="shared" si="16"/>
        <v>-0.89622466059140782</v>
      </c>
      <c r="E406">
        <v>3.5634743875278208E-2</v>
      </c>
      <c r="F406">
        <v>403</v>
      </c>
      <c r="G406">
        <f t="shared" ca="1" si="17"/>
        <v>1.5938142902800111E-2</v>
      </c>
    </row>
    <row r="407" spans="2:7" x14ac:dyDescent="0.35">
      <c r="B407" s="2">
        <v>42143</v>
      </c>
      <c r="C407" s="4">
        <v>537.70000000000005</v>
      </c>
      <c r="D407">
        <f t="shared" si="16"/>
        <v>-0.81423389186387973</v>
      </c>
      <c r="E407">
        <v>3.5631741140215611E-2</v>
      </c>
      <c r="F407">
        <v>404</v>
      </c>
      <c r="G407">
        <f t="shared" ca="1" si="17"/>
        <v>-1.6836039017305781E-3</v>
      </c>
    </row>
    <row r="408" spans="2:7" x14ac:dyDescent="0.35">
      <c r="B408" s="2">
        <v>44301</v>
      </c>
      <c r="C408" s="4">
        <v>2894.5</v>
      </c>
      <c r="D408">
        <f t="shared" si="16"/>
        <v>79.091311566131708</v>
      </c>
      <c r="E408">
        <v>3.5621516025388766E-2</v>
      </c>
      <c r="F408">
        <v>405</v>
      </c>
      <c r="G408">
        <f t="shared" ca="1" si="17"/>
        <v>5.8850342191208568E-3</v>
      </c>
    </row>
    <row r="409" spans="2:7" x14ac:dyDescent="0.35">
      <c r="B409" s="2">
        <v>38180</v>
      </c>
      <c r="C409" s="4">
        <v>36.14</v>
      </c>
      <c r="D409">
        <f t="shared" si="16"/>
        <v>-0.96040146385291347</v>
      </c>
      <c r="E409">
        <v>3.5530085959885493E-2</v>
      </c>
      <c r="F409">
        <v>406</v>
      </c>
      <c r="G409">
        <f t="shared" ca="1" si="17"/>
        <v>1.0635763346755559E-2</v>
      </c>
    </row>
    <row r="410" spans="2:7" x14ac:dyDescent="0.35">
      <c r="B410" s="2">
        <v>43098</v>
      </c>
      <c r="C410" s="4">
        <v>912.66</v>
      </c>
      <c r="D410">
        <f t="shared" si="16"/>
        <v>16.670087124878993</v>
      </c>
      <c r="E410">
        <v>3.5501548725279886E-2</v>
      </c>
      <c r="F410">
        <v>407</v>
      </c>
      <c r="G410">
        <f t="shared" ca="1" si="17"/>
        <v>1.498376254977362E-3</v>
      </c>
    </row>
    <row r="411" spans="2:7" x14ac:dyDescent="0.35">
      <c r="B411" s="2">
        <v>38259</v>
      </c>
      <c r="C411" s="4">
        <v>51.65</v>
      </c>
      <c r="D411">
        <f t="shared" si="16"/>
        <v>0.97665518561040954</v>
      </c>
      <c r="E411">
        <v>3.5485164394546853E-2</v>
      </c>
      <c r="F411">
        <v>408</v>
      </c>
      <c r="G411">
        <f t="shared" ca="1" si="17"/>
        <v>5.3108540757136084E-3</v>
      </c>
    </row>
    <row r="412" spans="2:7" x14ac:dyDescent="0.35">
      <c r="B412" s="2">
        <v>37853</v>
      </c>
      <c r="C412" s="4">
        <v>26.13</v>
      </c>
      <c r="D412">
        <f t="shared" si="16"/>
        <v>-0.97275428809759656</v>
      </c>
      <c r="E412">
        <v>3.5261489698890758E-2</v>
      </c>
      <c r="F412">
        <v>409</v>
      </c>
      <c r="G412">
        <f t="shared" ca="1" si="17"/>
        <v>-3.8961164724252595E-2</v>
      </c>
    </row>
    <row r="413" spans="2:7" x14ac:dyDescent="0.35">
      <c r="B413" s="2">
        <v>44048</v>
      </c>
      <c r="C413" s="4">
        <v>959.05</v>
      </c>
      <c r="D413">
        <f t="shared" si="16"/>
        <v>12.307201332038296</v>
      </c>
      <c r="E413">
        <v>3.522160575117117E-2</v>
      </c>
      <c r="F413">
        <v>410</v>
      </c>
      <c r="G413">
        <f t="shared" ca="1" si="17"/>
        <v>-3.5353204943678565E-2</v>
      </c>
    </row>
    <row r="414" spans="2:7" x14ac:dyDescent="0.35">
      <c r="B414" s="2">
        <v>39470</v>
      </c>
      <c r="C414" s="4">
        <v>72.069999999999993</v>
      </c>
      <c r="D414">
        <f t="shared" si="16"/>
        <v>2.2551942186088523</v>
      </c>
      <c r="E414">
        <v>3.5191037058316388E-2</v>
      </c>
      <c r="F414">
        <v>411</v>
      </c>
      <c r="G414">
        <f t="shared" ca="1" si="17"/>
        <v>-4.4099807443991987E-2</v>
      </c>
    </row>
    <row r="415" spans="2:7" x14ac:dyDescent="0.35">
      <c r="B415" s="2">
        <v>37713</v>
      </c>
      <c r="C415" s="4">
        <v>22.14</v>
      </c>
      <c r="D415">
        <f t="shared" si="16"/>
        <v>-0.78801225584067403</v>
      </c>
      <c r="E415">
        <v>3.5063113604488105E-2</v>
      </c>
      <c r="F415">
        <v>412</v>
      </c>
      <c r="G415">
        <f t="shared" ca="1" si="17"/>
        <v>-3.8794796638643693E-2</v>
      </c>
    </row>
    <row r="416" spans="2:7" x14ac:dyDescent="0.35">
      <c r="B416" s="2">
        <v>39164</v>
      </c>
      <c r="C416" s="4">
        <v>104.44</v>
      </c>
      <c r="D416">
        <f t="shared" si="16"/>
        <v>-0.87121595126823437</v>
      </c>
      <c r="E416">
        <v>3.4981666831830349E-2</v>
      </c>
      <c r="F416">
        <v>413</v>
      </c>
      <c r="G416">
        <f t="shared" ca="1" si="17"/>
        <v>-2.8904292810777672E-2</v>
      </c>
    </row>
    <row r="417" spans="2:7" x14ac:dyDescent="0.35">
      <c r="B417" s="2">
        <v>42943</v>
      </c>
      <c r="C417" s="4">
        <v>810.97</v>
      </c>
      <c r="D417">
        <f t="shared" si="16"/>
        <v>10.404443819434679</v>
      </c>
      <c r="E417">
        <v>3.4954950356058001E-2</v>
      </c>
      <c r="F417">
        <v>414</v>
      </c>
      <c r="G417">
        <f t="shared" ca="1" si="17"/>
        <v>9.3003737336593804E-3</v>
      </c>
    </row>
    <row r="418" spans="2:7" x14ac:dyDescent="0.35">
      <c r="B418" s="2">
        <v>38565</v>
      </c>
      <c r="C418" s="4">
        <v>71.11</v>
      </c>
      <c r="D418">
        <f t="shared" si="16"/>
        <v>1.2418032786885247</v>
      </c>
      <c r="E418">
        <v>3.4929413476932014E-2</v>
      </c>
      <c r="F418">
        <v>415</v>
      </c>
      <c r="G418">
        <f t="shared" ca="1" si="17"/>
        <v>3.1886544872241573E-2</v>
      </c>
    </row>
    <row r="419" spans="2:7" x14ac:dyDescent="0.35">
      <c r="B419" s="2">
        <v>38148</v>
      </c>
      <c r="C419" s="4">
        <v>31.72</v>
      </c>
      <c r="D419">
        <f t="shared" si="16"/>
        <v>-0.18957588145120086</v>
      </c>
      <c r="E419">
        <v>3.4910277324633032E-2</v>
      </c>
      <c r="F419">
        <v>416</v>
      </c>
      <c r="G419">
        <f t="shared" ca="1" si="17"/>
        <v>3.523398591314833E-2</v>
      </c>
    </row>
    <row r="420" spans="2:7" x14ac:dyDescent="0.35">
      <c r="B420" s="2">
        <v>38216</v>
      </c>
      <c r="C420" s="4">
        <v>39.14</v>
      </c>
      <c r="D420">
        <f t="shared" si="16"/>
        <v>-0.95395998259089787</v>
      </c>
      <c r="E420">
        <v>3.4902168164992142E-2</v>
      </c>
      <c r="F420">
        <v>417</v>
      </c>
      <c r="G420">
        <f t="shared" ca="1" si="17"/>
        <v>7.2008386244521751E-3</v>
      </c>
    </row>
    <row r="421" spans="2:7" x14ac:dyDescent="0.35">
      <c r="B421" s="2">
        <v>42243</v>
      </c>
      <c r="C421" s="4">
        <v>850.13</v>
      </c>
      <c r="D421">
        <f t="shared" si="16"/>
        <v>-0.24272008979075543</v>
      </c>
      <c r="E421">
        <v>3.487607732385456E-2</v>
      </c>
      <c r="F421">
        <v>418</v>
      </c>
      <c r="G421">
        <f t="shared" ca="1" si="17"/>
        <v>3.2231258564811113E-2</v>
      </c>
    </row>
    <row r="422" spans="2:7" x14ac:dyDescent="0.35">
      <c r="B422" s="2">
        <v>44076</v>
      </c>
      <c r="C422" s="4">
        <v>1122.6099999999999</v>
      </c>
      <c r="D422">
        <f t="shared" si="16"/>
        <v>10.620018631611634</v>
      </c>
      <c r="E422">
        <v>3.4854351032448383E-2</v>
      </c>
      <c r="F422">
        <v>419</v>
      </c>
      <c r="G422">
        <f t="shared" ca="1" si="17"/>
        <v>5.1135711724660124E-2</v>
      </c>
    </row>
    <row r="423" spans="2:7" x14ac:dyDescent="0.35">
      <c r="B423" s="2">
        <v>41123</v>
      </c>
      <c r="C423" s="4">
        <v>96.61</v>
      </c>
      <c r="D423">
        <f t="shared" si="16"/>
        <v>-0.90072751186830802</v>
      </c>
      <c r="E423">
        <v>3.4811482433590335E-2</v>
      </c>
      <c r="F423">
        <v>420</v>
      </c>
      <c r="G423">
        <f t="shared" ca="1" si="17"/>
        <v>-1.9071695159255643E-2</v>
      </c>
    </row>
    <row r="424" spans="2:7" x14ac:dyDescent="0.35">
      <c r="B424" s="2">
        <v>43110</v>
      </c>
      <c r="C424" s="4">
        <v>973.18</v>
      </c>
      <c r="D424">
        <f t="shared" si="16"/>
        <v>8.0883451624953295</v>
      </c>
      <c r="E424">
        <v>3.4802488170556645E-2</v>
      </c>
      <c r="F424">
        <v>421</v>
      </c>
      <c r="G424">
        <f t="shared" ca="1" si="17"/>
        <v>1.2769051388031739E-2</v>
      </c>
    </row>
    <row r="425" spans="2:7" x14ac:dyDescent="0.35">
      <c r="B425" s="2">
        <v>39321</v>
      </c>
      <c r="C425" s="4">
        <v>107.08</v>
      </c>
      <c r="D425">
        <f t="shared" si="16"/>
        <v>0.41640211640211655</v>
      </c>
      <c r="E425">
        <v>3.4789331271743329E-2</v>
      </c>
      <c r="F425">
        <v>422</v>
      </c>
      <c r="G425">
        <f t="shared" ca="1" si="17"/>
        <v>3.8539024892884606E-3</v>
      </c>
    </row>
    <row r="426" spans="2:7" x14ac:dyDescent="0.35">
      <c r="B426" s="2">
        <v>40911</v>
      </c>
      <c r="C426" s="4">
        <v>75.599999999999994</v>
      </c>
      <c r="D426">
        <f t="shared" si="16"/>
        <v>-0.15360501567398122</v>
      </c>
      <c r="E426">
        <v>3.4765945797974096E-2</v>
      </c>
      <c r="F426">
        <v>423</v>
      </c>
      <c r="G426">
        <f t="shared" ca="1" si="17"/>
        <v>2.3345309996707993E-3</v>
      </c>
    </row>
    <row r="427" spans="2:7" x14ac:dyDescent="0.35">
      <c r="B427" s="2">
        <v>41031</v>
      </c>
      <c r="C427" s="4">
        <v>89.32</v>
      </c>
      <c r="D427">
        <f t="shared" si="16"/>
        <v>0.6355978758469143</v>
      </c>
      <c r="E427">
        <v>3.4754402224281833E-2</v>
      </c>
      <c r="F427">
        <v>424</v>
      </c>
      <c r="G427">
        <f t="shared" ca="1" si="17"/>
        <v>-1.9508180200025101E-2</v>
      </c>
    </row>
    <row r="428" spans="2:7" x14ac:dyDescent="0.35">
      <c r="B428" s="2">
        <v>39534</v>
      </c>
      <c r="C428" s="4">
        <v>54.61</v>
      </c>
      <c r="D428">
        <f t="shared" si="16"/>
        <v>-0.49048329912297073</v>
      </c>
      <c r="E428">
        <v>3.4672224327396695E-2</v>
      </c>
      <c r="F428">
        <v>425</v>
      </c>
      <c r="G428">
        <f t="shared" ca="1" si="17"/>
        <v>-4.4017057760866538E-3</v>
      </c>
    </row>
    <row r="429" spans="2:7" x14ac:dyDescent="0.35">
      <c r="B429" s="2">
        <v>39183</v>
      </c>
      <c r="C429" s="4">
        <v>107.18</v>
      </c>
      <c r="D429">
        <f t="shared" si="16"/>
        <v>2.3491214667685334E-2</v>
      </c>
      <c r="E429">
        <v>3.465585481224065E-2</v>
      </c>
      <c r="F429">
        <v>426</v>
      </c>
      <c r="G429">
        <f t="shared" ca="1" si="17"/>
        <v>4.0947287778030479E-2</v>
      </c>
    </row>
    <row r="430" spans="2:7" x14ac:dyDescent="0.35">
      <c r="B430" s="2">
        <v>41106</v>
      </c>
      <c r="C430" s="4">
        <v>104.72</v>
      </c>
      <c r="D430">
        <f t="shared" si="16"/>
        <v>1.4925373134328179E-2</v>
      </c>
      <c r="E430">
        <v>3.4578146611341731E-2</v>
      </c>
      <c r="F430">
        <v>427</v>
      </c>
      <c r="G430">
        <f t="shared" ca="1" si="17"/>
        <v>-1.9038370092152555E-2</v>
      </c>
    </row>
    <row r="431" spans="2:7" x14ac:dyDescent="0.35">
      <c r="B431" s="2">
        <v>40611</v>
      </c>
      <c r="C431" s="4">
        <v>103.18</v>
      </c>
      <c r="D431">
        <f t="shared" si="16"/>
        <v>-0.98241727530818335</v>
      </c>
      <c r="E431">
        <v>3.4489673150190692E-2</v>
      </c>
      <c r="F431">
        <v>428</v>
      </c>
      <c r="G431">
        <f t="shared" ca="1" si="17"/>
        <v>-1.13984526731211E-2</v>
      </c>
    </row>
    <row r="432" spans="2:7" x14ac:dyDescent="0.35">
      <c r="B432" s="2">
        <v>44537</v>
      </c>
      <c r="C432" s="4">
        <v>5868.26</v>
      </c>
      <c r="D432">
        <f t="shared" si="16"/>
        <v>9.9558090472901082</v>
      </c>
      <c r="E432">
        <v>3.442647224729245E-2</v>
      </c>
      <c r="F432">
        <v>429</v>
      </c>
      <c r="G432">
        <f t="shared" ca="1" si="17"/>
        <v>1.5921156084752201E-2</v>
      </c>
    </row>
    <row r="433" spans="2:7" x14ac:dyDescent="0.35">
      <c r="B433" s="2">
        <v>42129</v>
      </c>
      <c r="C433" s="4">
        <v>535.63</v>
      </c>
      <c r="D433">
        <f t="shared" si="16"/>
        <v>-0.4814108398040392</v>
      </c>
      <c r="E433">
        <v>3.4394191031632548E-2</v>
      </c>
      <c r="F433">
        <v>430</v>
      </c>
      <c r="G433">
        <f t="shared" ca="1" si="17"/>
        <v>-2.6729550154942312E-3</v>
      </c>
    </row>
    <row r="434" spans="2:7" x14ac:dyDescent="0.35">
      <c r="B434" s="2">
        <v>42355</v>
      </c>
      <c r="C434" s="4">
        <v>1032.8599999999999</v>
      </c>
      <c r="D434">
        <f t="shared" si="16"/>
        <v>10.636547994592156</v>
      </c>
      <c r="E434">
        <v>3.4390898529824021E-2</v>
      </c>
      <c r="F434">
        <v>431</v>
      </c>
      <c r="G434">
        <f t="shared" ca="1" si="17"/>
        <v>-4.8790215136985282E-2</v>
      </c>
    </row>
    <row r="435" spans="2:7" x14ac:dyDescent="0.35">
      <c r="B435" s="2">
        <v>39414</v>
      </c>
      <c r="C435" s="4">
        <v>88.76</v>
      </c>
      <c r="D435">
        <f t="shared" si="16"/>
        <v>-0.94669421239437634</v>
      </c>
      <c r="E435">
        <v>3.4257748776509223E-2</v>
      </c>
      <c r="F435">
        <v>432</v>
      </c>
      <c r="G435">
        <f t="shared" ca="1" si="17"/>
        <v>-2.5838980961513328E-3</v>
      </c>
    </row>
    <row r="436" spans="2:7" x14ac:dyDescent="0.35">
      <c r="B436" s="2">
        <v>44167</v>
      </c>
      <c r="C436" s="4">
        <v>1665.11</v>
      </c>
      <c r="D436">
        <f t="shared" si="16"/>
        <v>5.1363921135065409</v>
      </c>
      <c r="E436">
        <v>3.4197695723735322E-2</v>
      </c>
      <c r="F436">
        <v>433</v>
      </c>
      <c r="G436">
        <f t="shared" ca="1" si="17"/>
        <v>-3.9013617539577234E-3</v>
      </c>
    </row>
    <row r="437" spans="2:7" x14ac:dyDescent="0.35">
      <c r="B437" s="2">
        <v>41932</v>
      </c>
      <c r="C437" s="4">
        <v>271.35000000000002</v>
      </c>
      <c r="D437">
        <f t="shared" si="16"/>
        <v>-0.80292400209168557</v>
      </c>
      <c r="E437">
        <v>3.4187056940315763E-2</v>
      </c>
      <c r="F437">
        <v>434</v>
      </c>
      <c r="G437">
        <f t="shared" ca="1" si="17"/>
        <v>4.8621662875495332E-2</v>
      </c>
    </row>
    <row r="438" spans="2:7" x14ac:dyDescent="0.35">
      <c r="B438" s="2">
        <v>44110</v>
      </c>
      <c r="C438" s="4">
        <v>1376.88</v>
      </c>
      <c r="D438">
        <f t="shared" si="16"/>
        <v>10.395183315401805</v>
      </c>
      <c r="E438">
        <v>3.4151763919453737E-2</v>
      </c>
      <c r="F438">
        <v>435</v>
      </c>
      <c r="G438">
        <f t="shared" ca="1" si="17"/>
        <v>4.2806652957126219E-2</v>
      </c>
    </row>
    <row r="439" spans="2:7" x14ac:dyDescent="0.35">
      <c r="B439" s="2">
        <v>39240</v>
      </c>
      <c r="C439" s="4">
        <v>120.83</v>
      </c>
      <c r="D439">
        <f t="shared" si="16"/>
        <v>0.12704038802350537</v>
      </c>
      <c r="E439">
        <v>3.4149263950701725E-2</v>
      </c>
      <c r="F439">
        <v>436</v>
      </c>
      <c r="G439">
        <f t="shared" ca="1" si="17"/>
        <v>1.5168324770266852E-2</v>
      </c>
    </row>
    <row r="440" spans="2:7" x14ac:dyDescent="0.35">
      <c r="B440" s="2">
        <v>40731</v>
      </c>
      <c r="C440" s="4">
        <v>107.21</v>
      </c>
      <c r="D440">
        <f t="shared" si="16"/>
        <v>-0.77531645569620256</v>
      </c>
      <c r="E440">
        <v>3.4146811999614002E-2</v>
      </c>
      <c r="F440">
        <v>437</v>
      </c>
      <c r="G440">
        <f t="shared" ca="1" si="17"/>
        <v>-5.1685302415510649E-3</v>
      </c>
    </row>
    <row r="441" spans="2:7" x14ac:dyDescent="0.35">
      <c r="B441" s="2">
        <v>42061</v>
      </c>
      <c r="C441" s="4">
        <v>477.16</v>
      </c>
      <c r="D441">
        <f t="shared" si="16"/>
        <v>14.878868552412646</v>
      </c>
      <c r="E441">
        <v>3.4089677740935853E-2</v>
      </c>
      <c r="F441">
        <v>438</v>
      </c>
      <c r="G441">
        <f t="shared" ca="1" si="17"/>
        <v>2.8065195583430774E-2</v>
      </c>
    </row>
    <row r="442" spans="2:7" x14ac:dyDescent="0.35">
      <c r="B442" s="2">
        <v>39902</v>
      </c>
      <c r="C442" s="4">
        <v>30.05</v>
      </c>
      <c r="D442">
        <f t="shared" si="16"/>
        <v>-0.8951939174107143</v>
      </c>
      <c r="E442">
        <v>3.4067446662078504E-2</v>
      </c>
      <c r="F442">
        <v>439</v>
      </c>
      <c r="G442">
        <f t="shared" ca="1" si="17"/>
        <v>-4.8369359490627914E-2</v>
      </c>
    </row>
    <row r="443" spans="2:7" x14ac:dyDescent="0.35">
      <c r="B443" s="2">
        <v>41976</v>
      </c>
      <c r="C443" s="4">
        <v>286.72000000000003</v>
      </c>
      <c r="D443">
        <f t="shared" si="16"/>
        <v>1.7659656569554314</v>
      </c>
      <c r="E443">
        <v>3.4045008655510856E-2</v>
      </c>
      <c r="F443">
        <v>440</v>
      </c>
      <c r="G443">
        <f t="shared" ca="1" si="17"/>
        <v>-3.0170068354027638E-2</v>
      </c>
    </row>
    <row r="444" spans="2:7" x14ac:dyDescent="0.35">
      <c r="B444" s="2">
        <v>39379</v>
      </c>
      <c r="C444" s="4">
        <v>103.66</v>
      </c>
      <c r="D444">
        <f t="shared" si="16"/>
        <v>2.5499999999999998</v>
      </c>
      <c r="E444">
        <v>3.4014962593516218E-2</v>
      </c>
      <c r="F444">
        <v>441</v>
      </c>
      <c r="G444">
        <f t="shared" ca="1" si="17"/>
        <v>1.5276953964087686E-2</v>
      </c>
    </row>
    <row r="445" spans="2:7" x14ac:dyDescent="0.35">
      <c r="B445" s="2">
        <v>37890</v>
      </c>
      <c r="C445" s="4">
        <v>29.2</v>
      </c>
      <c r="D445">
        <f t="shared" si="16"/>
        <v>-0.96693878013156553</v>
      </c>
      <c r="E445">
        <v>3.3994334277620331E-2</v>
      </c>
      <c r="F445">
        <v>442</v>
      </c>
      <c r="G445">
        <f t="shared" ca="1" si="17"/>
        <v>3.6378447361586533E-2</v>
      </c>
    </row>
    <row r="446" spans="2:7" x14ac:dyDescent="0.35">
      <c r="B446" s="2">
        <v>42471</v>
      </c>
      <c r="C446" s="4">
        <v>883.21</v>
      </c>
      <c r="D446">
        <f t="shared" si="16"/>
        <v>12.737906361798101</v>
      </c>
      <c r="E446">
        <v>3.3973706084126531E-2</v>
      </c>
      <c r="F446">
        <v>443</v>
      </c>
      <c r="G446">
        <f t="shared" ca="1" si="17"/>
        <v>-1.1468998650837895E-2</v>
      </c>
    </row>
    <row r="447" spans="2:7" x14ac:dyDescent="0.35">
      <c r="B447" s="2">
        <v>38754</v>
      </c>
      <c r="C447" s="4">
        <v>64.290000000000006</v>
      </c>
      <c r="D447">
        <f t="shared" si="16"/>
        <v>-0.34297393970362788</v>
      </c>
      <c r="E447">
        <v>3.3933740752653652E-2</v>
      </c>
      <c r="F447">
        <v>444</v>
      </c>
      <c r="G447">
        <f t="shared" ca="1" si="17"/>
        <v>-1.6518429030234458E-2</v>
      </c>
    </row>
    <row r="448" spans="2:7" x14ac:dyDescent="0.35">
      <c r="B448" s="2">
        <v>39085</v>
      </c>
      <c r="C448" s="4">
        <v>97.85</v>
      </c>
      <c r="D448">
        <f t="shared" si="16"/>
        <v>0.27808254963427359</v>
      </c>
      <c r="E448">
        <v>3.3918005071851054E-2</v>
      </c>
      <c r="F448">
        <v>445</v>
      </c>
      <c r="G448">
        <f t="shared" ca="1" si="17"/>
        <v>-9.780698628117904E-3</v>
      </c>
    </row>
    <row r="449" spans="2:7" x14ac:dyDescent="0.35">
      <c r="B449" s="2">
        <v>39598</v>
      </c>
      <c r="C449" s="4">
        <v>76.56</v>
      </c>
      <c r="D449">
        <f t="shared" si="16"/>
        <v>-0.89985611510791363</v>
      </c>
      <c r="E449">
        <v>3.3896016205266832E-2</v>
      </c>
      <c r="F449">
        <v>446</v>
      </c>
      <c r="G449">
        <f t="shared" ca="1" si="17"/>
        <v>4.4761139293920733E-2</v>
      </c>
    </row>
    <row r="450" spans="2:7" x14ac:dyDescent="0.35">
      <c r="B450" s="2">
        <v>43765</v>
      </c>
      <c r="C450" s="4">
        <v>764.5</v>
      </c>
      <c r="D450">
        <f t="shared" si="16"/>
        <v>6.8814432989690726</v>
      </c>
      <c r="E450">
        <v>3.3876529853269277E-2</v>
      </c>
      <c r="F450">
        <v>447</v>
      </c>
      <c r="G450">
        <f t="shared" ca="1" si="17"/>
        <v>5.2288790618884591E-2</v>
      </c>
    </row>
    <row r="451" spans="2:7" x14ac:dyDescent="0.35">
      <c r="B451" s="2">
        <v>40603</v>
      </c>
      <c r="C451" s="4">
        <v>97</v>
      </c>
      <c r="D451">
        <f t="shared" si="16"/>
        <v>-0.24525365701836299</v>
      </c>
      <c r="E451">
        <v>3.3784503890013973E-2</v>
      </c>
      <c r="F451">
        <v>448</v>
      </c>
      <c r="G451">
        <f t="shared" ca="1" si="17"/>
        <v>-3.2156856657590636E-4</v>
      </c>
    </row>
    <row r="452" spans="2:7" x14ac:dyDescent="0.35">
      <c r="B452" s="2">
        <v>40275</v>
      </c>
      <c r="C452" s="4">
        <v>128.52000000000001</v>
      </c>
      <c r="D452">
        <f t="shared" ref="D452:D515" si="18">C452/C453-1</f>
        <v>0.14668094218415439</v>
      </c>
      <c r="E452">
        <v>3.3783783783783994E-2</v>
      </c>
      <c r="F452">
        <v>449</v>
      </c>
      <c r="G452">
        <f t="shared" ca="1" si="17"/>
        <v>3.692538745092136E-2</v>
      </c>
    </row>
    <row r="453" spans="2:7" x14ac:dyDescent="0.35">
      <c r="B453" s="2">
        <v>41603</v>
      </c>
      <c r="C453" s="4">
        <v>112.08</v>
      </c>
      <c r="D453">
        <f t="shared" si="18"/>
        <v>-0.98051968367080911</v>
      </c>
      <c r="E453">
        <v>3.3757609297177638E-2</v>
      </c>
      <c r="F453">
        <v>450</v>
      </c>
      <c r="G453">
        <f t="shared" ref="G453:G516" ca="1" si="19">_xlfn.NORM.INV(RAND(),K$6,K$7)</f>
        <v>-3.3985664729818135E-2</v>
      </c>
    </row>
    <row r="454" spans="2:7" x14ac:dyDescent="0.35">
      <c r="B454" s="2">
        <v>44470</v>
      </c>
      <c r="C454" s="4">
        <v>5753.5</v>
      </c>
      <c r="D454">
        <f t="shared" si="18"/>
        <v>76.228187919463082</v>
      </c>
      <c r="E454">
        <v>3.3742386402429103E-2</v>
      </c>
      <c r="F454">
        <v>451</v>
      </c>
      <c r="G454">
        <f t="shared" ca="1" si="19"/>
        <v>1.7304384380371256E-4</v>
      </c>
    </row>
    <row r="455" spans="2:7" x14ac:dyDescent="0.35">
      <c r="B455" s="2">
        <v>39471</v>
      </c>
      <c r="C455" s="4">
        <v>74.5</v>
      </c>
      <c r="D455">
        <f t="shared" si="18"/>
        <v>-1.6501650165016479E-2</v>
      </c>
      <c r="E455">
        <v>3.3717219370057006E-2</v>
      </c>
      <c r="F455">
        <v>452</v>
      </c>
      <c r="G455">
        <f t="shared" ca="1" si="19"/>
        <v>8.2905031145609088E-3</v>
      </c>
    </row>
    <row r="456" spans="2:7" x14ac:dyDescent="0.35">
      <c r="B456" s="2">
        <v>39630</v>
      </c>
      <c r="C456" s="4">
        <v>75.75</v>
      </c>
      <c r="D456">
        <f t="shared" si="18"/>
        <v>-0.98919439392318387</v>
      </c>
      <c r="E456">
        <v>3.3706331877729312E-2</v>
      </c>
      <c r="F456">
        <v>453</v>
      </c>
      <c r="G456">
        <f t="shared" ca="1" si="19"/>
        <v>5.1312755911900827E-2</v>
      </c>
    </row>
    <row r="457" spans="2:7" x14ac:dyDescent="0.35">
      <c r="B457" s="2">
        <v>44895</v>
      </c>
      <c r="C457" s="4">
        <v>7010.25</v>
      </c>
      <c r="D457">
        <f t="shared" si="18"/>
        <v>1.5648976455737884</v>
      </c>
      <c r="E457">
        <v>3.3693368230913956E-2</v>
      </c>
      <c r="F457">
        <v>454</v>
      </c>
      <c r="G457">
        <f t="shared" ca="1" si="19"/>
        <v>-5.9603797357986798E-3</v>
      </c>
    </row>
    <row r="458" spans="2:7" x14ac:dyDescent="0.35">
      <c r="B458" s="2">
        <v>44274</v>
      </c>
      <c r="C458" s="4">
        <v>2733.15</v>
      </c>
      <c r="D458">
        <f t="shared" si="18"/>
        <v>24.040311497938617</v>
      </c>
      <c r="E458">
        <v>3.3627937055399792E-2</v>
      </c>
      <c r="F458">
        <v>455</v>
      </c>
      <c r="G458">
        <f t="shared" ca="1" si="19"/>
        <v>-4.0657745782987205E-2</v>
      </c>
    </row>
    <row r="459" spans="2:7" x14ac:dyDescent="0.35">
      <c r="B459" s="2">
        <v>39113</v>
      </c>
      <c r="C459" s="4">
        <v>109.15</v>
      </c>
      <c r="D459">
        <f t="shared" si="18"/>
        <v>0.21102851436813497</v>
      </c>
      <c r="E459">
        <v>3.361742424242431E-2</v>
      </c>
      <c r="F459">
        <v>456</v>
      </c>
      <c r="G459">
        <f t="shared" ca="1" si="19"/>
        <v>-6.8616891170581815E-3</v>
      </c>
    </row>
    <row r="460" spans="2:7" x14ac:dyDescent="0.35">
      <c r="B460" s="2">
        <v>39072</v>
      </c>
      <c r="C460" s="4">
        <v>90.13</v>
      </c>
      <c r="D460">
        <f t="shared" si="18"/>
        <v>1.7039043105393725E-2</v>
      </c>
      <c r="E460">
        <v>3.3600917431192645E-2</v>
      </c>
      <c r="F460">
        <v>457</v>
      </c>
      <c r="G460">
        <f t="shared" ca="1" si="19"/>
        <v>-1.4279526945820912E-2</v>
      </c>
    </row>
    <row r="461" spans="2:7" x14ac:dyDescent="0.35">
      <c r="B461" s="2">
        <v>41341</v>
      </c>
      <c r="C461" s="4">
        <v>88.62</v>
      </c>
      <c r="D461">
        <f t="shared" si="18"/>
        <v>-0.91953000145285491</v>
      </c>
      <c r="E461">
        <v>3.358992302309316E-2</v>
      </c>
      <c r="F461">
        <v>458</v>
      </c>
      <c r="G461">
        <f t="shared" ca="1" si="19"/>
        <v>-4.7211427248633392E-2</v>
      </c>
    </row>
    <row r="462" spans="2:7" x14ac:dyDescent="0.35">
      <c r="B462" s="2">
        <v>43228</v>
      </c>
      <c r="C462" s="4">
        <v>1101.28</v>
      </c>
      <c r="D462">
        <f t="shared" si="18"/>
        <v>8.6918067411775066</v>
      </c>
      <c r="E462">
        <v>3.3570778312732807E-2</v>
      </c>
      <c r="F462">
        <v>459</v>
      </c>
      <c r="G462">
        <f t="shared" ca="1" si="19"/>
        <v>3.816592100675505E-3</v>
      </c>
    </row>
    <row r="463" spans="2:7" x14ac:dyDescent="0.35">
      <c r="B463" s="2">
        <v>40246</v>
      </c>
      <c r="C463" s="4">
        <v>113.63</v>
      </c>
      <c r="D463">
        <f t="shared" si="18"/>
        <v>-0.27527265769500608</v>
      </c>
      <c r="E463">
        <v>3.3563762052028379E-2</v>
      </c>
      <c r="F463">
        <v>460</v>
      </c>
      <c r="G463">
        <f t="shared" ca="1" si="19"/>
        <v>2.1556941738182664E-2</v>
      </c>
    </row>
    <row r="464" spans="2:7" x14ac:dyDescent="0.35">
      <c r="B464" s="2">
        <v>41626</v>
      </c>
      <c r="C464" s="4">
        <v>156.79</v>
      </c>
      <c r="D464">
        <f t="shared" si="18"/>
        <v>-0.98054859439743935</v>
      </c>
      <c r="E464">
        <v>3.3553065260382375E-2</v>
      </c>
      <c r="F464">
        <v>461</v>
      </c>
      <c r="G464">
        <f t="shared" ca="1" si="19"/>
        <v>6.5229701505409837E-3</v>
      </c>
    </row>
    <row r="465" spans="2:7" x14ac:dyDescent="0.35">
      <c r="B465" s="2">
        <v>44757</v>
      </c>
      <c r="C465" s="4">
        <v>8060.6</v>
      </c>
      <c r="D465">
        <f t="shared" si="18"/>
        <v>0.35186446135733207</v>
      </c>
      <c r="E465">
        <v>3.3469879672545222E-2</v>
      </c>
      <c r="F465">
        <v>462</v>
      </c>
      <c r="G465">
        <f t="shared" ca="1" si="19"/>
        <v>4.5880962267821783E-2</v>
      </c>
    </row>
    <row r="466" spans="2:7" x14ac:dyDescent="0.35">
      <c r="B466" s="2">
        <v>44571</v>
      </c>
      <c r="C466" s="4">
        <v>5962.58</v>
      </c>
      <c r="D466">
        <f t="shared" si="18"/>
        <v>-0.43638116663988435</v>
      </c>
      <c r="E466">
        <v>3.3347428840794668E-2</v>
      </c>
      <c r="F466">
        <v>463</v>
      </c>
      <c r="G466">
        <f t="shared" ca="1" si="19"/>
        <v>8.6452803774238196E-3</v>
      </c>
    </row>
    <row r="467" spans="2:7" x14ac:dyDescent="0.35">
      <c r="B467" s="2">
        <v>44789</v>
      </c>
      <c r="C467" s="4">
        <v>10579.1</v>
      </c>
      <c r="D467">
        <f t="shared" si="18"/>
        <v>164.37595748006879</v>
      </c>
      <c r="E467">
        <v>3.3312007657708254E-2</v>
      </c>
      <c r="F467">
        <v>464</v>
      </c>
      <c r="G467">
        <f t="shared" ca="1" si="19"/>
        <v>-1.8403212012700242E-2</v>
      </c>
    </row>
    <row r="468" spans="2:7" x14ac:dyDescent="0.35">
      <c r="B468" s="2">
        <v>38938</v>
      </c>
      <c r="C468" s="4">
        <v>63.97</v>
      </c>
      <c r="D468">
        <f t="shared" si="18"/>
        <v>-0.92823648193852371</v>
      </c>
      <c r="E468">
        <v>3.3274107575512968E-2</v>
      </c>
      <c r="F468">
        <v>465</v>
      </c>
      <c r="G468">
        <f t="shared" ca="1" si="19"/>
        <v>1.4630600737910098E-2</v>
      </c>
    </row>
    <row r="469" spans="2:7" x14ac:dyDescent="0.35">
      <c r="B469" s="2">
        <v>42282</v>
      </c>
      <c r="C469" s="4">
        <v>891.4</v>
      </c>
      <c r="D469">
        <f t="shared" si="18"/>
        <v>12.386394353506532</v>
      </c>
      <c r="E469">
        <v>3.3207765864966543E-2</v>
      </c>
      <c r="F469">
        <v>466</v>
      </c>
      <c r="G469">
        <f t="shared" ca="1" si="19"/>
        <v>-1.2764553762548586E-2</v>
      </c>
    </row>
    <row r="470" spans="2:7" x14ac:dyDescent="0.35">
      <c r="B470" s="2">
        <v>38539</v>
      </c>
      <c r="C470" s="4">
        <v>66.59</v>
      </c>
      <c r="D470">
        <f t="shared" si="18"/>
        <v>0.94480140186915884</v>
      </c>
      <c r="E470">
        <v>3.3204034134988403E-2</v>
      </c>
      <c r="F470">
        <v>467</v>
      </c>
      <c r="G470">
        <f t="shared" ca="1" si="19"/>
        <v>9.0577127233463055E-3</v>
      </c>
    </row>
    <row r="471" spans="2:7" x14ac:dyDescent="0.35">
      <c r="B471" s="2">
        <v>39792</v>
      </c>
      <c r="C471" s="4">
        <v>34.24</v>
      </c>
      <c r="D471">
        <f t="shared" si="18"/>
        <v>-0.95949127477077789</v>
      </c>
      <c r="E471">
        <v>3.3192516596258326E-2</v>
      </c>
      <c r="F471">
        <v>468</v>
      </c>
      <c r="G471">
        <f t="shared" ca="1" si="19"/>
        <v>-5.7812948769295708E-3</v>
      </c>
    </row>
    <row r="472" spans="2:7" x14ac:dyDescent="0.35">
      <c r="B472" s="2">
        <v>42290</v>
      </c>
      <c r="C472" s="4">
        <v>845.25</v>
      </c>
      <c r="D472">
        <f t="shared" si="18"/>
        <v>7.1824782187802523</v>
      </c>
      <c r="E472">
        <v>3.3136138069279175E-2</v>
      </c>
      <c r="F472">
        <v>469</v>
      </c>
      <c r="G472">
        <f t="shared" ca="1" si="19"/>
        <v>1.2971549262086308E-2</v>
      </c>
    </row>
    <row r="473" spans="2:7" x14ac:dyDescent="0.35">
      <c r="B473" s="2">
        <v>40728</v>
      </c>
      <c r="C473" s="4">
        <v>103.3</v>
      </c>
      <c r="D473">
        <f t="shared" si="18"/>
        <v>2.0928143712574849</v>
      </c>
      <c r="E473">
        <v>3.3103310331033198E-2</v>
      </c>
      <c r="F473">
        <v>470</v>
      </c>
      <c r="G473">
        <f t="shared" ca="1" si="19"/>
        <v>-3.7160143769277836E-2</v>
      </c>
    </row>
    <row r="474" spans="2:7" x14ac:dyDescent="0.35">
      <c r="B474" s="2">
        <v>37491</v>
      </c>
      <c r="C474" s="4">
        <v>33.4</v>
      </c>
      <c r="D474">
        <f t="shared" si="18"/>
        <v>1.8603232692894212E-2</v>
      </c>
      <c r="E474">
        <v>3.3096195484070501E-2</v>
      </c>
      <c r="F474">
        <v>471</v>
      </c>
      <c r="G474">
        <f t="shared" ca="1" si="19"/>
        <v>-4.1624460047872099E-3</v>
      </c>
    </row>
    <row r="475" spans="2:7" x14ac:dyDescent="0.35">
      <c r="B475" s="2">
        <v>37516</v>
      </c>
      <c r="C475" s="4">
        <v>32.79</v>
      </c>
      <c r="D475">
        <f t="shared" si="18"/>
        <v>-0.95450951013443208</v>
      </c>
      <c r="E475">
        <v>3.3081285444234387E-2</v>
      </c>
      <c r="F475">
        <v>472</v>
      </c>
      <c r="G475">
        <f t="shared" ca="1" si="19"/>
        <v>-4.6765640539690505E-2</v>
      </c>
    </row>
    <row r="476" spans="2:7" x14ac:dyDescent="0.35">
      <c r="B476" s="2">
        <v>42831</v>
      </c>
      <c r="C476" s="4">
        <v>720.81</v>
      </c>
      <c r="D476">
        <f t="shared" si="18"/>
        <v>10.695765049488884</v>
      </c>
      <c r="E476">
        <v>3.3078698063720768E-2</v>
      </c>
      <c r="F476">
        <v>473</v>
      </c>
      <c r="G476">
        <f t="shared" ca="1" si="19"/>
        <v>-2.0911338314767682E-2</v>
      </c>
    </row>
    <row r="477" spans="2:7" x14ac:dyDescent="0.35">
      <c r="B477" s="2">
        <v>39545</v>
      </c>
      <c r="C477" s="4">
        <v>61.63</v>
      </c>
      <c r="D477">
        <f t="shared" si="18"/>
        <v>-0.94685419612983335</v>
      </c>
      <c r="E477">
        <v>3.3020449212202596E-2</v>
      </c>
      <c r="F477">
        <v>474</v>
      </c>
      <c r="G477">
        <f t="shared" ca="1" si="19"/>
        <v>-3.0159979166892299E-2</v>
      </c>
    </row>
    <row r="478" spans="2:7" x14ac:dyDescent="0.35">
      <c r="B478" s="2">
        <v>44077</v>
      </c>
      <c r="C478" s="4">
        <v>1159.6400000000001</v>
      </c>
      <c r="D478">
        <f t="shared" si="18"/>
        <v>2.9599781450621507</v>
      </c>
      <c r="E478">
        <v>3.2985631697562079E-2</v>
      </c>
      <c r="F478">
        <v>475</v>
      </c>
      <c r="G478">
        <f t="shared" ca="1" si="19"/>
        <v>1.0239846399862355E-2</v>
      </c>
    </row>
    <row r="479" spans="2:7" x14ac:dyDescent="0.35">
      <c r="B479" s="2">
        <v>41702</v>
      </c>
      <c r="C479" s="4">
        <v>292.83999999999997</v>
      </c>
      <c r="D479">
        <f t="shared" si="18"/>
        <v>-0.76525287181254864</v>
      </c>
      <c r="E479">
        <v>3.2981763025150768E-2</v>
      </c>
      <c r="F479">
        <v>476</v>
      </c>
      <c r="G479">
        <f t="shared" ca="1" si="19"/>
        <v>-1.8356411930384602E-2</v>
      </c>
    </row>
    <row r="480" spans="2:7" x14ac:dyDescent="0.35">
      <c r="B480" s="2">
        <v>44084</v>
      </c>
      <c r="C480" s="4">
        <v>1247.47</v>
      </c>
      <c r="D480">
        <f t="shared" si="18"/>
        <v>53.35599128540305</v>
      </c>
      <c r="E480">
        <v>3.2947469528351814E-2</v>
      </c>
      <c r="F480">
        <v>477</v>
      </c>
      <c r="G480">
        <f t="shared" ca="1" si="19"/>
        <v>1.5441337478436758E-2</v>
      </c>
    </row>
    <row r="481" spans="2:7" x14ac:dyDescent="0.35">
      <c r="B481" s="2">
        <v>37700</v>
      </c>
      <c r="C481" s="4">
        <v>22.95</v>
      </c>
      <c r="D481">
        <f t="shared" si="18"/>
        <v>-0.77047704770477043</v>
      </c>
      <c r="E481">
        <v>3.2853285328532822E-2</v>
      </c>
      <c r="F481">
        <v>478</v>
      </c>
      <c r="G481">
        <f t="shared" ca="1" si="19"/>
        <v>-2.3654082635480109E-2</v>
      </c>
    </row>
    <row r="482" spans="2:7" x14ac:dyDescent="0.35">
      <c r="B482" s="2">
        <v>39097</v>
      </c>
      <c r="C482" s="4">
        <v>99.99</v>
      </c>
      <c r="D482">
        <f t="shared" si="18"/>
        <v>-0.6032772575781622</v>
      </c>
      <c r="E482">
        <v>3.2847846296869987E-2</v>
      </c>
      <c r="F482">
        <v>479</v>
      </c>
      <c r="G482">
        <f t="shared" ca="1" si="19"/>
        <v>2.4554884946232845E-2</v>
      </c>
    </row>
    <row r="483" spans="2:7" x14ac:dyDescent="0.35">
      <c r="B483" s="2">
        <v>41757</v>
      </c>
      <c r="C483" s="4">
        <v>252.04</v>
      </c>
      <c r="D483">
        <f t="shared" si="18"/>
        <v>-0.64649283981093175</v>
      </c>
      <c r="E483">
        <v>3.2823833135270153E-2</v>
      </c>
      <c r="F483">
        <v>480</v>
      </c>
      <c r="G483">
        <f t="shared" ca="1" si="19"/>
        <v>6.5237731046244793E-2</v>
      </c>
    </row>
    <row r="484" spans="2:7" x14ac:dyDescent="0.35">
      <c r="B484" s="2">
        <v>42892</v>
      </c>
      <c r="C484" s="4">
        <v>712.97</v>
      </c>
      <c r="D484">
        <f t="shared" si="18"/>
        <v>7.3505504802061381</v>
      </c>
      <c r="E484">
        <v>3.2810870321010599E-2</v>
      </c>
      <c r="F484">
        <v>481</v>
      </c>
      <c r="G484">
        <f t="shared" ca="1" si="19"/>
        <v>1.943611256718868E-2</v>
      </c>
    </row>
    <row r="485" spans="2:7" x14ac:dyDescent="0.35">
      <c r="B485" s="2">
        <v>41365</v>
      </c>
      <c r="C485" s="4">
        <v>85.38</v>
      </c>
      <c r="D485">
        <f t="shared" si="18"/>
        <v>0.12430866473531732</v>
      </c>
      <c r="E485">
        <v>3.2780936252570392E-2</v>
      </c>
      <c r="F485">
        <v>482</v>
      </c>
      <c r="G485">
        <f t="shared" ca="1" si="19"/>
        <v>-2.2979262064614727E-2</v>
      </c>
    </row>
    <row r="486" spans="2:7" x14ac:dyDescent="0.35">
      <c r="B486" s="2">
        <v>39608</v>
      </c>
      <c r="C486" s="4">
        <v>75.94</v>
      </c>
      <c r="D486">
        <f t="shared" si="18"/>
        <v>1.9029051987767582</v>
      </c>
      <c r="E486">
        <v>3.2775737794097592E-2</v>
      </c>
      <c r="F486">
        <v>483</v>
      </c>
      <c r="G486">
        <f t="shared" ca="1" si="19"/>
        <v>-4.3638760061442605E-3</v>
      </c>
    </row>
    <row r="487" spans="2:7" x14ac:dyDescent="0.35">
      <c r="B487" s="2">
        <v>38078</v>
      </c>
      <c r="C487" s="4">
        <v>26.16</v>
      </c>
      <c r="D487">
        <f t="shared" si="18"/>
        <v>-0.97737239536030307</v>
      </c>
      <c r="E487">
        <v>3.2767469403869098E-2</v>
      </c>
      <c r="F487">
        <v>484</v>
      </c>
      <c r="G487">
        <f t="shared" ca="1" si="19"/>
        <v>5.0667040004056703E-2</v>
      </c>
    </row>
    <row r="488" spans="2:7" x14ac:dyDescent="0.35">
      <c r="B488" s="2">
        <v>43220</v>
      </c>
      <c r="C488" s="4">
        <v>1156.1099999999999</v>
      </c>
      <c r="D488">
        <f t="shared" si="18"/>
        <v>12.567773735477056</v>
      </c>
      <c r="E488">
        <v>3.26652017793021E-2</v>
      </c>
      <c r="F488">
        <v>485</v>
      </c>
      <c r="G488">
        <f t="shared" ca="1" si="19"/>
        <v>-1.6378051990268334E-2</v>
      </c>
    </row>
    <row r="489" spans="2:7" x14ac:dyDescent="0.35">
      <c r="B489" s="2">
        <v>40788</v>
      </c>
      <c r="C489" s="4">
        <v>85.21</v>
      </c>
      <c r="D489">
        <f t="shared" si="18"/>
        <v>2.0541218637992831</v>
      </c>
      <c r="E489">
        <v>3.2598158022297596E-2</v>
      </c>
      <c r="F489">
        <v>486</v>
      </c>
      <c r="G489">
        <f t="shared" ca="1" si="19"/>
        <v>-1.7228354048135067E-2</v>
      </c>
    </row>
    <row r="490" spans="2:7" x14ac:dyDescent="0.35">
      <c r="B490" s="2">
        <v>37560</v>
      </c>
      <c r="C490" s="4">
        <v>27.9</v>
      </c>
      <c r="D490">
        <f t="shared" si="18"/>
        <v>-0.91596385542168679</v>
      </c>
      <c r="E490">
        <v>3.2568467801628476E-2</v>
      </c>
      <c r="F490">
        <v>487</v>
      </c>
      <c r="G490">
        <f t="shared" ca="1" si="19"/>
        <v>-4.9311416048151676E-3</v>
      </c>
    </row>
    <row r="491" spans="2:7" x14ac:dyDescent="0.35">
      <c r="B491" s="2">
        <v>42018</v>
      </c>
      <c r="C491" s="4">
        <v>332</v>
      </c>
      <c r="D491">
        <f t="shared" si="18"/>
        <v>3.5182362547632007</v>
      </c>
      <c r="E491">
        <v>3.2530944828015107E-2</v>
      </c>
      <c r="F491">
        <v>488</v>
      </c>
      <c r="G491">
        <f t="shared" ca="1" si="19"/>
        <v>-1.2398504691870352E-3</v>
      </c>
    </row>
    <row r="492" spans="2:7" x14ac:dyDescent="0.35">
      <c r="B492" s="2">
        <v>38947</v>
      </c>
      <c r="C492" s="4">
        <v>73.48</v>
      </c>
      <c r="D492">
        <f t="shared" si="18"/>
        <v>6.9577874818049557E-2</v>
      </c>
      <c r="E492">
        <v>3.231244731666183E-2</v>
      </c>
      <c r="F492">
        <v>489</v>
      </c>
      <c r="G492">
        <f t="shared" ca="1" si="19"/>
        <v>2.018184988070185E-2</v>
      </c>
    </row>
    <row r="493" spans="2:7" x14ac:dyDescent="0.35">
      <c r="B493" s="2">
        <v>38621</v>
      </c>
      <c r="C493" s="4">
        <v>68.7</v>
      </c>
      <c r="D493">
        <f t="shared" si="18"/>
        <v>-0.9147007698038242</v>
      </c>
      <c r="E493">
        <v>3.2306536438768019E-2</v>
      </c>
      <c r="F493">
        <v>490</v>
      </c>
      <c r="G493">
        <f t="shared" ca="1" si="19"/>
        <v>6.7451263563131393E-3</v>
      </c>
    </row>
    <row r="494" spans="2:7" x14ac:dyDescent="0.35">
      <c r="B494" s="2">
        <v>42230</v>
      </c>
      <c r="C494" s="4">
        <v>805.4</v>
      </c>
      <c r="D494">
        <f t="shared" si="18"/>
        <v>19.99582898852972</v>
      </c>
      <c r="E494">
        <v>3.229941040758777E-2</v>
      </c>
      <c r="F494">
        <v>491</v>
      </c>
      <c r="G494">
        <f t="shared" ca="1" si="19"/>
        <v>3.448047977518057E-3</v>
      </c>
    </row>
    <row r="495" spans="2:7" x14ac:dyDescent="0.35">
      <c r="B495" s="2">
        <v>38183</v>
      </c>
      <c r="C495" s="4">
        <v>38.36</v>
      </c>
      <c r="D495">
        <f t="shared" si="18"/>
        <v>-0.53598645215918717</v>
      </c>
      <c r="E495">
        <v>3.2292787944026013E-2</v>
      </c>
      <c r="F495">
        <v>492</v>
      </c>
      <c r="G495">
        <f t="shared" ca="1" si="19"/>
        <v>-9.0838855573645329E-3</v>
      </c>
    </row>
    <row r="496" spans="2:7" x14ac:dyDescent="0.35">
      <c r="B496" s="2">
        <v>41361</v>
      </c>
      <c r="C496" s="4">
        <v>82.67</v>
      </c>
      <c r="D496">
        <f t="shared" si="18"/>
        <v>-0.98544075742579484</v>
      </c>
      <c r="E496">
        <v>3.2213759520539398E-2</v>
      </c>
      <c r="F496">
        <v>493</v>
      </c>
      <c r="G496">
        <f t="shared" ca="1" si="19"/>
        <v>-2.9597022390116794E-2</v>
      </c>
    </row>
    <row r="497" spans="2:7" x14ac:dyDescent="0.35">
      <c r="B497" s="2">
        <v>44559</v>
      </c>
      <c r="C497" s="4">
        <v>5678.18</v>
      </c>
      <c r="D497">
        <f t="shared" si="18"/>
        <v>7.7029918459935018</v>
      </c>
      <c r="E497">
        <v>3.2193678332254727E-2</v>
      </c>
      <c r="F497">
        <v>494</v>
      </c>
      <c r="G497">
        <f t="shared" ca="1" si="19"/>
        <v>2.3412722274718627E-2</v>
      </c>
    </row>
    <row r="498" spans="2:7" x14ac:dyDescent="0.35">
      <c r="B498" s="2">
        <v>43754</v>
      </c>
      <c r="C498" s="4">
        <v>652.44000000000005</v>
      </c>
      <c r="D498">
        <f t="shared" si="18"/>
        <v>0.25522336373080945</v>
      </c>
      <c r="E498">
        <v>3.2178452776459476E-2</v>
      </c>
      <c r="F498">
        <v>495</v>
      </c>
      <c r="G498">
        <f t="shared" ca="1" si="19"/>
        <v>-4.4214083703562708E-3</v>
      </c>
    </row>
    <row r="499" spans="2:7" x14ac:dyDescent="0.35">
      <c r="B499" s="2">
        <v>42137</v>
      </c>
      <c r="C499" s="4">
        <v>519.78</v>
      </c>
      <c r="D499">
        <f t="shared" si="18"/>
        <v>16.764183185235815</v>
      </c>
      <c r="E499">
        <v>3.2128673550436693E-2</v>
      </c>
      <c r="F499">
        <v>496</v>
      </c>
      <c r="G499">
        <f t="shared" ca="1" si="19"/>
        <v>4.1370257185082408E-2</v>
      </c>
    </row>
    <row r="500" spans="2:7" x14ac:dyDescent="0.35">
      <c r="B500" s="2">
        <v>37952</v>
      </c>
      <c r="C500" s="4">
        <v>29.26</v>
      </c>
      <c r="D500">
        <f t="shared" si="18"/>
        <v>-0.53415061295971977</v>
      </c>
      <c r="E500">
        <v>3.2098765432098775E-2</v>
      </c>
      <c r="F500">
        <v>497</v>
      </c>
      <c r="G500">
        <f t="shared" ca="1" si="19"/>
        <v>-2.7488261565993165E-2</v>
      </c>
    </row>
    <row r="501" spans="2:7" x14ac:dyDescent="0.35">
      <c r="B501" s="2">
        <v>38931</v>
      </c>
      <c r="C501" s="4">
        <v>62.81</v>
      </c>
      <c r="D501">
        <f t="shared" si="18"/>
        <v>-0.3978525548844789</v>
      </c>
      <c r="E501">
        <v>3.2040749260598078E-2</v>
      </c>
      <c r="F501">
        <v>498</v>
      </c>
      <c r="G501">
        <f t="shared" ca="1" si="19"/>
        <v>-1.4942581675783419E-2</v>
      </c>
    </row>
    <row r="502" spans="2:7" x14ac:dyDescent="0.35">
      <c r="B502" s="2">
        <v>39181</v>
      </c>
      <c r="C502" s="4">
        <v>104.31</v>
      </c>
      <c r="D502">
        <f t="shared" si="18"/>
        <v>0.1292627476453394</v>
      </c>
      <c r="E502">
        <v>3.1954887218045069E-2</v>
      </c>
      <c r="F502">
        <v>499</v>
      </c>
      <c r="G502">
        <f t="shared" ca="1" si="19"/>
        <v>-7.2430831426292808E-3</v>
      </c>
    </row>
    <row r="503" spans="2:7" x14ac:dyDescent="0.35">
      <c r="B503" s="2">
        <v>41325</v>
      </c>
      <c r="C503" s="4">
        <v>92.37</v>
      </c>
      <c r="D503">
        <f t="shared" si="18"/>
        <v>-0.9005062473071952</v>
      </c>
      <c r="E503">
        <v>3.1951737236062927E-2</v>
      </c>
      <c r="F503">
        <v>500</v>
      </c>
      <c r="G503">
        <f t="shared" ca="1" si="19"/>
        <v>2.2582435709126693E-2</v>
      </c>
    </row>
    <row r="504" spans="2:7" x14ac:dyDescent="0.35">
      <c r="B504" s="2">
        <v>42338</v>
      </c>
      <c r="C504" s="4">
        <v>928.4</v>
      </c>
      <c r="D504">
        <f t="shared" si="18"/>
        <v>0.8137417703713834</v>
      </c>
      <c r="E504">
        <v>3.1945401596158662E-2</v>
      </c>
      <c r="F504">
        <v>501</v>
      </c>
      <c r="G504">
        <f t="shared" ca="1" si="19"/>
        <v>4.7858586167479691E-2</v>
      </c>
    </row>
    <row r="505" spans="2:7" x14ac:dyDescent="0.35">
      <c r="B505" s="2">
        <v>42123</v>
      </c>
      <c r="C505" s="4">
        <v>511.87</v>
      </c>
      <c r="D505">
        <f t="shared" si="18"/>
        <v>0.8223796639134151</v>
      </c>
      <c r="E505">
        <v>3.1850343701493866E-2</v>
      </c>
      <c r="F505">
        <v>502</v>
      </c>
      <c r="G505">
        <f t="shared" ca="1" si="19"/>
        <v>1.4609137789235971E-2</v>
      </c>
    </row>
    <row r="506" spans="2:7" x14ac:dyDescent="0.35">
      <c r="B506" s="2">
        <v>41970</v>
      </c>
      <c r="C506" s="4">
        <v>280.88</v>
      </c>
      <c r="D506">
        <f t="shared" si="18"/>
        <v>8.505245346869712</v>
      </c>
      <c r="E506">
        <v>3.1774602358299875E-2</v>
      </c>
      <c r="F506">
        <v>503</v>
      </c>
      <c r="G506">
        <f t="shared" ca="1" si="19"/>
        <v>-2.6970087730196525E-3</v>
      </c>
    </row>
    <row r="507" spans="2:7" x14ac:dyDescent="0.35">
      <c r="B507" s="2">
        <v>37629</v>
      </c>
      <c r="C507" s="4">
        <v>29.55</v>
      </c>
      <c r="D507">
        <f t="shared" si="18"/>
        <v>-0.96145719204883395</v>
      </c>
      <c r="E507">
        <v>3.1773743016759726E-2</v>
      </c>
      <c r="F507">
        <v>504</v>
      </c>
      <c r="G507">
        <f t="shared" ca="1" si="19"/>
        <v>-1.5825289554790883E-2</v>
      </c>
    </row>
    <row r="508" spans="2:7" x14ac:dyDescent="0.35">
      <c r="B508" s="2">
        <v>43958</v>
      </c>
      <c r="C508" s="4">
        <v>766.68</v>
      </c>
      <c r="D508">
        <f t="shared" si="18"/>
        <v>4.2867190732312777</v>
      </c>
      <c r="E508">
        <v>3.1745818137775883E-2</v>
      </c>
      <c r="F508">
        <v>505</v>
      </c>
      <c r="G508">
        <f t="shared" ca="1" si="19"/>
        <v>-7.0631837546381634E-3</v>
      </c>
    </row>
    <row r="509" spans="2:7" x14ac:dyDescent="0.35">
      <c r="B509" s="2">
        <v>41618</v>
      </c>
      <c r="C509" s="4">
        <v>145.02000000000001</v>
      </c>
      <c r="D509">
        <f t="shared" si="18"/>
        <v>-0.84466081814968352</v>
      </c>
      <c r="E509">
        <v>3.1730221969265893E-2</v>
      </c>
      <c r="F509">
        <v>506</v>
      </c>
      <c r="G509">
        <f t="shared" ca="1" si="19"/>
        <v>-7.9136382230537757E-3</v>
      </c>
    </row>
    <row r="510" spans="2:7" x14ac:dyDescent="0.35">
      <c r="B510" s="2">
        <v>43570</v>
      </c>
      <c r="C510" s="4">
        <v>933.57</v>
      </c>
      <c r="D510">
        <f t="shared" si="18"/>
        <v>-0.20444319460067484</v>
      </c>
      <c r="E510">
        <v>3.1728665207877427E-2</v>
      </c>
      <c r="F510">
        <v>507</v>
      </c>
      <c r="G510">
        <f t="shared" ca="1" si="19"/>
        <v>8.1618375237539099E-3</v>
      </c>
    </row>
    <row r="511" spans="2:7" x14ac:dyDescent="0.35">
      <c r="B511" s="2">
        <v>44081</v>
      </c>
      <c r="C511" s="4">
        <v>1173.48</v>
      </c>
      <c r="D511">
        <f t="shared" si="18"/>
        <v>39.036847492323439</v>
      </c>
      <c r="E511">
        <v>3.1685187790125191E-2</v>
      </c>
      <c r="F511">
        <v>508</v>
      </c>
      <c r="G511">
        <f t="shared" ca="1" si="19"/>
        <v>1.1593406407463213E-2</v>
      </c>
    </row>
    <row r="512" spans="2:7" x14ac:dyDescent="0.35">
      <c r="B512" s="2">
        <v>37928</v>
      </c>
      <c r="C512" s="4">
        <v>29.31</v>
      </c>
      <c r="D512">
        <f t="shared" si="18"/>
        <v>-0.97454270675908072</v>
      </c>
      <c r="E512">
        <v>3.1678986272439147E-2</v>
      </c>
      <c r="F512">
        <v>509</v>
      </c>
      <c r="G512">
        <f t="shared" ca="1" si="19"/>
        <v>-2.9386868257745745E-2</v>
      </c>
    </row>
    <row r="513" spans="2:7" x14ac:dyDescent="0.35">
      <c r="B513" s="2">
        <v>43245</v>
      </c>
      <c r="C513" s="4">
        <v>1151.3399999999999</v>
      </c>
      <c r="D513">
        <f t="shared" si="18"/>
        <v>21.408330089528995</v>
      </c>
      <c r="E513">
        <v>3.1592717367930678E-2</v>
      </c>
      <c r="F513">
        <v>510</v>
      </c>
      <c r="G513">
        <f t="shared" ca="1" si="19"/>
        <v>-5.3670013976809469E-2</v>
      </c>
    </row>
    <row r="514" spans="2:7" x14ac:dyDescent="0.35">
      <c r="B514" s="2">
        <v>38342</v>
      </c>
      <c r="C514" s="4">
        <v>51.38</v>
      </c>
      <c r="D514">
        <f t="shared" si="18"/>
        <v>0.25500732779677593</v>
      </c>
      <c r="E514">
        <v>3.1519775145553153E-2</v>
      </c>
      <c r="F514">
        <v>511</v>
      </c>
      <c r="G514">
        <f t="shared" ca="1" si="19"/>
        <v>-1.7706072519355204E-2</v>
      </c>
    </row>
    <row r="515" spans="2:7" x14ac:dyDescent="0.35">
      <c r="B515" s="2">
        <v>39932</v>
      </c>
      <c r="C515" s="4">
        <v>40.94</v>
      </c>
      <c r="D515">
        <f t="shared" si="18"/>
        <v>-9.644670050761428E-2</v>
      </c>
      <c r="E515">
        <v>3.1494079113126627E-2</v>
      </c>
      <c r="F515">
        <v>512</v>
      </c>
      <c r="G515">
        <f t="shared" ca="1" si="19"/>
        <v>-4.0642113077817591E-3</v>
      </c>
    </row>
    <row r="516" spans="2:7" x14ac:dyDescent="0.35">
      <c r="B516" s="2">
        <v>39945</v>
      </c>
      <c r="C516" s="4">
        <v>45.31</v>
      </c>
      <c r="D516">
        <f t="shared" ref="D516:D579" si="20">C516/C517-1</f>
        <v>-0.92574078930116688</v>
      </c>
      <c r="E516">
        <v>3.141361256544517E-2</v>
      </c>
      <c r="F516">
        <v>513</v>
      </c>
      <c r="G516">
        <f t="shared" ca="1" si="19"/>
        <v>-1.919878006087046E-2</v>
      </c>
    </row>
    <row r="517" spans="2:7" x14ac:dyDescent="0.35">
      <c r="B517" s="2">
        <v>42201</v>
      </c>
      <c r="C517" s="4">
        <v>610.16</v>
      </c>
      <c r="D517">
        <f t="shared" si="20"/>
        <v>-0.91273392973347922</v>
      </c>
      <c r="E517">
        <v>3.1372549019607732E-2</v>
      </c>
      <c r="F517">
        <v>514</v>
      </c>
      <c r="G517">
        <f t="shared" ref="G517:G580" ca="1" si="21">_xlfn.NORM.INV(RAND(),K$6,K$7)</f>
        <v>5.458835740576614E-2</v>
      </c>
    </row>
    <row r="518" spans="2:7" x14ac:dyDescent="0.35">
      <c r="B518" s="2">
        <v>45055</v>
      </c>
      <c r="C518" s="4">
        <v>6991.95</v>
      </c>
      <c r="D518">
        <f t="shared" si="20"/>
        <v>252.14808110065169</v>
      </c>
      <c r="E518">
        <v>3.1367545321788315E-2</v>
      </c>
      <c r="F518">
        <v>515</v>
      </c>
      <c r="G518">
        <f t="shared" ca="1" si="21"/>
        <v>6.3669430632147962E-3</v>
      </c>
    </row>
    <row r="519" spans="2:7" x14ac:dyDescent="0.35">
      <c r="B519" s="2">
        <v>37578</v>
      </c>
      <c r="C519" s="4">
        <v>27.62</v>
      </c>
      <c r="D519">
        <f t="shared" si="20"/>
        <v>-0.96425937188628219</v>
      </c>
      <c r="E519">
        <v>3.1366691560866355E-2</v>
      </c>
      <c r="F519">
        <v>516</v>
      </c>
      <c r="G519">
        <f t="shared" ca="1" si="21"/>
        <v>-1.284446603999532E-2</v>
      </c>
    </row>
    <row r="520" spans="2:7" x14ac:dyDescent="0.35">
      <c r="B520" s="2">
        <v>42920</v>
      </c>
      <c r="C520" s="4">
        <v>772.79</v>
      </c>
      <c r="D520">
        <f t="shared" si="20"/>
        <v>12.428149435273674</v>
      </c>
      <c r="E520">
        <v>3.1363023662400513E-2</v>
      </c>
      <c r="F520">
        <v>517</v>
      </c>
      <c r="G520">
        <f t="shared" ca="1" si="21"/>
        <v>-2.1380412453186223E-2</v>
      </c>
    </row>
    <row r="521" spans="2:7" x14ac:dyDescent="0.35">
      <c r="B521" s="2">
        <v>39974</v>
      </c>
      <c r="C521" s="4">
        <v>57.55</v>
      </c>
      <c r="D521">
        <f t="shared" si="20"/>
        <v>-0.49093321539141976</v>
      </c>
      <c r="E521">
        <v>3.1362007168458828E-2</v>
      </c>
      <c r="F521">
        <v>518</v>
      </c>
      <c r="G521">
        <f t="shared" ca="1" si="21"/>
        <v>1.1065941000816685E-3</v>
      </c>
    </row>
    <row r="522" spans="2:7" x14ac:dyDescent="0.35">
      <c r="B522" s="2">
        <v>40513</v>
      </c>
      <c r="C522" s="4">
        <v>113.05</v>
      </c>
      <c r="D522">
        <f t="shared" si="20"/>
        <v>-0.87741005009867923</v>
      </c>
      <c r="E522">
        <v>3.1289910600255322E-2</v>
      </c>
      <c r="F522">
        <v>519</v>
      </c>
      <c r="G522">
        <f t="shared" ca="1" si="21"/>
        <v>9.5296948625519847E-3</v>
      </c>
    </row>
    <row r="523" spans="2:7" x14ac:dyDescent="0.35">
      <c r="B523" s="2">
        <v>43539</v>
      </c>
      <c r="C523" s="4">
        <v>922.18</v>
      </c>
      <c r="D523">
        <f t="shared" si="20"/>
        <v>0.148690225582641</v>
      </c>
      <c r="E523">
        <v>3.125594086532546E-2</v>
      </c>
      <c r="F523">
        <v>520</v>
      </c>
      <c r="G523">
        <f t="shared" ca="1" si="21"/>
        <v>5.4387947461194477E-3</v>
      </c>
    </row>
    <row r="524" spans="2:7" x14ac:dyDescent="0.35">
      <c r="B524" s="2">
        <v>42552</v>
      </c>
      <c r="C524" s="4">
        <v>802.81</v>
      </c>
      <c r="D524">
        <f t="shared" si="20"/>
        <v>-0.90721297985016491</v>
      </c>
      <c r="E524">
        <v>3.1200226069978854E-2</v>
      </c>
      <c r="F524">
        <v>521</v>
      </c>
      <c r="G524">
        <f t="shared" ca="1" si="21"/>
        <v>-5.7878092179246006E-2</v>
      </c>
    </row>
    <row r="525" spans="2:7" x14ac:dyDescent="0.35">
      <c r="B525" s="2">
        <v>44718</v>
      </c>
      <c r="C525" s="4">
        <v>8652.18</v>
      </c>
      <c r="D525">
        <f t="shared" si="20"/>
        <v>89.136264194186907</v>
      </c>
      <c r="E525">
        <v>3.1180278789496807E-2</v>
      </c>
      <c r="F525">
        <v>522</v>
      </c>
      <c r="G525">
        <f t="shared" ca="1" si="21"/>
        <v>4.1101567470049956E-2</v>
      </c>
    </row>
    <row r="526" spans="2:7" x14ac:dyDescent="0.35">
      <c r="B526" s="2">
        <v>40942</v>
      </c>
      <c r="C526" s="4">
        <v>95.99</v>
      </c>
      <c r="D526">
        <f t="shared" si="20"/>
        <v>1.9256324291374578</v>
      </c>
      <c r="E526">
        <v>3.1152647975077885E-2</v>
      </c>
      <c r="F526">
        <v>523</v>
      </c>
      <c r="G526">
        <f t="shared" ca="1" si="21"/>
        <v>2.6462134025605277E-2</v>
      </c>
    </row>
    <row r="527" spans="2:7" x14ac:dyDescent="0.35">
      <c r="B527" s="2">
        <v>38133</v>
      </c>
      <c r="C527" s="4">
        <v>32.81</v>
      </c>
      <c r="D527">
        <f t="shared" si="20"/>
        <v>-0.52661953542057427</v>
      </c>
      <c r="E527">
        <v>3.111250785669406E-2</v>
      </c>
      <c r="F527">
        <v>524</v>
      </c>
      <c r="G527">
        <f t="shared" ca="1" si="21"/>
        <v>-7.5419101160176718E-3</v>
      </c>
    </row>
    <row r="528" spans="2:7" x14ac:dyDescent="0.35">
      <c r="B528" s="2">
        <v>38541</v>
      </c>
      <c r="C528" s="4">
        <v>69.31</v>
      </c>
      <c r="D528">
        <f t="shared" si="20"/>
        <v>1.6423942051086544</v>
      </c>
      <c r="E528">
        <v>3.1091936923534735E-2</v>
      </c>
      <c r="F528">
        <v>525</v>
      </c>
      <c r="G528">
        <f t="shared" ca="1" si="21"/>
        <v>-7.836935001142864E-2</v>
      </c>
    </row>
    <row r="529" spans="2:7" x14ac:dyDescent="0.35">
      <c r="B529" s="2">
        <v>37840</v>
      </c>
      <c r="C529" s="4">
        <v>26.23</v>
      </c>
      <c r="D529">
        <f t="shared" si="20"/>
        <v>-0.97542465779093623</v>
      </c>
      <c r="E529">
        <v>3.1053459119496862E-2</v>
      </c>
      <c r="F529">
        <v>526</v>
      </c>
      <c r="G529">
        <f t="shared" ca="1" si="21"/>
        <v>2.3720456557418706E-2</v>
      </c>
    </row>
    <row r="530" spans="2:7" x14ac:dyDescent="0.35">
      <c r="B530" s="2">
        <v>43210</v>
      </c>
      <c r="C530" s="4">
        <v>1067.33</v>
      </c>
      <c r="D530">
        <f t="shared" si="20"/>
        <v>42.88692434210526</v>
      </c>
      <c r="E530">
        <v>3.0987684134267113E-2</v>
      </c>
      <c r="F530">
        <v>527</v>
      </c>
      <c r="G530">
        <f t="shared" ca="1" si="21"/>
        <v>2.7873500441891342E-2</v>
      </c>
    </row>
    <row r="531" spans="2:7" x14ac:dyDescent="0.35">
      <c r="B531" s="2">
        <v>37784</v>
      </c>
      <c r="C531" s="4">
        <v>24.32</v>
      </c>
      <c r="D531">
        <f t="shared" si="20"/>
        <v>-0.97350445042434275</v>
      </c>
      <c r="E531">
        <v>3.0945315811784724E-2</v>
      </c>
      <c r="F531">
        <v>528</v>
      </c>
      <c r="G531">
        <f t="shared" ca="1" si="21"/>
        <v>-1.5297884244194291E-2</v>
      </c>
    </row>
    <row r="532" spans="2:7" x14ac:dyDescent="0.35">
      <c r="B532" s="2">
        <v>42486</v>
      </c>
      <c r="C532" s="4">
        <v>917.89</v>
      </c>
      <c r="D532">
        <f t="shared" si="20"/>
        <v>-0.87210405679371872</v>
      </c>
      <c r="E532">
        <v>3.086218708235533E-2</v>
      </c>
      <c r="F532">
        <v>529</v>
      </c>
      <c r="G532">
        <f t="shared" ca="1" si="21"/>
        <v>-1.5373362070017149E-3</v>
      </c>
    </row>
    <row r="533" spans="2:7" x14ac:dyDescent="0.35">
      <c r="B533" s="2">
        <v>44636</v>
      </c>
      <c r="C533" s="4">
        <v>7176.85</v>
      </c>
      <c r="D533">
        <f t="shared" si="20"/>
        <v>91.892182241781001</v>
      </c>
      <c r="E533">
        <v>3.0861865644736808E-2</v>
      </c>
      <c r="F533">
        <v>530</v>
      </c>
      <c r="G533">
        <f t="shared" ca="1" si="21"/>
        <v>2.522199542774738E-2</v>
      </c>
    </row>
    <row r="534" spans="2:7" x14ac:dyDescent="0.35">
      <c r="B534" s="2">
        <v>39612</v>
      </c>
      <c r="C534" s="4">
        <v>77.260000000000005</v>
      </c>
      <c r="D534">
        <f t="shared" si="20"/>
        <v>0.17273831208257451</v>
      </c>
      <c r="E534">
        <v>3.0820547031354284E-2</v>
      </c>
      <c r="F534">
        <v>531</v>
      </c>
      <c r="G534">
        <f t="shared" ca="1" si="21"/>
        <v>-2.25347078973651E-2</v>
      </c>
    </row>
    <row r="535" spans="2:7" x14ac:dyDescent="0.35">
      <c r="B535" s="2">
        <v>38448</v>
      </c>
      <c r="C535" s="4">
        <v>65.88</v>
      </c>
      <c r="D535">
        <f t="shared" si="20"/>
        <v>2.4412999533509394E-2</v>
      </c>
      <c r="E535">
        <v>3.0663329161451758E-2</v>
      </c>
      <c r="F535">
        <v>532</v>
      </c>
      <c r="G535">
        <f t="shared" ca="1" si="21"/>
        <v>-7.7438141646965566E-3</v>
      </c>
    </row>
    <row r="536" spans="2:7" x14ac:dyDescent="0.35">
      <c r="B536" s="2">
        <v>40043</v>
      </c>
      <c r="C536" s="4">
        <v>64.31</v>
      </c>
      <c r="D536">
        <f t="shared" si="20"/>
        <v>-0.39756440281030447</v>
      </c>
      <c r="E536">
        <v>3.0608974358974361E-2</v>
      </c>
      <c r="F536">
        <v>533</v>
      </c>
      <c r="G536">
        <f t="shared" ca="1" si="21"/>
        <v>5.0416368998439922E-4</v>
      </c>
    </row>
    <row r="537" spans="2:7" x14ac:dyDescent="0.35">
      <c r="B537" s="2">
        <v>40343</v>
      </c>
      <c r="C537" s="4">
        <v>106.75</v>
      </c>
      <c r="D537">
        <f t="shared" si="20"/>
        <v>-0.88652911976359794</v>
      </c>
      <c r="E537">
        <v>3.0604363776790988E-2</v>
      </c>
      <c r="F537">
        <v>534</v>
      </c>
      <c r="G537">
        <f t="shared" ca="1" si="21"/>
        <v>-1.030324291441422E-2</v>
      </c>
    </row>
    <row r="538" spans="2:7" x14ac:dyDescent="0.35">
      <c r="B538" s="2">
        <v>43186</v>
      </c>
      <c r="C538" s="4">
        <v>940.77</v>
      </c>
      <c r="D538">
        <f t="shared" si="20"/>
        <v>7.8860867101161798</v>
      </c>
      <c r="E538">
        <v>3.0585528838253717E-2</v>
      </c>
      <c r="F538">
        <v>535</v>
      </c>
      <c r="G538">
        <f t="shared" ca="1" si="21"/>
        <v>2.667989878081118E-2</v>
      </c>
    </row>
    <row r="539" spans="2:7" x14ac:dyDescent="0.35">
      <c r="B539" s="2">
        <v>41277</v>
      </c>
      <c r="C539" s="4">
        <v>105.87</v>
      </c>
      <c r="D539">
        <f t="shared" si="20"/>
        <v>-0.92902538111902178</v>
      </c>
      <c r="E539">
        <v>3.0565560206366138E-2</v>
      </c>
      <c r="F539">
        <v>536</v>
      </c>
      <c r="G539">
        <f t="shared" ca="1" si="21"/>
        <v>3.6861435028115945E-2</v>
      </c>
    </row>
    <row r="540" spans="2:7" x14ac:dyDescent="0.35">
      <c r="B540" s="2">
        <v>44120</v>
      </c>
      <c r="C540" s="4">
        <v>1491.66</v>
      </c>
      <c r="D540">
        <f t="shared" si="20"/>
        <v>15.799864849645228</v>
      </c>
      <c r="E540">
        <v>3.0529130137412208E-2</v>
      </c>
      <c r="F540">
        <v>537</v>
      </c>
      <c r="G540">
        <f t="shared" ca="1" si="21"/>
        <v>1.0285529974270433E-2</v>
      </c>
    </row>
    <row r="541" spans="2:7" x14ac:dyDescent="0.35">
      <c r="B541" s="2">
        <v>39048</v>
      </c>
      <c r="C541" s="4">
        <v>88.79</v>
      </c>
      <c r="D541">
        <f t="shared" si="20"/>
        <v>-0.2402019510525415</v>
      </c>
      <c r="E541">
        <v>3.052460538532964E-2</v>
      </c>
      <c r="F541">
        <v>538</v>
      </c>
      <c r="G541">
        <f t="shared" ca="1" si="21"/>
        <v>-1.1439485604470796E-2</v>
      </c>
    </row>
    <row r="542" spans="2:7" x14ac:dyDescent="0.35">
      <c r="B542" s="2">
        <v>40483</v>
      </c>
      <c r="C542" s="4">
        <v>116.86</v>
      </c>
      <c r="D542">
        <f t="shared" si="20"/>
        <v>3.5506230529595015</v>
      </c>
      <c r="E542">
        <v>3.0511463844797193E-2</v>
      </c>
      <c r="F542">
        <v>539</v>
      </c>
      <c r="G542">
        <f t="shared" ca="1" si="21"/>
        <v>1.8700136739322908E-2</v>
      </c>
    </row>
    <row r="543" spans="2:7" x14ac:dyDescent="0.35">
      <c r="B543" s="2">
        <v>37859</v>
      </c>
      <c r="C543" s="4">
        <v>25.68</v>
      </c>
      <c r="D543">
        <f t="shared" si="20"/>
        <v>-0.69898018989567468</v>
      </c>
      <c r="E543">
        <v>3.0497592295344989E-2</v>
      </c>
      <c r="F543">
        <v>540</v>
      </c>
      <c r="G543">
        <f t="shared" ca="1" si="21"/>
        <v>-1.0884995342050738E-2</v>
      </c>
    </row>
    <row r="544" spans="2:7" x14ac:dyDescent="0.35">
      <c r="B544" s="2">
        <v>40826</v>
      </c>
      <c r="C544" s="4">
        <v>85.31</v>
      </c>
      <c r="D544">
        <f t="shared" si="20"/>
        <v>-8.1404113276623224E-2</v>
      </c>
      <c r="E544">
        <v>3.0438458751056885E-2</v>
      </c>
      <c r="F544">
        <v>541</v>
      </c>
      <c r="G544">
        <f t="shared" ca="1" si="21"/>
        <v>-9.6349179876635167E-3</v>
      </c>
    </row>
    <row r="545" spans="2:7" x14ac:dyDescent="0.35">
      <c r="B545" s="2">
        <v>39073</v>
      </c>
      <c r="C545" s="4">
        <v>92.87</v>
      </c>
      <c r="D545">
        <f t="shared" si="20"/>
        <v>2.0721137942441286</v>
      </c>
      <c r="E545">
        <v>3.0400532564074156E-2</v>
      </c>
      <c r="F545">
        <v>542</v>
      </c>
      <c r="G545">
        <f t="shared" ca="1" si="21"/>
        <v>-1.3052856374965905E-2</v>
      </c>
    </row>
    <row r="546" spans="2:7" x14ac:dyDescent="0.35">
      <c r="B546" s="2">
        <v>38026</v>
      </c>
      <c r="C546" s="4">
        <v>30.23</v>
      </c>
      <c r="D546">
        <f t="shared" si="20"/>
        <v>-0.99591159966946574</v>
      </c>
      <c r="E546">
        <v>3.0334014996591607E-2</v>
      </c>
      <c r="F546">
        <v>543</v>
      </c>
      <c r="G546">
        <f t="shared" ca="1" si="21"/>
        <v>-1.4308983061918839E-2</v>
      </c>
    </row>
    <row r="547" spans="2:7" x14ac:dyDescent="0.35">
      <c r="B547" s="2">
        <v>44637</v>
      </c>
      <c r="C547" s="4">
        <v>7394.09</v>
      </c>
      <c r="D547">
        <f t="shared" si="20"/>
        <v>6.3330060595241635</v>
      </c>
      <c r="E547">
        <v>3.0269547224757387E-2</v>
      </c>
      <c r="F547">
        <v>544</v>
      </c>
      <c r="G547">
        <f t="shared" ca="1" si="21"/>
        <v>1.8122423959225482E-2</v>
      </c>
    </row>
    <row r="548" spans="2:7" x14ac:dyDescent="0.35">
      <c r="B548" s="2">
        <v>44053</v>
      </c>
      <c r="C548" s="4">
        <v>1008.33</v>
      </c>
      <c r="D548">
        <f t="shared" si="20"/>
        <v>8.3355244884732898</v>
      </c>
      <c r="E548">
        <v>3.0253800882785731E-2</v>
      </c>
      <c r="F548">
        <v>545</v>
      </c>
      <c r="G548">
        <f t="shared" ca="1" si="21"/>
        <v>-1.6600763335502883E-2</v>
      </c>
    </row>
    <row r="549" spans="2:7" x14ac:dyDescent="0.35">
      <c r="B549" s="2">
        <v>40239</v>
      </c>
      <c r="C549" s="4">
        <v>108.01</v>
      </c>
      <c r="D549">
        <f t="shared" si="20"/>
        <v>-0.96174294346626432</v>
      </c>
      <c r="E549">
        <v>3.0236550934757744E-2</v>
      </c>
      <c r="F549">
        <v>546</v>
      </c>
      <c r="G549">
        <f t="shared" ca="1" si="21"/>
        <v>-1.2709277978140589E-2</v>
      </c>
    </row>
    <row r="550" spans="2:7" x14ac:dyDescent="0.35">
      <c r="B550" s="2">
        <v>44291</v>
      </c>
      <c r="C550" s="4">
        <v>2823.27</v>
      </c>
      <c r="D550">
        <f t="shared" si="20"/>
        <v>49.778237410071938</v>
      </c>
      <c r="E550">
        <v>3.0232592084425081E-2</v>
      </c>
      <c r="F550">
        <v>547</v>
      </c>
      <c r="G550">
        <f t="shared" ca="1" si="21"/>
        <v>-1.7826634967409202E-2</v>
      </c>
    </row>
    <row r="551" spans="2:7" x14ac:dyDescent="0.35">
      <c r="B551" s="2">
        <v>38387</v>
      </c>
      <c r="C551" s="4">
        <v>55.6</v>
      </c>
      <c r="D551">
        <f t="shared" si="20"/>
        <v>1.5067628494138865</v>
      </c>
      <c r="E551">
        <v>3.0201964054104247E-2</v>
      </c>
      <c r="F551">
        <v>548</v>
      </c>
      <c r="G551">
        <f t="shared" ca="1" si="21"/>
        <v>4.3531333111789021E-2</v>
      </c>
    </row>
    <row r="552" spans="2:7" x14ac:dyDescent="0.35">
      <c r="B552" s="2">
        <v>37757</v>
      </c>
      <c r="C552" s="4">
        <v>22.18</v>
      </c>
      <c r="D552">
        <f t="shared" si="20"/>
        <v>-0.78970323314686641</v>
      </c>
      <c r="E552">
        <v>3.0190431955410935E-2</v>
      </c>
      <c r="F552">
        <v>549</v>
      </c>
      <c r="G552">
        <f t="shared" ca="1" si="21"/>
        <v>4.7862919213195007E-2</v>
      </c>
    </row>
    <row r="553" spans="2:7" x14ac:dyDescent="0.35">
      <c r="B553" s="2">
        <v>40400</v>
      </c>
      <c r="C553" s="4">
        <v>105.47</v>
      </c>
      <c r="D553">
        <f t="shared" si="20"/>
        <v>0.22825200885058794</v>
      </c>
      <c r="E553">
        <v>3.0181676108615108E-2</v>
      </c>
      <c r="F553">
        <v>550</v>
      </c>
      <c r="G553">
        <f t="shared" ca="1" si="21"/>
        <v>-2.7839471002519899E-2</v>
      </c>
    </row>
    <row r="554" spans="2:7" x14ac:dyDescent="0.35">
      <c r="B554" s="2">
        <v>41465</v>
      </c>
      <c r="C554" s="4">
        <v>85.87</v>
      </c>
      <c r="D554">
        <f t="shared" si="20"/>
        <v>0.43427426089861387</v>
      </c>
      <c r="E554">
        <v>3.0110364683301416E-2</v>
      </c>
      <c r="F554">
        <v>551</v>
      </c>
      <c r="G554">
        <f t="shared" ca="1" si="21"/>
        <v>7.4442475919981538E-3</v>
      </c>
    </row>
    <row r="555" spans="2:7" x14ac:dyDescent="0.35">
      <c r="B555" s="2">
        <v>38497</v>
      </c>
      <c r="C555" s="4">
        <v>59.87</v>
      </c>
      <c r="D555">
        <f t="shared" si="20"/>
        <v>0.10747317795042544</v>
      </c>
      <c r="E555">
        <v>3.0110116999311876E-2</v>
      </c>
      <c r="F555">
        <v>552</v>
      </c>
      <c r="G555">
        <f t="shared" ca="1" si="21"/>
        <v>4.1992962990146036E-2</v>
      </c>
    </row>
    <row r="556" spans="2:7" x14ac:dyDescent="0.35">
      <c r="B556" s="2">
        <v>38268</v>
      </c>
      <c r="C556" s="4">
        <v>54.06</v>
      </c>
      <c r="D556">
        <f t="shared" si="20"/>
        <v>-0.36302580417108521</v>
      </c>
      <c r="E556">
        <v>3.0106707317073322E-2</v>
      </c>
      <c r="F556">
        <v>553</v>
      </c>
      <c r="G556">
        <f t="shared" ca="1" si="21"/>
        <v>4.6352030789349623E-2</v>
      </c>
    </row>
    <row r="557" spans="2:7" x14ac:dyDescent="0.35">
      <c r="B557" s="2">
        <v>41001</v>
      </c>
      <c r="C557" s="4">
        <v>84.87</v>
      </c>
      <c r="D557">
        <f t="shared" si="20"/>
        <v>1.9144917582417582</v>
      </c>
      <c r="E557">
        <v>3.010074038111421E-2</v>
      </c>
      <c r="F557">
        <v>554</v>
      </c>
      <c r="G557">
        <f t="shared" ca="1" si="21"/>
        <v>-9.9354299362500904E-3</v>
      </c>
    </row>
    <row r="558" spans="2:7" x14ac:dyDescent="0.35">
      <c r="B558" s="2">
        <v>38097</v>
      </c>
      <c r="C558" s="4">
        <v>29.12</v>
      </c>
      <c r="D558">
        <f t="shared" si="20"/>
        <v>-0.7729080558371676</v>
      </c>
      <c r="E558">
        <v>3.0067209055536059E-2</v>
      </c>
      <c r="F558">
        <v>555</v>
      </c>
      <c r="G558">
        <f t="shared" ca="1" si="21"/>
        <v>4.6612429639375855E-2</v>
      </c>
    </row>
    <row r="559" spans="2:7" x14ac:dyDescent="0.35">
      <c r="B559" s="2">
        <v>40486</v>
      </c>
      <c r="C559" s="4">
        <v>128.22999999999999</v>
      </c>
      <c r="D559">
        <f t="shared" si="20"/>
        <v>0.27999600718706308</v>
      </c>
      <c r="E559">
        <v>3.0042573700698849E-2</v>
      </c>
      <c r="F559">
        <v>556</v>
      </c>
      <c r="G559">
        <f t="shared" ca="1" si="21"/>
        <v>-1.1620372306318329E-2</v>
      </c>
    </row>
    <row r="560" spans="2:7" x14ac:dyDescent="0.35">
      <c r="B560" s="2">
        <v>41183</v>
      </c>
      <c r="C560" s="4">
        <v>100.18</v>
      </c>
      <c r="D560">
        <f t="shared" si="20"/>
        <v>-0.88321967709972604</v>
      </c>
      <c r="E560">
        <v>3.0022619782027471E-2</v>
      </c>
      <c r="F560">
        <v>557</v>
      </c>
      <c r="G560">
        <f t="shared" ca="1" si="21"/>
        <v>-6.4156838612668965E-3</v>
      </c>
    </row>
    <row r="561" spans="2:7" x14ac:dyDescent="0.35">
      <c r="B561" s="2">
        <v>43525</v>
      </c>
      <c r="C561" s="4">
        <v>857.85</v>
      </c>
      <c r="D561">
        <f t="shared" si="20"/>
        <v>15.219512195121951</v>
      </c>
      <c r="E561">
        <v>3.000504286434702E-2</v>
      </c>
      <c r="F561">
        <v>558</v>
      </c>
      <c r="G561">
        <f t="shared" ca="1" si="21"/>
        <v>6.2103240854920125E-2</v>
      </c>
    </row>
    <row r="562" spans="2:7" x14ac:dyDescent="0.35">
      <c r="B562" s="2">
        <v>38315</v>
      </c>
      <c r="C562" s="4">
        <v>52.89</v>
      </c>
      <c r="D562">
        <f t="shared" si="20"/>
        <v>-5.668934240362633E-4</v>
      </c>
      <c r="E562">
        <v>2.9990262901655296E-2</v>
      </c>
      <c r="F562">
        <v>559</v>
      </c>
      <c r="G562">
        <f t="shared" ca="1" si="21"/>
        <v>-2.6149981238417386E-2</v>
      </c>
    </row>
    <row r="563" spans="2:7" x14ac:dyDescent="0.35">
      <c r="B563" s="2">
        <v>38343</v>
      </c>
      <c r="C563" s="4">
        <v>52.92</v>
      </c>
      <c r="D563">
        <f t="shared" si="20"/>
        <v>-0.9925952355965999</v>
      </c>
      <c r="E563">
        <v>2.9972752043596618E-2</v>
      </c>
      <c r="F563">
        <v>560</v>
      </c>
      <c r="G563">
        <f t="shared" ca="1" si="21"/>
        <v>3.2085939421480449E-2</v>
      </c>
    </row>
    <row r="564" spans="2:7" x14ac:dyDescent="0.35">
      <c r="B564" s="2">
        <v>44589</v>
      </c>
      <c r="C564" s="4">
        <v>7146.75</v>
      </c>
      <c r="D564">
        <f t="shared" si="20"/>
        <v>11.264677112114088</v>
      </c>
      <c r="E564">
        <v>2.9967674572441094E-2</v>
      </c>
      <c r="F564">
        <v>561</v>
      </c>
      <c r="G564">
        <f t="shared" ca="1" si="21"/>
        <v>5.1726059363537932E-4</v>
      </c>
    </row>
    <row r="565" spans="2:7" x14ac:dyDescent="0.35">
      <c r="B565" s="2">
        <v>42075</v>
      </c>
      <c r="C565" s="4">
        <v>582.71</v>
      </c>
      <c r="D565">
        <f t="shared" si="20"/>
        <v>6.626096060725037</v>
      </c>
      <c r="E565">
        <v>2.9923291738838564E-2</v>
      </c>
      <c r="F565">
        <v>562</v>
      </c>
      <c r="G565">
        <f t="shared" ca="1" si="21"/>
        <v>5.5122076622583123E-2</v>
      </c>
    </row>
    <row r="566" spans="2:7" x14ac:dyDescent="0.35">
      <c r="B566" s="2">
        <v>41493</v>
      </c>
      <c r="C566" s="4">
        <v>76.41</v>
      </c>
      <c r="D566">
        <f t="shared" si="20"/>
        <v>-0.98790230649390132</v>
      </c>
      <c r="E566">
        <v>2.9923170238576713E-2</v>
      </c>
      <c r="F566">
        <v>563</v>
      </c>
      <c r="G566">
        <f t="shared" ca="1" si="21"/>
        <v>1.0387216699966116E-2</v>
      </c>
    </row>
    <row r="567" spans="2:7" x14ac:dyDescent="0.35">
      <c r="B567" s="2">
        <v>44476</v>
      </c>
      <c r="C567" s="4">
        <v>6316.08</v>
      </c>
      <c r="D567">
        <f t="shared" si="20"/>
        <v>175.27909572983535</v>
      </c>
      <c r="E567">
        <v>2.9900321391358675E-2</v>
      </c>
      <c r="F567">
        <v>564</v>
      </c>
      <c r="G567">
        <f t="shared" ca="1" si="21"/>
        <v>-2.3003961656650973E-2</v>
      </c>
    </row>
    <row r="568" spans="2:7" x14ac:dyDescent="0.35">
      <c r="B568" s="2">
        <v>39798</v>
      </c>
      <c r="C568" s="4">
        <v>35.83</v>
      </c>
      <c r="D568">
        <f t="shared" si="20"/>
        <v>-0.94226461915274173</v>
      </c>
      <c r="E568">
        <v>2.9893647599884998E-2</v>
      </c>
      <c r="F568">
        <v>565</v>
      </c>
      <c r="G568">
        <f t="shared" ca="1" si="21"/>
        <v>4.728336527625257E-2</v>
      </c>
    </row>
    <row r="569" spans="2:7" x14ac:dyDescent="0.35">
      <c r="B569" s="2">
        <v>43917</v>
      </c>
      <c r="C569" s="4">
        <v>620.59</v>
      </c>
      <c r="D569">
        <f t="shared" si="20"/>
        <v>10.439447004608295</v>
      </c>
      <c r="E569">
        <v>2.9888147631849771E-2</v>
      </c>
      <c r="F569">
        <v>566</v>
      </c>
      <c r="G569">
        <f t="shared" ca="1" si="21"/>
        <v>-3.5736423432619034E-2</v>
      </c>
    </row>
    <row r="570" spans="2:7" x14ac:dyDescent="0.35">
      <c r="B570" s="2">
        <v>40011</v>
      </c>
      <c r="C570" s="4">
        <v>54.25</v>
      </c>
      <c r="D570">
        <f t="shared" si="20"/>
        <v>-0.99328589108910892</v>
      </c>
      <c r="E570">
        <v>2.9802581624905011E-2</v>
      </c>
      <c r="F570">
        <v>567</v>
      </c>
      <c r="G570">
        <f t="shared" ca="1" si="21"/>
        <v>1.2305738188674682E-2</v>
      </c>
    </row>
    <row r="571" spans="2:7" x14ac:dyDescent="0.35">
      <c r="B571" s="2">
        <v>44697</v>
      </c>
      <c r="C571" s="4">
        <v>8080</v>
      </c>
      <c r="D571">
        <f t="shared" si="20"/>
        <v>133.06338145014104</v>
      </c>
      <c r="E571">
        <v>2.9734868759781152E-2</v>
      </c>
      <c r="F571">
        <v>568</v>
      </c>
      <c r="G571">
        <f t="shared" ca="1" si="21"/>
        <v>-1.0737441048820939E-3</v>
      </c>
    </row>
    <row r="572" spans="2:7" x14ac:dyDescent="0.35">
      <c r="B572" s="2">
        <v>38484</v>
      </c>
      <c r="C572" s="4">
        <v>60.27</v>
      </c>
      <c r="D572">
        <f t="shared" si="20"/>
        <v>0.80882352941176472</v>
      </c>
      <c r="E572">
        <v>2.9728344438749499E-2</v>
      </c>
      <c r="F572">
        <v>569</v>
      </c>
      <c r="G572">
        <f t="shared" ca="1" si="21"/>
        <v>3.7283433209639595E-2</v>
      </c>
    </row>
    <row r="573" spans="2:7" x14ac:dyDescent="0.35">
      <c r="B573" s="2">
        <v>37963</v>
      </c>
      <c r="C573" s="4">
        <v>33.32</v>
      </c>
      <c r="D573">
        <f t="shared" si="20"/>
        <v>-0.97959308663751399</v>
      </c>
      <c r="E573">
        <v>2.9666254635352329E-2</v>
      </c>
      <c r="F573">
        <v>570</v>
      </c>
      <c r="G573">
        <f t="shared" ca="1" si="21"/>
        <v>-1.7995827747653338E-2</v>
      </c>
    </row>
    <row r="574" spans="2:7" x14ac:dyDescent="0.35">
      <c r="B574" s="2">
        <v>44127</v>
      </c>
      <c r="C574" s="4">
        <v>1632.78</v>
      </c>
      <c r="D574">
        <f t="shared" si="20"/>
        <v>-0.73158839542866161</v>
      </c>
      <c r="E574">
        <v>2.9547518159806163E-2</v>
      </c>
      <c r="F574">
        <v>571</v>
      </c>
      <c r="G574">
        <f t="shared" ca="1" si="21"/>
        <v>4.0405695125594034E-2</v>
      </c>
    </row>
    <row r="575" spans="2:7" x14ac:dyDescent="0.35">
      <c r="B575" s="2">
        <v>44573</v>
      </c>
      <c r="C575" s="4">
        <v>6083.12</v>
      </c>
      <c r="D575">
        <f t="shared" si="20"/>
        <v>50.291062394603713</v>
      </c>
      <c r="E575">
        <v>2.9526153137936495E-2</v>
      </c>
      <c r="F575">
        <v>572</v>
      </c>
      <c r="G575">
        <f t="shared" ca="1" si="21"/>
        <v>2.551562885486559E-2</v>
      </c>
    </row>
    <row r="576" spans="2:7" x14ac:dyDescent="0.35">
      <c r="B576" s="2">
        <v>40463</v>
      </c>
      <c r="C576" s="4">
        <v>118.6</v>
      </c>
      <c r="D576">
        <f t="shared" si="20"/>
        <v>-0.95672196232694262</v>
      </c>
      <c r="E576">
        <v>2.951388888888884E-2</v>
      </c>
      <c r="F576">
        <v>573</v>
      </c>
      <c r="G576">
        <f t="shared" ca="1" si="21"/>
        <v>3.4140010085535903E-2</v>
      </c>
    </row>
    <row r="577" spans="2:7" x14ac:dyDescent="0.35">
      <c r="B577" s="2">
        <v>44287</v>
      </c>
      <c r="C577" s="4">
        <v>2740.42</v>
      </c>
      <c r="D577">
        <f t="shared" si="20"/>
        <v>50.098638821555099</v>
      </c>
      <c r="E577">
        <v>2.9373981113506975E-2</v>
      </c>
      <c r="F577">
        <v>574</v>
      </c>
      <c r="G577">
        <f t="shared" ca="1" si="21"/>
        <v>-2.1718271373251427E-2</v>
      </c>
    </row>
    <row r="578" spans="2:7" x14ac:dyDescent="0.35">
      <c r="B578" s="2">
        <v>38265</v>
      </c>
      <c r="C578" s="4">
        <v>53.63</v>
      </c>
      <c r="D578">
        <f t="shared" si="20"/>
        <v>-0.33888067061143989</v>
      </c>
      <c r="E578">
        <v>2.9366602687140198E-2</v>
      </c>
      <c r="F578">
        <v>575</v>
      </c>
      <c r="G578">
        <f t="shared" ca="1" si="21"/>
        <v>-1.9364246971054161E-3</v>
      </c>
    </row>
    <row r="579" spans="2:7" x14ac:dyDescent="0.35">
      <c r="B579" s="2">
        <v>38973</v>
      </c>
      <c r="C579" s="4">
        <v>81.12</v>
      </c>
      <c r="D579">
        <f t="shared" si="20"/>
        <v>-0.99033703635761539</v>
      </c>
      <c r="E579">
        <v>2.9311001141987036E-2</v>
      </c>
      <c r="F579">
        <v>576</v>
      </c>
      <c r="G579">
        <f t="shared" ca="1" si="21"/>
        <v>-4.5304567584548823E-2</v>
      </c>
    </row>
    <row r="580" spans="2:7" x14ac:dyDescent="0.35">
      <c r="B580" s="2">
        <v>44699</v>
      </c>
      <c r="C580" s="4">
        <v>8394.94</v>
      </c>
      <c r="D580">
        <f t="shared" ref="D580:D643" si="22">C580/C581-1</f>
        <v>147.21574858757063</v>
      </c>
      <c r="E580">
        <v>2.9294961629522387E-2</v>
      </c>
      <c r="F580">
        <v>577</v>
      </c>
      <c r="G580">
        <f t="shared" ca="1" si="21"/>
        <v>2.976780337451166E-3</v>
      </c>
    </row>
    <row r="581" spans="2:7" x14ac:dyDescent="0.35">
      <c r="B581" s="2">
        <v>39962</v>
      </c>
      <c r="C581" s="4">
        <v>56.64</v>
      </c>
      <c r="D581">
        <f t="shared" si="22"/>
        <v>-0.91814319160620861</v>
      </c>
      <c r="E581">
        <v>2.9256769035071795E-2</v>
      </c>
      <c r="F581">
        <v>578</v>
      </c>
      <c r="G581">
        <f t="shared" ref="G581:G644" ca="1" si="23">_xlfn.NORM.INV(RAND(),K$6,K$7)</f>
        <v>1.0829347255529498E-2</v>
      </c>
    </row>
    <row r="582" spans="2:7" x14ac:dyDescent="0.35">
      <c r="B582" s="2">
        <v>42774</v>
      </c>
      <c r="C582" s="4">
        <v>691.94</v>
      </c>
      <c r="D582">
        <f t="shared" si="22"/>
        <v>0.38004347912802428</v>
      </c>
      <c r="E582">
        <v>2.9243767477836746E-2</v>
      </c>
      <c r="F582">
        <v>579</v>
      </c>
      <c r="G582">
        <f t="shared" ca="1" si="23"/>
        <v>2.1808315029142385E-2</v>
      </c>
    </row>
    <row r="583" spans="2:7" x14ac:dyDescent="0.35">
      <c r="B583" s="2">
        <v>42132</v>
      </c>
      <c r="C583" s="4">
        <v>501.39</v>
      </c>
      <c r="D583">
        <f t="shared" si="22"/>
        <v>3.3659874608150471</v>
      </c>
      <c r="E583">
        <v>2.9146739465095717E-2</v>
      </c>
      <c r="F583">
        <v>580</v>
      </c>
      <c r="G583">
        <f t="shared" ca="1" si="23"/>
        <v>-7.0146175504461668E-3</v>
      </c>
    </row>
    <row r="584" spans="2:7" x14ac:dyDescent="0.35">
      <c r="B584" s="2">
        <v>40368</v>
      </c>
      <c r="C584" s="4">
        <v>114.84</v>
      </c>
      <c r="D584">
        <f t="shared" si="22"/>
        <v>0.26420079260237772</v>
      </c>
      <c r="E584">
        <v>2.9124473519132499E-2</v>
      </c>
      <c r="F584">
        <v>581</v>
      </c>
      <c r="G584">
        <f t="shared" ca="1" si="23"/>
        <v>4.0931764565977219E-2</v>
      </c>
    </row>
    <row r="585" spans="2:7" x14ac:dyDescent="0.35">
      <c r="B585" s="2">
        <v>40807</v>
      </c>
      <c r="C585" s="4">
        <v>90.84</v>
      </c>
      <c r="D585">
        <f t="shared" si="22"/>
        <v>2.7601809954751033E-2</v>
      </c>
      <c r="E585">
        <v>2.911521468222511E-2</v>
      </c>
      <c r="F585">
        <v>582</v>
      </c>
      <c r="G585">
        <f t="shared" ca="1" si="23"/>
        <v>-1.521865218625644E-2</v>
      </c>
    </row>
    <row r="586" spans="2:7" x14ac:dyDescent="0.35">
      <c r="B586" s="2">
        <v>40967</v>
      </c>
      <c r="C586" s="4">
        <v>88.4</v>
      </c>
      <c r="D586">
        <f t="shared" si="22"/>
        <v>-0.98614702333380344</v>
      </c>
      <c r="E586">
        <v>2.9103608847497187E-2</v>
      </c>
      <c r="F586">
        <v>583</v>
      </c>
      <c r="G586">
        <f t="shared" ca="1" si="23"/>
        <v>6.0748619070151097E-2</v>
      </c>
    </row>
    <row r="587" spans="2:7" x14ac:dyDescent="0.35">
      <c r="B587" s="2">
        <v>45027</v>
      </c>
      <c r="C587" s="4">
        <v>6381.3</v>
      </c>
      <c r="D587">
        <f t="shared" si="22"/>
        <v>5.360374368328201</v>
      </c>
      <c r="E587">
        <v>2.9059360436051618E-2</v>
      </c>
      <c r="F587">
        <v>584</v>
      </c>
      <c r="G587">
        <f t="shared" ca="1" si="23"/>
        <v>1.7381974580893866E-2</v>
      </c>
    </row>
    <row r="588" spans="2:7" x14ac:dyDescent="0.35">
      <c r="B588" s="2">
        <v>42353</v>
      </c>
      <c r="C588" s="4">
        <v>1003.29</v>
      </c>
      <c r="D588">
        <f t="shared" si="22"/>
        <v>-0.86801125592494999</v>
      </c>
      <c r="E588">
        <v>2.9057602363173896E-2</v>
      </c>
      <c r="F588">
        <v>585</v>
      </c>
      <c r="G588">
        <f t="shared" ca="1" si="23"/>
        <v>-2.3024477752271325E-3</v>
      </c>
    </row>
    <row r="589" spans="2:7" x14ac:dyDescent="0.35">
      <c r="B589" s="2">
        <v>44599</v>
      </c>
      <c r="C589" s="4">
        <v>7601.33</v>
      </c>
      <c r="D589">
        <f t="shared" si="22"/>
        <v>107.69912769912769</v>
      </c>
      <c r="E589">
        <v>2.899080432696155E-2</v>
      </c>
      <c r="F589">
        <v>586</v>
      </c>
      <c r="G589">
        <f t="shared" ca="1" si="23"/>
        <v>-1.0856194318022901E-2</v>
      </c>
    </row>
    <row r="590" spans="2:7" x14ac:dyDescent="0.35">
      <c r="B590" s="2">
        <v>40100</v>
      </c>
      <c r="C590" s="4">
        <v>69.930000000000007</v>
      </c>
      <c r="D590">
        <f t="shared" si="22"/>
        <v>-0.19305331179321472</v>
      </c>
      <c r="E590">
        <v>2.8987639788110808E-2</v>
      </c>
      <c r="F590">
        <v>587</v>
      </c>
      <c r="G590">
        <f t="shared" ca="1" si="23"/>
        <v>3.8800948566972526E-2</v>
      </c>
    </row>
    <row r="591" spans="2:7" x14ac:dyDescent="0.35">
      <c r="B591" s="2">
        <v>40828</v>
      </c>
      <c r="C591" s="4">
        <v>86.66</v>
      </c>
      <c r="D591">
        <f t="shared" si="22"/>
        <v>1.7098186366479049</v>
      </c>
      <c r="E591">
        <v>2.897174067917363E-2</v>
      </c>
      <c r="F591">
        <v>588</v>
      </c>
      <c r="G591">
        <f t="shared" ca="1" si="23"/>
        <v>-2.3038767590668557E-2</v>
      </c>
    </row>
    <row r="592" spans="2:7" x14ac:dyDescent="0.35">
      <c r="B592" s="2">
        <v>38114</v>
      </c>
      <c r="C592" s="4">
        <v>31.98</v>
      </c>
      <c r="D592">
        <f t="shared" si="22"/>
        <v>-0.98939254227393647</v>
      </c>
      <c r="E592">
        <v>2.8957528957529011E-2</v>
      </c>
      <c r="F592">
        <v>589</v>
      </c>
      <c r="G592">
        <f t="shared" ca="1" si="23"/>
        <v>8.8125640853476007E-3</v>
      </c>
    </row>
    <row r="593" spans="2:7" x14ac:dyDescent="0.35">
      <c r="B593" s="2">
        <v>44305</v>
      </c>
      <c r="C593" s="4">
        <v>3014.86</v>
      </c>
      <c r="D593">
        <f t="shared" si="22"/>
        <v>104.93323963457485</v>
      </c>
      <c r="E593">
        <v>2.8948410260610791E-2</v>
      </c>
      <c r="F593">
        <v>590</v>
      </c>
      <c r="G593">
        <f t="shared" ca="1" si="23"/>
        <v>2.1419907797112794E-2</v>
      </c>
    </row>
    <row r="594" spans="2:7" x14ac:dyDescent="0.35">
      <c r="B594" s="2">
        <v>37942</v>
      </c>
      <c r="C594" s="4">
        <v>28.46</v>
      </c>
      <c r="D594">
        <f t="shared" si="22"/>
        <v>-0.99597739084467729</v>
      </c>
      <c r="E594">
        <v>2.8922631959508394E-2</v>
      </c>
      <c r="F594">
        <v>591</v>
      </c>
      <c r="G594">
        <f t="shared" ca="1" si="23"/>
        <v>1.2649291287413258E-2</v>
      </c>
    </row>
    <row r="595" spans="2:7" x14ac:dyDescent="0.35">
      <c r="B595" s="2">
        <v>44607</v>
      </c>
      <c r="C595" s="4">
        <v>7075.01</v>
      </c>
      <c r="D595">
        <f t="shared" si="22"/>
        <v>222.0457124842371</v>
      </c>
      <c r="E595">
        <v>2.8893319546909435E-2</v>
      </c>
      <c r="F595">
        <v>592</v>
      </c>
      <c r="G595">
        <f t="shared" ca="1" si="23"/>
        <v>-2.9780852911261615E-3</v>
      </c>
    </row>
    <row r="596" spans="2:7" x14ac:dyDescent="0.35">
      <c r="B596" s="2">
        <v>37480</v>
      </c>
      <c r="C596" s="4">
        <v>31.72</v>
      </c>
      <c r="D596">
        <f t="shared" si="22"/>
        <v>-0.93671567942860567</v>
      </c>
      <c r="E596">
        <v>2.8867985728186829E-2</v>
      </c>
      <c r="F596">
        <v>593</v>
      </c>
      <c r="G596">
        <f t="shared" ca="1" si="23"/>
        <v>1.1175119353424332E-2</v>
      </c>
    </row>
    <row r="597" spans="2:7" x14ac:dyDescent="0.35">
      <c r="B597" s="2">
        <v>42164</v>
      </c>
      <c r="C597" s="4">
        <v>501.23</v>
      </c>
      <c r="D597">
        <f t="shared" si="22"/>
        <v>0.84962544743348456</v>
      </c>
      <c r="E597">
        <v>2.8818325499291975E-2</v>
      </c>
      <c r="F597">
        <v>594</v>
      </c>
      <c r="G597">
        <f t="shared" ca="1" si="23"/>
        <v>3.2371179292022163E-4</v>
      </c>
    </row>
    <row r="598" spans="2:7" x14ac:dyDescent="0.35">
      <c r="B598" s="2">
        <v>41835</v>
      </c>
      <c r="C598" s="4">
        <v>270.99</v>
      </c>
      <c r="D598">
        <f t="shared" si="22"/>
        <v>9.1609875991509604E-3</v>
      </c>
      <c r="E598">
        <v>2.8815489749430601E-2</v>
      </c>
      <c r="F598">
        <v>595</v>
      </c>
      <c r="G598">
        <f t="shared" ca="1" si="23"/>
        <v>1.852914754105855E-3</v>
      </c>
    </row>
    <row r="599" spans="2:7" x14ac:dyDescent="0.35">
      <c r="B599" s="2">
        <v>41869</v>
      </c>
      <c r="C599" s="4">
        <v>268.52999999999997</v>
      </c>
      <c r="D599">
        <f t="shared" si="22"/>
        <v>3.0187069739598922</v>
      </c>
      <c r="E599">
        <v>2.8811156660664361E-2</v>
      </c>
      <c r="F599">
        <v>596</v>
      </c>
      <c r="G599">
        <f t="shared" ca="1" si="23"/>
        <v>-3.2390865222974463E-2</v>
      </c>
    </row>
    <row r="600" spans="2:7" x14ac:dyDescent="0.35">
      <c r="B600" s="2">
        <v>39582</v>
      </c>
      <c r="C600" s="4">
        <v>66.819999999999993</v>
      </c>
      <c r="D600">
        <f t="shared" si="22"/>
        <v>1.2528658125421441</v>
      </c>
      <c r="E600">
        <v>2.8791377983063748E-2</v>
      </c>
      <c r="F600">
        <v>597</v>
      </c>
      <c r="G600">
        <f t="shared" ca="1" si="23"/>
        <v>-1.4038093353173058E-2</v>
      </c>
    </row>
    <row r="601" spans="2:7" x14ac:dyDescent="0.35">
      <c r="B601" s="2">
        <v>37931</v>
      </c>
      <c r="C601" s="4">
        <v>29.66</v>
      </c>
      <c r="D601">
        <f t="shared" si="22"/>
        <v>-0.68929394510789854</v>
      </c>
      <c r="E601">
        <v>2.878945542837319E-2</v>
      </c>
      <c r="F601">
        <v>598</v>
      </c>
      <c r="G601">
        <f t="shared" ca="1" si="23"/>
        <v>-4.7469855487507429E-2</v>
      </c>
    </row>
    <row r="602" spans="2:7" x14ac:dyDescent="0.35">
      <c r="B602" s="2">
        <v>40847</v>
      </c>
      <c r="C602" s="4">
        <v>95.46</v>
      </c>
      <c r="D602">
        <f t="shared" si="22"/>
        <v>-0.84966929133858271</v>
      </c>
      <c r="E602">
        <v>2.8774652440995752E-2</v>
      </c>
      <c r="F602">
        <v>599</v>
      </c>
      <c r="G602">
        <f t="shared" ca="1" si="23"/>
        <v>6.4774991116124583E-3</v>
      </c>
    </row>
    <row r="603" spans="2:7" x14ac:dyDescent="0.35">
      <c r="B603" s="2">
        <v>42887</v>
      </c>
      <c r="C603" s="4">
        <v>635</v>
      </c>
      <c r="D603">
        <f t="shared" si="22"/>
        <v>4.5361813426329558</v>
      </c>
      <c r="E603">
        <v>2.8756581611988574E-2</v>
      </c>
      <c r="F603">
        <v>600</v>
      </c>
      <c r="G603">
        <f t="shared" ca="1" si="23"/>
        <v>-3.3974166001637447E-2</v>
      </c>
    </row>
    <row r="604" spans="2:7" x14ac:dyDescent="0.35">
      <c r="B604" s="2">
        <v>39206</v>
      </c>
      <c r="C604" s="4">
        <v>114.7</v>
      </c>
      <c r="D604">
        <f t="shared" si="22"/>
        <v>0.49290641676428493</v>
      </c>
      <c r="E604">
        <v>2.8699551569506765E-2</v>
      </c>
      <c r="F604">
        <v>601</v>
      </c>
      <c r="G604">
        <f t="shared" ca="1" si="23"/>
        <v>-1.4002077377316152E-2</v>
      </c>
    </row>
    <row r="605" spans="2:7" x14ac:dyDescent="0.35">
      <c r="B605" s="2">
        <v>38952</v>
      </c>
      <c r="C605" s="4">
        <v>76.83</v>
      </c>
      <c r="D605">
        <f t="shared" si="22"/>
        <v>-0.98805438728786543</v>
      </c>
      <c r="E605">
        <v>2.8651760610523436E-2</v>
      </c>
      <c r="F605">
        <v>602</v>
      </c>
      <c r="G605">
        <f t="shared" ca="1" si="23"/>
        <v>6.5572333279143385E-2</v>
      </c>
    </row>
    <row r="606" spans="2:7" x14ac:dyDescent="0.35">
      <c r="B606" s="2">
        <v>44922</v>
      </c>
      <c r="C606" s="4">
        <v>6431.65</v>
      </c>
      <c r="D606">
        <f t="shared" si="22"/>
        <v>222.24366539396044</v>
      </c>
      <c r="E606">
        <v>2.8627861786602482E-2</v>
      </c>
      <c r="F606">
        <v>603</v>
      </c>
      <c r="G606">
        <f t="shared" ca="1" si="23"/>
        <v>1.3773947523524181E-2</v>
      </c>
    </row>
    <row r="607" spans="2:7" x14ac:dyDescent="0.35">
      <c r="B607" s="2">
        <v>37581</v>
      </c>
      <c r="C607" s="4">
        <v>28.81</v>
      </c>
      <c r="D607">
        <f t="shared" si="22"/>
        <v>-0.95341278439869992</v>
      </c>
      <c r="E607">
        <v>2.8561228132809591E-2</v>
      </c>
      <c r="F607">
        <v>604</v>
      </c>
      <c r="G607">
        <f t="shared" ca="1" si="23"/>
        <v>1.7183404485492368E-2</v>
      </c>
    </row>
    <row r="608" spans="2:7" x14ac:dyDescent="0.35">
      <c r="B608" s="2">
        <v>43677</v>
      </c>
      <c r="C608" s="4">
        <v>618.41</v>
      </c>
      <c r="D608">
        <f t="shared" si="22"/>
        <v>5.3465722495894905</v>
      </c>
      <c r="E608">
        <v>2.8506328271824533E-2</v>
      </c>
      <c r="F608">
        <v>605</v>
      </c>
      <c r="G608">
        <f t="shared" ca="1" si="23"/>
        <v>-1.5663002608198577E-2</v>
      </c>
    </row>
    <row r="609" spans="2:7" x14ac:dyDescent="0.35">
      <c r="B609" s="2">
        <v>39149</v>
      </c>
      <c r="C609" s="4">
        <v>97.44</v>
      </c>
      <c r="D609">
        <f t="shared" si="22"/>
        <v>1.4577259475218485E-2</v>
      </c>
      <c r="E609">
        <v>2.8499050031665751E-2</v>
      </c>
      <c r="F609">
        <v>606</v>
      </c>
      <c r="G609">
        <f t="shared" ca="1" si="23"/>
        <v>-5.5249572190214555E-4</v>
      </c>
    </row>
    <row r="610" spans="2:7" x14ac:dyDescent="0.35">
      <c r="B610" s="2">
        <v>41159</v>
      </c>
      <c r="C610" s="4">
        <v>96.04</v>
      </c>
      <c r="D610">
        <f t="shared" si="22"/>
        <v>2.9669558033870302</v>
      </c>
      <c r="E610">
        <v>2.8485757121439415E-2</v>
      </c>
      <c r="F610">
        <v>607</v>
      </c>
      <c r="G610">
        <f t="shared" ca="1" si="23"/>
        <v>3.8596976206183992E-3</v>
      </c>
    </row>
    <row r="611" spans="2:7" x14ac:dyDescent="0.35">
      <c r="B611" s="2">
        <v>37680</v>
      </c>
      <c r="C611" s="4">
        <v>24.21</v>
      </c>
      <c r="D611">
        <f t="shared" si="22"/>
        <v>-0.90382552735073296</v>
      </c>
      <c r="E611">
        <v>2.8462192013593901E-2</v>
      </c>
      <c r="F611">
        <v>608</v>
      </c>
      <c r="G611">
        <f t="shared" ca="1" si="23"/>
        <v>8.2893147682055312E-3</v>
      </c>
    </row>
    <row r="612" spans="2:7" x14ac:dyDescent="0.35">
      <c r="B612" s="2">
        <v>41733</v>
      </c>
      <c r="C612" s="4">
        <v>251.73</v>
      </c>
      <c r="D612">
        <f t="shared" si="22"/>
        <v>2.6770376862401406</v>
      </c>
      <c r="E612">
        <v>2.8392842552495967E-2</v>
      </c>
      <c r="F612">
        <v>609</v>
      </c>
      <c r="G612">
        <f t="shared" ca="1" si="23"/>
        <v>2.5698171435259102E-3</v>
      </c>
    </row>
    <row r="613" spans="2:7" x14ac:dyDescent="0.35">
      <c r="B613" s="2">
        <v>39567</v>
      </c>
      <c r="C613" s="4">
        <v>68.459999999999994</v>
      </c>
      <c r="D613">
        <f t="shared" si="22"/>
        <v>-0.93010648398656448</v>
      </c>
      <c r="E613">
        <v>2.8391167192429068E-2</v>
      </c>
      <c r="F613">
        <v>610</v>
      </c>
      <c r="G613">
        <f t="shared" ca="1" si="23"/>
        <v>-1.9238733698373235E-2</v>
      </c>
    </row>
    <row r="614" spans="2:7" x14ac:dyDescent="0.35">
      <c r="B614" s="2">
        <v>43157</v>
      </c>
      <c r="C614" s="4">
        <v>979.49</v>
      </c>
      <c r="D614">
        <f t="shared" si="22"/>
        <v>-0.85065107343254454</v>
      </c>
      <c r="E614">
        <v>2.8389941729224599E-2</v>
      </c>
      <c r="F614">
        <v>611</v>
      </c>
      <c r="G614">
        <f t="shared" ca="1" si="23"/>
        <v>1.7216556861328704E-2</v>
      </c>
    </row>
    <row r="615" spans="2:7" x14ac:dyDescent="0.35">
      <c r="B615" s="2">
        <v>44511</v>
      </c>
      <c r="C615" s="4">
        <v>6558.4</v>
      </c>
      <c r="D615">
        <f t="shared" si="22"/>
        <v>100.35064132282491</v>
      </c>
      <c r="E615">
        <v>2.8337935327478414E-2</v>
      </c>
      <c r="F615">
        <v>612</v>
      </c>
      <c r="G615">
        <f t="shared" ca="1" si="23"/>
        <v>-5.6496658916380581E-2</v>
      </c>
    </row>
    <row r="616" spans="2:7" x14ac:dyDescent="0.35">
      <c r="B616" s="2">
        <v>39553</v>
      </c>
      <c r="C616" s="4">
        <v>64.709999999999994</v>
      </c>
      <c r="D616">
        <f t="shared" si="22"/>
        <v>-0.89655337788151035</v>
      </c>
      <c r="E616">
        <v>2.8285396472270685E-2</v>
      </c>
      <c r="F616">
        <v>613</v>
      </c>
      <c r="G616">
        <f t="shared" ca="1" si="23"/>
        <v>-1.006123381587597E-2</v>
      </c>
    </row>
    <row r="617" spans="2:7" x14ac:dyDescent="0.35">
      <c r="B617" s="2">
        <v>43728</v>
      </c>
      <c r="C617" s="4">
        <v>625.54</v>
      </c>
      <c r="D617">
        <f t="shared" si="22"/>
        <v>5.2454073482428116</v>
      </c>
      <c r="E617">
        <v>2.8239857978828331E-2</v>
      </c>
      <c r="F617">
        <v>614</v>
      </c>
      <c r="G617">
        <f t="shared" ca="1" si="23"/>
        <v>-2.7436291395972725E-2</v>
      </c>
    </row>
    <row r="618" spans="2:7" x14ac:dyDescent="0.35">
      <c r="B618" s="2">
        <v>39153</v>
      </c>
      <c r="C618" s="4">
        <v>100.16</v>
      </c>
      <c r="D618">
        <f t="shared" si="22"/>
        <v>-0.97088752924762745</v>
      </c>
      <c r="E618">
        <v>2.8231187763063437E-2</v>
      </c>
      <c r="F618">
        <v>615</v>
      </c>
      <c r="G618">
        <f t="shared" ca="1" si="23"/>
        <v>-7.0190717475143039E-3</v>
      </c>
    </row>
    <row r="619" spans="2:7" x14ac:dyDescent="0.35">
      <c r="B619" s="2">
        <v>44316</v>
      </c>
      <c r="C619" s="4">
        <v>3440.45</v>
      </c>
      <c r="D619">
        <f t="shared" si="22"/>
        <v>31.216967880887722</v>
      </c>
      <c r="E619">
        <v>2.8184714327553539E-2</v>
      </c>
      <c r="F619">
        <v>616</v>
      </c>
      <c r="G619">
        <f t="shared" ca="1" si="23"/>
        <v>-1.7167374168424579E-2</v>
      </c>
    </row>
    <row r="620" spans="2:7" x14ac:dyDescent="0.35">
      <c r="B620" s="2">
        <v>39294</v>
      </c>
      <c r="C620" s="4">
        <v>106.79</v>
      </c>
      <c r="D620">
        <f t="shared" si="22"/>
        <v>1.9669626659027939E-2</v>
      </c>
      <c r="E620">
        <v>2.8112063155868006E-2</v>
      </c>
      <c r="F620">
        <v>617</v>
      </c>
      <c r="G620">
        <f t="shared" ca="1" si="23"/>
        <v>7.5979333984254509E-3</v>
      </c>
    </row>
    <row r="621" spans="2:7" x14ac:dyDescent="0.35">
      <c r="B621" s="2">
        <v>40632</v>
      </c>
      <c r="C621" s="4">
        <v>104.73</v>
      </c>
      <c r="D621">
        <f t="shared" si="22"/>
        <v>-0.91863545607806274</v>
      </c>
      <c r="E621">
        <v>2.8074997545891822E-2</v>
      </c>
      <c r="F621">
        <v>618</v>
      </c>
      <c r="G621">
        <f t="shared" ca="1" si="23"/>
        <v>2.8029556169803953E-2</v>
      </c>
    </row>
    <row r="622" spans="2:7" x14ac:dyDescent="0.35">
      <c r="B622" s="2">
        <v>44102</v>
      </c>
      <c r="C622" s="4">
        <v>1287.17</v>
      </c>
      <c r="D622">
        <f t="shared" si="22"/>
        <v>17.083309918516438</v>
      </c>
      <c r="E622">
        <v>2.8074631395664573E-2</v>
      </c>
      <c r="F622">
        <v>619</v>
      </c>
      <c r="G622">
        <f t="shared" ca="1" si="23"/>
        <v>-3.7814314180526472E-3</v>
      </c>
    </row>
    <row r="623" spans="2:7" x14ac:dyDescent="0.35">
      <c r="B623" s="2">
        <v>38946</v>
      </c>
      <c r="C623" s="4">
        <v>71.180000000000007</v>
      </c>
      <c r="D623">
        <f t="shared" si="22"/>
        <v>-0.29272655007949122</v>
      </c>
      <c r="E623">
        <v>2.8018486424032485E-2</v>
      </c>
      <c r="F623">
        <v>620</v>
      </c>
      <c r="G623">
        <f t="shared" ca="1" si="23"/>
        <v>-1.6520998664282097E-2</v>
      </c>
    </row>
    <row r="624" spans="2:7" x14ac:dyDescent="0.35">
      <c r="B624" s="2">
        <v>40694</v>
      </c>
      <c r="C624" s="4">
        <v>100.64</v>
      </c>
      <c r="D624">
        <f t="shared" si="22"/>
        <v>-6.6332683922441849E-2</v>
      </c>
      <c r="E624">
        <v>2.7987742594484111E-2</v>
      </c>
      <c r="F624">
        <v>621</v>
      </c>
      <c r="G624">
        <f t="shared" ca="1" si="23"/>
        <v>-3.1757872844150353E-2</v>
      </c>
    </row>
    <row r="625" spans="2:7" x14ac:dyDescent="0.35">
      <c r="B625" s="2">
        <v>39105</v>
      </c>
      <c r="C625" s="4">
        <v>107.79</v>
      </c>
      <c r="D625">
        <f t="shared" si="22"/>
        <v>0.2408196155174398</v>
      </c>
      <c r="E625">
        <v>2.7942017928666907E-2</v>
      </c>
      <c r="F625">
        <v>622</v>
      </c>
      <c r="G625">
        <f t="shared" ca="1" si="23"/>
        <v>-1.6517044846186681E-2</v>
      </c>
    </row>
    <row r="626" spans="2:7" x14ac:dyDescent="0.35">
      <c r="B626" s="2">
        <v>41382</v>
      </c>
      <c r="C626" s="4">
        <v>86.87</v>
      </c>
      <c r="D626">
        <f t="shared" si="22"/>
        <v>-0.70095356122413854</v>
      </c>
      <c r="E626">
        <v>2.7925689267542353E-2</v>
      </c>
      <c r="F626">
        <v>623</v>
      </c>
      <c r="G626">
        <f t="shared" ca="1" si="23"/>
        <v>1.1686321241938403E-2</v>
      </c>
    </row>
    <row r="627" spans="2:7" x14ac:dyDescent="0.35">
      <c r="B627" s="2">
        <v>41912</v>
      </c>
      <c r="C627" s="4">
        <v>290.49</v>
      </c>
      <c r="D627">
        <f t="shared" si="22"/>
        <v>2.2529675251959689</v>
      </c>
      <c r="E627">
        <v>2.7919320594479879E-2</v>
      </c>
      <c r="F627">
        <v>624</v>
      </c>
      <c r="G627">
        <f t="shared" ca="1" si="23"/>
        <v>1.3753080545351515E-2</v>
      </c>
    </row>
    <row r="628" spans="2:7" x14ac:dyDescent="0.35">
      <c r="B628" s="2">
        <v>41470</v>
      </c>
      <c r="C628" s="4">
        <v>89.3</v>
      </c>
      <c r="D628">
        <f t="shared" si="22"/>
        <v>0.2786368843069873</v>
      </c>
      <c r="E628">
        <v>2.7854511970534013E-2</v>
      </c>
      <c r="F628">
        <v>625</v>
      </c>
      <c r="G628">
        <f t="shared" ca="1" si="23"/>
        <v>-9.1170870750962533E-3</v>
      </c>
    </row>
    <row r="629" spans="2:7" x14ac:dyDescent="0.35">
      <c r="B629" s="2">
        <v>38761</v>
      </c>
      <c r="C629" s="4">
        <v>69.84</v>
      </c>
      <c r="D629">
        <f t="shared" si="22"/>
        <v>-0.93061930023246109</v>
      </c>
      <c r="E629">
        <v>2.7814569536423805E-2</v>
      </c>
      <c r="F629">
        <v>626</v>
      </c>
      <c r="G629">
        <f t="shared" ca="1" si="23"/>
        <v>-4.0660859090398564E-2</v>
      </c>
    </row>
    <row r="630" spans="2:7" x14ac:dyDescent="0.35">
      <c r="B630" s="2">
        <v>42235</v>
      </c>
      <c r="C630" s="4">
        <v>1006.62</v>
      </c>
      <c r="D630">
        <f t="shared" si="22"/>
        <v>11.826452599388379</v>
      </c>
      <c r="E630">
        <v>2.780302024729675E-2</v>
      </c>
      <c r="F630">
        <v>627</v>
      </c>
      <c r="G630">
        <f t="shared" ca="1" si="23"/>
        <v>4.0860809886979202E-3</v>
      </c>
    </row>
    <row r="631" spans="2:7" x14ac:dyDescent="0.35">
      <c r="B631" s="2">
        <v>40913</v>
      </c>
      <c r="C631" s="4">
        <v>78.48</v>
      </c>
      <c r="D631">
        <f t="shared" si="22"/>
        <v>-0.89762187406238181</v>
      </c>
      <c r="E631">
        <v>2.7763226820324727E-2</v>
      </c>
      <c r="F631">
        <v>628</v>
      </c>
      <c r="G631">
        <f t="shared" ca="1" si="23"/>
        <v>-5.2881753270823728E-2</v>
      </c>
    </row>
    <row r="632" spans="2:7" x14ac:dyDescent="0.35">
      <c r="B632" s="2">
        <v>42577</v>
      </c>
      <c r="C632" s="4">
        <v>766.57</v>
      </c>
      <c r="D632">
        <f t="shared" si="22"/>
        <v>9.3450742240215945</v>
      </c>
      <c r="E632">
        <v>2.7670156717118255E-2</v>
      </c>
      <c r="F632">
        <v>629</v>
      </c>
      <c r="G632">
        <f t="shared" ca="1" si="23"/>
        <v>-2.4463159545070407E-2</v>
      </c>
    </row>
    <row r="633" spans="2:7" x14ac:dyDescent="0.35">
      <c r="B633" s="2">
        <v>38552</v>
      </c>
      <c r="C633" s="4">
        <v>74.099999999999994</v>
      </c>
      <c r="D633">
        <f t="shared" si="22"/>
        <v>-0.91268279462192003</v>
      </c>
      <c r="E633">
        <v>2.7596727222299222E-2</v>
      </c>
      <c r="F633">
        <v>630</v>
      </c>
      <c r="G633">
        <f t="shared" ca="1" si="23"/>
        <v>3.3908536081726066E-2</v>
      </c>
    </row>
    <row r="634" spans="2:7" x14ac:dyDescent="0.35">
      <c r="B634" s="2">
        <v>43048</v>
      </c>
      <c r="C634" s="4">
        <v>848.63</v>
      </c>
      <c r="D634">
        <f t="shared" si="22"/>
        <v>29.691862567811935</v>
      </c>
      <c r="E634">
        <v>2.7596144531628397E-2</v>
      </c>
      <c r="F634">
        <v>631</v>
      </c>
      <c r="G634">
        <f t="shared" ca="1" si="23"/>
        <v>-3.7444670981221055E-3</v>
      </c>
    </row>
    <row r="635" spans="2:7" x14ac:dyDescent="0.35">
      <c r="B635" s="2">
        <v>37558</v>
      </c>
      <c r="C635" s="4">
        <v>27.65</v>
      </c>
      <c r="D635">
        <f t="shared" si="22"/>
        <v>-0.75143833153541895</v>
      </c>
      <c r="E635">
        <v>2.749907097733173E-2</v>
      </c>
      <c r="F635">
        <v>632</v>
      </c>
      <c r="G635">
        <f t="shared" ca="1" si="23"/>
        <v>-4.1822381265797272E-2</v>
      </c>
    </row>
    <row r="636" spans="2:7" x14ac:dyDescent="0.35">
      <c r="B636" s="2">
        <v>40353</v>
      </c>
      <c r="C636" s="4">
        <v>111.24</v>
      </c>
      <c r="D636">
        <f t="shared" si="22"/>
        <v>-0.83293283671752971</v>
      </c>
      <c r="E636">
        <v>2.7431421446383997E-2</v>
      </c>
      <c r="F636">
        <v>633</v>
      </c>
      <c r="G636">
        <f t="shared" ca="1" si="23"/>
        <v>5.1731768982649771E-2</v>
      </c>
    </row>
    <row r="637" spans="2:7" x14ac:dyDescent="0.35">
      <c r="B637" s="2">
        <v>43734</v>
      </c>
      <c r="C637" s="4">
        <v>665.84</v>
      </c>
      <c r="D637">
        <f t="shared" si="22"/>
        <v>1.7020534047561076</v>
      </c>
      <c r="E637">
        <v>2.7419877482370625E-2</v>
      </c>
      <c r="F637">
        <v>634</v>
      </c>
      <c r="G637">
        <f t="shared" ca="1" si="23"/>
        <v>-2.6564651396480201E-2</v>
      </c>
    </row>
    <row r="638" spans="2:7" x14ac:dyDescent="0.35">
      <c r="B638" s="2">
        <v>41807</v>
      </c>
      <c r="C638" s="4">
        <v>246.42</v>
      </c>
      <c r="D638">
        <f t="shared" si="22"/>
        <v>2.1331214240305147</v>
      </c>
      <c r="E638">
        <v>2.7392120075046877E-2</v>
      </c>
      <c r="F638">
        <v>635</v>
      </c>
      <c r="G638">
        <f t="shared" ca="1" si="23"/>
        <v>-2.5691920646196312E-2</v>
      </c>
    </row>
    <row r="639" spans="2:7" x14ac:dyDescent="0.35">
      <c r="B639" s="2">
        <v>39601</v>
      </c>
      <c r="C639" s="4">
        <v>78.650000000000006</v>
      </c>
      <c r="D639">
        <f t="shared" si="22"/>
        <v>-0.56215554194733608</v>
      </c>
      <c r="E639">
        <v>2.7298850574712707E-2</v>
      </c>
      <c r="F639">
        <v>636</v>
      </c>
      <c r="G639">
        <f t="shared" ca="1" si="23"/>
        <v>-2.0460777301369155E-2</v>
      </c>
    </row>
    <row r="640" spans="2:7" x14ac:dyDescent="0.35">
      <c r="B640" s="2">
        <v>41668</v>
      </c>
      <c r="C640" s="4">
        <v>179.63</v>
      </c>
      <c r="D640">
        <f t="shared" si="22"/>
        <v>1.4317043454717746</v>
      </c>
      <c r="E640">
        <v>2.7278966029966822E-2</v>
      </c>
      <c r="F640">
        <v>637</v>
      </c>
      <c r="G640">
        <f t="shared" ca="1" si="23"/>
        <v>5.2707431149083854E-3</v>
      </c>
    </row>
    <row r="641" spans="2:7" x14ac:dyDescent="0.35">
      <c r="B641" s="2">
        <v>38589</v>
      </c>
      <c r="C641" s="4">
        <v>73.87</v>
      </c>
      <c r="D641">
        <f t="shared" si="22"/>
        <v>1.2785317705120298</v>
      </c>
      <c r="E641">
        <v>2.7256292587957365E-2</v>
      </c>
      <c r="F641">
        <v>638</v>
      </c>
      <c r="G641">
        <f t="shared" ca="1" si="23"/>
        <v>2.9012880198792359E-2</v>
      </c>
    </row>
    <row r="642" spans="2:7" x14ac:dyDescent="0.35">
      <c r="B642" s="2">
        <v>39863</v>
      </c>
      <c r="C642" s="4">
        <v>32.42</v>
      </c>
      <c r="D642">
        <f t="shared" si="22"/>
        <v>-0.68055966105034971</v>
      </c>
      <c r="E642">
        <v>2.7249683143219405E-2</v>
      </c>
      <c r="F642">
        <v>639</v>
      </c>
      <c r="G642">
        <f t="shared" ca="1" si="23"/>
        <v>3.9068163699174319E-2</v>
      </c>
    </row>
    <row r="643" spans="2:7" x14ac:dyDescent="0.35">
      <c r="B643" s="2">
        <v>41598</v>
      </c>
      <c r="C643" s="4">
        <v>101.49</v>
      </c>
      <c r="D643">
        <f t="shared" si="22"/>
        <v>2.2005676442762532</v>
      </c>
      <c r="E643">
        <v>2.7226720647773206E-2</v>
      </c>
      <c r="F643">
        <v>640</v>
      </c>
      <c r="G643">
        <f t="shared" ca="1" si="23"/>
        <v>-2.7094232981043007E-2</v>
      </c>
    </row>
    <row r="644" spans="2:7" x14ac:dyDescent="0.35">
      <c r="B644" s="2">
        <v>39905</v>
      </c>
      <c r="C644" s="4">
        <v>31.71</v>
      </c>
      <c r="D644">
        <f t="shared" ref="D644:D707" si="24">C644/C645-1</f>
        <v>-0.9598617756512493</v>
      </c>
      <c r="E644">
        <v>2.7210884353741527E-2</v>
      </c>
      <c r="F644">
        <v>641</v>
      </c>
      <c r="G644">
        <f t="shared" ca="1" si="23"/>
        <v>6.1120092911996549E-2</v>
      </c>
    </row>
    <row r="645" spans="2:7" x14ac:dyDescent="0.35">
      <c r="B645" s="2">
        <v>42963</v>
      </c>
      <c r="C645" s="4">
        <v>790.02</v>
      </c>
      <c r="D645">
        <f t="shared" si="24"/>
        <v>-0.23138590261224878</v>
      </c>
      <c r="E645">
        <v>2.7200624106098026E-2</v>
      </c>
      <c r="F645">
        <v>642</v>
      </c>
      <c r="G645">
        <f t="shared" ref="G645:G708" ca="1" si="25">_xlfn.NORM.INV(RAND(),K$6,K$7)</f>
        <v>1.1819024976863098E-3</v>
      </c>
    </row>
    <row r="646" spans="2:7" x14ac:dyDescent="0.35">
      <c r="B646" s="2">
        <v>43871</v>
      </c>
      <c r="C646" s="4">
        <v>1027.8499999999999</v>
      </c>
      <c r="D646">
        <f t="shared" si="24"/>
        <v>9.5183176422431437</v>
      </c>
      <c r="E646">
        <v>2.7172066436152109E-2</v>
      </c>
      <c r="F646">
        <v>643</v>
      </c>
      <c r="G646">
        <f t="shared" ca="1" si="25"/>
        <v>1.4870892120798918E-2</v>
      </c>
    </row>
    <row r="647" spans="2:7" x14ac:dyDescent="0.35">
      <c r="B647" s="2">
        <v>40718</v>
      </c>
      <c r="C647" s="4">
        <v>97.72</v>
      </c>
      <c r="D647">
        <f t="shared" si="24"/>
        <v>1.4098643649815044</v>
      </c>
      <c r="E647">
        <v>2.7117931469413437E-2</v>
      </c>
      <c r="F647">
        <v>644</v>
      </c>
      <c r="G647">
        <f t="shared" ca="1" si="25"/>
        <v>-3.832251325619157E-2</v>
      </c>
    </row>
    <row r="648" spans="2:7" x14ac:dyDescent="0.35">
      <c r="B648" s="2">
        <v>37984</v>
      </c>
      <c r="C648" s="4">
        <v>40.549999999999997</v>
      </c>
      <c r="D648">
        <f t="shared" si="24"/>
        <v>-0.66794955781198828</v>
      </c>
      <c r="E648">
        <v>2.7102330293819588E-2</v>
      </c>
      <c r="F648">
        <v>645</v>
      </c>
      <c r="G648">
        <f t="shared" ca="1" si="25"/>
        <v>-2.2738687335986996E-2</v>
      </c>
    </row>
    <row r="649" spans="2:7" x14ac:dyDescent="0.35">
      <c r="B649" s="2">
        <v>39265</v>
      </c>
      <c r="C649" s="4">
        <v>122.12</v>
      </c>
      <c r="D649">
        <f t="shared" si="24"/>
        <v>0.25276979893311458</v>
      </c>
      <c r="E649">
        <v>2.7081581160639079E-2</v>
      </c>
      <c r="F649">
        <v>646</v>
      </c>
      <c r="G649">
        <f t="shared" ca="1" si="25"/>
        <v>-2.3306105013068908E-2</v>
      </c>
    </row>
    <row r="650" spans="2:7" x14ac:dyDescent="0.35">
      <c r="B650" s="2">
        <v>40955</v>
      </c>
      <c r="C650" s="4">
        <v>97.48</v>
      </c>
      <c r="D650">
        <f t="shared" si="24"/>
        <v>-0.89941909056202729</v>
      </c>
      <c r="E650">
        <v>2.7078284690759791E-2</v>
      </c>
      <c r="F650">
        <v>647</v>
      </c>
      <c r="G650">
        <f t="shared" ca="1" si="25"/>
        <v>4.4076339306938578E-2</v>
      </c>
    </row>
    <row r="651" spans="2:7" x14ac:dyDescent="0.35">
      <c r="B651" s="2">
        <v>43174</v>
      </c>
      <c r="C651" s="4">
        <v>969.17</v>
      </c>
      <c r="D651">
        <f t="shared" si="24"/>
        <v>8.4590083935194222</v>
      </c>
      <c r="E651">
        <v>2.7076577435832139E-2</v>
      </c>
      <c r="F651">
        <v>648</v>
      </c>
      <c r="G651">
        <f t="shared" ca="1" si="25"/>
        <v>2.6057107206051726E-3</v>
      </c>
    </row>
    <row r="652" spans="2:7" x14ac:dyDescent="0.35">
      <c r="B652" s="2">
        <v>39099</v>
      </c>
      <c r="C652" s="4">
        <v>102.46</v>
      </c>
      <c r="D652">
        <f t="shared" si="24"/>
        <v>-0.90800861914167719</v>
      </c>
      <c r="E652">
        <v>2.7064955894145815E-2</v>
      </c>
      <c r="F652">
        <v>649</v>
      </c>
      <c r="G652">
        <f t="shared" ca="1" si="25"/>
        <v>6.5091048415003225E-2</v>
      </c>
    </row>
    <row r="653" spans="2:7" x14ac:dyDescent="0.35">
      <c r="B653" s="2">
        <v>43257</v>
      </c>
      <c r="C653" s="4">
        <v>1113.8</v>
      </c>
      <c r="D653">
        <f t="shared" si="24"/>
        <v>21.378943138436806</v>
      </c>
      <c r="E653">
        <v>2.7045469215376983E-2</v>
      </c>
      <c r="F653">
        <v>650</v>
      </c>
      <c r="G653">
        <f t="shared" ca="1" si="25"/>
        <v>6.5650245723384015E-3</v>
      </c>
    </row>
    <row r="654" spans="2:7" x14ac:dyDescent="0.35">
      <c r="B654" s="2">
        <v>40008</v>
      </c>
      <c r="C654" s="4">
        <v>49.77</v>
      </c>
      <c r="D654">
        <f t="shared" si="24"/>
        <v>-0.1773553719008264</v>
      </c>
      <c r="E654">
        <v>2.7032604209657585E-2</v>
      </c>
      <c r="F654">
        <v>651</v>
      </c>
      <c r="G654">
        <f t="shared" ca="1" si="25"/>
        <v>-6.8571889612381223E-3</v>
      </c>
    </row>
    <row r="655" spans="2:7" x14ac:dyDescent="0.35">
      <c r="B655" s="2">
        <v>40036</v>
      </c>
      <c r="C655" s="4">
        <v>60.5</v>
      </c>
      <c r="D655">
        <f t="shared" si="24"/>
        <v>-0.94979711395640232</v>
      </c>
      <c r="E655">
        <v>2.699032422339176E-2</v>
      </c>
      <c r="F655">
        <v>652</v>
      </c>
      <c r="G655">
        <f t="shared" ca="1" si="25"/>
        <v>-4.98994413584491E-2</v>
      </c>
    </row>
    <row r="656" spans="2:7" x14ac:dyDescent="0.35">
      <c r="B656" s="2">
        <v>44082</v>
      </c>
      <c r="C656" s="4">
        <v>1205.1099999999999</v>
      </c>
      <c r="D656">
        <f t="shared" si="24"/>
        <v>15.302895021645021</v>
      </c>
      <c r="E656">
        <v>2.6954017111497253E-2</v>
      </c>
      <c r="F656">
        <v>653</v>
      </c>
      <c r="G656">
        <f t="shared" ca="1" si="25"/>
        <v>1.4069855547855956E-2</v>
      </c>
    </row>
    <row r="657" spans="2:7" x14ac:dyDescent="0.35">
      <c r="B657" s="2">
        <v>39479</v>
      </c>
      <c r="C657" s="4">
        <v>73.92</v>
      </c>
      <c r="D657">
        <f t="shared" si="24"/>
        <v>-0.93409650155129986</v>
      </c>
      <c r="E657">
        <v>2.6951931091969916E-2</v>
      </c>
      <c r="F657">
        <v>654</v>
      </c>
      <c r="G657">
        <f t="shared" ca="1" si="25"/>
        <v>-2.464355984815654E-2</v>
      </c>
    </row>
    <row r="658" spans="2:7" x14ac:dyDescent="0.35">
      <c r="B658" s="2">
        <v>43243</v>
      </c>
      <c r="C658" s="4">
        <v>1121.6400000000001</v>
      </c>
      <c r="D658">
        <f t="shared" si="24"/>
        <v>18.80996114447192</v>
      </c>
      <c r="E658">
        <v>2.688895602735597E-2</v>
      </c>
      <c r="F658">
        <v>655</v>
      </c>
      <c r="G658">
        <f t="shared" ca="1" si="25"/>
        <v>2.6998954669119443E-2</v>
      </c>
    </row>
    <row r="659" spans="2:7" x14ac:dyDescent="0.35">
      <c r="B659" s="2">
        <v>40018</v>
      </c>
      <c r="C659" s="4">
        <v>56.62</v>
      </c>
      <c r="D659">
        <f t="shared" si="24"/>
        <v>-0.9933873603047747</v>
      </c>
      <c r="E659">
        <v>2.6840768951759131E-2</v>
      </c>
      <c r="F659">
        <v>656</v>
      </c>
      <c r="G659">
        <f t="shared" ca="1" si="25"/>
        <v>5.476984238259157E-3</v>
      </c>
    </row>
    <row r="660" spans="2:7" x14ac:dyDescent="0.35">
      <c r="B660" s="2">
        <v>44713</v>
      </c>
      <c r="C660" s="4">
        <v>8562.39</v>
      </c>
      <c r="D660">
        <f t="shared" si="24"/>
        <v>94.9909192825112</v>
      </c>
      <c r="E660">
        <v>2.6834144217935174E-2</v>
      </c>
      <c r="F660">
        <v>657</v>
      </c>
      <c r="G660">
        <f t="shared" ca="1" si="25"/>
        <v>-2.283661894958355E-3</v>
      </c>
    </row>
    <row r="661" spans="2:7" x14ac:dyDescent="0.35">
      <c r="B661" s="2">
        <v>40765</v>
      </c>
      <c r="C661" s="4">
        <v>89.2</v>
      </c>
      <c r="D661">
        <f t="shared" si="24"/>
        <v>-0.90406745391581167</v>
      </c>
      <c r="E661">
        <v>2.6821687579141162E-2</v>
      </c>
      <c r="F661">
        <v>658</v>
      </c>
      <c r="G661">
        <f t="shared" ca="1" si="25"/>
        <v>1.1772707879033643E-2</v>
      </c>
    </row>
    <row r="662" spans="2:7" x14ac:dyDescent="0.35">
      <c r="B662" s="2">
        <v>43860</v>
      </c>
      <c r="C662" s="4">
        <v>929.82</v>
      </c>
      <c r="D662">
        <f t="shared" si="24"/>
        <v>-0.72212160877907072</v>
      </c>
      <c r="E662">
        <v>2.6756037500414109E-2</v>
      </c>
      <c r="F662">
        <v>659</v>
      </c>
      <c r="G662">
        <f t="shared" ca="1" si="25"/>
        <v>-5.0097502653400683E-2</v>
      </c>
    </row>
    <row r="663" spans="2:7" x14ac:dyDescent="0.35">
      <c r="B663" s="2">
        <v>44315</v>
      </c>
      <c r="C663" s="4">
        <v>3346.14</v>
      </c>
      <c r="D663">
        <f t="shared" si="24"/>
        <v>99.123877917414717</v>
      </c>
      <c r="E663">
        <v>2.6754015864005387E-2</v>
      </c>
      <c r="F663">
        <v>660</v>
      </c>
      <c r="G663">
        <f t="shared" ca="1" si="25"/>
        <v>6.6059511318634009E-3</v>
      </c>
    </row>
    <row r="664" spans="2:7" x14ac:dyDescent="0.35">
      <c r="B664" s="2">
        <v>39786</v>
      </c>
      <c r="C664" s="4">
        <v>33.42</v>
      </c>
      <c r="D664">
        <f t="shared" si="24"/>
        <v>-0.55445940541261174</v>
      </c>
      <c r="E664">
        <v>2.6728110599078425E-2</v>
      </c>
      <c r="F664">
        <v>661</v>
      </c>
      <c r="G664">
        <f t="shared" ca="1" si="25"/>
        <v>1.9172542805962412E-2</v>
      </c>
    </row>
    <row r="665" spans="2:7" x14ac:dyDescent="0.35">
      <c r="B665" s="2">
        <v>39505</v>
      </c>
      <c r="C665" s="4">
        <v>75.010000000000005</v>
      </c>
      <c r="D665">
        <f t="shared" si="24"/>
        <v>-0.92907258217027877</v>
      </c>
      <c r="E665">
        <v>2.6690391459074814E-2</v>
      </c>
      <c r="F665">
        <v>662</v>
      </c>
      <c r="G665">
        <f t="shared" ca="1" si="25"/>
        <v>2.12301890348904E-2</v>
      </c>
    </row>
    <row r="666" spans="2:7" x14ac:dyDescent="0.35">
      <c r="B666" s="2">
        <v>43874</v>
      </c>
      <c r="C666" s="4">
        <v>1057.56</v>
      </c>
      <c r="D666">
        <f t="shared" si="24"/>
        <v>9.6031682374172842</v>
      </c>
      <c r="E666">
        <v>2.6577879593857379E-2</v>
      </c>
      <c r="F666">
        <v>663</v>
      </c>
      <c r="G666">
        <f t="shared" ca="1" si="25"/>
        <v>-1.7862112727972775E-2</v>
      </c>
    </row>
    <row r="667" spans="2:7" x14ac:dyDescent="0.35">
      <c r="B667" s="2">
        <v>40623</v>
      </c>
      <c r="C667" s="4">
        <v>99.74</v>
      </c>
      <c r="D667">
        <f t="shared" si="24"/>
        <v>-0.87817717684706809</v>
      </c>
      <c r="E667">
        <v>2.6554137505146125E-2</v>
      </c>
      <c r="F667">
        <v>664</v>
      </c>
      <c r="G667">
        <f t="shared" ca="1" si="25"/>
        <v>-4.0049960775979568E-2</v>
      </c>
    </row>
    <row r="668" spans="2:7" x14ac:dyDescent="0.35">
      <c r="B668" s="2">
        <v>43839</v>
      </c>
      <c r="C668" s="4">
        <v>818.73</v>
      </c>
      <c r="D668">
        <f t="shared" si="24"/>
        <v>27.19318181818182</v>
      </c>
      <c r="E668">
        <v>2.6543457545513904E-2</v>
      </c>
      <c r="F668">
        <v>665</v>
      </c>
      <c r="G668">
        <f t="shared" ca="1" si="25"/>
        <v>9.2961146453311005E-3</v>
      </c>
    </row>
    <row r="669" spans="2:7" x14ac:dyDescent="0.35">
      <c r="B669" s="2">
        <v>37588</v>
      </c>
      <c r="C669" s="4">
        <v>29.04</v>
      </c>
      <c r="D669">
        <f t="shared" si="24"/>
        <v>-0.9969608171466845</v>
      </c>
      <c r="E669">
        <v>2.6511134676564074E-2</v>
      </c>
      <c r="F669">
        <v>666</v>
      </c>
      <c r="G669">
        <f t="shared" ca="1" si="25"/>
        <v>-2.7991262993465861E-2</v>
      </c>
    </row>
    <row r="670" spans="2:7" x14ac:dyDescent="0.35">
      <c r="B670" s="2">
        <v>44781</v>
      </c>
      <c r="C670" s="4">
        <v>9555.2000000000007</v>
      </c>
      <c r="D670">
        <f t="shared" si="24"/>
        <v>10.422969790433838</v>
      </c>
      <c r="E670">
        <v>2.6491631394624404E-2</v>
      </c>
      <c r="F670">
        <v>667</v>
      </c>
      <c r="G670">
        <f t="shared" ca="1" si="25"/>
        <v>-3.5805124602881946E-2</v>
      </c>
    </row>
    <row r="671" spans="2:7" x14ac:dyDescent="0.35">
      <c r="B671" s="2">
        <v>43055</v>
      </c>
      <c r="C671" s="4">
        <v>836.49</v>
      </c>
      <c r="D671">
        <f t="shared" si="24"/>
        <v>9.8381705104949457</v>
      </c>
      <c r="E671">
        <v>2.6468855838609917E-2</v>
      </c>
      <c r="F671">
        <v>668</v>
      </c>
      <c r="G671">
        <f t="shared" ca="1" si="25"/>
        <v>-2.2626927329900542E-3</v>
      </c>
    </row>
    <row r="672" spans="2:7" x14ac:dyDescent="0.35">
      <c r="B672" s="2">
        <v>38834</v>
      </c>
      <c r="C672" s="4">
        <v>77.180000000000007</v>
      </c>
      <c r="D672">
        <f t="shared" si="24"/>
        <v>1.3667586629868143</v>
      </c>
      <c r="E672">
        <v>2.6466285410293944E-2</v>
      </c>
      <c r="F672">
        <v>669</v>
      </c>
      <c r="G672">
        <f t="shared" ca="1" si="25"/>
        <v>-3.2477067043764386E-2</v>
      </c>
    </row>
    <row r="673" spans="2:7" x14ac:dyDescent="0.35">
      <c r="B673" s="2">
        <v>38163</v>
      </c>
      <c r="C673" s="4">
        <v>32.61</v>
      </c>
      <c r="D673">
        <f t="shared" si="24"/>
        <v>-0.7068500539374325</v>
      </c>
      <c r="E673">
        <v>2.6440037771482627E-2</v>
      </c>
      <c r="F673">
        <v>670</v>
      </c>
      <c r="G673">
        <f t="shared" ca="1" si="25"/>
        <v>3.8012493923155567E-2</v>
      </c>
    </row>
    <row r="674" spans="2:7" x14ac:dyDescent="0.35">
      <c r="B674" s="2">
        <v>40308</v>
      </c>
      <c r="C674" s="4">
        <v>111.24</v>
      </c>
      <c r="D674">
        <f t="shared" si="24"/>
        <v>-0.97508265462462707</v>
      </c>
      <c r="E674">
        <v>2.6388632589038563E-2</v>
      </c>
      <c r="F674">
        <v>671</v>
      </c>
      <c r="G674">
        <f t="shared" ca="1" si="25"/>
        <v>1.7889493921699889E-2</v>
      </c>
    </row>
    <row r="675" spans="2:7" x14ac:dyDescent="0.35">
      <c r="B675" s="2">
        <v>44392</v>
      </c>
      <c r="C675" s="4">
        <v>4464.3599999999997</v>
      </c>
      <c r="D675">
        <f t="shared" si="24"/>
        <v>62.986813816826718</v>
      </c>
      <c r="E675">
        <v>2.6372236846642805E-2</v>
      </c>
      <c r="F675">
        <v>672</v>
      </c>
      <c r="G675">
        <f t="shared" ca="1" si="25"/>
        <v>-8.563392584987695E-3</v>
      </c>
    </row>
    <row r="676" spans="2:7" x14ac:dyDescent="0.35">
      <c r="B676" s="2">
        <v>38674</v>
      </c>
      <c r="C676" s="4">
        <v>69.77</v>
      </c>
      <c r="D676">
        <f t="shared" si="24"/>
        <v>1.8854425144747724</v>
      </c>
      <c r="E676">
        <v>2.6331273904089292E-2</v>
      </c>
      <c r="F676">
        <v>673</v>
      </c>
      <c r="G676">
        <f t="shared" ca="1" si="25"/>
        <v>1.3103642823094737E-2</v>
      </c>
    </row>
    <row r="677" spans="2:7" x14ac:dyDescent="0.35">
      <c r="B677" s="2">
        <v>37718</v>
      </c>
      <c r="C677" s="4">
        <v>24.18</v>
      </c>
      <c r="D677">
        <f t="shared" si="24"/>
        <v>-0.81060546722017701</v>
      </c>
      <c r="E677">
        <v>2.6315789473684292E-2</v>
      </c>
      <c r="F677">
        <v>674</v>
      </c>
      <c r="G677">
        <f t="shared" ca="1" si="25"/>
        <v>4.1008486453829165E-2</v>
      </c>
    </row>
    <row r="678" spans="2:7" x14ac:dyDescent="0.35">
      <c r="B678" s="2">
        <v>40269</v>
      </c>
      <c r="C678" s="4">
        <v>127.67</v>
      </c>
      <c r="D678">
        <f t="shared" si="24"/>
        <v>-0.97759302745981769</v>
      </c>
      <c r="E678">
        <v>2.6286173633440546E-2</v>
      </c>
      <c r="F678">
        <v>675</v>
      </c>
      <c r="G678">
        <f t="shared" ca="1" si="25"/>
        <v>-1.6829883589780072E-2</v>
      </c>
    </row>
    <row r="679" spans="2:7" x14ac:dyDescent="0.35">
      <c r="B679" s="2">
        <v>44462</v>
      </c>
      <c r="C679" s="4">
        <v>5697.78</v>
      </c>
      <c r="D679">
        <f t="shared" si="24"/>
        <v>53.002274665908438</v>
      </c>
      <c r="E679">
        <v>2.6281234971279988E-2</v>
      </c>
      <c r="F679">
        <v>676</v>
      </c>
      <c r="G679">
        <f t="shared" ca="1" si="25"/>
        <v>7.9691419164158173E-3</v>
      </c>
    </row>
    <row r="680" spans="2:7" x14ac:dyDescent="0.35">
      <c r="B680" s="2">
        <v>40577</v>
      </c>
      <c r="C680" s="4">
        <v>105.51</v>
      </c>
      <c r="D680">
        <f t="shared" si="24"/>
        <v>-0.86919815531091937</v>
      </c>
      <c r="E680">
        <v>2.6262036766851571E-2</v>
      </c>
      <c r="F680">
        <v>677</v>
      </c>
      <c r="G680">
        <f t="shared" ca="1" si="25"/>
        <v>5.4794988949350705E-2</v>
      </c>
    </row>
    <row r="681" spans="2:7" x14ac:dyDescent="0.35">
      <c r="B681" s="2">
        <v>42391</v>
      </c>
      <c r="C681" s="4">
        <v>806.64</v>
      </c>
      <c r="D681">
        <f t="shared" si="24"/>
        <v>-0.19278687868386557</v>
      </c>
      <c r="E681">
        <v>2.619426245149814E-2</v>
      </c>
      <c r="F681">
        <v>678</v>
      </c>
      <c r="G681">
        <f t="shared" ca="1" si="25"/>
        <v>2.0364098382189041E-2</v>
      </c>
    </row>
    <row r="682" spans="2:7" x14ac:dyDescent="0.35">
      <c r="B682" s="2">
        <v>43202</v>
      </c>
      <c r="C682" s="4">
        <v>999.29</v>
      </c>
      <c r="D682">
        <f t="shared" si="24"/>
        <v>8.1990242106232163</v>
      </c>
      <c r="E682">
        <v>2.6186344078292123E-2</v>
      </c>
      <c r="F682">
        <v>679</v>
      </c>
      <c r="G682">
        <f t="shared" ca="1" si="25"/>
        <v>8.4909209610484447E-3</v>
      </c>
    </row>
    <row r="683" spans="2:7" x14ac:dyDescent="0.35">
      <c r="B683" s="2">
        <v>39353</v>
      </c>
      <c r="C683" s="4">
        <v>108.63</v>
      </c>
      <c r="D683">
        <f t="shared" si="24"/>
        <v>-0.88397453698758888</v>
      </c>
      <c r="E683">
        <v>2.6166635178537678E-2</v>
      </c>
      <c r="F683">
        <v>680</v>
      </c>
      <c r="G683">
        <f t="shared" ca="1" si="25"/>
        <v>7.0390878746867617E-3</v>
      </c>
    </row>
    <row r="684" spans="2:7" x14ac:dyDescent="0.35">
      <c r="B684" s="2">
        <v>44041</v>
      </c>
      <c r="C684" s="4">
        <v>936.26</v>
      </c>
      <c r="D684">
        <f t="shared" si="24"/>
        <v>8.2406529630742797E-2</v>
      </c>
      <c r="E684">
        <v>2.6162057891910173E-2</v>
      </c>
      <c r="F684">
        <v>681</v>
      </c>
      <c r="G684">
        <f t="shared" ca="1" si="25"/>
        <v>1.5405168489308571E-3</v>
      </c>
    </row>
    <row r="685" spans="2:7" x14ac:dyDescent="0.35">
      <c r="B685" s="2">
        <v>42459</v>
      </c>
      <c r="C685" s="4">
        <v>864.98</v>
      </c>
      <c r="D685">
        <f t="shared" si="24"/>
        <v>-5.2294814344096219E-2</v>
      </c>
      <c r="E685">
        <v>2.6134408921051122E-2</v>
      </c>
      <c r="F685">
        <v>682</v>
      </c>
      <c r="G685">
        <f t="shared" ca="1" si="25"/>
        <v>-3.8807835236752013E-2</v>
      </c>
    </row>
    <row r="686" spans="2:7" x14ac:dyDescent="0.35">
      <c r="B686" s="2">
        <v>42349</v>
      </c>
      <c r="C686" s="4">
        <v>912.71</v>
      </c>
      <c r="D686">
        <f t="shared" si="24"/>
        <v>0.18672474320634502</v>
      </c>
      <c r="E686">
        <v>2.6047170447647261E-2</v>
      </c>
      <c r="F686">
        <v>683</v>
      </c>
      <c r="G686">
        <f t="shared" ca="1" si="25"/>
        <v>6.8022468975813752E-2</v>
      </c>
    </row>
    <row r="687" spans="2:7" x14ac:dyDescent="0.35">
      <c r="B687" s="2">
        <v>42961</v>
      </c>
      <c r="C687" s="4">
        <v>769.1</v>
      </c>
      <c r="D687">
        <f t="shared" si="24"/>
        <v>7.8321084060633908</v>
      </c>
      <c r="E687">
        <v>2.6041249766535879E-2</v>
      </c>
      <c r="F687">
        <v>684</v>
      </c>
      <c r="G687">
        <f t="shared" ca="1" si="25"/>
        <v>2.645521608059738E-2</v>
      </c>
    </row>
    <row r="688" spans="2:7" x14ac:dyDescent="0.35">
      <c r="B688" s="2">
        <v>41002</v>
      </c>
      <c r="C688" s="4">
        <v>87.08</v>
      </c>
      <c r="D688">
        <f t="shared" si="24"/>
        <v>-0.91005618905965957</v>
      </c>
      <c r="E688">
        <v>2.6039825615647327E-2</v>
      </c>
      <c r="F688">
        <v>685</v>
      </c>
      <c r="G688">
        <f t="shared" ca="1" si="25"/>
        <v>3.4825256581569826E-2</v>
      </c>
    </row>
    <row r="689" spans="2:7" x14ac:dyDescent="0.35">
      <c r="B689" s="2">
        <v>43446</v>
      </c>
      <c r="C689" s="4">
        <v>968.16</v>
      </c>
      <c r="D689">
        <f t="shared" si="24"/>
        <v>6.3590757069017938</v>
      </c>
      <c r="E689">
        <v>2.603885161987729E-2</v>
      </c>
      <c r="F689">
        <v>686</v>
      </c>
      <c r="G689">
        <f t="shared" ca="1" si="25"/>
        <v>1.0998625304777035E-2</v>
      </c>
    </row>
    <row r="690" spans="2:7" x14ac:dyDescent="0.35">
      <c r="B690" s="2">
        <v>40490</v>
      </c>
      <c r="C690" s="4">
        <v>131.56</v>
      </c>
      <c r="D690">
        <f t="shared" si="24"/>
        <v>-0.85288559383631335</v>
      </c>
      <c r="E690">
        <v>2.5968962021367892E-2</v>
      </c>
      <c r="F690">
        <v>687</v>
      </c>
      <c r="G690">
        <f t="shared" ca="1" si="25"/>
        <v>-1.7425117285203823E-2</v>
      </c>
    </row>
    <row r="691" spans="2:7" x14ac:dyDescent="0.35">
      <c r="B691" s="2">
        <v>43530</v>
      </c>
      <c r="C691" s="4">
        <v>894.27</v>
      </c>
      <c r="D691">
        <f t="shared" si="24"/>
        <v>0.35618744313011841</v>
      </c>
      <c r="E691">
        <v>2.5962553347712358E-2</v>
      </c>
      <c r="F691">
        <v>688</v>
      </c>
      <c r="G691">
        <f t="shared" ca="1" si="25"/>
        <v>2.2430522267686145E-2</v>
      </c>
    </row>
    <row r="692" spans="2:7" x14ac:dyDescent="0.35">
      <c r="B692" s="2">
        <v>42713</v>
      </c>
      <c r="C692" s="4">
        <v>659.4</v>
      </c>
      <c r="D692">
        <f t="shared" si="24"/>
        <v>27.707009142359599</v>
      </c>
      <c r="E692">
        <v>2.5920278806360164E-2</v>
      </c>
      <c r="F692">
        <v>689</v>
      </c>
      <c r="G692">
        <f t="shared" ca="1" si="25"/>
        <v>2.7417940140251871E-2</v>
      </c>
    </row>
    <row r="693" spans="2:7" x14ac:dyDescent="0.35">
      <c r="B693" s="2">
        <v>37778</v>
      </c>
      <c r="C693" s="4">
        <v>22.97</v>
      </c>
      <c r="D693">
        <f t="shared" si="24"/>
        <v>-0.96267043700128385</v>
      </c>
      <c r="E693">
        <v>2.5904421616793183E-2</v>
      </c>
      <c r="F693">
        <v>690</v>
      </c>
      <c r="G693">
        <f t="shared" ca="1" si="25"/>
        <v>-5.9457918308900258E-2</v>
      </c>
    </row>
    <row r="694" spans="2:7" x14ac:dyDescent="0.35">
      <c r="B694" s="2">
        <v>42731</v>
      </c>
      <c r="C694" s="4">
        <v>615.33000000000004</v>
      </c>
      <c r="D694">
        <f t="shared" si="24"/>
        <v>-0.28581211263028383</v>
      </c>
      <c r="E694">
        <v>2.5635469622468543E-2</v>
      </c>
      <c r="F694">
        <v>691</v>
      </c>
      <c r="G694">
        <f t="shared" ca="1" si="25"/>
        <v>4.5069217246082368E-3</v>
      </c>
    </row>
    <row r="695" spans="2:7" x14ac:dyDescent="0.35">
      <c r="B695" s="2">
        <v>42223</v>
      </c>
      <c r="C695" s="4">
        <v>861.58</v>
      </c>
      <c r="D695">
        <f t="shared" si="24"/>
        <v>-8.6912748121535821E-2</v>
      </c>
      <c r="E695">
        <v>2.5580592555559445E-2</v>
      </c>
      <c r="F695">
        <v>692</v>
      </c>
      <c r="G695">
        <f t="shared" ca="1" si="25"/>
        <v>-2.3707386579559748E-2</v>
      </c>
    </row>
    <row r="696" spans="2:7" x14ac:dyDescent="0.35">
      <c r="B696" s="2">
        <v>43445</v>
      </c>
      <c r="C696" s="4">
        <v>943.59</v>
      </c>
      <c r="D696">
        <f t="shared" si="24"/>
        <v>0.56721698113207553</v>
      </c>
      <c r="E696">
        <v>2.5574419059626541E-2</v>
      </c>
      <c r="F696">
        <v>693</v>
      </c>
      <c r="G696">
        <f t="shared" ca="1" si="25"/>
        <v>-1.4594258033661236E-2</v>
      </c>
    </row>
    <row r="697" spans="2:7" x14ac:dyDescent="0.35">
      <c r="B697" s="2">
        <v>42705</v>
      </c>
      <c r="C697" s="4">
        <v>602.08000000000004</v>
      </c>
      <c r="D697">
        <f t="shared" si="24"/>
        <v>-0.24675032215285675</v>
      </c>
      <c r="E697">
        <v>2.5567649513686508E-2</v>
      </c>
      <c r="F697">
        <v>694</v>
      </c>
      <c r="G697">
        <f t="shared" ca="1" si="25"/>
        <v>2.7444492663346337E-2</v>
      </c>
    </row>
    <row r="698" spans="2:7" x14ac:dyDescent="0.35">
      <c r="B698" s="2">
        <v>43768</v>
      </c>
      <c r="C698" s="4">
        <v>799.31</v>
      </c>
      <c r="D698">
        <f t="shared" si="24"/>
        <v>12.677446954140999</v>
      </c>
      <c r="E698">
        <v>2.547950477901062E-2</v>
      </c>
      <c r="F698">
        <v>695</v>
      </c>
      <c r="G698">
        <f t="shared" ca="1" si="25"/>
        <v>4.06836274813063E-2</v>
      </c>
    </row>
    <row r="699" spans="2:7" x14ac:dyDescent="0.35">
      <c r="B699" s="2">
        <v>39539</v>
      </c>
      <c r="C699" s="4">
        <v>58.44</v>
      </c>
      <c r="D699">
        <f t="shared" si="24"/>
        <v>3.5252435783879488E-2</v>
      </c>
      <c r="E699">
        <v>2.5443060185997401E-2</v>
      </c>
      <c r="F699">
        <v>696</v>
      </c>
      <c r="G699">
        <f t="shared" ca="1" si="25"/>
        <v>4.5770256808886226E-3</v>
      </c>
    </row>
    <row r="700" spans="2:7" x14ac:dyDescent="0.35">
      <c r="B700" s="2">
        <v>39960</v>
      </c>
      <c r="C700" s="4">
        <v>56.45</v>
      </c>
      <c r="D700">
        <f t="shared" si="24"/>
        <v>-0.45783711102573954</v>
      </c>
      <c r="E700">
        <v>2.5431425976385258E-2</v>
      </c>
      <c r="F700">
        <v>697</v>
      </c>
      <c r="G700">
        <f t="shared" ca="1" si="25"/>
        <v>2.2200042381717449E-2</v>
      </c>
    </row>
    <row r="701" spans="2:7" x14ac:dyDescent="0.35">
      <c r="B701" s="2">
        <v>39140</v>
      </c>
      <c r="C701" s="4">
        <v>104.12</v>
      </c>
      <c r="D701">
        <f t="shared" si="24"/>
        <v>-0.93533120089438215</v>
      </c>
      <c r="E701">
        <v>2.5408705928698039E-2</v>
      </c>
      <c r="F701">
        <v>698</v>
      </c>
      <c r="G701">
        <f t="shared" ca="1" si="25"/>
        <v>-3.5807680649429631E-3</v>
      </c>
    </row>
    <row r="702" spans="2:7" x14ac:dyDescent="0.35">
      <c r="B702" s="2">
        <v>44166</v>
      </c>
      <c r="C702" s="4">
        <v>1610.05</v>
      </c>
      <c r="D702">
        <f t="shared" si="24"/>
        <v>18.738261615790119</v>
      </c>
      <c r="E702">
        <v>2.5405054261985915E-2</v>
      </c>
      <c r="F702">
        <v>699</v>
      </c>
      <c r="G702">
        <f t="shared" ca="1" si="25"/>
        <v>-4.2032137464097868E-2</v>
      </c>
    </row>
    <row r="703" spans="2:7" x14ac:dyDescent="0.35">
      <c r="B703" s="2">
        <v>40784</v>
      </c>
      <c r="C703" s="4">
        <v>81.569999999999993</v>
      </c>
      <c r="D703">
        <f t="shared" si="24"/>
        <v>-0.27085009385894354</v>
      </c>
      <c r="E703">
        <v>2.5392834695160182E-2</v>
      </c>
      <c r="F703">
        <v>700</v>
      </c>
      <c r="G703">
        <f t="shared" ca="1" si="25"/>
        <v>2.7598630575508636E-2</v>
      </c>
    </row>
    <row r="704" spans="2:7" x14ac:dyDescent="0.35">
      <c r="B704" s="2">
        <v>39202</v>
      </c>
      <c r="C704" s="4">
        <v>111.87</v>
      </c>
      <c r="D704">
        <f t="shared" si="24"/>
        <v>-0.9780107675887324</v>
      </c>
      <c r="E704">
        <v>2.5389550870760891E-2</v>
      </c>
      <c r="F704">
        <v>701</v>
      </c>
      <c r="G704">
        <f t="shared" ca="1" si="25"/>
        <v>-4.1206322823258791E-2</v>
      </c>
    </row>
    <row r="705" spans="2:7" x14ac:dyDescent="0.35">
      <c r="B705" s="2">
        <v>44454</v>
      </c>
      <c r="C705" s="4">
        <v>5087.49</v>
      </c>
      <c r="D705">
        <f t="shared" si="24"/>
        <v>-0.36339531508083489</v>
      </c>
      <c r="E705">
        <v>2.5345998270764447E-2</v>
      </c>
      <c r="F705">
        <v>702</v>
      </c>
      <c r="G705">
        <f t="shared" ca="1" si="25"/>
        <v>-9.3922145422160666E-3</v>
      </c>
    </row>
    <row r="706" spans="2:7" x14ac:dyDescent="0.35">
      <c r="B706" s="2">
        <v>44739</v>
      </c>
      <c r="C706" s="4">
        <v>7991.6</v>
      </c>
      <c r="D706">
        <f t="shared" si="24"/>
        <v>8.1722523184280611</v>
      </c>
      <c r="E706">
        <v>2.5306792740895645E-2</v>
      </c>
      <c r="F706">
        <v>703</v>
      </c>
      <c r="G706">
        <f t="shared" ca="1" si="25"/>
        <v>-1.3761731366373518E-2</v>
      </c>
    </row>
    <row r="707" spans="2:7" x14ac:dyDescent="0.35">
      <c r="B707" s="2">
        <v>43076</v>
      </c>
      <c r="C707" s="4">
        <v>871.28</v>
      </c>
      <c r="D707">
        <f t="shared" si="24"/>
        <v>-0.85457895694350094</v>
      </c>
      <c r="E707">
        <v>2.5276535655448296E-2</v>
      </c>
      <c r="F707">
        <v>704</v>
      </c>
      <c r="G707">
        <f t="shared" ca="1" si="25"/>
        <v>-4.330623025487374E-3</v>
      </c>
    </row>
    <row r="708" spans="2:7" x14ac:dyDescent="0.35">
      <c r="B708" s="2">
        <v>44544</v>
      </c>
      <c r="C708" s="4">
        <v>5991.43</v>
      </c>
      <c r="D708">
        <f t="shared" ref="D708:D771" si="26">C708/C709-1</f>
        <v>-0.39241152012980429</v>
      </c>
      <c r="E708">
        <v>2.5246881785933706E-2</v>
      </c>
      <c r="F708">
        <v>705</v>
      </c>
      <c r="G708">
        <f t="shared" ca="1" si="25"/>
        <v>-1.7207819881036798E-2</v>
      </c>
    </row>
    <row r="709" spans="2:7" x14ac:dyDescent="0.35">
      <c r="B709" s="2">
        <v>44797</v>
      </c>
      <c r="C709" s="4">
        <v>9861</v>
      </c>
      <c r="D709">
        <f t="shared" si="26"/>
        <v>182.35812569728523</v>
      </c>
      <c r="E709">
        <v>2.5185185185185199E-2</v>
      </c>
      <c r="F709">
        <v>706</v>
      </c>
      <c r="G709">
        <f t="shared" ref="G709:G772" ca="1" si="27">_xlfn.NORM.INV(RAND(),K$6,K$7)</f>
        <v>2.0516400993651459E-3</v>
      </c>
    </row>
    <row r="710" spans="2:7" x14ac:dyDescent="0.35">
      <c r="B710" s="2">
        <v>38293</v>
      </c>
      <c r="C710" s="4">
        <v>53.78</v>
      </c>
      <c r="D710">
        <f t="shared" si="26"/>
        <v>0.57067757009345788</v>
      </c>
      <c r="E710">
        <v>2.516202821197111E-2</v>
      </c>
      <c r="F710">
        <v>707</v>
      </c>
      <c r="G710">
        <f t="shared" ca="1" si="27"/>
        <v>6.5973084903155343E-2</v>
      </c>
    </row>
    <row r="711" spans="2:7" x14ac:dyDescent="0.35">
      <c r="B711" s="2">
        <v>37494</v>
      </c>
      <c r="C711" s="4">
        <v>34.24</v>
      </c>
      <c r="D711">
        <f t="shared" si="26"/>
        <v>-0.94639110693596362</v>
      </c>
      <c r="E711">
        <v>2.5149700598802394E-2</v>
      </c>
      <c r="F711">
        <v>708</v>
      </c>
      <c r="G711">
        <f t="shared" ca="1" si="27"/>
        <v>-2.6937004497769739E-2</v>
      </c>
    </row>
    <row r="712" spans="2:7" x14ac:dyDescent="0.35">
      <c r="B712" s="2">
        <v>42710</v>
      </c>
      <c r="C712" s="4">
        <v>638.70000000000005</v>
      </c>
      <c r="D712">
        <f t="shared" si="26"/>
        <v>2.5134822804314449E-2</v>
      </c>
      <c r="E712">
        <v>2.5134822804314449E-2</v>
      </c>
      <c r="F712">
        <v>709</v>
      </c>
      <c r="G712">
        <f t="shared" ca="1" si="27"/>
        <v>-6.1453177781575996E-2</v>
      </c>
    </row>
    <row r="713" spans="2:7" x14ac:dyDescent="0.35">
      <c r="B713" s="2">
        <v>42709</v>
      </c>
      <c r="C713" s="4">
        <v>623.04</v>
      </c>
      <c r="D713">
        <f t="shared" si="26"/>
        <v>6.0519524617996607</v>
      </c>
      <c r="E713">
        <v>2.5090903107981344E-2</v>
      </c>
      <c r="F713">
        <v>710</v>
      </c>
      <c r="G713">
        <f t="shared" ca="1" si="27"/>
        <v>7.0865759606792899E-3</v>
      </c>
    </row>
    <row r="714" spans="2:7" x14ac:dyDescent="0.35">
      <c r="B714" s="2">
        <v>39406</v>
      </c>
      <c r="C714" s="4">
        <v>88.35</v>
      </c>
      <c r="D714">
        <f t="shared" si="26"/>
        <v>3.0639374425022998</v>
      </c>
      <c r="E714">
        <v>2.5060911938739938E-2</v>
      </c>
      <c r="F714">
        <v>711</v>
      </c>
      <c r="G714">
        <f t="shared" ca="1" si="27"/>
        <v>-5.7509078157290056E-3</v>
      </c>
    </row>
    <row r="715" spans="2:7" x14ac:dyDescent="0.35">
      <c r="B715" s="2">
        <v>37697</v>
      </c>
      <c r="C715" s="4">
        <v>21.74</v>
      </c>
      <c r="D715">
        <f t="shared" si="26"/>
        <v>-0.8107755244146575</v>
      </c>
      <c r="E715">
        <v>2.4988213107024926E-2</v>
      </c>
      <c r="F715">
        <v>712</v>
      </c>
      <c r="G715">
        <f t="shared" ca="1" si="27"/>
        <v>2.3579042394071905E-2</v>
      </c>
    </row>
    <row r="716" spans="2:7" x14ac:dyDescent="0.35">
      <c r="B716" s="2">
        <v>39227</v>
      </c>
      <c r="C716" s="4">
        <v>114.89</v>
      </c>
      <c r="D716">
        <f t="shared" si="26"/>
        <v>0.88375143466141992</v>
      </c>
      <c r="E716">
        <v>2.49799268444999E-2</v>
      </c>
      <c r="F716">
        <v>713</v>
      </c>
      <c r="G716">
        <f t="shared" ca="1" si="27"/>
        <v>-3.0257932559295927E-2</v>
      </c>
    </row>
    <row r="717" spans="2:7" x14ac:dyDescent="0.35">
      <c r="B717" s="2">
        <v>40122</v>
      </c>
      <c r="C717" s="4">
        <v>60.99</v>
      </c>
      <c r="D717">
        <f t="shared" si="26"/>
        <v>0.64437853868967365</v>
      </c>
      <c r="E717">
        <v>2.4869769786590501E-2</v>
      </c>
      <c r="F717">
        <v>714</v>
      </c>
      <c r="G717">
        <f t="shared" ca="1" si="27"/>
        <v>3.220354895055752E-2</v>
      </c>
    </row>
    <row r="718" spans="2:7" x14ac:dyDescent="0.35">
      <c r="B718" s="2">
        <v>37970</v>
      </c>
      <c r="C718" s="4">
        <v>37.090000000000003</v>
      </c>
      <c r="D718">
        <f t="shared" si="26"/>
        <v>-0.53868159203980093</v>
      </c>
      <c r="E718">
        <v>2.4868748273003671E-2</v>
      </c>
      <c r="F718">
        <v>715</v>
      </c>
      <c r="G718">
        <f t="shared" ca="1" si="27"/>
        <v>-2.3684631089253101E-3</v>
      </c>
    </row>
    <row r="719" spans="2:7" x14ac:dyDescent="0.35">
      <c r="B719" s="2">
        <v>41456</v>
      </c>
      <c r="C719" s="4">
        <v>80.400000000000006</v>
      </c>
      <c r="D719">
        <f t="shared" si="26"/>
        <v>0.11172566371681425</v>
      </c>
      <c r="E719">
        <v>2.4856596558317401E-2</v>
      </c>
      <c r="F719">
        <v>716</v>
      </c>
      <c r="G719">
        <f t="shared" ca="1" si="27"/>
        <v>-4.5588486535668542E-3</v>
      </c>
    </row>
    <row r="720" spans="2:7" x14ac:dyDescent="0.35">
      <c r="B720" s="2">
        <v>38574</v>
      </c>
      <c r="C720" s="4">
        <v>72.319999999999993</v>
      </c>
      <c r="D720">
        <f t="shared" si="26"/>
        <v>-0.71130892978324223</v>
      </c>
      <c r="E720">
        <v>2.479807283548241E-2</v>
      </c>
      <c r="F720">
        <v>717</v>
      </c>
      <c r="G720">
        <f t="shared" ca="1" si="27"/>
        <v>2.4077073839232289E-2</v>
      </c>
    </row>
    <row r="721" spans="2:7" x14ac:dyDescent="0.35">
      <c r="B721" s="2">
        <v>41800</v>
      </c>
      <c r="C721" s="4">
        <v>250.51</v>
      </c>
      <c r="D721">
        <f t="shared" si="26"/>
        <v>2.5730994152046782</v>
      </c>
      <c r="E721">
        <v>2.4706507955986279E-2</v>
      </c>
      <c r="F721">
        <v>718</v>
      </c>
      <c r="G721">
        <f t="shared" ca="1" si="27"/>
        <v>5.8047129042035404E-4</v>
      </c>
    </row>
    <row r="722" spans="2:7" x14ac:dyDescent="0.35">
      <c r="B722" s="2">
        <v>38628</v>
      </c>
      <c r="C722" s="4">
        <v>70.11</v>
      </c>
      <c r="D722">
        <f t="shared" si="26"/>
        <v>-0.88680981595092023</v>
      </c>
      <c r="E722">
        <v>2.470038000584629E-2</v>
      </c>
      <c r="F722">
        <v>719</v>
      </c>
      <c r="G722">
        <f t="shared" ca="1" si="27"/>
        <v>-1.8327472331443048E-2</v>
      </c>
    </row>
    <row r="723" spans="2:7" x14ac:dyDescent="0.35">
      <c r="B723" s="2">
        <v>42661</v>
      </c>
      <c r="C723" s="4">
        <v>619.4</v>
      </c>
      <c r="D723">
        <f t="shared" si="26"/>
        <v>-0.11211135161479913</v>
      </c>
      <c r="E723">
        <v>2.4665420437062657E-2</v>
      </c>
      <c r="F723">
        <v>720</v>
      </c>
      <c r="G723">
        <f t="shared" ca="1" si="27"/>
        <v>-4.7696637040107466E-2</v>
      </c>
    </row>
    <row r="724" spans="2:7" x14ac:dyDescent="0.35">
      <c r="B724" s="2">
        <v>42793</v>
      </c>
      <c r="C724" s="4">
        <v>697.61</v>
      </c>
      <c r="D724">
        <f t="shared" si="26"/>
        <v>27.862639635912288</v>
      </c>
      <c r="E724">
        <v>2.4601239608730063E-2</v>
      </c>
      <c r="F724">
        <v>721</v>
      </c>
      <c r="G724">
        <f t="shared" ca="1" si="27"/>
        <v>-1.8447354178904491E-2</v>
      </c>
    </row>
    <row r="725" spans="2:7" x14ac:dyDescent="0.35">
      <c r="B725" s="2">
        <v>38071</v>
      </c>
      <c r="C725" s="4">
        <v>24.17</v>
      </c>
      <c r="D725">
        <f t="shared" si="26"/>
        <v>-0.90172000162647903</v>
      </c>
      <c r="E725">
        <v>2.4586689275116758E-2</v>
      </c>
      <c r="F725">
        <v>722</v>
      </c>
      <c r="G725">
        <f t="shared" ca="1" si="27"/>
        <v>3.4716815815456492E-2</v>
      </c>
    </row>
    <row r="726" spans="2:7" x14ac:dyDescent="0.35">
      <c r="B726" s="2">
        <v>41795</v>
      </c>
      <c r="C726" s="4">
        <v>245.93</v>
      </c>
      <c r="D726">
        <f t="shared" si="26"/>
        <v>-0.71867028152418866</v>
      </c>
      <c r="E726">
        <v>2.4580260800733278E-2</v>
      </c>
      <c r="F726">
        <v>723</v>
      </c>
      <c r="G726">
        <f t="shared" ca="1" si="27"/>
        <v>3.3182137130101708E-2</v>
      </c>
    </row>
    <row r="727" spans="2:7" x14ac:dyDescent="0.35">
      <c r="B727" s="2">
        <v>42502</v>
      </c>
      <c r="C727" s="4">
        <v>874.17</v>
      </c>
      <c r="D727">
        <f t="shared" si="26"/>
        <v>0.38686698819647147</v>
      </c>
      <c r="E727">
        <v>2.4542034386976441E-2</v>
      </c>
      <c r="F727">
        <v>724</v>
      </c>
      <c r="G727">
        <f t="shared" ca="1" si="27"/>
        <v>2.5870311907383679E-2</v>
      </c>
    </row>
    <row r="728" spans="2:7" x14ac:dyDescent="0.35">
      <c r="B728" s="2">
        <v>42881</v>
      </c>
      <c r="C728" s="4">
        <v>630.32000000000005</v>
      </c>
      <c r="D728">
        <f t="shared" si="26"/>
        <v>-0.89201709032724485</v>
      </c>
      <c r="E728">
        <v>2.4510760028606748E-2</v>
      </c>
      <c r="F728">
        <v>725</v>
      </c>
      <c r="G728">
        <f t="shared" ca="1" si="27"/>
        <v>-1.6671332632919134E-2</v>
      </c>
    </row>
    <row r="729" spans="2:7" x14ac:dyDescent="0.35">
      <c r="B729" s="2">
        <v>44463</v>
      </c>
      <c r="C729" s="4">
        <v>5837.22</v>
      </c>
      <c r="D729">
        <f t="shared" si="26"/>
        <v>58.740251765428312</v>
      </c>
      <c r="E729">
        <v>2.4472689363225664E-2</v>
      </c>
      <c r="F729">
        <v>726</v>
      </c>
      <c r="G729">
        <f t="shared" ca="1" si="27"/>
        <v>-5.1345672681529595E-3</v>
      </c>
    </row>
    <row r="730" spans="2:7" x14ac:dyDescent="0.35">
      <c r="B730" s="2">
        <v>40947</v>
      </c>
      <c r="C730" s="4">
        <v>97.71</v>
      </c>
      <c r="D730">
        <f t="shared" si="26"/>
        <v>-0.26550402164925213</v>
      </c>
      <c r="E730">
        <v>2.4428601383937876E-2</v>
      </c>
      <c r="F730">
        <v>727</v>
      </c>
      <c r="G730">
        <f t="shared" ca="1" si="27"/>
        <v>3.678508339611599E-2</v>
      </c>
    </row>
    <row r="731" spans="2:7" x14ac:dyDescent="0.35">
      <c r="B731" s="2">
        <v>41607</v>
      </c>
      <c r="C731" s="4">
        <v>133.03</v>
      </c>
      <c r="D731">
        <f t="shared" si="26"/>
        <v>-0.98037891134890376</v>
      </c>
      <c r="E731">
        <v>2.4410904050515825E-2</v>
      </c>
      <c r="F731">
        <v>728</v>
      </c>
      <c r="G731">
        <f t="shared" ca="1" si="27"/>
        <v>1.2450940761068811E-2</v>
      </c>
    </row>
    <row r="732" spans="2:7" x14ac:dyDescent="0.35">
      <c r="B732" s="2">
        <v>44890</v>
      </c>
      <c r="C732" s="4">
        <v>6779.95</v>
      </c>
      <c r="D732">
        <f t="shared" si="26"/>
        <v>101.8823975720789</v>
      </c>
      <c r="E732">
        <v>2.4409222772875605E-2</v>
      </c>
      <c r="F732">
        <v>729</v>
      </c>
      <c r="G732">
        <f t="shared" ca="1" si="27"/>
        <v>-1.2966469416985376E-2</v>
      </c>
    </row>
    <row r="733" spans="2:7" x14ac:dyDescent="0.35">
      <c r="B733" s="2">
        <v>39555</v>
      </c>
      <c r="C733" s="4">
        <v>65.900000000000006</v>
      </c>
      <c r="D733">
        <f t="shared" si="26"/>
        <v>-0.23788597201341499</v>
      </c>
      <c r="E733">
        <v>2.4405409606715445E-2</v>
      </c>
      <c r="F733">
        <v>730</v>
      </c>
      <c r="G733">
        <f t="shared" ca="1" si="27"/>
        <v>8.9863980913771346E-3</v>
      </c>
    </row>
    <row r="734" spans="2:7" x14ac:dyDescent="0.35">
      <c r="B734" s="2">
        <v>41047</v>
      </c>
      <c r="C734" s="4">
        <v>86.47</v>
      </c>
      <c r="D734">
        <f t="shared" si="26"/>
        <v>-0.90023076035537097</v>
      </c>
      <c r="E734">
        <v>2.4404691387276412E-2</v>
      </c>
      <c r="F734">
        <v>731</v>
      </c>
      <c r="G734">
        <f t="shared" ca="1" si="27"/>
        <v>-3.7428669196827432E-3</v>
      </c>
    </row>
    <row r="735" spans="2:7" x14ac:dyDescent="0.35">
      <c r="B735" s="2">
        <v>43648</v>
      </c>
      <c r="C735" s="4">
        <v>866.7</v>
      </c>
      <c r="D735">
        <f t="shared" si="26"/>
        <v>0.10232114467408593</v>
      </c>
      <c r="E735">
        <v>2.4371217851739901E-2</v>
      </c>
      <c r="F735">
        <v>732</v>
      </c>
      <c r="G735">
        <f t="shared" ca="1" si="27"/>
        <v>-5.8170194100940747E-3</v>
      </c>
    </row>
    <row r="736" spans="2:7" x14ac:dyDescent="0.35">
      <c r="B736" s="2">
        <v>43788</v>
      </c>
      <c r="C736" s="4">
        <v>786.25</v>
      </c>
      <c r="D736">
        <f t="shared" si="26"/>
        <v>10.814425244177311</v>
      </c>
      <c r="E736">
        <v>2.4349887956641947E-2</v>
      </c>
      <c r="F736">
        <v>733</v>
      </c>
      <c r="G736">
        <f t="shared" ca="1" si="27"/>
        <v>1.3800873511902227E-2</v>
      </c>
    </row>
    <row r="737" spans="2:7" x14ac:dyDescent="0.35">
      <c r="B737" s="2">
        <v>38618</v>
      </c>
      <c r="C737" s="4">
        <v>66.55</v>
      </c>
      <c r="D737">
        <f t="shared" si="26"/>
        <v>-0.93168333093805822</v>
      </c>
      <c r="E737">
        <v>2.4318916422964465E-2</v>
      </c>
      <c r="F737">
        <v>734</v>
      </c>
      <c r="G737">
        <f t="shared" ca="1" si="27"/>
        <v>2.2338365813599825E-2</v>
      </c>
    </row>
    <row r="738" spans="2:7" x14ac:dyDescent="0.35">
      <c r="B738" s="2">
        <v>43404</v>
      </c>
      <c r="C738" s="4">
        <v>974.14</v>
      </c>
      <c r="D738">
        <f t="shared" si="26"/>
        <v>12.126802317746936</v>
      </c>
      <c r="E738">
        <v>2.42999695067454E-2</v>
      </c>
      <c r="F738">
        <v>735</v>
      </c>
      <c r="G738">
        <f t="shared" ca="1" si="27"/>
        <v>2.1040986586586773E-2</v>
      </c>
    </row>
    <row r="739" spans="2:7" x14ac:dyDescent="0.35">
      <c r="B739" s="2">
        <v>38702</v>
      </c>
      <c r="C739" s="4">
        <v>74.209999999999994</v>
      </c>
      <c r="D739">
        <f t="shared" si="26"/>
        <v>0.28124999999999978</v>
      </c>
      <c r="E739">
        <v>2.4292615596963385E-2</v>
      </c>
      <c r="F739">
        <v>736</v>
      </c>
      <c r="G739">
        <f t="shared" ca="1" si="27"/>
        <v>4.0004443062579415E-2</v>
      </c>
    </row>
    <row r="740" spans="2:7" x14ac:dyDescent="0.35">
      <c r="B740" s="2">
        <v>38475</v>
      </c>
      <c r="C740" s="4">
        <v>57.92</v>
      </c>
      <c r="D740">
        <f t="shared" si="26"/>
        <v>1.6339245111414282</v>
      </c>
      <c r="E740">
        <v>2.4226348364279504E-2</v>
      </c>
      <c r="F740">
        <v>737</v>
      </c>
      <c r="G740">
        <f t="shared" ca="1" si="27"/>
        <v>4.8133704586486907E-2</v>
      </c>
    </row>
    <row r="741" spans="2:7" x14ac:dyDescent="0.35">
      <c r="B741" s="2">
        <v>37722</v>
      </c>
      <c r="C741" s="4">
        <v>21.99</v>
      </c>
      <c r="D741">
        <f t="shared" si="26"/>
        <v>-0.99245064078576506</v>
      </c>
      <c r="E741">
        <v>2.4219841639496975E-2</v>
      </c>
      <c r="F741">
        <v>738</v>
      </c>
      <c r="G741">
        <f t="shared" ca="1" si="27"/>
        <v>1.4868404397423629E-2</v>
      </c>
    </row>
    <row r="742" spans="2:7" x14ac:dyDescent="0.35">
      <c r="B742" s="2">
        <v>44293</v>
      </c>
      <c r="C742" s="4">
        <v>2912.83</v>
      </c>
      <c r="D742">
        <f t="shared" si="26"/>
        <v>4.2565823904138016</v>
      </c>
      <c r="E742">
        <v>2.4209031005843817E-2</v>
      </c>
      <c r="F742">
        <v>739</v>
      </c>
      <c r="G742">
        <f t="shared" ca="1" si="27"/>
        <v>2.3231992953814296E-3</v>
      </c>
    </row>
    <row r="743" spans="2:7" x14ac:dyDescent="0.35">
      <c r="B743" s="2">
        <v>42179</v>
      </c>
      <c r="C743" s="4">
        <v>554.13</v>
      </c>
      <c r="D743">
        <f t="shared" si="26"/>
        <v>11.322214809873248</v>
      </c>
      <c r="E743">
        <v>2.4156285809337374E-2</v>
      </c>
      <c r="F743">
        <v>740</v>
      </c>
      <c r="G743">
        <f t="shared" ca="1" si="27"/>
        <v>3.0847883475742632E-2</v>
      </c>
    </row>
    <row r="744" spans="2:7" x14ac:dyDescent="0.35">
      <c r="B744" s="2">
        <v>39940</v>
      </c>
      <c r="C744" s="4">
        <v>44.97</v>
      </c>
      <c r="D744">
        <f t="shared" si="26"/>
        <v>-0.83758306847731867</v>
      </c>
      <c r="E744">
        <v>2.4140286950580681E-2</v>
      </c>
      <c r="F744">
        <v>741</v>
      </c>
      <c r="G744">
        <f t="shared" ca="1" si="27"/>
        <v>2.2008942555585501E-2</v>
      </c>
    </row>
    <row r="745" spans="2:7" x14ac:dyDescent="0.35">
      <c r="B745" s="2">
        <v>41824</v>
      </c>
      <c r="C745" s="4">
        <v>276.88</v>
      </c>
      <c r="D745">
        <f t="shared" si="26"/>
        <v>4.1589342276877206</v>
      </c>
      <c r="E745">
        <v>2.4078115175500292E-2</v>
      </c>
      <c r="F745">
        <v>742</v>
      </c>
      <c r="G745">
        <f t="shared" ca="1" si="27"/>
        <v>-5.3059788208523907E-3</v>
      </c>
    </row>
    <row r="746" spans="2:7" x14ac:dyDescent="0.35">
      <c r="B746" s="2">
        <v>38359</v>
      </c>
      <c r="C746" s="4">
        <v>53.67</v>
      </c>
      <c r="D746">
        <f t="shared" si="26"/>
        <v>-0.19281094901488938</v>
      </c>
      <c r="E746">
        <v>2.4041213508872561E-2</v>
      </c>
      <c r="F746">
        <v>743</v>
      </c>
      <c r="G746">
        <f t="shared" ca="1" si="27"/>
        <v>-2.0008361259459595E-2</v>
      </c>
    </row>
    <row r="747" spans="2:7" x14ac:dyDescent="0.35">
      <c r="B747" s="2">
        <v>40050</v>
      </c>
      <c r="C747" s="4">
        <v>66.489999999999995</v>
      </c>
      <c r="D747">
        <f t="shared" si="26"/>
        <v>-0.9843747062472975</v>
      </c>
      <c r="E747">
        <v>2.4025874018173132E-2</v>
      </c>
      <c r="F747">
        <v>744</v>
      </c>
      <c r="G747">
        <f t="shared" ca="1" si="27"/>
        <v>-9.3413626179632593E-3</v>
      </c>
    </row>
    <row r="748" spans="2:7" x14ac:dyDescent="0.35">
      <c r="B748" s="2">
        <v>44406</v>
      </c>
      <c r="C748" s="4">
        <v>4255.28</v>
      </c>
      <c r="D748">
        <f t="shared" si="26"/>
        <v>-0.44397375153860841</v>
      </c>
      <c r="E748">
        <v>2.3930237762372242E-2</v>
      </c>
      <c r="F748">
        <v>745</v>
      </c>
      <c r="G748">
        <f t="shared" ca="1" si="27"/>
        <v>-1.3221049528267229E-2</v>
      </c>
    </row>
    <row r="749" spans="2:7" x14ac:dyDescent="0.35">
      <c r="B749" s="2">
        <v>44643</v>
      </c>
      <c r="C749" s="4">
        <v>7653.02</v>
      </c>
      <c r="D749">
        <f t="shared" si="26"/>
        <v>114.86707040121121</v>
      </c>
      <c r="E749">
        <v>2.3879762339571897E-2</v>
      </c>
      <c r="F749">
        <v>746</v>
      </c>
      <c r="G749">
        <f t="shared" ca="1" si="27"/>
        <v>-1.3126794515863368E-2</v>
      </c>
    </row>
    <row r="750" spans="2:7" x14ac:dyDescent="0.35">
      <c r="B750" s="2">
        <v>39518</v>
      </c>
      <c r="C750" s="4">
        <v>66.05</v>
      </c>
      <c r="D750">
        <f t="shared" si="26"/>
        <v>1.9605558045719409</v>
      </c>
      <c r="E750">
        <v>2.387226786544705E-2</v>
      </c>
      <c r="F750">
        <v>747</v>
      </c>
      <c r="G750">
        <f t="shared" ca="1" si="27"/>
        <v>2.3483502570101029E-2</v>
      </c>
    </row>
    <row r="751" spans="2:7" x14ac:dyDescent="0.35">
      <c r="B751" s="2">
        <v>37739</v>
      </c>
      <c r="C751" s="4">
        <v>22.31</v>
      </c>
      <c r="D751">
        <f t="shared" si="26"/>
        <v>-0.3067122436295836</v>
      </c>
      <c r="E751">
        <v>2.3864157870582714E-2</v>
      </c>
      <c r="F751">
        <v>748</v>
      </c>
      <c r="G751">
        <f t="shared" ca="1" si="27"/>
        <v>-4.7614236164785677E-3</v>
      </c>
    </row>
    <row r="752" spans="2:7" x14ac:dyDescent="0.35">
      <c r="B752" s="2">
        <v>38153</v>
      </c>
      <c r="C752" s="4">
        <v>32.18</v>
      </c>
      <c r="D752">
        <f t="shared" si="26"/>
        <v>-0.96547099155552218</v>
      </c>
      <c r="E752">
        <v>2.3862551702195312E-2</v>
      </c>
      <c r="F752">
        <v>749</v>
      </c>
      <c r="G752">
        <f t="shared" ca="1" si="27"/>
        <v>1.4244349695289725E-2</v>
      </c>
    </row>
    <row r="753" spans="2:7" x14ac:dyDescent="0.35">
      <c r="B753" s="2">
        <v>43402</v>
      </c>
      <c r="C753" s="4">
        <v>931.97</v>
      </c>
      <c r="D753">
        <f t="shared" si="26"/>
        <v>14.673898419105281</v>
      </c>
      <c r="E753">
        <v>2.3839080712316107E-2</v>
      </c>
      <c r="F753">
        <v>750</v>
      </c>
      <c r="G753">
        <f t="shared" ca="1" si="27"/>
        <v>4.3070092613050538E-2</v>
      </c>
    </row>
    <row r="754" spans="2:7" x14ac:dyDescent="0.35">
      <c r="B754" s="2">
        <v>38441</v>
      </c>
      <c r="C754" s="4">
        <v>59.46</v>
      </c>
      <c r="D754">
        <f t="shared" si="26"/>
        <v>-0.93607620112452561</v>
      </c>
      <c r="E754">
        <v>2.3760330578512345E-2</v>
      </c>
      <c r="F754">
        <v>751</v>
      </c>
      <c r="G754">
        <f t="shared" ca="1" si="27"/>
        <v>4.6629890032761072E-2</v>
      </c>
    </row>
    <row r="755" spans="2:7" x14ac:dyDescent="0.35">
      <c r="B755" s="2">
        <v>43139</v>
      </c>
      <c r="C755" s="4">
        <v>930.17</v>
      </c>
      <c r="D755">
        <f t="shared" si="26"/>
        <v>0.11080990709116523</v>
      </c>
      <c r="E755">
        <v>2.3694752597288149E-2</v>
      </c>
      <c r="F755">
        <v>752</v>
      </c>
      <c r="G755">
        <f t="shared" ca="1" si="27"/>
        <v>-3.9764390276106629E-3</v>
      </c>
    </row>
    <row r="756" spans="2:7" x14ac:dyDescent="0.35">
      <c r="B756" s="2">
        <v>42985</v>
      </c>
      <c r="C756" s="4">
        <v>837.38</v>
      </c>
      <c r="D756">
        <f t="shared" si="26"/>
        <v>7.4251936814568875</v>
      </c>
      <c r="E756">
        <v>2.3691931540342326E-2</v>
      </c>
      <c r="F756">
        <v>753</v>
      </c>
      <c r="G756">
        <f t="shared" ca="1" si="27"/>
        <v>-3.0927859247447339E-2</v>
      </c>
    </row>
    <row r="757" spans="2:7" x14ac:dyDescent="0.35">
      <c r="B757" s="2">
        <v>39175</v>
      </c>
      <c r="C757" s="4">
        <v>99.39</v>
      </c>
      <c r="D757">
        <f t="shared" si="26"/>
        <v>-0.98883452881801481</v>
      </c>
      <c r="E757">
        <v>2.3689360387269431E-2</v>
      </c>
      <c r="F757">
        <v>754</v>
      </c>
      <c r="G757">
        <f t="shared" ca="1" si="27"/>
        <v>-3.7973101028610658E-2</v>
      </c>
    </row>
    <row r="758" spans="2:7" x14ac:dyDescent="0.35">
      <c r="B758" s="2">
        <v>44824</v>
      </c>
      <c r="C758" s="4">
        <v>8901.5499999999993</v>
      </c>
      <c r="D758">
        <f t="shared" si="26"/>
        <v>1.3715016451092961</v>
      </c>
      <c r="E758">
        <v>2.3590221240973319E-2</v>
      </c>
      <c r="F758">
        <v>755</v>
      </c>
      <c r="G758">
        <f t="shared" ca="1" si="27"/>
        <v>-3.3368067780083853E-2</v>
      </c>
    </row>
    <row r="759" spans="2:7" x14ac:dyDescent="0.35">
      <c r="B759" s="2">
        <v>44357</v>
      </c>
      <c r="C759" s="4">
        <v>3753.55</v>
      </c>
      <c r="D759">
        <f t="shared" si="26"/>
        <v>52.591519131924613</v>
      </c>
      <c r="E759">
        <v>2.3535410826670766E-2</v>
      </c>
      <c r="F759">
        <v>756</v>
      </c>
      <c r="G759">
        <f t="shared" ca="1" si="27"/>
        <v>-9.6004769984436647E-3</v>
      </c>
    </row>
    <row r="760" spans="2:7" x14ac:dyDescent="0.35">
      <c r="B760" s="2">
        <v>40087</v>
      </c>
      <c r="C760" s="4">
        <v>70.040000000000006</v>
      </c>
      <c r="D760">
        <f t="shared" si="26"/>
        <v>-0.9105937017322151</v>
      </c>
      <c r="E760">
        <v>2.3527692532514966E-2</v>
      </c>
      <c r="F760">
        <v>757</v>
      </c>
      <c r="G760">
        <f t="shared" ca="1" si="27"/>
        <v>1.9198666576303817E-2</v>
      </c>
    </row>
    <row r="761" spans="2:7" x14ac:dyDescent="0.35">
      <c r="B761" s="2">
        <v>43803</v>
      </c>
      <c r="C761" s="4">
        <v>783.39</v>
      </c>
      <c r="D761">
        <f t="shared" si="26"/>
        <v>5.2786727578744888</v>
      </c>
      <c r="E761">
        <v>2.3477306576781487E-2</v>
      </c>
      <c r="F761">
        <v>758</v>
      </c>
      <c r="G761">
        <f t="shared" ca="1" si="27"/>
        <v>2.6614958492343434E-2</v>
      </c>
    </row>
    <row r="762" spans="2:7" x14ac:dyDescent="0.35">
      <c r="B762" s="2">
        <v>40297</v>
      </c>
      <c r="C762" s="4">
        <v>124.77</v>
      </c>
      <c r="D762">
        <f t="shared" si="26"/>
        <v>-0.97079244540994047</v>
      </c>
      <c r="E762">
        <v>2.3459929456156159E-2</v>
      </c>
      <c r="F762">
        <v>759</v>
      </c>
      <c r="G762">
        <f t="shared" ca="1" si="27"/>
        <v>2.7431687377457931E-4</v>
      </c>
    </row>
    <row r="763" spans="2:7" x14ac:dyDescent="0.35">
      <c r="B763" s="2">
        <v>44420</v>
      </c>
      <c r="C763" s="4">
        <v>4271.84</v>
      </c>
      <c r="D763">
        <f t="shared" si="26"/>
        <v>69.866622428666219</v>
      </c>
      <c r="E763">
        <v>2.3430537321156519E-2</v>
      </c>
      <c r="F763">
        <v>760</v>
      </c>
      <c r="G763">
        <f t="shared" ca="1" si="27"/>
        <v>9.7147991235750804E-4</v>
      </c>
    </row>
    <row r="764" spans="2:7" x14ac:dyDescent="0.35">
      <c r="B764" s="2">
        <v>38481</v>
      </c>
      <c r="C764" s="4">
        <v>60.28</v>
      </c>
      <c r="D764">
        <f t="shared" si="26"/>
        <v>-0.46992613436510722</v>
      </c>
      <c r="E764">
        <v>2.3429541595925363E-2</v>
      </c>
      <c r="F764">
        <v>761</v>
      </c>
      <c r="G764">
        <f t="shared" ca="1" si="27"/>
        <v>-3.9364892224542668E-2</v>
      </c>
    </row>
    <row r="765" spans="2:7" x14ac:dyDescent="0.35">
      <c r="B765" s="2">
        <v>39331</v>
      </c>
      <c r="C765" s="4">
        <v>113.72</v>
      </c>
      <c r="D765">
        <f t="shared" si="26"/>
        <v>-0.89038190896647451</v>
      </c>
      <c r="E765">
        <v>2.3398128149747954E-2</v>
      </c>
      <c r="F765">
        <v>762</v>
      </c>
      <c r="G765">
        <f t="shared" ca="1" si="27"/>
        <v>-9.184590257133524E-3</v>
      </c>
    </row>
    <row r="766" spans="2:7" x14ac:dyDescent="0.35">
      <c r="B766" s="2">
        <v>42360</v>
      </c>
      <c r="C766" s="4">
        <v>1037.42</v>
      </c>
      <c r="D766">
        <f t="shared" si="26"/>
        <v>9.897268907563026</v>
      </c>
      <c r="E766">
        <v>2.3389332254786899E-2</v>
      </c>
      <c r="F766">
        <v>763</v>
      </c>
      <c r="G766">
        <f t="shared" ca="1" si="27"/>
        <v>-1.8016260727039917E-2</v>
      </c>
    </row>
    <row r="767" spans="2:7" x14ac:dyDescent="0.35">
      <c r="B767" s="2">
        <v>40422</v>
      </c>
      <c r="C767" s="4">
        <v>95.2</v>
      </c>
      <c r="D767">
        <f t="shared" si="26"/>
        <v>-0.21973608720596671</v>
      </c>
      <c r="E767">
        <v>2.332580887885638E-2</v>
      </c>
      <c r="F767">
        <v>764</v>
      </c>
      <c r="G767">
        <f t="shared" ca="1" si="27"/>
        <v>4.0445037326635069E-2</v>
      </c>
    </row>
    <row r="768" spans="2:7" x14ac:dyDescent="0.35">
      <c r="B768" s="2">
        <v>40255</v>
      </c>
      <c r="C768" s="4">
        <v>122.01</v>
      </c>
      <c r="D768">
        <f t="shared" si="26"/>
        <v>-0.54829513901743732</v>
      </c>
      <c r="E768">
        <v>2.3316279459867584E-2</v>
      </c>
      <c r="F768">
        <v>765</v>
      </c>
      <c r="G768">
        <f t="shared" ca="1" si="27"/>
        <v>-3.8329363628602155E-2</v>
      </c>
    </row>
    <row r="769" spans="2:7" x14ac:dyDescent="0.35">
      <c r="B769" s="2">
        <v>41710</v>
      </c>
      <c r="C769" s="4">
        <v>270.11</v>
      </c>
      <c r="D769">
        <f t="shared" si="26"/>
        <v>-0.9371691090951384</v>
      </c>
      <c r="E769">
        <v>2.3298984694650748E-2</v>
      </c>
      <c r="F769">
        <v>766</v>
      </c>
      <c r="G769">
        <f t="shared" ca="1" si="27"/>
        <v>2.7399373395196495E-2</v>
      </c>
    </row>
    <row r="770" spans="2:7" x14ac:dyDescent="0.35">
      <c r="B770" s="2">
        <v>44411</v>
      </c>
      <c r="C770" s="4">
        <v>4299</v>
      </c>
      <c r="D770">
        <f t="shared" si="26"/>
        <v>43.720690731301367</v>
      </c>
      <c r="E770">
        <v>2.3230351787499437E-2</v>
      </c>
      <c r="F770">
        <v>767</v>
      </c>
      <c r="G770">
        <f t="shared" ca="1" si="27"/>
        <v>1.507900942006301E-3</v>
      </c>
    </row>
    <row r="771" spans="2:7" x14ac:dyDescent="0.35">
      <c r="B771" s="2">
        <v>41128</v>
      </c>
      <c r="C771" s="4">
        <v>96.13</v>
      </c>
      <c r="D771">
        <f t="shared" si="26"/>
        <v>0.53439744612928974</v>
      </c>
      <c r="E771">
        <v>2.3203831825439059E-2</v>
      </c>
      <c r="F771">
        <v>768</v>
      </c>
      <c r="G771">
        <f t="shared" ca="1" si="27"/>
        <v>-1.3919556652178122E-2</v>
      </c>
    </row>
    <row r="772" spans="2:7" x14ac:dyDescent="0.35">
      <c r="B772" s="2">
        <v>39666</v>
      </c>
      <c r="C772" s="4">
        <v>62.65</v>
      </c>
      <c r="D772">
        <f t="shared" ref="D772:D835" si="28">C772/C773-1</f>
        <v>-0.99252948260854013</v>
      </c>
      <c r="E772">
        <v>2.3191246121182507E-2</v>
      </c>
      <c r="F772">
        <v>769</v>
      </c>
      <c r="G772">
        <f t="shared" ca="1" si="27"/>
        <v>-3.8153959801176349E-2</v>
      </c>
    </row>
    <row r="773" spans="2:7" x14ac:dyDescent="0.35">
      <c r="B773" s="2">
        <v>44764</v>
      </c>
      <c r="C773" s="4">
        <v>8386.2999999999993</v>
      </c>
      <c r="D773">
        <f t="shared" si="28"/>
        <v>171.69975288303127</v>
      </c>
      <c r="E773">
        <v>2.3181191513243826E-2</v>
      </c>
      <c r="F773">
        <v>770</v>
      </c>
      <c r="G773">
        <f t="shared" ref="G773:G836" ca="1" si="29">_xlfn.NORM.INV(RAND(),K$6,K$7)</f>
        <v>3.0591909554436574E-2</v>
      </c>
    </row>
    <row r="774" spans="2:7" x14ac:dyDescent="0.35">
      <c r="B774" s="2">
        <v>39722</v>
      </c>
      <c r="C774" s="4">
        <v>48.56</v>
      </c>
      <c r="D774">
        <f t="shared" si="28"/>
        <v>-0.90683932853717031</v>
      </c>
      <c r="E774">
        <v>2.3177412557943589E-2</v>
      </c>
      <c r="F774">
        <v>771</v>
      </c>
      <c r="G774">
        <f t="shared" ca="1" si="29"/>
        <v>-2.1927206435409297E-2</v>
      </c>
    </row>
    <row r="775" spans="2:7" x14ac:dyDescent="0.35">
      <c r="B775" s="2">
        <v>42116</v>
      </c>
      <c r="C775" s="4">
        <v>521.25</v>
      </c>
      <c r="D775">
        <f t="shared" si="28"/>
        <v>-0.42393130277176072</v>
      </c>
      <c r="E775">
        <v>2.314215051230728E-2</v>
      </c>
      <c r="F775">
        <v>772</v>
      </c>
      <c r="G775">
        <f t="shared" ca="1" si="29"/>
        <v>7.9534677127190007E-3</v>
      </c>
    </row>
    <row r="776" spans="2:7" x14ac:dyDescent="0.35">
      <c r="B776" s="2">
        <v>42258</v>
      </c>
      <c r="C776" s="4">
        <v>904.84</v>
      </c>
      <c r="D776">
        <f t="shared" si="28"/>
        <v>-0.38919115959443229</v>
      </c>
      <c r="E776">
        <v>2.3111714156490271E-2</v>
      </c>
      <c r="F776">
        <v>773</v>
      </c>
      <c r="G776">
        <f t="shared" ca="1" si="29"/>
        <v>-1.6393300431757619E-2</v>
      </c>
    </row>
    <row r="777" spans="2:7" x14ac:dyDescent="0.35">
      <c r="B777" s="2">
        <v>44146</v>
      </c>
      <c r="C777" s="4">
        <v>1481.38</v>
      </c>
      <c r="D777">
        <f t="shared" si="28"/>
        <v>0.79890466186596076</v>
      </c>
      <c r="E777">
        <v>2.3109011547599367E-2</v>
      </c>
      <c r="F777">
        <v>774</v>
      </c>
      <c r="G777">
        <f t="shared" ca="1" si="29"/>
        <v>-1.4821794255317988E-2</v>
      </c>
    </row>
    <row r="778" spans="2:7" x14ac:dyDescent="0.35">
      <c r="B778" s="2">
        <v>43811</v>
      </c>
      <c r="C778" s="4">
        <v>823.49</v>
      </c>
      <c r="D778">
        <f t="shared" si="28"/>
        <v>36.144339197113212</v>
      </c>
      <c r="E778">
        <v>2.3108747779199579E-2</v>
      </c>
      <c r="F778">
        <v>775</v>
      </c>
      <c r="G778">
        <f t="shared" ca="1" si="29"/>
        <v>-2.0982584934455029E-2</v>
      </c>
    </row>
    <row r="779" spans="2:7" x14ac:dyDescent="0.35">
      <c r="B779" s="2">
        <v>37732</v>
      </c>
      <c r="C779" s="4">
        <v>22.17</v>
      </c>
      <c r="D779">
        <f t="shared" si="28"/>
        <v>-0.65531716417910446</v>
      </c>
      <c r="E779">
        <v>2.3073373327180402E-2</v>
      </c>
      <c r="F779">
        <v>776</v>
      </c>
      <c r="G779">
        <f t="shared" ca="1" si="29"/>
        <v>8.4725781412872125E-3</v>
      </c>
    </row>
    <row r="780" spans="2:7" x14ac:dyDescent="0.35">
      <c r="B780" s="2">
        <v>38518</v>
      </c>
      <c r="C780" s="4">
        <v>64.319999999999993</v>
      </c>
      <c r="D780">
        <f t="shared" si="28"/>
        <v>0.85413663880080715</v>
      </c>
      <c r="E780">
        <v>2.3063464291394942E-2</v>
      </c>
      <c r="F780">
        <v>777</v>
      </c>
      <c r="G780">
        <f t="shared" ca="1" si="29"/>
        <v>-9.3500666078259864E-3</v>
      </c>
    </row>
    <row r="781" spans="2:7" x14ac:dyDescent="0.35">
      <c r="B781" s="2">
        <v>39794</v>
      </c>
      <c r="C781" s="4">
        <v>34.69</v>
      </c>
      <c r="D781">
        <f t="shared" si="28"/>
        <v>-0.99607592502516884</v>
      </c>
      <c r="E781">
        <v>2.3002064287820811E-2</v>
      </c>
      <c r="F781">
        <v>778</v>
      </c>
      <c r="G781">
        <f t="shared" ca="1" si="29"/>
        <v>-4.4621382300089971E-3</v>
      </c>
    </row>
    <row r="782" spans="2:7" x14ac:dyDescent="0.35">
      <c r="B782" s="2">
        <v>44776</v>
      </c>
      <c r="C782" s="4">
        <v>8840.2999999999993</v>
      </c>
      <c r="D782">
        <f t="shared" si="28"/>
        <v>1.0685693426899379</v>
      </c>
      <c r="E782">
        <v>2.2975670437122009E-2</v>
      </c>
      <c r="F782">
        <v>779</v>
      </c>
      <c r="G782">
        <f t="shared" ca="1" si="29"/>
        <v>1.1188992077536484E-2</v>
      </c>
    </row>
    <row r="783" spans="2:7" x14ac:dyDescent="0.35">
      <c r="B783" s="2">
        <v>44386</v>
      </c>
      <c r="C783" s="4">
        <v>4273.63</v>
      </c>
      <c r="D783">
        <f t="shared" si="28"/>
        <v>62.501188707280839</v>
      </c>
      <c r="E783">
        <v>2.2957498348381344E-2</v>
      </c>
      <c r="F783">
        <v>780</v>
      </c>
      <c r="G783">
        <f t="shared" ca="1" si="29"/>
        <v>4.0242001398378786E-3</v>
      </c>
    </row>
    <row r="784" spans="2:7" x14ac:dyDescent="0.35">
      <c r="B784" s="2">
        <v>38870</v>
      </c>
      <c r="C784" s="4">
        <v>67.3</v>
      </c>
      <c r="D784">
        <f t="shared" si="28"/>
        <v>-0.99259560797429913</v>
      </c>
      <c r="E784">
        <v>2.2951816385468726E-2</v>
      </c>
      <c r="F784">
        <v>781</v>
      </c>
      <c r="G784">
        <f t="shared" ca="1" si="29"/>
        <v>2.1084589383718152E-2</v>
      </c>
    </row>
    <row r="785" spans="2:7" x14ac:dyDescent="0.35">
      <c r="B785" s="2">
        <v>44817</v>
      </c>
      <c r="C785" s="4">
        <v>9089.2000000000007</v>
      </c>
      <c r="D785">
        <f t="shared" si="28"/>
        <v>0.459355226123634</v>
      </c>
      <c r="E785">
        <v>2.2936502577261653E-2</v>
      </c>
      <c r="F785">
        <v>782</v>
      </c>
      <c r="G785">
        <f t="shared" ca="1" si="29"/>
        <v>1.9205874805568644E-2</v>
      </c>
    </row>
    <row r="786" spans="2:7" x14ac:dyDescent="0.35">
      <c r="B786" s="2">
        <v>44483</v>
      </c>
      <c r="C786" s="4">
        <v>6228.23</v>
      </c>
      <c r="D786">
        <f t="shared" si="28"/>
        <v>87.34368794326241</v>
      </c>
      <c r="E786">
        <v>2.285070511357179E-2</v>
      </c>
      <c r="F786">
        <v>783</v>
      </c>
      <c r="G786">
        <f t="shared" ca="1" si="29"/>
        <v>1.0445782824719146E-2</v>
      </c>
    </row>
    <row r="787" spans="2:7" x14ac:dyDescent="0.35">
      <c r="B787" s="2">
        <v>38736</v>
      </c>
      <c r="C787" s="4">
        <v>70.5</v>
      </c>
      <c r="D787">
        <f t="shared" si="28"/>
        <v>-0.90359501702470979</v>
      </c>
      <c r="E787">
        <v>2.2776730015958035E-2</v>
      </c>
      <c r="F787">
        <v>784</v>
      </c>
      <c r="G787">
        <f t="shared" ca="1" si="29"/>
        <v>-1.3204290029705118E-3</v>
      </c>
    </row>
    <row r="788" spans="2:7" x14ac:dyDescent="0.35">
      <c r="B788" s="2">
        <v>42849</v>
      </c>
      <c r="C788" s="4">
        <v>731.29</v>
      </c>
      <c r="D788">
        <f t="shared" si="28"/>
        <v>0.18870286085825727</v>
      </c>
      <c r="E788">
        <v>2.2768912322904455E-2</v>
      </c>
      <c r="F788">
        <v>785</v>
      </c>
      <c r="G788">
        <f t="shared" ca="1" si="29"/>
        <v>-8.1087350910930542E-2</v>
      </c>
    </row>
    <row r="789" spans="2:7" x14ac:dyDescent="0.35">
      <c r="B789" s="2">
        <v>43698</v>
      </c>
      <c r="C789" s="4">
        <v>615.20000000000005</v>
      </c>
      <c r="D789">
        <f t="shared" si="28"/>
        <v>-0.3057843778916246</v>
      </c>
      <c r="E789">
        <v>2.2759388871340658E-2</v>
      </c>
      <c r="F789">
        <v>786</v>
      </c>
      <c r="G789">
        <f t="shared" ca="1" si="29"/>
        <v>-3.7009278040862599E-3</v>
      </c>
    </row>
    <row r="790" spans="2:7" x14ac:dyDescent="0.35">
      <c r="B790" s="2">
        <v>43080</v>
      </c>
      <c r="C790" s="4">
        <v>886.18</v>
      </c>
      <c r="D790">
        <f t="shared" si="28"/>
        <v>11.798671288272676</v>
      </c>
      <c r="E790">
        <v>2.2747469618105587E-2</v>
      </c>
      <c r="F790">
        <v>787</v>
      </c>
      <c r="G790">
        <f t="shared" ca="1" si="29"/>
        <v>9.3505546541008868E-3</v>
      </c>
    </row>
    <row r="791" spans="2:7" x14ac:dyDescent="0.35">
      <c r="B791" s="2">
        <v>38945</v>
      </c>
      <c r="C791" s="4">
        <v>69.239999999999995</v>
      </c>
      <c r="D791">
        <f t="shared" si="28"/>
        <v>-1.283147989734823E-2</v>
      </c>
      <c r="E791">
        <v>2.2747415066469712E-2</v>
      </c>
      <c r="F791">
        <v>788</v>
      </c>
      <c r="G791">
        <f t="shared" ca="1" si="29"/>
        <v>5.8223845225214826E-3</v>
      </c>
    </row>
    <row r="792" spans="2:7" x14ac:dyDescent="0.35">
      <c r="B792" s="2">
        <v>38720</v>
      </c>
      <c r="C792" s="4">
        <v>70.14</v>
      </c>
      <c r="D792">
        <f t="shared" si="28"/>
        <v>-0.89656545398239218</v>
      </c>
      <c r="E792">
        <v>2.2747156605424257E-2</v>
      </c>
      <c r="F792">
        <v>789</v>
      </c>
      <c r="G792">
        <f t="shared" ca="1" si="29"/>
        <v>4.0795809904103864E-2</v>
      </c>
    </row>
    <row r="793" spans="2:7" x14ac:dyDescent="0.35">
      <c r="B793" s="2">
        <v>42782</v>
      </c>
      <c r="C793" s="4">
        <v>678.11</v>
      </c>
      <c r="D793">
        <f t="shared" si="28"/>
        <v>-0.2003608405462135</v>
      </c>
      <c r="E793">
        <v>2.2744068895826697E-2</v>
      </c>
      <c r="F793">
        <v>790</v>
      </c>
      <c r="G793">
        <f t="shared" ca="1" si="29"/>
        <v>4.8369583485607999E-2</v>
      </c>
    </row>
    <row r="794" spans="2:7" x14ac:dyDescent="0.35">
      <c r="B794" s="2">
        <v>42249</v>
      </c>
      <c r="C794" s="4">
        <v>848.02</v>
      </c>
      <c r="D794">
        <f t="shared" si="28"/>
        <v>0.19729485514203415</v>
      </c>
      <c r="E794">
        <v>2.2733576950444423E-2</v>
      </c>
      <c r="F794">
        <v>791</v>
      </c>
      <c r="G794">
        <f t="shared" ca="1" si="29"/>
        <v>1.4319355121066047E-2</v>
      </c>
    </row>
    <row r="795" spans="2:7" x14ac:dyDescent="0.35">
      <c r="B795" s="2">
        <v>43941</v>
      </c>
      <c r="C795" s="4">
        <v>708.28</v>
      </c>
      <c r="D795">
        <f t="shared" si="28"/>
        <v>10.647426410129912</v>
      </c>
      <c r="E795">
        <v>2.2713161504584578E-2</v>
      </c>
      <c r="F795">
        <v>792</v>
      </c>
      <c r="G795">
        <f t="shared" ca="1" si="29"/>
        <v>-6.2535091299068563E-2</v>
      </c>
    </row>
    <row r="796" spans="2:7" x14ac:dyDescent="0.35">
      <c r="B796" s="2">
        <v>38442</v>
      </c>
      <c r="C796" s="4">
        <v>60.81</v>
      </c>
      <c r="D796">
        <f t="shared" si="28"/>
        <v>0.64529220779220786</v>
      </c>
      <c r="E796">
        <v>2.2704339051463185E-2</v>
      </c>
      <c r="F796">
        <v>793</v>
      </c>
      <c r="G796">
        <f t="shared" ca="1" si="29"/>
        <v>9.4234907460770765E-3</v>
      </c>
    </row>
    <row r="797" spans="2:7" x14ac:dyDescent="0.35">
      <c r="B797" s="2">
        <v>38181</v>
      </c>
      <c r="C797" s="4">
        <v>36.96</v>
      </c>
      <c r="D797">
        <f t="shared" si="28"/>
        <v>-0.33381398702235032</v>
      </c>
      <c r="E797">
        <v>2.2689540675152164E-2</v>
      </c>
      <c r="F797">
        <v>794</v>
      </c>
      <c r="G797">
        <f t="shared" ca="1" si="29"/>
        <v>1.8330739465771814E-5</v>
      </c>
    </row>
    <row r="798" spans="2:7" x14ac:dyDescent="0.35">
      <c r="B798" s="2">
        <v>40014</v>
      </c>
      <c r="C798" s="4">
        <v>55.48</v>
      </c>
      <c r="D798">
        <f t="shared" si="28"/>
        <v>-0.96570566709524286</v>
      </c>
      <c r="E798">
        <v>2.2672811059907705E-2</v>
      </c>
      <c r="F798">
        <v>795</v>
      </c>
      <c r="G798">
        <f t="shared" ca="1" si="29"/>
        <v>3.2019351343037988E-2</v>
      </c>
    </row>
    <row r="799" spans="2:7" x14ac:dyDescent="0.35">
      <c r="B799" s="2">
        <v>44180</v>
      </c>
      <c r="C799" s="4">
        <v>1617.76</v>
      </c>
      <c r="D799">
        <f t="shared" si="28"/>
        <v>3.5026580199838566</v>
      </c>
      <c r="E799">
        <v>2.2656012946293158E-2</v>
      </c>
      <c r="F799">
        <v>796</v>
      </c>
      <c r="G799">
        <f t="shared" ca="1" si="29"/>
        <v>-2.3795784701317369E-2</v>
      </c>
    </row>
    <row r="800" spans="2:7" x14ac:dyDescent="0.35">
      <c r="B800" s="2">
        <v>42046</v>
      </c>
      <c r="C800" s="4">
        <v>359.29</v>
      </c>
      <c r="D800">
        <f t="shared" si="28"/>
        <v>2.140646853146853</v>
      </c>
      <c r="E800">
        <v>2.2627654124210306E-2</v>
      </c>
      <c r="F800">
        <v>797</v>
      </c>
      <c r="G800">
        <f t="shared" ca="1" si="29"/>
        <v>-1.3519802815694582E-2</v>
      </c>
    </row>
    <row r="801" spans="2:7" x14ac:dyDescent="0.35">
      <c r="B801" s="2">
        <v>40457</v>
      </c>
      <c r="C801" s="4">
        <v>114.4</v>
      </c>
      <c r="D801">
        <f t="shared" si="28"/>
        <v>-0.891156462585034</v>
      </c>
      <c r="E801">
        <v>2.2615535889872085E-2</v>
      </c>
      <c r="F801">
        <v>798</v>
      </c>
      <c r="G801">
        <f t="shared" ca="1" si="29"/>
        <v>-1.3694593584277027E-2</v>
      </c>
    </row>
    <row r="802" spans="2:7" x14ac:dyDescent="0.35">
      <c r="B802" s="2">
        <v>43872</v>
      </c>
      <c r="C802" s="4">
        <v>1051.05</v>
      </c>
      <c r="D802">
        <f t="shared" si="28"/>
        <v>25.054784333168069</v>
      </c>
      <c r="E802">
        <v>2.2571386875516852E-2</v>
      </c>
      <c r="F802">
        <v>799</v>
      </c>
      <c r="G802">
        <f t="shared" ca="1" si="29"/>
        <v>5.0430194167491359E-2</v>
      </c>
    </row>
    <row r="803" spans="2:7" x14ac:dyDescent="0.35">
      <c r="B803" s="2">
        <v>37441</v>
      </c>
      <c r="C803" s="4">
        <v>40.340000000000003</v>
      </c>
      <c r="D803">
        <f t="shared" si="28"/>
        <v>-0.95760378349973729</v>
      </c>
      <c r="E803">
        <v>2.2560202788339589E-2</v>
      </c>
      <c r="F803">
        <v>800</v>
      </c>
      <c r="G803">
        <f t="shared" ca="1" si="29"/>
        <v>9.665367869349753E-3</v>
      </c>
    </row>
    <row r="804" spans="2:7" x14ac:dyDescent="0.35">
      <c r="B804" s="2">
        <v>43461</v>
      </c>
      <c r="C804" s="4">
        <v>951.5</v>
      </c>
      <c r="D804">
        <f t="shared" si="28"/>
        <v>2.9327932545259157</v>
      </c>
      <c r="E804">
        <v>2.2557522218998205E-2</v>
      </c>
      <c r="F804">
        <v>801</v>
      </c>
      <c r="G804">
        <f t="shared" ca="1" si="29"/>
        <v>2.5775829622155914E-2</v>
      </c>
    </row>
    <row r="805" spans="2:7" x14ac:dyDescent="0.35">
      <c r="B805" s="2">
        <v>41729</v>
      </c>
      <c r="C805" s="4">
        <v>241.94</v>
      </c>
      <c r="D805">
        <f t="shared" si="28"/>
        <v>1.7850811557499711</v>
      </c>
      <c r="E805">
        <v>2.2526520434470232E-2</v>
      </c>
      <c r="F805">
        <v>802</v>
      </c>
      <c r="G805">
        <f t="shared" ca="1" si="29"/>
        <v>-3.3713159378765269E-2</v>
      </c>
    </row>
    <row r="806" spans="2:7" x14ac:dyDescent="0.35">
      <c r="B806" s="2">
        <v>41347</v>
      </c>
      <c r="C806" s="4">
        <v>86.87</v>
      </c>
      <c r="D806">
        <f t="shared" si="28"/>
        <v>-0.90313120274760805</v>
      </c>
      <c r="E806">
        <v>2.2481167608286334E-2</v>
      </c>
      <c r="F806">
        <v>803</v>
      </c>
      <c r="G806">
        <f t="shared" ca="1" si="29"/>
        <v>-2.5264761397463285E-2</v>
      </c>
    </row>
    <row r="807" spans="2:7" x14ac:dyDescent="0.35">
      <c r="B807" s="2">
        <v>43089</v>
      </c>
      <c r="C807" s="4">
        <v>896.78</v>
      </c>
      <c r="D807">
        <f t="shared" si="28"/>
        <v>28.412266316825189</v>
      </c>
      <c r="E807">
        <v>2.2472550651601253E-2</v>
      </c>
      <c r="F807">
        <v>804</v>
      </c>
      <c r="G807">
        <f t="shared" ca="1" si="29"/>
        <v>-1.4853055737150973E-2</v>
      </c>
    </row>
    <row r="808" spans="2:7" x14ac:dyDescent="0.35">
      <c r="B808" s="2">
        <v>37595</v>
      </c>
      <c r="C808" s="4">
        <v>30.49</v>
      </c>
      <c r="D808">
        <f t="shared" si="28"/>
        <v>-0.23179642227261277</v>
      </c>
      <c r="E808">
        <v>2.2468142186451878E-2</v>
      </c>
      <c r="F808">
        <v>805</v>
      </c>
      <c r="G808">
        <f t="shared" ca="1" si="29"/>
        <v>-4.3115239303880169E-3</v>
      </c>
    </row>
    <row r="809" spans="2:7" x14ac:dyDescent="0.35">
      <c r="B809" s="2">
        <v>39931</v>
      </c>
      <c r="C809" s="4">
        <v>39.69</v>
      </c>
      <c r="D809">
        <f t="shared" si="28"/>
        <v>-0.53486464315012305</v>
      </c>
      <c r="E809">
        <v>2.2411128284389514E-2</v>
      </c>
      <c r="F809">
        <v>806</v>
      </c>
      <c r="G809">
        <f t="shared" ca="1" si="29"/>
        <v>-2.1352264419966609E-2</v>
      </c>
    </row>
    <row r="810" spans="2:7" x14ac:dyDescent="0.35">
      <c r="B810" s="2">
        <v>41010</v>
      </c>
      <c r="C810" s="4">
        <v>85.33</v>
      </c>
      <c r="D810">
        <f t="shared" si="28"/>
        <v>-0.94357862163359496</v>
      </c>
      <c r="E810">
        <v>2.2405942966690739E-2</v>
      </c>
      <c r="F810">
        <v>807</v>
      </c>
      <c r="G810">
        <f t="shared" ca="1" si="29"/>
        <v>-4.1417328091969532E-2</v>
      </c>
    </row>
    <row r="811" spans="2:7" x14ac:dyDescent="0.35">
      <c r="B811" s="2">
        <v>44138</v>
      </c>
      <c r="C811" s="4">
        <v>1512.37</v>
      </c>
      <c r="D811">
        <f t="shared" si="28"/>
        <v>-0.76286480799414202</v>
      </c>
      <c r="E811">
        <v>2.2389724522561938E-2</v>
      </c>
      <c r="F811">
        <v>808</v>
      </c>
      <c r="G811">
        <f t="shared" ca="1" si="29"/>
        <v>-3.1683124718915032E-2</v>
      </c>
    </row>
    <row r="812" spans="2:7" x14ac:dyDescent="0.35">
      <c r="B812" s="2">
        <v>44510</v>
      </c>
      <c r="C812" s="4">
        <v>6377.67</v>
      </c>
      <c r="D812">
        <f t="shared" si="28"/>
        <v>9.160702905939333</v>
      </c>
      <c r="E812">
        <v>2.2352494217109831E-2</v>
      </c>
      <c r="F812">
        <v>809</v>
      </c>
      <c r="G812">
        <f t="shared" ca="1" si="29"/>
        <v>2.3809290426784008E-2</v>
      </c>
    </row>
    <row r="813" spans="2:7" x14ac:dyDescent="0.35">
      <c r="B813" s="2">
        <v>43752</v>
      </c>
      <c r="C813" s="4">
        <v>627.67999999999995</v>
      </c>
      <c r="D813">
        <f t="shared" si="28"/>
        <v>-0.50779847088806118</v>
      </c>
      <c r="E813">
        <v>2.2296780077851297E-2</v>
      </c>
      <c r="F813">
        <v>810</v>
      </c>
      <c r="G813">
        <f t="shared" ca="1" si="29"/>
        <v>1.3509144965983008E-3</v>
      </c>
    </row>
    <row r="814" spans="2:7" x14ac:dyDescent="0.35">
      <c r="B814" s="2">
        <v>44085</v>
      </c>
      <c r="C814" s="4">
        <v>1275.25</v>
      </c>
      <c r="D814">
        <f t="shared" si="28"/>
        <v>0.39770273676826795</v>
      </c>
      <c r="E814">
        <v>2.2269072602948414E-2</v>
      </c>
      <c r="F814">
        <v>811</v>
      </c>
      <c r="G814">
        <f t="shared" ca="1" si="29"/>
        <v>1.293838442287408E-2</v>
      </c>
    </row>
    <row r="815" spans="2:7" x14ac:dyDescent="0.35">
      <c r="B815" s="2">
        <v>44040</v>
      </c>
      <c r="C815" s="4">
        <v>912.39</v>
      </c>
      <c r="D815">
        <f t="shared" si="28"/>
        <v>-0.54832625419550296</v>
      </c>
      <c r="E815">
        <v>2.2262806435710214E-2</v>
      </c>
      <c r="F815">
        <v>812</v>
      </c>
      <c r="G815">
        <f t="shared" ca="1" si="29"/>
        <v>-1.7757620091899261E-2</v>
      </c>
    </row>
    <row r="816" spans="2:7" x14ac:dyDescent="0.35">
      <c r="B816" s="2">
        <v>44204</v>
      </c>
      <c r="C816" s="4">
        <v>2020.02</v>
      </c>
      <c r="D816">
        <f t="shared" si="28"/>
        <v>72.966312705968519</v>
      </c>
      <c r="E816">
        <v>2.2184213988604151E-2</v>
      </c>
      <c r="F816">
        <v>813</v>
      </c>
      <c r="G816">
        <f t="shared" ca="1" si="29"/>
        <v>3.5404756616303767E-2</v>
      </c>
    </row>
    <row r="817" spans="2:7" x14ac:dyDescent="0.35">
      <c r="B817" s="2">
        <v>38082</v>
      </c>
      <c r="C817" s="4">
        <v>27.31</v>
      </c>
      <c r="D817">
        <f t="shared" si="28"/>
        <v>-0.70937533255294238</v>
      </c>
      <c r="E817">
        <v>2.208083832335328E-2</v>
      </c>
      <c r="F817">
        <v>814</v>
      </c>
      <c r="G817">
        <f t="shared" ca="1" si="29"/>
        <v>3.0777399154728935E-2</v>
      </c>
    </row>
    <row r="818" spans="2:7" x14ac:dyDescent="0.35">
      <c r="B818" s="2">
        <v>39464</v>
      </c>
      <c r="C818" s="4">
        <v>93.97</v>
      </c>
      <c r="D818">
        <f t="shared" si="28"/>
        <v>3.2290729072907292</v>
      </c>
      <c r="E818">
        <v>2.2079617141614216E-2</v>
      </c>
      <c r="F818">
        <v>815</v>
      </c>
      <c r="G818">
        <f t="shared" ca="1" si="29"/>
        <v>-7.2592680208545968E-3</v>
      </c>
    </row>
    <row r="819" spans="2:7" x14ac:dyDescent="0.35">
      <c r="B819" s="2">
        <v>37699</v>
      </c>
      <c r="C819" s="4">
        <v>22.22</v>
      </c>
      <c r="D819">
        <f t="shared" si="28"/>
        <v>-0.98011864391614401</v>
      </c>
      <c r="E819">
        <v>2.2079116835326706E-2</v>
      </c>
      <c r="F819">
        <v>816</v>
      </c>
      <c r="G819">
        <f t="shared" ca="1" si="29"/>
        <v>8.4485157807613204E-2</v>
      </c>
    </row>
    <row r="820" spans="2:7" x14ac:dyDescent="0.35">
      <c r="B820" s="2">
        <v>43376</v>
      </c>
      <c r="C820" s="4">
        <v>1117.6300000000001</v>
      </c>
      <c r="D820">
        <f t="shared" si="28"/>
        <v>18.306097771635862</v>
      </c>
      <c r="E820">
        <v>2.2076104948376418E-2</v>
      </c>
      <c r="F820">
        <v>817</v>
      </c>
      <c r="G820">
        <f t="shared" ca="1" si="29"/>
        <v>-5.9297448433380008E-2</v>
      </c>
    </row>
    <row r="821" spans="2:7" x14ac:dyDescent="0.35">
      <c r="B821" s="2">
        <v>39965</v>
      </c>
      <c r="C821" s="4">
        <v>57.89</v>
      </c>
      <c r="D821">
        <f t="shared" si="28"/>
        <v>-0.92274019405036767</v>
      </c>
      <c r="E821">
        <v>2.206920903954801E-2</v>
      </c>
      <c r="F821">
        <v>818</v>
      </c>
      <c r="G821">
        <f t="shared" ca="1" si="29"/>
        <v>3.8859555250272647E-2</v>
      </c>
    </row>
    <row r="822" spans="2:7" x14ac:dyDescent="0.35">
      <c r="B822" s="2">
        <v>42919</v>
      </c>
      <c r="C822" s="4">
        <v>749.29</v>
      </c>
      <c r="D822">
        <f t="shared" si="28"/>
        <v>5.3103419235304026</v>
      </c>
      <c r="E822">
        <v>2.2056416412047142E-2</v>
      </c>
      <c r="F822">
        <v>819</v>
      </c>
      <c r="G822">
        <f t="shared" ca="1" si="29"/>
        <v>-2.0054860773876899E-3</v>
      </c>
    </row>
    <row r="823" spans="2:7" x14ac:dyDescent="0.35">
      <c r="B823" s="2">
        <v>39272</v>
      </c>
      <c r="C823" s="4">
        <v>118.74</v>
      </c>
      <c r="D823">
        <f t="shared" si="28"/>
        <v>0.40637214260333998</v>
      </c>
      <c r="E823">
        <v>2.2034773627130244E-2</v>
      </c>
      <c r="F823">
        <v>820</v>
      </c>
      <c r="G823">
        <f t="shared" ca="1" si="29"/>
        <v>2.8178603823211953E-3</v>
      </c>
    </row>
    <row r="824" spans="2:7" x14ac:dyDescent="0.35">
      <c r="B824" s="2">
        <v>39028</v>
      </c>
      <c r="C824" s="4">
        <v>84.43</v>
      </c>
      <c r="D824">
        <f t="shared" si="28"/>
        <v>-0.87035501504821566</v>
      </c>
      <c r="E824">
        <v>2.2031231085825054E-2</v>
      </c>
      <c r="F824">
        <v>821</v>
      </c>
      <c r="G824">
        <f t="shared" ca="1" si="29"/>
        <v>3.1846979727824132E-2</v>
      </c>
    </row>
    <row r="825" spans="2:7" x14ac:dyDescent="0.35">
      <c r="B825" s="2">
        <v>42207</v>
      </c>
      <c r="C825" s="4">
        <v>651.24</v>
      </c>
      <c r="D825">
        <f t="shared" si="28"/>
        <v>-0.57328196257273156</v>
      </c>
      <c r="E825">
        <v>2.2001820407394623E-2</v>
      </c>
      <c r="F825">
        <v>822</v>
      </c>
      <c r="G825">
        <f t="shared" ca="1" si="29"/>
        <v>-2.06355898991573E-2</v>
      </c>
    </row>
    <row r="826" spans="2:7" x14ac:dyDescent="0.35">
      <c r="B826" s="2">
        <v>44125</v>
      </c>
      <c r="C826" s="4">
        <v>1526.16</v>
      </c>
      <c r="D826">
        <f t="shared" si="28"/>
        <v>0.60235182949236177</v>
      </c>
      <c r="E826">
        <v>2.1977580457230195E-2</v>
      </c>
      <c r="F826">
        <v>823</v>
      </c>
      <c r="G826">
        <f t="shared" ca="1" si="29"/>
        <v>7.8279775753915658E-3</v>
      </c>
    </row>
    <row r="827" spans="2:7" x14ac:dyDescent="0.35">
      <c r="B827" s="2">
        <v>43154</v>
      </c>
      <c r="C827" s="4">
        <v>952.45</v>
      </c>
      <c r="D827">
        <f t="shared" si="28"/>
        <v>6.8076071809164693</v>
      </c>
      <c r="E827">
        <v>2.1953025247052116E-2</v>
      </c>
      <c r="F827">
        <v>824</v>
      </c>
      <c r="G827">
        <f t="shared" ca="1" si="29"/>
        <v>5.741619114558065E-2</v>
      </c>
    </row>
    <row r="828" spans="2:7" x14ac:dyDescent="0.35">
      <c r="B828" s="2">
        <v>40527</v>
      </c>
      <c r="C828" s="4">
        <v>121.99</v>
      </c>
      <c r="D828">
        <f t="shared" si="28"/>
        <v>2.3559834938101787</v>
      </c>
      <c r="E828">
        <v>2.1948563290608902E-2</v>
      </c>
      <c r="F828">
        <v>825</v>
      </c>
      <c r="G828">
        <f t="shared" ca="1" si="29"/>
        <v>6.8995086961530904E-3</v>
      </c>
    </row>
    <row r="829" spans="2:7" x14ac:dyDescent="0.35">
      <c r="B829" s="2">
        <v>37977</v>
      </c>
      <c r="C829" s="4">
        <v>36.35</v>
      </c>
      <c r="D829">
        <f t="shared" si="28"/>
        <v>-0.94170942912123157</v>
      </c>
      <c r="E829">
        <v>2.1928591509699169E-2</v>
      </c>
      <c r="F829">
        <v>826</v>
      </c>
      <c r="G829">
        <f t="shared" ca="1" si="29"/>
        <v>3.9860018084466209E-2</v>
      </c>
    </row>
    <row r="830" spans="2:7" x14ac:dyDescent="0.35">
      <c r="B830" s="2">
        <v>42205</v>
      </c>
      <c r="C830" s="4">
        <v>623.6</v>
      </c>
      <c r="D830">
        <f t="shared" si="28"/>
        <v>-0.89943719662640498</v>
      </c>
      <c r="E830">
        <v>2.1926518304873577E-2</v>
      </c>
      <c r="F830">
        <v>827</v>
      </c>
      <c r="G830">
        <f t="shared" ca="1" si="29"/>
        <v>-1.7656463985227328E-2</v>
      </c>
    </row>
    <row r="831" spans="2:7" x14ac:dyDescent="0.35">
      <c r="B831" s="2">
        <v>45026</v>
      </c>
      <c r="C831" s="4">
        <v>6201.1</v>
      </c>
      <c r="D831">
        <f t="shared" si="28"/>
        <v>78.952294997421347</v>
      </c>
      <c r="E831">
        <v>2.1909478177039254E-2</v>
      </c>
      <c r="F831">
        <v>828</v>
      </c>
      <c r="G831">
        <f t="shared" ca="1" si="29"/>
        <v>-2.3576887326211809E-3</v>
      </c>
    </row>
    <row r="832" spans="2:7" x14ac:dyDescent="0.35">
      <c r="B832" s="2">
        <v>38954</v>
      </c>
      <c r="C832" s="4">
        <v>77.56</v>
      </c>
      <c r="D832">
        <f t="shared" si="28"/>
        <v>0.37128712871287117</v>
      </c>
      <c r="E832">
        <v>2.1870882740447906E-2</v>
      </c>
      <c r="F832">
        <v>829</v>
      </c>
      <c r="G832">
        <f t="shared" ca="1" si="29"/>
        <v>2.0805368537078681E-2</v>
      </c>
    </row>
    <row r="833" spans="2:7" x14ac:dyDescent="0.35">
      <c r="B833" s="2">
        <v>38392</v>
      </c>
      <c r="C833" s="4">
        <v>56.56</v>
      </c>
      <c r="D833">
        <f t="shared" si="28"/>
        <v>-0.91123944634506138</v>
      </c>
      <c r="E833">
        <v>2.1860885275519326E-2</v>
      </c>
      <c r="F833">
        <v>830</v>
      </c>
      <c r="G833">
        <f t="shared" ca="1" si="29"/>
        <v>-5.0553584019989361E-3</v>
      </c>
    </row>
    <row r="834" spans="2:7" x14ac:dyDescent="0.35">
      <c r="B834" s="2">
        <v>42206</v>
      </c>
      <c r="C834" s="4">
        <v>637.22</v>
      </c>
      <c r="D834">
        <f t="shared" si="28"/>
        <v>20.269025367156207</v>
      </c>
      <c r="E834">
        <v>2.1840923669018686E-2</v>
      </c>
      <c r="F834">
        <v>831</v>
      </c>
      <c r="G834">
        <f t="shared" ca="1" si="29"/>
        <v>8.9560535812165248E-3</v>
      </c>
    </row>
    <row r="835" spans="2:7" x14ac:dyDescent="0.35">
      <c r="B835" s="2">
        <v>38111</v>
      </c>
      <c r="C835" s="4">
        <v>29.96</v>
      </c>
      <c r="D835">
        <f t="shared" si="28"/>
        <v>-0.62615423009732973</v>
      </c>
      <c r="E835">
        <v>2.1828103683492417E-2</v>
      </c>
      <c r="F835">
        <v>832</v>
      </c>
      <c r="G835">
        <f t="shared" ca="1" si="29"/>
        <v>2.7982770802208932E-2</v>
      </c>
    </row>
    <row r="836" spans="2:7" x14ac:dyDescent="0.35">
      <c r="B836" s="2">
        <v>41439</v>
      </c>
      <c r="C836" s="4">
        <v>80.14</v>
      </c>
      <c r="D836">
        <f t="shared" ref="D836:D899" si="30">C836/C837-1</f>
        <v>-0.87523741320795845</v>
      </c>
      <c r="E836">
        <v>2.1802881550426978E-2</v>
      </c>
      <c r="F836">
        <v>833</v>
      </c>
      <c r="G836">
        <f t="shared" ca="1" si="29"/>
        <v>3.2639540124040807E-2</v>
      </c>
    </row>
    <row r="837" spans="2:7" x14ac:dyDescent="0.35">
      <c r="B837" s="2">
        <v>43724</v>
      </c>
      <c r="C837" s="4">
        <v>642.34</v>
      </c>
      <c r="D837">
        <f t="shared" si="30"/>
        <v>7.43740969394457</v>
      </c>
      <c r="E837">
        <v>2.1776823351626673E-2</v>
      </c>
      <c r="F837">
        <v>834</v>
      </c>
      <c r="G837">
        <f t="shared" ref="G837:G900" ca="1" si="31">_xlfn.NORM.INV(RAND(),K$6,K$7)</f>
        <v>-1.2227634453907956E-2</v>
      </c>
    </row>
    <row r="838" spans="2:7" x14ac:dyDescent="0.35">
      <c r="B838" s="2">
        <v>38611</v>
      </c>
      <c r="C838" s="4">
        <v>76.13</v>
      </c>
      <c r="D838">
        <f t="shared" si="30"/>
        <v>-0.87600775256926011</v>
      </c>
      <c r="E838">
        <v>2.1742048047241891E-2</v>
      </c>
      <c r="F838">
        <v>835</v>
      </c>
      <c r="G838">
        <f t="shared" ca="1" si="31"/>
        <v>-7.6749590907362972E-3</v>
      </c>
    </row>
    <row r="839" spans="2:7" x14ac:dyDescent="0.35">
      <c r="B839" s="2">
        <v>43749</v>
      </c>
      <c r="C839" s="4">
        <v>613.99</v>
      </c>
      <c r="D839">
        <f t="shared" si="30"/>
        <v>-0.63192916619208339</v>
      </c>
      <c r="E839">
        <v>2.1732980546819158E-2</v>
      </c>
      <c r="F839">
        <v>836</v>
      </c>
      <c r="G839">
        <f t="shared" ca="1" si="31"/>
        <v>-1.3500711597963644E-2</v>
      </c>
    </row>
    <row r="840" spans="2:7" x14ac:dyDescent="0.35">
      <c r="B840" s="2">
        <v>44130</v>
      </c>
      <c r="C840" s="4">
        <v>1668.13</v>
      </c>
      <c r="D840">
        <f t="shared" si="30"/>
        <v>-0.55172256261421038</v>
      </c>
      <c r="E840">
        <v>2.1650191697595522E-2</v>
      </c>
      <c r="F840">
        <v>837</v>
      </c>
      <c r="G840">
        <f t="shared" ca="1" si="31"/>
        <v>-1.1397474025489379E-2</v>
      </c>
    </row>
    <row r="841" spans="2:7" x14ac:dyDescent="0.35">
      <c r="B841" s="2">
        <v>44371</v>
      </c>
      <c r="C841" s="4">
        <v>3721.2</v>
      </c>
      <c r="D841">
        <f t="shared" si="30"/>
        <v>52.144815766923735</v>
      </c>
      <c r="E841">
        <v>2.1634087414891257E-2</v>
      </c>
      <c r="F841">
        <v>838</v>
      </c>
      <c r="G841">
        <f t="shared" ca="1" si="31"/>
        <v>4.2095618767709869E-2</v>
      </c>
    </row>
    <row r="842" spans="2:7" x14ac:dyDescent="0.35">
      <c r="B842" s="2">
        <v>38684</v>
      </c>
      <c r="C842" s="4">
        <v>70.02</v>
      </c>
      <c r="D842">
        <f t="shared" si="30"/>
        <v>-0.13061832629749204</v>
      </c>
      <c r="E842">
        <v>2.1593230230522176E-2</v>
      </c>
      <c r="F842">
        <v>839</v>
      </c>
      <c r="G842">
        <f t="shared" ca="1" si="31"/>
        <v>-6.1621144203047491E-3</v>
      </c>
    </row>
    <row r="843" spans="2:7" x14ac:dyDescent="0.35">
      <c r="B843" s="2">
        <v>40872</v>
      </c>
      <c r="C843" s="4">
        <v>80.540000000000006</v>
      </c>
      <c r="D843">
        <f t="shared" si="30"/>
        <v>-0.9084418980060478</v>
      </c>
      <c r="E843">
        <v>2.156265854895989E-2</v>
      </c>
      <c r="F843">
        <v>840</v>
      </c>
      <c r="G843">
        <f t="shared" ca="1" si="31"/>
        <v>1.7368595142002341E-2</v>
      </c>
    </row>
    <row r="844" spans="2:7" x14ac:dyDescent="0.35">
      <c r="B844" s="2">
        <v>42268</v>
      </c>
      <c r="C844" s="4">
        <v>879.66</v>
      </c>
      <c r="D844">
        <f t="shared" si="30"/>
        <v>23.414654454621147</v>
      </c>
      <c r="E844">
        <v>2.1553826500987139E-2</v>
      </c>
      <c r="F844">
        <v>841</v>
      </c>
      <c r="G844">
        <f t="shared" ca="1" si="31"/>
        <v>-7.7499846996134224E-3</v>
      </c>
    </row>
    <row r="845" spans="2:7" x14ac:dyDescent="0.35">
      <c r="B845" s="2">
        <v>38169</v>
      </c>
      <c r="C845" s="4">
        <v>36.03</v>
      </c>
      <c r="D845">
        <f t="shared" si="30"/>
        <v>-0.96261982819438108</v>
      </c>
      <c r="E845">
        <v>2.1548057839523516E-2</v>
      </c>
      <c r="F845">
        <v>842</v>
      </c>
      <c r="G845">
        <f t="shared" ca="1" si="31"/>
        <v>4.2135966057648327E-2</v>
      </c>
    </row>
    <row r="846" spans="2:7" x14ac:dyDescent="0.35">
      <c r="B846" s="2">
        <v>43434</v>
      </c>
      <c r="C846" s="4">
        <v>963.88</v>
      </c>
      <c r="D846">
        <f t="shared" si="30"/>
        <v>10.240583090379008</v>
      </c>
      <c r="E846">
        <v>2.1546287955063415E-2</v>
      </c>
      <c r="F846">
        <v>843</v>
      </c>
      <c r="G846">
        <f t="shared" ca="1" si="31"/>
        <v>4.8403605212690763E-2</v>
      </c>
    </row>
    <row r="847" spans="2:7" x14ac:dyDescent="0.35">
      <c r="B847" s="2">
        <v>40989</v>
      </c>
      <c r="C847" s="4">
        <v>85.75</v>
      </c>
      <c r="D847">
        <f t="shared" si="30"/>
        <v>1.6466049382716053</v>
      </c>
      <c r="E847">
        <v>2.1441334127456857E-2</v>
      </c>
      <c r="F847">
        <v>844</v>
      </c>
      <c r="G847">
        <f t="shared" ca="1" si="31"/>
        <v>4.1484952055739377E-2</v>
      </c>
    </row>
    <row r="848" spans="2:7" x14ac:dyDescent="0.35">
      <c r="B848" s="2">
        <v>39842</v>
      </c>
      <c r="C848" s="4">
        <v>32.4</v>
      </c>
      <c r="D848">
        <f t="shared" si="30"/>
        <v>-0.96927482906752904</v>
      </c>
      <c r="E848">
        <v>2.1437578814627933E-2</v>
      </c>
      <c r="F848">
        <v>845</v>
      </c>
      <c r="G848">
        <f t="shared" ca="1" si="31"/>
        <v>-2.587599425975573E-2</v>
      </c>
    </row>
    <row r="849" spans="2:7" x14ac:dyDescent="0.35">
      <c r="B849" s="2">
        <v>42402</v>
      </c>
      <c r="C849" s="4">
        <v>1054.51</v>
      </c>
      <c r="D849">
        <f t="shared" si="30"/>
        <v>38.465194610778447</v>
      </c>
      <c r="E849">
        <v>2.1435905383676346E-2</v>
      </c>
      <c r="F849">
        <v>846</v>
      </c>
      <c r="G849">
        <f t="shared" ca="1" si="31"/>
        <v>-2.4058544061745079E-2</v>
      </c>
    </row>
    <row r="850" spans="2:7" x14ac:dyDescent="0.35">
      <c r="B850" s="2">
        <v>38079</v>
      </c>
      <c r="C850" s="4">
        <v>26.72</v>
      </c>
      <c r="D850">
        <f t="shared" si="30"/>
        <v>-0.72828960748423843</v>
      </c>
      <c r="E850">
        <v>2.1406727828746197E-2</v>
      </c>
      <c r="F850">
        <v>847</v>
      </c>
      <c r="G850">
        <f t="shared" ca="1" si="31"/>
        <v>1.8378838713841574E-2</v>
      </c>
    </row>
    <row r="851" spans="2:7" x14ac:dyDescent="0.35">
      <c r="B851" s="2">
        <v>39160</v>
      </c>
      <c r="C851" s="4">
        <v>98.34</v>
      </c>
      <c r="D851">
        <f t="shared" si="30"/>
        <v>2.2168792934249266</v>
      </c>
      <c r="E851">
        <v>2.1395928541753317E-2</v>
      </c>
      <c r="F851">
        <v>848</v>
      </c>
      <c r="G851">
        <f t="shared" ca="1" si="31"/>
        <v>8.9151339742128029E-3</v>
      </c>
    </row>
    <row r="852" spans="2:7" x14ac:dyDescent="0.35">
      <c r="B852" s="2">
        <v>38030</v>
      </c>
      <c r="C852" s="4">
        <v>30.57</v>
      </c>
      <c r="D852">
        <f t="shared" si="30"/>
        <v>-0.69466640031961646</v>
      </c>
      <c r="E852">
        <v>2.138322753090538E-2</v>
      </c>
      <c r="F852">
        <v>849</v>
      </c>
      <c r="G852">
        <f t="shared" ca="1" si="31"/>
        <v>1.5547864303220125E-3</v>
      </c>
    </row>
    <row r="853" spans="2:7" x14ac:dyDescent="0.35">
      <c r="B853" s="2">
        <v>39447</v>
      </c>
      <c r="C853" s="4">
        <v>100.12</v>
      </c>
      <c r="D853">
        <f t="shared" si="30"/>
        <v>-5.1669316375198004E-3</v>
      </c>
      <c r="E853">
        <v>2.1320004080383592E-2</v>
      </c>
      <c r="F853">
        <v>850</v>
      </c>
      <c r="G853">
        <f t="shared" ca="1" si="31"/>
        <v>-2.0244796026859746E-2</v>
      </c>
    </row>
    <row r="854" spans="2:7" x14ac:dyDescent="0.35">
      <c r="B854" s="2">
        <v>39170</v>
      </c>
      <c r="C854" s="4">
        <v>100.64</v>
      </c>
      <c r="D854">
        <f t="shared" si="30"/>
        <v>-0.63780321024976616</v>
      </c>
      <c r="E854">
        <v>2.1311142683174245E-2</v>
      </c>
      <c r="F854">
        <v>851</v>
      </c>
      <c r="G854">
        <f t="shared" ca="1" si="31"/>
        <v>-1.7370600306063296E-2</v>
      </c>
    </row>
    <row r="855" spans="2:7" x14ac:dyDescent="0.35">
      <c r="B855" s="2">
        <v>41878</v>
      </c>
      <c r="C855" s="4">
        <v>277.86</v>
      </c>
      <c r="D855">
        <f t="shared" si="30"/>
        <v>-0.96726938616847091</v>
      </c>
      <c r="E855">
        <v>2.1281287903848423E-2</v>
      </c>
      <c r="F855">
        <v>852</v>
      </c>
      <c r="G855">
        <f t="shared" ca="1" si="31"/>
        <v>1.8455360220446203E-2</v>
      </c>
    </row>
    <row r="856" spans="2:7" x14ac:dyDescent="0.35">
      <c r="B856" s="2">
        <v>44838</v>
      </c>
      <c r="C856" s="4">
        <v>8489.2999999999993</v>
      </c>
      <c r="D856">
        <f t="shared" si="30"/>
        <v>88.700972104818248</v>
      </c>
      <c r="E856">
        <v>2.126917293233066E-2</v>
      </c>
      <c r="F856">
        <v>853</v>
      </c>
      <c r="G856">
        <f t="shared" ca="1" si="31"/>
        <v>-2.513195875318798E-2</v>
      </c>
    </row>
    <row r="857" spans="2:7" x14ac:dyDescent="0.35">
      <c r="B857" s="2">
        <v>39084</v>
      </c>
      <c r="C857" s="4">
        <v>94.64</v>
      </c>
      <c r="D857">
        <f t="shared" si="30"/>
        <v>0.80404117422798316</v>
      </c>
      <c r="E857">
        <v>2.1258228121290523E-2</v>
      </c>
      <c r="F857">
        <v>854</v>
      </c>
      <c r="G857">
        <f t="shared" ca="1" si="31"/>
        <v>1.585043016826362E-2</v>
      </c>
    </row>
    <row r="858" spans="2:7" x14ac:dyDescent="0.35">
      <c r="B858" s="2">
        <v>38292</v>
      </c>
      <c r="C858" s="4">
        <v>52.46</v>
      </c>
      <c r="D858">
        <f t="shared" si="30"/>
        <v>1.4756960830580463</v>
      </c>
      <c r="E858">
        <v>2.1218610083706402E-2</v>
      </c>
      <c r="F858">
        <v>855</v>
      </c>
      <c r="G858">
        <f t="shared" ca="1" si="31"/>
        <v>-1.7797241351539712E-2</v>
      </c>
    </row>
    <row r="859" spans="2:7" x14ac:dyDescent="0.35">
      <c r="B859" s="2">
        <v>37755</v>
      </c>
      <c r="C859" s="4">
        <v>21.19</v>
      </c>
      <c r="D859">
        <f t="shared" si="30"/>
        <v>-0.71341628347308628</v>
      </c>
      <c r="E859">
        <v>2.12048192771086E-2</v>
      </c>
      <c r="F859">
        <v>856</v>
      </c>
      <c r="G859">
        <f t="shared" ca="1" si="31"/>
        <v>-1.9178482155618178E-2</v>
      </c>
    </row>
    <row r="860" spans="2:7" x14ac:dyDescent="0.35">
      <c r="B860" s="2">
        <v>39596</v>
      </c>
      <c r="C860" s="4">
        <v>73.94</v>
      </c>
      <c r="D860">
        <f t="shared" si="30"/>
        <v>-0.91851264078996675</v>
      </c>
      <c r="E860">
        <v>2.1129678221240233E-2</v>
      </c>
      <c r="F860">
        <v>857</v>
      </c>
      <c r="G860">
        <f t="shared" ca="1" si="31"/>
        <v>2.1734400473854124E-2</v>
      </c>
    </row>
    <row r="861" spans="2:7" x14ac:dyDescent="0.35">
      <c r="B861" s="2">
        <v>43066</v>
      </c>
      <c r="C861" s="4">
        <v>907.38</v>
      </c>
      <c r="D861">
        <f t="shared" si="30"/>
        <v>12.547028963869812</v>
      </c>
      <c r="E861">
        <v>2.112287730275364E-2</v>
      </c>
      <c r="F861">
        <v>858</v>
      </c>
      <c r="G861">
        <f t="shared" ca="1" si="31"/>
        <v>-1.5117343453670051E-2</v>
      </c>
    </row>
    <row r="862" spans="2:7" x14ac:dyDescent="0.35">
      <c r="B862" s="2">
        <v>38778</v>
      </c>
      <c r="C862" s="4">
        <v>66.98</v>
      </c>
      <c r="D862">
        <f t="shared" si="30"/>
        <v>-0.9142030025106318</v>
      </c>
      <c r="E862">
        <v>2.1036585365853844E-2</v>
      </c>
      <c r="F862">
        <v>859</v>
      </c>
      <c r="G862">
        <f t="shared" ca="1" si="31"/>
        <v>4.4657351022457561E-2</v>
      </c>
    </row>
    <row r="863" spans="2:7" x14ac:dyDescent="0.35">
      <c r="B863" s="2">
        <v>42975</v>
      </c>
      <c r="C863" s="4">
        <v>780.68</v>
      </c>
      <c r="D863">
        <f t="shared" si="30"/>
        <v>8.0702916230974786</v>
      </c>
      <c r="E863">
        <v>2.1003897360780455E-2</v>
      </c>
      <c r="F863">
        <v>860</v>
      </c>
      <c r="G863">
        <f t="shared" ca="1" si="31"/>
        <v>-2.7079851347879904E-2</v>
      </c>
    </row>
    <row r="864" spans="2:7" x14ac:dyDescent="0.35">
      <c r="B864" s="2">
        <v>40813</v>
      </c>
      <c r="C864" s="4">
        <v>86.07</v>
      </c>
      <c r="D864">
        <f t="shared" si="30"/>
        <v>1.8054106910039112</v>
      </c>
      <c r="E864">
        <v>2.0996441281138756E-2</v>
      </c>
      <c r="F864">
        <v>861</v>
      </c>
      <c r="G864">
        <f t="shared" ca="1" si="31"/>
        <v>2.8799993280769827E-2</v>
      </c>
    </row>
    <row r="865" spans="2:7" x14ac:dyDescent="0.35">
      <c r="B865" s="2">
        <v>39903</v>
      </c>
      <c r="C865" s="4">
        <v>30.68</v>
      </c>
      <c r="D865">
        <f t="shared" si="30"/>
        <v>-0.96683099809721507</v>
      </c>
      <c r="E865">
        <v>2.0965058236272816E-2</v>
      </c>
      <c r="F865">
        <v>862</v>
      </c>
      <c r="G865">
        <f t="shared" ca="1" si="31"/>
        <v>1.8224610805687463E-2</v>
      </c>
    </row>
    <row r="866" spans="2:7" x14ac:dyDescent="0.35">
      <c r="B866" s="2">
        <v>43423</v>
      </c>
      <c r="C866" s="4">
        <v>924.96</v>
      </c>
      <c r="D866">
        <f t="shared" si="30"/>
        <v>-0.14734513274336281</v>
      </c>
      <c r="E866">
        <v>2.093842095387366E-2</v>
      </c>
      <c r="F866">
        <v>863</v>
      </c>
      <c r="G866">
        <f t="shared" ca="1" si="31"/>
        <v>-1.3272655570348927E-2</v>
      </c>
    </row>
    <row r="867" spans="2:7" x14ac:dyDescent="0.35">
      <c r="B867" s="2">
        <v>44075</v>
      </c>
      <c r="C867" s="4">
        <v>1084.8</v>
      </c>
      <c r="D867">
        <f t="shared" si="30"/>
        <v>11.277048438207332</v>
      </c>
      <c r="E867">
        <v>2.0930582743562631E-2</v>
      </c>
      <c r="F867">
        <v>864</v>
      </c>
      <c r="G867">
        <f t="shared" ca="1" si="31"/>
        <v>-3.6827535572815734E-2</v>
      </c>
    </row>
    <row r="868" spans="2:7" x14ac:dyDescent="0.35">
      <c r="B868" s="2">
        <v>40802</v>
      </c>
      <c r="C868" s="4">
        <v>88.36</v>
      </c>
      <c r="D868">
        <f t="shared" si="30"/>
        <v>0.43116294136702304</v>
      </c>
      <c r="E868">
        <v>2.0912767186597403E-2</v>
      </c>
      <c r="F868">
        <v>865</v>
      </c>
      <c r="G868">
        <f t="shared" ca="1" si="31"/>
        <v>3.3761962947486159E-2</v>
      </c>
    </row>
    <row r="869" spans="2:7" x14ac:dyDescent="0.35">
      <c r="B869" s="2">
        <v>40126</v>
      </c>
      <c r="C869" s="4">
        <v>61.74</v>
      </c>
      <c r="D869">
        <f t="shared" si="30"/>
        <v>-0.90332430358736671</v>
      </c>
      <c r="E869">
        <v>2.0833333333333481E-2</v>
      </c>
      <c r="F869">
        <v>866</v>
      </c>
      <c r="G869">
        <f t="shared" ca="1" si="31"/>
        <v>-2.7142049078323495E-2</v>
      </c>
    </row>
    <row r="870" spans="2:7" x14ac:dyDescent="0.35">
      <c r="B870" s="2">
        <v>42733</v>
      </c>
      <c r="C870" s="4">
        <v>638.63</v>
      </c>
      <c r="D870">
        <f t="shared" si="30"/>
        <v>-0.58250472324096048</v>
      </c>
      <c r="E870">
        <v>2.0828005115089532E-2</v>
      </c>
      <c r="F870">
        <v>867</v>
      </c>
      <c r="G870">
        <f t="shared" ca="1" si="31"/>
        <v>-1.5162443842332209E-2</v>
      </c>
    </row>
    <row r="871" spans="2:7" x14ac:dyDescent="0.35">
      <c r="B871" s="2">
        <v>44153</v>
      </c>
      <c r="C871" s="4">
        <v>1529.67</v>
      </c>
      <c r="D871">
        <f t="shared" si="30"/>
        <v>-0.76580219336051425</v>
      </c>
      <c r="E871">
        <v>2.0678196813195715E-2</v>
      </c>
      <c r="F871">
        <v>868</v>
      </c>
      <c r="G871">
        <f t="shared" ca="1" si="31"/>
        <v>3.2584876131120924E-3</v>
      </c>
    </row>
    <row r="872" spans="2:7" x14ac:dyDescent="0.35">
      <c r="B872" s="2">
        <v>44622</v>
      </c>
      <c r="C872" s="4">
        <v>6531.53</v>
      </c>
      <c r="D872">
        <f t="shared" si="30"/>
        <v>22.793413718990202</v>
      </c>
      <c r="E872">
        <v>2.0669577419889062E-2</v>
      </c>
      <c r="F872">
        <v>869</v>
      </c>
      <c r="G872">
        <f t="shared" ca="1" si="31"/>
        <v>1.5395046724485011E-2</v>
      </c>
    </row>
    <row r="873" spans="2:7" x14ac:dyDescent="0.35">
      <c r="B873" s="2">
        <v>41900</v>
      </c>
      <c r="C873" s="4">
        <v>274.51</v>
      </c>
      <c r="D873">
        <f t="shared" si="30"/>
        <v>-0.71756487025948101</v>
      </c>
      <c r="E873">
        <v>2.063503866745986E-2</v>
      </c>
      <c r="F873">
        <v>870</v>
      </c>
      <c r="G873">
        <f t="shared" ca="1" si="31"/>
        <v>-4.0112023420759424E-3</v>
      </c>
    </row>
    <row r="874" spans="2:7" x14ac:dyDescent="0.35">
      <c r="B874" s="2">
        <v>42405</v>
      </c>
      <c r="C874" s="4">
        <v>971.94</v>
      </c>
      <c r="D874">
        <f t="shared" si="30"/>
        <v>13.762150668286756</v>
      </c>
      <c r="E874">
        <v>2.0623753019006763E-2</v>
      </c>
      <c r="F874">
        <v>871</v>
      </c>
      <c r="G874">
        <f t="shared" ca="1" si="31"/>
        <v>-3.7715699369719954E-2</v>
      </c>
    </row>
    <row r="875" spans="2:7" x14ac:dyDescent="0.35">
      <c r="B875" s="2">
        <v>38776</v>
      </c>
      <c r="C875" s="4">
        <v>65.84</v>
      </c>
      <c r="D875">
        <f t="shared" si="30"/>
        <v>-0.1649968294229549</v>
      </c>
      <c r="E875">
        <v>2.0616958611068048E-2</v>
      </c>
      <c r="F875">
        <v>872</v>
      </c>
      <c r="G875">
        <f t="shared" ca="1" si="31"/>
        <v>-5.1768792153912606E-2</v>
      </c>
    </row>
    <row r="876" spans="2:7" x14ac:dyDescent="0.35">
      <c r="B876" s="2">
        <v>39615</v>
      </c>
      <c r="C876" s="4">
        <v>78.849999999999994</v>
      </c>
      <c r="D876">
        <f t="shared" si="30"/>
        <v>-0.18652635922830918</v>
      </c>
      <c r="E876">
        <v>2.0579860212270207E-2</v>
      </c>
      <c r="F876">
        <v>873</v>
      </c>
      <c r="G876">
        <f t="shared" ca="1" si="31"/>
        <v>3.2678329134941508E-2</v>
      </c>
    </row>
    <row r="877" spans="2:7" x14ac:dyDescent="0.35">
      <c r="B877" s="2">
        <v>41134</v>
      </c>
      <c r="C877" s="4">
        <v>96.93</v>
      </c>
      <c r="D877">
        <f t="shared" si="30"/>
        <v>-0.98384965668232327</v>
      </c>
      <c r="E877">
        <v>2.0530638029058856E-2</v>
      </c>
      <c r="F877">
        <v>874</v>
      </c>
      <c r="G877">
        <f t="shared" ca="1" si="31"/>
        <v>-7.7200393838861396E-3</v>
      </c>
    </row>
    <row r="878" spans="2:7" x14ac:dyDescent="0.35">
      <c r="B878" s="2">
        <v>44491</v>
      </c>
      <c r="C878" s="4">
        <v>6001.73</v>
      </c>
      <c r="D878">
        <f t="shared" si="30"/>
        <v>98.630312084993349</v>
      </c>
      <c r="E878">
        <v>2.0502792821131877E-2</v>
      </c>
      <c r="F878">
        <v>875</v>
      </c>
      <c r="G878">
        <f t="shared" ca="1" si="31"/>
        <v>-2.0359604138648422E-2</v>
      </c>
    </row>
    <row r="879" spans="2:7" x14ac:dyDescent="0.35">
      <c r="B879" s="2">
        <v>38468</v>
      </c>
      <c r="C879" s="4">
        <v>60.24</v>
      </c>
      <c r="D879">
        <f t="shared" si="30"/>
        <v>-0.93665814958518656</v>
      </c>
      <c r="E879">
        <v>2.0498051838048426E-2</v>
      </c>
      <c r="F879">
        <v>876</v>
      </c>
      <c r="G879">
        <f t="shared" ca="1" si="31"/>
        <v>-4.4998387083987103E-2</v>
      </c>
    </row>
    <row r="880" spans="2:7" x14ac:dyDescent="0.35">
      <c r="B880" s="2">
        <v>43403</v>
      </c>
      <c r="C880" s="4">
        <v>951.03</v>
      </c>
      <c r="D880">
        <f t="shared" si="30"/>
        <v>22.811467200801204</v>
      </c>
      <c r="E880">
        <v>2.0451302080539024E-2</v>
      </c>
      <c r="F880">
        <v>877</v>
      </c>
      <c r="G880">
        <f t="shared" ca="1" si="31"/>
        <v>7.4960766544891047E-2</v>
      </c>
    </row>
    <row r="881" spans="2:7" x14ac:dyDescent="0.35">
      <c r="B881" s="2">
        <v>38217</v>
      </c>
      <c r="C881" s="4">
        <v>39.94</v>
      </c>
      <c r="D881">
        <f t="shared" si="30"/>
        <v>0.37771645394963782</v>
      </c>
      <c r="E881">
        <v>2.0439448134900395E-2</v>
      </c>
      <c r="F881">
        <v>878</v>
      </c>
      <c r="G881">
        <f t="shared" ca="1" si="31"/>
        <v>1.7094612964387869E-4</v>
      </c>
    </row>
    <row r="882" spans="2:7" x14ac:dyDescent="0.35">
      <c r="B882" s="2">
        <v>38106</v>
      </c>
      <c r="C882" s="4">
        <v>28.99</v>
      </c>
      <c r="D882">
        <f t="shared" si="30"/>
        <v>-0.50856077301237501</v>
      </c>
      <c r="E882">
        <v>2.0415346708905213E-2</v>
      </c>
      <c r="F882">
        <v>879</v>
      </c>
      <c r="G882">
        <f t="shared" ca="1" si="31"/>
        <v>-2.0618730468429606E-2</v>
      </c>
    </row>
    <row r="883" spans="2:7" x14ac:dyDescent="0.35">
      <c r="B883" s="2">
        <v>40029</v>
      </c>
      <c r="C883" s="4">
        <v>58.99</v>
      </c>
      <c r="D883">
        <f t="shared" si="30"/>
        <v>-0.94859124857294741</v>
      </c>
      <c r="E883">
        <v>2.0411693478636916E-2</v>
      </c>
      <c r="F883">
        <v>880</v>
      </c>
      <c r="G883">
        <f t="shared" ca="1" si="31"/>
        <v>3.5518342095301088E-2</v>
      </c>
    </row>
    <row r="884" spans="2:7" x14ac:dyDescent="0.35">
      <c r="B884" s="2">
        <v>43215</v>
      </c>
      <c r="C884" s="4">
        <v>1147.47</v>
      </c>
      <c r="D884">
        <f t="shared" si="30"/>
        <v>1.2429922983697566</v>
      </c>
      <c r="E884">
        <v>2.0354265592487986E-2</v>
      </c>
      <c r="F884">
        <v>881</v>
      </c>
      <c r="G884">
        <f t="shared" ca="1" si="31"/>
        <v>1.495527719224714E-2</v>
      </c>
    </row>
    <row r="885" spans="2:7" x14ac:dyDescent="0.35">
      <c r="B885" s="2">
        <v>42135</v>
      </c>
      <c r="C885" s="4">
        <v>511.58</v>
      </c>
      <c r="D885">
        <f t="shared" si="30"/>
        <v>-0.53087144311272916</v>
      </c>
      <c r="E885">
        <v>2.0323500668142591E-2</v>
      </c>
      <c r="F885">
        <v>882</v>
      </c>
      <c r="G885">
        <f t="shared" ca="1" si="31"/>
        <v>6.2422280942555218E-2</v>
      </c>
    </row>
    <row r="886" spans="2:7" x14ac:dyDescent="0.35">
      <c r="B886" s="2">
        <v>43236</v>
      </c>
      <c r="C886" s="4">
        <v>1090.49</v>
      </c>
      <c r="D886">
        <f t="shared" si="30"/>
        <v>34.578792822185974</v>
      </c>
      <c r="E886">
        <v>2.031288010628951E-2</v>
      </c>
      <c r="F886">
        <v>883</v>
      </c>
      <c r="G886">
        <f t="shared" ca="1" si="31"/>
        <v>-1.1390538163219626E-3</v>
      </c>
    </row>
    <row r="887" spans="2:7" x14ac:dyDescent="0.35">
      <c r="B887" s="2">
        <v>38147</v>
      </c>
      <c r="C887" s="4">
        <v>30.65</v>
      </c>
      <c r="D887">
        <f t="shared" si="30"/>
        <v>-0.97732115902566075</v>
      </c>
      <c r="E887">
        <v>2.0306258322237092E-2</v>
      </c>
      <c r="F887">
        <v>884</v>
      </c>
      <c r="G887">
        <f t="shared" ca="1" si="31"/>
        <v>-1.2850092605219468E-3</v>
      </c>
    </row>
    <row r="888" spans="2:7" x14ac:dyDescent="0.35">
      <c r="B888" s="2">
        <v>43343</v>
      </c>
      <c r="C888" s="4">
        <v>1351.48</v>
      </c>
      <c r="D888">
        <f t="shared" si="30"/>
        <v>24.346586646661667</v>
      </c>
      <c r="E888">
        <v>2.0285216025849317E-2</v>
      </c>
      <c r="F888">
        <v>885</v>
      </c>
      <c r="G888">
        <f t="shared" ca="1" si="31"/>
        <v>5.6828020917976334E-2</v>
      </c>
    </row>
    <row r="889" spans="2:7" x14ac:dyDescent="0.35">
      <c r="B889" s="2">
        <v>38299</v>
      </c>
      <c r="C889" s="4">
        <v>53.32</v>
      </c>
      <c r="D889">
        <f t="shared" si="30"/>
        <v>0.10370523701097079</v>
      </c>
      <c r="E889">
        <v>2.0283199387677087E-2</v>
      </c>
      <c r="F889">
        <v>886</v>
      </c>
      <c r="G889">
        <f t="shared" ca="1" si="31"/>
        <v>5.4420452931801177E-3</v>
      </c>
    </row>
    <row r="890" spans="2:7" x14ac:dyDescent="0.35">
      <c r="B890" s="2">
        <v>38229</v>
      </c>
      <c r="C890" s="4">
        <v>48.31</v>
      </c>
      <c r="D890">
        <f t="shared" si="30"/>
        <v>0.88196338137904173</v>
      </c>
      <c r="E890">
        <v>2.0274551214361169E-2</v>
      </c>
      <c r="F890">
        <v>887</v>
      </c>
      <c r="G890">
        <f t="shared" ca="1" si="31"/>
        <v>3.0123200115801951E-2</v>
      </c>
    </row>
    <row r="891" spans="2:7" x14ac:dyDescent="0.35">
      <c r="B891" s="2">
        <v>38076</v>
      </c>
      <c r="C891" s="4">
        <v>25.67</v>
      </c>
      <c r="D891">
        <f t="shared" si="30"/>
        <v>-0.99063097653911847</v>
      </c>
      <c r="E891">
        <v>2.0270270270270396E-2</v>
      </c>
      <c r="F891">
        <v>888</v>
      </c>
      <c r="G891">
        <f t="shared" ca="1" si="31"/>
        <v>6.0692339729046793E-2</v>
      </c>
    </row>
    <row r="892" spans="2:7" x14ac:dyDescent="0.35">
      <c r="B892" s="2">
        <v>44271</v>
      </c>
      <c r="C892" s="4">
        <v>2739.88</v>
      </c>
      <c r="D892">
        <f t="shared" si="30"/>
        <v>28.530933390816987</v>
      </c>
      <c r="E892">
        <v>2.0249487991063075E-2</v>
      </c>
      <c r="F892">
        <v>889</v>
      </c>
      <c r="G892">
        <f t="shared" ca="1" si="31"/>
        <v>-1.8924821309568234E-2</v>
      </c>
    </row>
    <row r="893" spans="2:7" x14ac:dyDescent="0.35">
      <c r="B893" s="2">
        <v>41120</v>
      </c>
      <c r="C893" s="4">
        <v>92.78</v>
      </c>
      <c r="D893">
        <f t="shared" si="30"/>
        <v>-0.87199933778489047</v>
      </c>
      <c r="E893">
        <v>2.0233120738948784E-2</v>
      </c>
      <c r="F893">
        <v>890</v>
      </c>
      <c r="G893">
        <f t="shared" ca="1" si="31"/>
        <v>-5.5680383038518792E-2</v>
      </c>
    </row>
    <row r="894" spans="2:7" x14ac:dyDescent="0.35">
      <c r="B894" s="2">
        <v>42835</v>
      </c>
      <c r="C894" s="4">
        <v>724.84</v>
      </c>
      <c r="D894">
        <f t="shared" si="30"/>
        <v>5.8426319267440761</v>
      </c>
      <c r="E894">
        <v>2.0226047545990777E-2</v>
      </c>
      <c r="F894">
        <v>891</v>
      </c>
      <c r="G894">
        <f t="shared" ca="1" si="31"/>
        <v>-3.2231626459113892E-2</v>
      </c>
    </row>
    <row r="895" spans="2:7" x14ac:dyDescent="0.35">
      <c r="B895" s="2">
        <v>40207</v>
      </c>
      <c r="C895" s="4">
        <v>105.93</v>
      </c>
      <c r="D895">
        <f t="shared" si="30"/>
        <v>-0.88688130706391155</v>
      </c>
      <c r="E895">
        <v>2.0225368390638598E-2</v>
      </c>
      <c r="F895">
        <v>892</v>
      </c>
      <c r="G895">
        <f t="shared" ca="1" si="31"/>
        <v>-3.6393346689140571E-2</v>
      </c>
    </row>
    <row r="896" spans="2:7" x14ac:dyDescent="0.35">
      <c r="B896" s="2">
        <v>42487</v>
      </c>
      <c r="C896" s="4">
        <v>936.45</v>
      </c>
      <c r="D896">
        <f t="shared" si="30"/>
        <v>14.336554208974778</v>
      </c>
      <c r="E896">
        <v>2.0220287834054274E-2</v>
      </c>
      <c r="F896">
        <v>893</v>
      </c>
      <c r="G896">
        <f t="shared" ca="1" si="31"/>
        <v>2.2586734318961973E-3</v>
      </c>
    </row>
    <row r="897" spans="2:7" x14ac:dyDescent="0.35">
      <c r="B897" s="2">
        <v>38506</v>
      </c>
      <c r="C897" s="4">
        <v>61.06</v>
      </c>
      <c r="D897">
        <f t="shared" si="30"/>
        <v>-0.93018442927543188</v>
      </c>
      <c r="E897">
        <v>2.0217209690893911E-2</v>
      </c>
      <c r="F897">
        <v>894</v>
      </c>
      <c r="G897">
        <f t="shared" ca="1" si="31"/>
        <v>2.3497219903984307E-2</v>
      </c>
    </row>
    <row r="898" spans="2:7" x14ac:dyDescent="0.35">
      <c r="B898" s="2">
        <v>42417</v>
      </c>
      <c r="C898" s="4">
        <v>874.59</v>
      </c>
      <c r="D898">
        <f t="shared" si="30"/>
        <v>3.3406124373418038</v>
      </c>
      <c r="E898">
        <v>2.020366978898136E-2</v>
      </c>
      <c r="F898">
        <v>895</v>
      </c>
      <c r="G898">
        <f t="shared" ca="1" si="31"/>
        <v>-1.4056894127719538E-2</v>
      </c>
    </row>
    <row r="899" spans="2:7" x14ac:dyDescent="0.35">
      <c r="B899" s="2">
        <v>41687</v>
      </c>
      <c r="C899" s="4">
        <v>201.49</v>
      </c>
      <c r="D899">
        <f t="shared" si="30"/>
        <v>0.85261125413755057</v>
      </c>
      <c r="E899">
        <v>2.0202531645569621E-2</v>
      </c>
      <c r="F899">
        <v>896</v>
      </c>
      <c r="G899">
        <f t="shared" ca="1" si="31"/>
        <v>-2.0241646290934754E-2</v>
      </c>
    </row>
    <row r="900" spans="2:7" x14ac:dyDescent="0.35">
      <c r="B900" s="2">
        <v>39296</v>
      </c>
      <c r="C900" s="4">
        <v>108.76</v>
      </c>
      <c r="D900">
        <f t="shared" ref="D900:D963" si="32">C900/C901-1</f>
        <v>0.21356839991073429</v>
      </c>
      <c r="E900">
        <v>2.0166963699465468E-2</v>
      </c>
      <c r="F900">
        <v>897</v>
      </c>
      <c r="G900">
        <f t="shared" ca="1" si="31"/>
        <v>5.4835317997658306E-3</v>
      </c>
    </row>
    <row r="901" spans="2:7" x14ac:dyDescent="0.35">
      <c r="B901" s="2">
        <v>41068</v>
      </c>
      <c r="C901" s="4">
        <v>89.62</v>
      </c>
      <c r="D901">
        <f t="shared" si="32"/>
        <v>-0.8538391284493444</v>
      </c>
      <c r="E901">
        <v>2.014797951052949E-2</v>
      </c>
      <c r="F901">
        <v>898</v>
      </c>
      <c r="G901">
        <f t="shared" ref="G901:G964" ca="1" si="33">_xlfn.NORM.INV(RAND(),K$6,K$7)</f>
        <v>-2.8867654846945319E-2</v>
      </c>
    </row>
    <row r="902" spans="2:7" x14ac:dyDescent="0.35">
      <c r="B902" s="2">
        <v>43685</v>
      </c>
      <c r="C902" s="4">
        <v>613.16</v>
      </c>
      <c r="D902">
        <f t="shared" si="32"/>
        <v>1.5051478999836574</v>
      </c>
      <c r="E902">
        <v>2.0114129801853231E-2</v>
      </c>
      <c r="F902">
        <v>899</v>
      </c>
      <c r="G902">
        <f t="shared" ca="1" si="33"/>
        <v>-9.737943130634823E-3</v>
      </c>
    </row>
    <row r="903" spans="2:7" x14ac:dyDescent="0.35">
      <c r="B903" s="2">
        <v>41746</v>
      </c>
      <c r="C903" s="4">
        <v>244.76</v>
      </c>
      <c r="D903">
        <f t="shared" si="32"/>
        <v>-0.7346660017778549</v>
      </c>
      <c r="E903">
        <v>2.0088355422188897E-2</v>
      </c>
      <c r="F903">
        <v>900</v>
      </c>
      <c r="G903">
        <f t="shared" ca="1" si="33"/>
        <v>-3.7701638466057105E-2</v>
      </c>
    </row>
    <row r="904" spans="2:7" x14ac:dyDescent="0.35">
      <c r="B904" s="2">
        <v>43557</v>
      </c>
      <c r="C904" s="4">
        <v>922.46</v>
      </c>
      <c r="D904">
        <f t="shared" si="32"/>
        <v>0.105391187643048</v>
      </c>
      <c r="E904">
        <v>2.0081831250691184E-2</v>
      </c>
      <c r="F904">
        <v>901</v>
      </c>
      <c r="G904">
        <f t="shared" ca="1" si="33"/>
        <v>-6.8023991674643416E-2</v>
      </c>
    </row>
    <row r="905" spans="2:7" x14ac:dyDescent="0.35">
      <c r="B905" s="2">
        <v>42523</v>
      </c>
      <c r="C905" s="4">
        <v>834.51</v>
      </c>
      <c r="D905">
        <f t="shared" si="32"/>
        <v>6.9742952699474436</v>
      </c>
      <c r="E905">
        <v>1.998386623643289E-2</v>
      </c>
      <c r="F905">
        <v>902</v>
      </c>
      <c r="G905">
        <f t="shared" ca="1" si="33"/>
        <v>4.1299481070897155E-2</v>
      </c>
    </row>
    <row r="906" spans="2:7" x14ac:dyDescent="0.35">
      <c r="B906" s="2">
        <v>40511</v>
      </c>
      <c r="C906" s="4">
        <v>104.65</v>
      </c>
      <c r="D906">
        <f t="shared" si="32"/>
        <v>-0.87070350144555086</v>
      </c>
      <c r="E906">
        <v>1.998050682261221E-2</v>
      </c>
      <c r="F906">
        <v>903</v>
      </c>
      <c r="G906">
        <f t="shared" ca="1" si="33"/>
        <v>2.9505007170255455E-2</v>
      </c>
    </row>
    <row r="907" spans="2:7" x14ac:dyDescent="0.35">
      <c r="B907" s="2">
        <v>42954</v>
      </c>
      <c r="C907" s="4">
        <v>809.38</v>
      </c>
      <c r="D907">
        <f t="shared" si="32"/>
        <v>13.667995650598042</v>
      </c>
      <c r="E907">
        <v>1.9974040048895469E-2</v>
      </c>
      <c r="F907">
        <v>904</v>
      </c>
      <c r="G907">
        <f t="shared" ca="1" si="33"/>
        <v>-1.4698107181533859E-2</v>
      </c>
    </row>
    <row r="908" spans="2:7" x14ac:dyDescent="0.35">
      <c r="B908" s="2">
        <v>40024</v>
      </c>
      <c r="C908" s="4">
        <v>55.18</v>
      </c>
      <c r="D908">
        <f t="shared" si="32"/>
        <v>-0.20990836197021767</v>
      </c>
      <c r="E908">
        <v>1.9963031423290145E-2</v>
      </c>
      <c r="F908">
        <v>905</v>
      </c>
      <c r="G908">
        <f t="shared" ca="1" si="33"/>
        <v>1.8028961582262658E-2</v>
      </c>
    </row>
    <row r="909" spans="2:7" x14ac:dyDescent="0.35">
      <c r="B909" s="2">
        <v>38713</v>
      </c>
      <c r="C909" s="4">
        <v>69.84</v>
      </c>
      <c r="D909">
        <f t="shared" si="32"/>
        <v>-0.95487964027754446</v>
      </c>
      <c r="E909">
        <v>1.985981308411211E-2</v>
      </c>
      <c r="F909">
        <v>906</v>
      </c>
      <c r="G909">
        <f t="shared" ca="1" si="33"/>
        <v>-4.7266385344468455E-2</v>
      </c>
    </row>
    <row r="910" spans="2:7" x14ac:dyDescent="0.35">
      <c r="B910" s="2">
        <v>44140</v>
      </c>
      <c r="C910" s="4">
        <v>1547.86</v>
      </c>
      <c r="D910">
        <f t="shared" si="32"/>
        <v>0.43234164623143467</v>
      </c>
      <c r="E910">
        <v>1.9831857474172487E-2</v>
      </c>
      <c r="F910">
        <v>907</v>
      </c>
      <c r="G910">
        <f t="shared" ca="1" si="33"/>
        <v>4.3098212237205231E-2</v>
      </c>
    </row>
    <row r="911" spans="2:7" x14ac:dyDescent="0.35">
      <c r="B911" s="2">
        <v>44068</v>
      </c>
      <c r="C911" s="4">
        <v>1080.6500000000001</v>
      </c>
      <c r="D911">
        <f t="shared" si="32"/>
        <v>9.2044381491973564</v>
      </c>
      <c r="E911">
        <v>1.9827488581027453E-2</v>
      </c>
      <c r="F911">
        <v>908</v>
      </c>
      <c r="G911">
        <f t="shared" ca="1" si="33"/>
        <v>9.1107694368487493E-3</v>
      </c>
    </row>
    <row r="912" spans="2:7" x14ac:dyDescent="0.35">
      <c r="B912" s="2">
        <v>40634</v>
      </c>
      <c r="C912" s="4">
        <v>105.9</v>
      </c>
      <c r="D912">
        <f t="shared" si="32"/>
        <v>-0.98517392290439909</v>
      </c>
      <c r="E912">
        <v>1.9740009629273025E-2</v>
      </c>
      <c r="F912">
        <v>909</v>
      </c>
      <c r="G912">
        <f t="shared" ca="1" si="33"/>
        <v>1.4161197063787513E-3</v>
      </c>
    </row>
    <row r="913" spans="2:7" x14ac:dyDescent="0.35">
      <c r="B913" s="2">
        <v>44586</v>
      </c>
      <c r="C913" s="4">
        <v>7142.82</v>
      </c>
      <c r="D913">
        <f t="shared" si="32"/>
        <v>113.8178749397203</v>
      </c>
      <c r="E913">
        <v>1.9671606933313379E-2</v>
      </c>
      <c r="F913">
        <v>910</v>
      </c>
      <c r="G913">
        <f t="shared" ca="1" si="33"/>
        <v>-4.4127587803432849E-3</v>
      </c>
    </row>
    <row r="914" spans="2:7" x14ac:dyDescent="0.35">
      <c r="B914" s="2">
        <v>39548</v>
      </c>
      <c r="C914" s="4">
        <v>62.21</v>
      </c>
      <c r="D914">
        <f t="shared" si="32"/>
        <v>-6.9965615189116481E-2</v>
      </c>
      <c r="E914">
        <v>1.9668906736600711E-2</v>
      </c>
      <c r="F914">
        <v>911</v>
      </c>
      <c r="G914">
        <f t="shared" ca="1" si="33"/>
        <v>1.2340838041633415E-2</v>
      </c>
    </row>
    <row r="915" spans="2:7" x14ac:dyDescent="0.35">
      <c r="B915" s="2">
        <v>38805</v>
      </c>
      <c r="C915" s="4">
        <v>66.89</v>
      </c>
      <c r="D915">
        <f t="shared" si="32"/>
        <v>0.25191839790379933</v>
      </c>
      <c r="E915">
        <v>1.9664634146341564E-2</v>
      </c>
      <c r="F915">
        <v>912</v>
      </c>
      <c r="G915">
        <f t="shared" ca="1" si="33"/>
        <v>2.6732232325874968E-2</v>
      </c>
    </row>
    <row r="916" spans="2:7" x14ac:dyDescent="0.35">
      <c r="B916" s="2">
        <v>39995</v>
      </c>
      <c r="C916" s="4">
        <v>53.43</v>
      </c>
      <c r="D916">
        <f t="shared" si="32"/>
        <v>-0.26958304853041704</v>
      </c>
      <c r="E916">
        <v>1.9656488549618434E-2</v>
      </c>
      <c r="F916">
        <v>913</v>
      </c>
      <c r="G916">
        <f t="shared" ca="1" si="33"/>
        <v>5.0129675388483584E-2</v>
      </c>
    </row>
    <row r="917" spans="2:7" x14ac:dyDescent="0.35">
      <c r="B917" s="2">
        <v>39490</v>
      </c>
      <c r="C917" s="4">
        <v>73.150000000000006</v>
      </c>
      <c r="D917">
        <f t="shared" si="32"/>
        <v>-0.89480269213069485</v>
      </c>
      <c r="E917">
        <v>1.9654307220518641E-2</v>
      </c>
      <c r="F917">
        <v>914</v>
      </c>
      <c r="G917">
        <f t="shared" ca="1" si="33"/>
        <v>-1.6568305762029018E-2</v>
      </c>
    </row>
    <row r="918" spans="2:7" x14ac:dyDescent="0.35">
      <c r="B918" s="2">
        <v>43761</v>
      </c>
      <c r="C918" s="4">
        <v>695.36</v>
      </c>
      <c r="D918">
        <f t="shared" si="32"/>
        <v>-0.92265742743850554</v>
      </c>
      <c r="E918">
        <v>1.9649246290105005E-2</v>
      </c>
      <c r="F918">
        <v>915</v>
      </c>
      <c r="G918">
        <f t="shared" ca="1" si="33"/>
        <v>9.815418201829202E-3</v>
      </c>
    </row>
    <row r="919" spans="2:7" x14ac:dyDescent="0.35">
      <c r="B919" s="2">
        <v>44826</v>
      </c>
      <c r="C919" s="4">
        <v>8990.65</v>
      </c>
      <c r="D919">
        <f t="shared" si="32"/>
        <v>9.8872002906272716</v>
      </c>
      <c r="E919">
        <v>1.9637085341650096E-2</v>
      </c>
      <c r="F919">
        <v>916</v>
      </c>
      <c r="G919">
        <f t="shared" ca="1" si="33"/>
        <v>-1.7253965069351031E-2</v>
      </c>
    </row>
    <row r="920" spans="2:7" x14ac:dyDescent="0.35">
      <c r="B920" s="2">
        <v>42324</v>
      </c>
      <c r="C920" s="4">
        <v>825.8</v>
      </c>
      <c r="D920">
        <f t="shared" si="32"/>
        <v>8.6607393542349076</v>
      </c>
      <c r="E920">
        <v>1.9569109204271795E-2</v>
      </c>
      <c r="F920">
        <v>917</v>
      </c>
      <c r="G920">
        <f t="shared" ca="1" si="33"/>
        <v>2.2823191179485048E-2</v>
      </c>
    </row>
    <row r="921" spans="2:7" x14ac:dyDescent="0.35">
      <c r="B921" s="2">
        <v>40920</v>
      </c>
      <c r="C921" s="4">
        <v>85.48</v>
      </c>
      <c r="D921">
        <f t="shared" si="32"/>
        <v>-0.89033292706395539</v>
      </c>
      <c r="E921">
        <v>1.9561068702290019E-2</v>
      </c>
      <c r="F921">
        <v>918</v>
      </c>
      <c r="G921">
        <f t="shared" ca="1" si="33"/>
        <v>-2.6613980759880206E-2</v>
      </c>
    </row>
    <row r="922" spans="2:7" x14ac:dyDescent="0.35">
      <c r="B922" s="2">
        <v>43767</v>
      </c>
      <c r="C922" s="4">
        <v>779.45</v>
      </c>
      <c r="D922">
        <f t="shared" si="32"/>
        <v>-4.1561635413464471E-2</v>
      </c>
      <c r="E922">
        <v>1.9555264879006051E-2</v>
      </c>
      <c r="F922">
        <v>919</v>
      </c>
      <c r="G922">
        <f t="shared" ca="1" si="33"/>
        <v>2.7249432847675063E-2</v>
      </c>
    </row>
    <row r="923" spans="2:7" x14ac:dyDescent="0.35">
      <c r="B923" s="2">
        <v>42327</v>
      </c>
      <c r="C923" s="4">
        <v>813.25</v>
      </c>
      <c r="D923">
        <f t="shared" si="32"/>
        <v>6.9079152080902366</v>
      </c>
      <c r="E923">
        <v>1.9531886619780225E-2</v>
      </c>
      <c r="F923">
        <v>920</v>
      </c>
      <c r="G923">
        <f t="shared" ca="1" si="33"/>
        <v>-2.9894377386549594E-3</v>
      </c>
    </row>
    <row r="924" spans="2:7" x14ac:dyDescent="0.35">
      <c r="B924" s="2">
        <v>41290</v>
      </c>
      <c r="C924" s="4">
        <v>102.84</v>
      </c>
      <c r="D924">
        <f t="shared" si="32"/>
        <v>-0.89481758767757968</v>
      </c>
      <c r="E924">
        <v>1.953008823237834E-2</v>
      </c>
      <c r="F924">
        <v>921</v>
      </c>
      <c r="G924">
        <f t="shared" ca="1" si="33"/>
        <v>-1.174190446553827E-2</v>
      </c>
    </row>
    <row r="925" spans="2:7" x14ac:dyDescent="0.35">
      <c r="B925" s="2">
        <v>44049</v>
      </c>
      <c r="C925" s="4">
        <v>977.73</v>
      </c>
      <c r="D925">
        <f t="shared" si="32"/>
        <v>10.040311653116531</v>
      </c>
      <c r="E925">
        <v>1.9477608049632611E-2</v>
      </c>
      <c r="F925">
        <v>922</v>
      </c>
      <c r="G925">
        <f t="shared" ca="1" si="33"/>
        <v>-2.7379870714419118E-2</v>
      </c>
    </row>
    <row r="926" spans="2:7" x14ac:dyDescent="0.35">
      <c r="B926" s="2">
        <v>41348</v>
      </c>
      <c r="C926" s="4">
        <v>88.56</v>
      </c>
      <c r="D926">
        <f t="shared" si="32"/>
        <v>0.39662513799085319</v>
      </c>
      <c r="E926">
        <v>1.9454357085299856E-2</v>
      </c>
      <c r="F926">
        <v>923</v>
      </c>
      <c r="G926">
        <f t="shared" ca="1" si="33"/>
        <v>-1.5357646316234597E-2</v>
      </c>
    </row>
    <row r="927" spans="2:7" x14ac:dyDescent="0.35">
      <c r="B927" s="2">
        <v>38537</v>
      </c>
      <c r="C927" s="4">
        <v>63.41</v>
      </c>
      <c r="D927">
        <f t="shared" si="32"/>
        <v>-0.2719862227324914</v>
      </c>
      <c r="E927">
        <v>1.9453376205787576E-2</v>
      </c>
      <c r="F927">
        <v>924</v>
      </c>
      <c r="G927">
        <f t="shared" ca="1" si="33"/>
        <v>6.2245734084691758E-2</v>
      </c>
    </row>
    <row r="928" spans="2:7" x14ac:dyDescent="0.35">
      <c r="B928" s="2">
        <v>40977</v>
      </c>
      <c r="C928" s="4">
        <v>87.1</v>
      </c>
      <c r="D928">
        <f t="shared" si="32"/>
        <v>2.85910500664599</v>
      </c>
      <c r="E928">
        <v>1.9428838951310867E-2</v>
      </c>
      <c r="F928">
        <v>925</v>
      </c>
      <c r="G928">
        <f t="shared" ca="1" si="33"/>
        <v>-6.4857775204115609E-3</v>
      </c>
    </row>
    <row r="929" spans="2:7" x14ac:dyDescent="0.35">
      <c r="B929" s="2">
        <v>37714</v>
      </c>
      <c r="C929" s="4">
        <v>22.57</v>
      </c>
      <c r="D929">
        <f t="shared" si="32"/>
        <v>-0.15720687079910378</v>
      </c>
      <c r="E929">
        <v>1.9421860885275422E-2</v>
      </c>
      <c r="F929">
        <v>926</v>
      </c>
      <c r="G929">
        <f t="shared" ca="1" si="33"/>
        <v>-3.2379001373462515E-2</v>
      </c>
    </row>
    <row r="930" spans="2:7" x14ac:dyDescent="0.35">
      <c r="B930" s="2">
        <v>37575</v>
      </c>
      <c r="C930" s="4">
        <v>26.78</v>
      </c>
      <c r="D930">
        <f t="shared" si="32"/>
        <v>-0.73727067595408613</v>
      </c>
      <c r="E930">
        <v>1.9413779977160317E-2</v>
      </c>
      <c r="F930">
        <v>927</v>
      </c>
      <c r="G930">
        <f t="shared" ca="1" si="33"/>
        <v>-7.9388433146686949E-3</v>
      </c>
    </row>
    <row r="931" spans="2:7" x14ac:dyDescent="0.35">
      <c r="B931" s="2">
        <v>39134</v>
      </c>
      <c r="C931" s="4">
        <v>101.93</v>
      </c>
      <c r="D931">
        <f t="shared" si="32"/>
        <v>-9.7804921224995511E-2</v>
      </c>
      <c r="E931">
        <v>1.9401940194019529E-2</v>
      </c>
      <c r="F931">
        <v>928</v>
      </c>
      <c r="G931">
        <f t="shared" ca="1" si="33"/>
        <v>4.9870061505409333E-2</v>
      </c>
    </row>
    <row r="932" spans="2:7" x14ac:dyDescent="0.35">
      <c r="B932" s="2">
        <v>39308</v>
      </c>
      <c r="C932" s="4">
        <v>112.98</v>
      </c>
      <c r="D932">
        <f t="shared" si="32"/>
        <v>0.197202500794744</v>
      </c>
      <c r="E932">
        <v>1.9399079671569064E-2</v>
      </c>
      <c r="F932">
        <v>929</v>
      </c>
      <c r="G932">
        <f t="shared" ca="1" si="33"/>
        <v>-9.624210293893716E-3</v>
      </c>
    </row>
    <row r="933" spans="2:7" x14ac:dyDescent="0.35">
      <c r="B933" s="2">
        <v>41092</v>
      </c>
      <c r="C933" s="4">
        <v>94.37</v>
      </c>
      <c r="D933">
        <f t="shared" si="32"/>
        <v>-0.66805023039853673</v>
      </c>
      <c r="E933">
        <v>1.9334629509613288E-2</v>
      </c>
      <c r="F933">
        <v>930</v>
      </c>
      <c r="G933">
        <f t="shared" ca="1" si="33"/>
        <v>1.0971538571430675E-2</v>
      </c>
    </row>
    <row r="934" spans="2:7" x14ac:dyDescent="0.35">
      <c r="B934" s="2">
        <v>41953</v>
      </c>
      <c r="C934" s="4">
        <v>284.29000000000002</v>
      </c>
      <c r="D934">
        <f t="shared" si="32"/>
        <v>3.6990082644628099</v>
      </c>
      <c r="E934">
        <v>1.9252832353362948E-2</v>
      </c>
      <c r="F934">
        <v>931</v>
      </c>
      <c r="G934">
        <f t="shared" ca="1" si="33"/>
        <v>-3.264488656309605E-3</v>
      </c>
    </row>
    <row r="935" spans="2:7" x14ac:dyDescent="0.35">
      <c r="B935" s="2">
        <v>38429</v>
      </c>
      <c r="C935" s="4">
        <v>60.5</v>
      </c>
      <c r="D935">
        <f t="shared" si="32"/>
        <v>-0.93473922657893316</v>
      </c>
      <c r="E935">
        <v>1.9204851752021579E-2</v>
      </c>
      <c r="F935">
        <v>932</v>
      </c>
      <c r="G935">
        <f t="shared" ca="1" si="33"/>
        <v>2.2857078612151898E-2</v>
      </c>
    </row>
    <row r="936" spans="2:7" x14ac:dyDescent="0.35">
      <c r="B936" s="2">
        <v>43851</v>
      </c>
      <c r="C936" s="4">
        <v>927.05</v>
      </c>
      <c r="D936">
        <f t="shared" si="32"/>
        <v>10.539083893452824</v>
      </c>
      <c r="E936">
        <v>1.9161847804577636E-2</v>
      </c>
      <c r="F936">
        <v>933</v>
      </c>
      <c r="G936">
        <f t="shared" ca="1" si="33"/>
        <v>-3.5508216021749882E-2</v>
      </c>
    </row>
    <row r="937" spans="2:7" x14ac:dyDescent="0.35">
      <c r="B937" s="2">
        <v>41521</v>
      </c>
      <c r="C937" s="4">
        <v>80.34</v>
      </c>
      <c r="D937">
        <f t="shared" si="32"/>
        <v>-0.24591702646893188</v>
      </c>
      <c r="E937">
        <v>1.9155143980718048E-2</v>
      </c>
      <c r="F937">
        <v>934</v>
      </c>
      <c r="G937">
        <f t="shared" ca="1" si="33"/>
        <v>-4.9298196874771553E-3</v>
      </c>
    </row>
    <row r="938" spans="2:7" x14ac:dyDescent="0.35">
      <c r="B938" s="2">
        <v>39120</v>
      </c>
      <c r="C938" s="4">
        <v>106.54</v>
      </c>
      <c r="D938">
        <f t="shared" si="32"/>
        <v>-0.88589604909447262</v>
      </c>
      <c r="E938">
        <v>1.9131432944327509E-2</v>
      </c>
      <c r="F938">
        <v>935</v>
      </c>
      <c r="G938">
        <f t="shared" ca="1" si="33"/>
        <v>-2.0169702877282269E-2</v>
      </c>
    </row>
    <row r="939" spans="2:7" x14ac:dyDescent="0.35">
      <c r="B939" s="2">
        <v>43426</v>
      </c>
      <c r="C939" s="4">
        <v>933.71</v>
      </c>
      <c r="D939">
        <f t="shared" si="32"/>
        <v>3.1441125560339094</v>
      </c>
      <c r="E939">
        <v>1.9111547697009401E-2</v>
      </c>
      <c r="F939">
        <v>936</v>
      </c>
      <c r="G939">
        <f t="shared" ca="1" si="33"/>
        <v>-2.5518390541383846E-2</v>
      </c>
    </row>
    <row r="940" spans="2:7" x14ac:dyDescent="0.35">
      <c r="B940" s="2">
        <v>41691</v>
      </c>
      <c r="C940" s="4">
        <v>225.31</v>
      </c>
      <c r="D940">
        <f t="shared" si="32"/>
        <v>2.29545122129589</v>
      </c>
      <c r="E940">
        <v>1.9087249536387851E-2</v>
      </c>
      <c r="F940">
        <v>937</v>
      </c>
      <c r="G940">
        <f t="shared" ca="1" si="33"/>
        <v>-1.7011870179633737E-2</v>
      </c>
    </row>
    <row r="941" spans="2:7" x14ac:dyDescent="0.35">
      <c r="B941" s="2">
        <v>40081</v>
      </c>
      <c r="C941" s="4">
        <v>68.37</v>
      </c>
      <c r="D941">
        <f t="shared" si="32"/>
        <v>-0.37896266690889269</v>
      </c>
      <c r="E941">
        <v>1.907884930690118E-2</v>
      </c>
      <c r="F941">
        <v>938</v>
      </c>
      <c r="G941">
        <f t="shared" ca="1" si="33"/>
        <v>2.8296332731873205E-2</v>
      </c>
    </row>
    <row r="942" spans="2:7" x14ac:dyDescent="0.35">
      <c r="B942" s="2">
        <v>40361</v>
      </c>
      <c r="C942" s="4">
        <v>110.09</v>
      </c>
      <c r="D942">
        <f t="shared" si="32"/>
        <v>2.672114743162108</v>
      </c>
      <c r="E942">
        <v>1.9068777191521002E-2</v>
      </c>
      <c r="F942">
        <v>939</v>
      </c>
      <c r="G942">
        <f t="shared" ca="1" si="33"/>
        <v>1.6510585076118557E-2</v>
      </c>
    </row>
    <row r="943" spans="2:7" x14ac:dyDescent="0.35">
      <c r="B943" s="2">
        <v>37614</v>
      </c>
      <c r="C943" s="4">
        <v>29.98</v>
      </c>
      <c r="D943">
        <f t="shared" si="32"/>
        <v>-0.69408163265306122</v>
      </c>
      <c r="E943">
        <v>1.903467029231809E-2</v>
      </c>
      <c r="F943">
        <v>940</v>
      </c>
      <c r="G943">
        <f t="shared" ca="1" si="33"/>
        <v>-4.5052043227302871E-2</v>
      </c>
    </row>
    <row r="944" spans="2:7" x14ac:dyDescent="0.35">
      <c r="B944" s="2">
        <v>40326</v>
      </c>
      <c r="C944" s="4">
        <v>98</v>
      </c>
      <c r="D944">
        <f t="shared" si="32"/>
        <v>-0.98895507080588541</v>
      </c>
      <c r="E944">
        <v>1.902880316106903E-2</v>
      </c>
      <c r="F944">
        <v>941</v>
      </c>
      <c r="G944">
        <f t="shared" ca="1" si="33"/>
        <v>-2.8035521341621655E-2</v>
      </c>
    </row>
    <row r="945" spans="2:7" x14ac:dyDescent="0.35">
      <c r="B945" s="2">
        <v>44809</v>
      </c>
      <c r="C945" s="4">
        <v>8872.85</v>
      </c>
      <c r="D945">
        <f t="shared" si="32"/>
        <v>21.633666649660732</v>
      </c>
      <c r="E945">
        <v>1.9018633897039949E-2</v>
      </c>
      <c r="F945">
        <v>942</v>
      </c>
      <c r="G945">
        <f t="shared" ca="1" si="33"/>
        <v>-5.8336973589481068E-2</v>
      </c>
    </row>
    <row r="946" spans="2:7" x14ac:dyDescent="0.35">
      <c r="B946" s="2">
        <v>42048</v>
      </c>
      <c r="C946" s="4">
        <v>392.02</v>
      </c>
      <c r="D946">
        <f t="shared" si="32"/>
        <v>-0.54422108800037206</v>
      </c>
      <c r="E946">
        <v>1.9001325673884129E-2</v>
      </c>
      <c r="F946">
        <v>943</v>
      </c>
      <c r="G946">
        <f t="shared" ca="1" si="33"/>
        <v>1.6749385347930978E-3</v>
      </c>
    </row>
    <row r="947" spans="2:7" x14ac:dyDescent="0.35">
      <c r="B947" s="2">
        <v>42433</v>
      </c>
      <c r="C947" s="4">
        <v>860.11</v>
      </c>
      <c r="D947">
        <f t="shared" si="32"/>
        <v>24.394449365219963</v>
      </c>
      <c r="E947">
        <v>1.8991090891858464E-2</v>
      </c>
      <c r="F947">
        <v>944</v>
      </c>
      <c r="G947">
        <f t="shared" ca="1" si="33"/>
        <v>1.1094720311639676E-2</v>
      </c>
    </row>
    <row r="948" spans="2:7" x14ac:dyDescent="0.35">
      <c r="B948" s="2">
        <v>39923</v>
      </c>
      <c r="C948" s="4">
        <v>33.869999999999997</v>
      </c>
      <c r="D948">
        <f t="shared" si="32"/>
        <v>-0.95570754161817206</v>
      </c>
      <c r="E948">
        <v>1.8953068592057587E-2</v>
      </c>
      <c r="F948">
        <v>945</v>
      </c>
      <c r="G948">
        <f t="shared" ca="1" si="33"/>
        <v>-4.7034652534700769E-3</v>
      </c>
    </row>
    <row r="949" spans="2:7" x14ac:dyDescent="0.35">
      <c r="B949" s="2">
        <v>43971</v>
      </c>
      <c r="C949" s="4">
        <v>764.69</v>
      </c>
      <c r="D949">
        <f t="shared" si="32"/>
        <v>0.13972933496288786</v>
      </c>
      <c r="E949">
        <v>1.8948125841139696E-2</v>
      </c>
      <c r="F949">
        <v>946</v>
      </c>
      <c r="G949">
        <f t="shared" ca="1" si="33"/>
        <v>4.9882328943551928E-2</v>
      </c>
    </row>
    <row r="950" spans="2:7" x14ac:dyDescent="0.35">
      <c r="B950" s="2">
        <v>42767</v>
      </c>
      <c r="C950" s="4">
        <v>670.94</v>
      </c>
      <c r="D950">
        <f t="shared" si="32"/>
        <v>-0.23896053810641893</v>
      </c>
      <c r="E950">
        <v>1.8937840752046409E-2</v>
      </c>
      <c r="F950">
        <v>947</v>
      </c>
      <c r="G950">
        <f t="shared" ca="1" si="33"/>
        <v>4.8032202144515368E-3</v>
      </c>
    </row>
    <row r="951" spans="2:7" x14ac:dyDescent="0.35">
      <c r="B951" s="2">
        <v>43844</v>
      </c>
      <c r="C951" s="4">
        <v>881.61</v>
      </c>
      <c r="D951">
        <f t="shared" si="32"/>
        <v>8.7815377787640081</v>
      </c>
      <c r="E951">
        <v>1.8919606120844978E-2</v>
      </c>
      <c r="F951">
        <v>948</v>
      </c>
      <c r="G951">
        <f t="shared" ca="1" si="33"/>
        <v>3.128324457130386E-2</v>
      </c>
    </row>
    <row r="952" spans="2:7" x14ac:dyDescent="0.35">
      <c r="B952" s="2">
        <v>39440</v>
      </c>
      <c r="C952" s="4">
        <v>90.13</v>
      </c>
      <c r="D952">
        <f t="shared" si="32"/>
        <v>0.34642963848222297</v>
      </c>
      <c r="E952">
        <v>1.8878589192855566E-2</v>
      </c>
      <c r="F952">
        <v>949</v>
      </c>
      <c r="G952">
        <f t="shared" ca="1" si="33"/>
        <v>-1.239209690081351E-3</v>
      </c>
    </row>
    <row r="953" spans="2:7" x14ac:dyDescent="0.35">
      <c r="B953" s="2">
        <v>38810</v>
      </c>
      <c r="C953" s="4">
        <v>66.94</v>
      </c>
      <c r="D953">
        <f t="shared" si="32"/>
        <v>-0.19086183971956971</v>
      </c>
      <c r="E953">
        <v>1.8873668188736703E-2</v>
      </c>
      <c r="F953">
        <v>950</v>
      </c>
      <c r="G953">
        <f t="shared" ca="1" si="33"/>
        <v>2.3490790404735715E-2</v>
      </c>
    </row>
    <row r="954" spans="2:7" x14ac:dyDescent="0.35">
      <c r="B954" s="2">
        <v>41550</v>
      </c>
      <c r="C954" s="4">
        <v>82.73</v>
      </c>
      <c r="D954">
        <f t="shared" si="32"/>
        <v>-0.91262053887345662</v>
      </c>
      <c r="E954">
        <v>1.8842364532019706E-2</v>
      </c>
      <c r="F954">
        <v>951</v>
      </c>
      <c r="G954">
        <f t="shared" ca="1" si="33"/>
        <v>1.3203875743473988E-2</v>
      </c>
    </row>
    <row r="955" spans="2:7" x14ac:dyDescent="0.35">
      <c r="B955" s="2">
        <v>44046</v>
      </c>
      <c r="C955" s="4">
        <v>946.79</v>
      </c>
      <c r="D955">
        <f t="shared" si="32"/>
        <v>33.303985507246374</v>
      </c>
      <c r="E955">
        <v>1.8831581099549188E-2</v>
      </c>
      <c r="F955">
        <v>952</v>
      </c>
      <c r="G955">
        <f t="shared" ca="1" si="33"/>
        <v>-4.8918069053500027E-3</v>
      </c>
    </row>
    <row r="956" spans="2:7" x14ac:dyDescent="0.35">
      <c r="B956" s="2">
        <v>37880</v>
      </c>
      <c r="C956" s="4">
        <v>27.6</v>
      </c>
      <c r="D956">
        <f t="shared" si="32"/>
        <v>-0.55281918340894354</v>
      </c>
      <c r="E956">
        <v>1.8826135105205033E-2</v>
      </c>
      <c r="F956">
        <v>953</v>
      </c>
      <c r="G956">
        <f t="shared" ca="1" si="33"/>
        <v>-1.8453798991554606E-2</v>
      </c>
    </row>
    <row r="957" spans="2:7" x14ac:dyDescent="0.35">
      <c r="B957" s="2">
        <v>38418</v>
      </c>
      <c r="C957" s="4">
        <v>61.72</v>
      </c>
      <c r="D957">
        <f t="shared" si="32"/>
        <v>-0.73167550647769763</v>
      </c>
      <c r="E957">
        <v>1.881809177946514E-2</v>
      </c>
      <c r="F957">
        <v>954</v>
      </c>
      <c r="G957">
        <f t="shared" ca="1" si="33"/>
        <v>-9.1102143056567813E-3</v>
      </c>
    </row>
    <row r="958" spans="2:7" x14ac:dyDescent="0.35">
      <c r="B958" s="2">
        <v>41786</v>
      </c>
      <c r="C958" s="4">
        <v>230.02</v>
      </c>
      <c r="D958">
        <f t="shared" si="32"/>
        <v>4.8071194142893212</v>
      </c>
      <c r="E958">
        <v>1.8779342723004744E-2</v>
      </c>
      <c r="F958">
        <v>955</v>
      </c>
      <c r="G958">
        <f t="shared" ca="1" si="33"/>
        <v>-1.5772926662877582E-2</v>
      </c>
    </row>
    <row r="959" spans="2:7" x14ac:dyDescent="0.35">
      <c r="B959" s="2">
        <v>38197</v>
      </c>
      <c r="C959" s="4">
        <v>39.61</v>
      </c>
      <c r="D959">
        <f t="shared" si="32"/>
        <v>-0.99315261491972773</v>
      </c>
      <c r="E959">
        <v>1.8775720164609044E-2</v>
      </c>
      <c r="F959">
        <v>956</v>
      </c>
      <c r="G959">
        <f t="shared" ca="1" si="33"/>
        <v>2.7555402178388994E-2</v>
      </c>
    </row>
    <row r="960" spans="2:7" x14ac:dyDescent="0.35">
      <c r="B960" s="2">
        <v>44560</v>
      </c>
      <c r="C960" s="4">
        <v>5784.69</v>
      </c>
      <c r="D960">
        <f t="shared" si="32"/>
        <v>1.9335912935878445</v>
      </c>
      <c r="E960">
        <v>1.8757770975911248E-2</v>
      </c>
      <c r="F960">
        <v>957</v>
      </c>
      <c r="G960">
        <f t="shared" ca="1" si="33"/>
        <v>5.6572806783068887E-3</v>
      </c>
    </row>
    <row r="961" spans="2:7" x14ac:dyDescent="0.35">
      <c r="B961" s="2">
        <v>44202</v>
      </c>
      <c r="C961" s="4">
        <v>1971.88</v>
      </c>
      <c r="D961">
        <f t="shared" si="32"/>
        <v>6.4033414679932417</v>
      </c>
      <c r="E961">
        <v>1.8743542054143525E-2</v>
      </c>
      <c r="F961">
        <v>958</v>
      </c>
      <c r="G961">
        <f t="shared" ca="1" si="33"/>
        <v>1.5911604353525731E-3</v>
      </c>
    </row>
    <row r="962" spans="2:7" x14ac:dyDescent="0.35">
      <c r="B962" s="2">
        <v>41831</v>
      </c>
      <c r="C962" s="4">
        <v>266.35000000000002</v>
      </c>
      <c r="D962">
        <f t="shared" si="32"/>
        <v>2.8191855463148845</v>
      </c>
      <c r="E962">
        <v>1.8702669624416801E-2</v>
      </c>
      <c r="F962">
        <v>959</v>
      </c>
      <c r="G962">
        <f t="shared" ca="1" si="33"/>
        <v>-6.0845558092069124E-2</v>
      </c>
    </row>
    <row r="963" spans="2:7" x14ac:dyDescent="0.35">
      <c r="B963" s="2">
        <v>39568</v>
      </c>
      <c r="C963" s="4">
        <v>69.739999999999995</v>
      </c>
      <c r="D963">
        <f t="shared" si="32"/>
        <v>-0.974032840600216</v>
      </c>
      <c r="E963">
        <v>1.8697049371896091E-2</v>
      </c>
      <c r="F963">
        <v>960</v>
      </c>
      <c r="G963">
        <f t="shared" ca="1" si="33"/>
        <v>-1.7997006373708994E-2</v>
      </c>
    </row>
    <row r="964" spans="2:7" x14ac:dyDescent="0.35">
      <c r="B964" s="2">
        <v>44250</v>
      </c>
      <c r="C964" s="4">
        <v>2685.7</v>
      </c>
      <c r="D964">
        <f t="shared" ref="D964:D1027" si="34">C964/C965-1</f>
        <v>101.66437308868501</v>
      </c>
      <c r="E964">
        <v>1.8692014170731408E-2</v>
      </c>
      <c r="F964">
        <v>961</v>
      </c>
      <c r="G964">
        <f t="shared" ca="1" si="33"/>
        <v>2.5090107917841707E-3</v>
      </c>
    </row>
    <row r="965" spans="2:7" x14ac:dyDescent="0.35">
      <c r="B965" s="2">
        <v>38063</v>
      </c>
      <c r="C965" s="4">
        <v>26.16</v>
      </c>
      <c r="D965">
        <f t="shared" si="34"/>
        <v>-0.7003093137816474</v>
      </c>
      <c r="E965">
        <v>1.8691588785046731E-2</v>
      </c>
      <c r="F965">
        <v>962</v>
      </c>
      <c r="G965">
        <f t="shared" ref="G965:G1028" ca="1" si="35">_xlfn.NORM.INV(RAND(),K$6,K$7)</f>
        <v>-2.1093773984072788E-2</v>
      </c>
    </row>
    <row r="966" spans="2:7" x14ac:dyDescent="0.35">
      <c r="B966" s="2">
        <v>40834</v>
      </c>
      <c r="C966" s="4">
        <v>87.29</v>
      </c>
      <c r="D966">
        <f t="shared" si="34"/>
        <v>-0.98933712826839804</v>
      </c>
      <c r="E966">
        <v>1.8671957054498867E-2</v>
      </c>
      <c r="F966">
        <v>963</v>
      </c>
      <c r="G966">
        <f t="shared" ca="1" si="35"/>
        <v>4.5402867102539497E-2</v>
      </c>
    </row>
    <row r="967" spans="2:7" x14ac:dyDescent="0.35">
      <c r="B967" s="2">
        <v>44741</v>
      </c>
      <c r="C967" s="4">
        <v>8186.35</v>
      </c>
      <c r="D967">
        <f t="shared" si="34"/>
        <v>276.12762356127286</v>
      </c>
      <c r="E967">
        <v>1.8620826956337933E-2</v>
      </c>
      <c r="F967">
        <v>964</v>
      </c>
      <c r="G967">
        <f t="shared" ca="1" si="35"/>
        <v>-4.9246083819196717E-3</v>
      </c>
    </row>
    <row r="968" spans="2:7" x14ac:dyDescent="0.35">
      <c r="B968" s="2">
        <v>39885</v>
      </c>
      <c r="C968" s="4">
        <v>29.54</v>
      </c>
      <c r="D968">
        <f t="shared" si="34"/>
        <v>-0.99585220132409413</v>
      </c>
      <c r="E968">
        <v>1.8620689655172384E-2</v>
      </c>
      <c r="F968">
        <v>965</v>
      </c>
      <c r="G968">
        <f t="shared" ca="1" si="35"/>
        <v>7.688038082587733E-3</v>
      </c>
    </row>
    <row r="969" spans="2:7" x14ac:dyDescent="0.35">
      <c r="B969" s="2">
        <v>45056</v>
      </c>
      <c r="C969" s="4">
        <v>7121.85</v>
      </c>
      <c r="D969">
        <f t="shared" si="34"/>
        <v>89.782026768642453</v>
      </c>
      <c r="E969">
        <v>1.8578508141505745E-2</v>
      </c>
      <c r="F969">
        <v>966</v>
      </c>
      <c r="G969">
        <f t="shared" ca="1" si="35"/>
        <v>2.8664804285582584E-2</v>
      </c>
    </row>
    <row r="970" spans="2:7" x14ac:dyDescent="0.35">
      <c r="B970" s="2">
        <v>41453</v>
      </c>
      <c r="C970" s="4">
        <v>78.45</v>
      </c>
      <c r="D970">
        <f t="shared" si="34"/>
        <v>0.98557327258921812</v>
      </c>
      <c r="E970">
        <v>1.8566606076343861E-2</v>
      </c>
      <c r="F970">
        <v>967</v>
      </c>
      <c r="G970">
        <f t="shared" ca="1" si="35"/>
        <v>4.4170976942327464E-4</v>
      </c>
    </row>
    <row r="971" spans="2:7" x14ac:dyDescent="0.35">
      <c r="B971" s="2">
        <v>38189</v>
      </c>
      <c r="C971" s="4">
        <v>39.51</v>
      </c>
      <c r="D971">
        <f t="shared" si="34"/>
        <v>-0.45465838509316781</v>
      </c>
      <c r="E971">
        <v>1.8561484918793392E-2</v>
      </c>
      <c r="F971">
        <v>968</v>
      </c>
      <c r="G971">
        <f t="shared" ca="1" si="35"/>
        <v>3.1803247695488431E-2</v>
      </c>
    </row>
    <row r="972" spans="2:7" x14ac:dyDescent="0.35">
      <c r="B972" s="2">
        <v>38580</v>
      </c>
      <c r="C972" s="4">
        <v>72.45</v>
      </c>
      <c r="D972">
        <f t="shared" si="34"/>
        <v>-0.92065664972840366</v>
      </c>
      <c r="E972">
        <v>1.8557570645297394E-2</v>
      </c>
      <c r="F972">
        <v>969</v>
      </c>
      <c r="G972">
        <f t="shared" ca="1" si="35"/>
        <v>-2.4779107750939767E-3</v>
      </c>
    </row>
    <row r="973" spans="2:7" x14ac:dyDescent="0.35">
      <c r="B973" s="2">
        <v>42397</v>
      </c>
      <c r="C973" s="4">
        <v>913.12</v>
      </c>
      <c r="D973">
        <f t="shared" si="34"/>
        <v>-0.27201989922826708</v>
      </c>
      <c r="E973">
        <v>1.8516039798331274E-2</v>
      </c>
      <c r="F973">
        <v>970</v>
      </c>
      <c r="G973">
        <f t="shared" ca="1" si="35"/>
        <v>3.6980396890329663E-2</v>
      </c>
    </row>
    <row r="974" spans="2:7" x14ac:dyDescent="0.35">
      <c r="B974" s="2">
        <v>43276</v>
      </c>
      <c r="C974" s="4">
        <v>1254.32</v>
      </c>
      <c r="D974">
        <f t="shared" si="34"/>
        <v>11.237268292682927</v>
      </c>
      <c r="E974">
        <v>1.8505436327170166E-2</v>
      </c>
      <c r="F974">
        <v>971</v>
      </c>
      <c r="G974">
        <f t="shared" ca="1" si="35"/>
        <v>-4.9190806282496061E-3</v>
      </c>
    </row>
    <row r="975" spans="2:7" x14ac:dyDescent="0.35">
      <c r="B975" s="2">
        <v>39171</v>
      </c>
      <c r="C975" s="4">
        <v>102.5</v>
      </c>
      <c r="D975">
        <f t="shared" si="34"/>
        <v>-0.98250778616835188</v>
      </c>
      <c r="E975">
        <v>1.8481717011128662E-2</v>
      </c>
      <c r="F975">
        <v>972</v>
      </c>
      <c r="G975">
        <f t="shared" ca="1" si="35"/>
        <v>-3.0837626903119409E-2</v>
      </c>
    </row>
    <row r="976" spans="2:7" x14ac:dyDescent="0.35">
      <c r="B976" s="2">
        <v>44473</v>
      </c>
      <c r="C976" s="4">
        <v>5859.75</v>
      </c>
      <c r="D976">
        <f t="shared" si="34"/>
        <v>9.8085549857970271</v>
      </c>
      <c r="E976">
        <v>1.8467020074737217E-2</v>
      </c>
      <c r="F976">
        <v>973</v>
      </c>
      <c r="G976">
        <f t="shared" ca="1" si="35"/>
        <v>-5.1964167081216595E-2</v>
      </c>
    </row>
    <row r="977" spans="2:7" x14ac:dyDescent="0.35">
      <c r="B977" s="2">
        <v>42185</v>
      </c>
      <c r="C977" s="4">
        <v>542.14</v>
      </c>
      <c r="D977">
        <f t="shared" si="34"/>
        <v>4.1426674255359508</v>
      </c>
      <c r="E977">
        <v>1.8466682947906321E-2</v>
      </c>
      <c r="F977">
        <v>974</v>
      </c>
      <c r="G977">
        <f t="shared" ca="1" si="35"/>
        <v>2.1192291659828943E-2</v>
      </c>
    </row>
    <row r="978" spans="2:7" x14ac:dyDescent="0.35">
      <c r="B978" s="2">
        <v>40746</v>
      </c>
      <c r="C978" s="4">
        <v>105.42</v>
      </c>
      <c r="D978">
        <f t="shared" si="34"/>
        <v>-0.98357086641783487</v>
      </c>
      <c r="E978">
        <v>1.8452323447009977E-2</v>
      </c>
      <c r="F978">
        <v>975</v>
      </c>
      <c r="G978">
        <f t="shared" ca="1" si="35"/>
        <v>-8.1246335699313547E-3</v>
      </c>
    </row>
    <row r="979" spans="2:7" x14ac:dyDescent="0.35">
      <c r="B979" s="2">
        <v>44929</v>
      </c>
      <c r="C979" s="4">
        <v>6416.65</v>
      </c>
      <c r="D979">
        <f t="shared" si="34"/>
        <v>61.412703044450922</v>
      </c>
      <c r="E979">
        <v>1.8451209447019279E-2</v>
      </c>
      <c r="F979">
        <v>976</v>
      </c>
      <c r="G979">
        <f t="shared" ca="1" si="35"/>
        <v>-2.4588047287823905E-3</v>
      </c>
    </row>
    <row r="980" spans="2:7" x14ac:dyDescent="0.35">
      <c r="B980" s="2">
        <v>40676</v>
      </c>
      <c r="C980" s="4">
        <v>102.81</v>
      </c>
      <c r="D980">
        <f t="shared" si="34"/>
        <v>-0.79961798584988408</v>
      </c>
      <c r="E980">
        <v>1.8424962852897409E-2</v>
      </c>
      <c r="F980">
        <v>977</v>
      </c>
      <c r="G980">
        <f t="shared" ca="1" si="35"/>
        <v>2.5133072419632904E-2</v>
      </c>
    </row>
    <row r="981" spans="2:7" x14ac:dyDescent="0.35">
      <c r="B981" s="2">
        <v>42173</v>
      </c>
      <c r="C981" s="4">
        <v>513.07000000000005</v>
      </c>
      <c r="D981">
        <f t="shared" si="34"/>
        <v>-0.42143010182794116</v>
      </c>
      <c r="E981">
        <v>1.8400158793171917E-2</v>
      </c>
      <c r="F981">
        <v>978</v>
      </c>
      <c r="G981">
        <f t="shared" ca="1" si="35"/>
        <v>5.9362689715849633E-2</v>
      </c>
    </row>
    <row r="982" spans="2:7" x14ac:dyDescent="0.35">
      <c r="B982" s="2">
        <v>43061</v>
      </c>
      <c r="C982" s="4">
        <v>886.79</v>
      </c>
      <c r="D982">
        <f t="shared" si="34"/>
        <v>-0.89524720780102884</v>
      </c>
      <c r="E982">
        <v>1.8397510249549276E-2</v>
      </c>
      <c r="F982">
        <v>979</v>
      </c>
      <c r="G982">
        <f t="shared" ca="1" si="35"/>
        <v>4.4584129108351231E-2</v>
      </c>
    </row>
    <row r="983" spans="2:7" x14ac:dyDescent="0.35">
      <c r="B983" s="2">
        <v>44848</v>
      </c>
      <c r="C983" s="4">
        <v>8465.5499999999993</v>
      </c>
      <c r="D983">
        <f t="shared" si="34"/>
        <v>94.916043507817804</v>
      </c>
      <c r="E983">
        <v>1.8369151374077353E-2</v>
      </c>
      <c r="F983">
        <v>980</v>
      </c>
      <c r="G983">
        <f t="shared" ca="1" si="35"/>
        <v>-1.843571840340744E-2</v>
      </c>
    </row>
    <row r="984" spans="2:7" x14ac:dyDescent="0.35">
      <c r="B984" s="2">
        <v>39050</v>
      </c>
      <c r="C984" s="4">
        <v>88.26</v>
      </c>
      <c r="D984">
        <f t="shared" si="34"/>
        <v>-0.87333161112546287</v>
      </c>
      <c r="E984">
        <v>1.8345448251990248E-2</v>
      </c>
      <c r="F984">
        <v>981</v>
      </c>
      <c r="G984">
        <f t="shared" ca="1" si="35"/>
        <v>-2.5830712110612358E-2</v>
      </c>
    </row>
    <row r="985" spans="2:7" x14ac:dyDescent="0.35">
      <c r="B985" s="2">
        <v>42817</v>
      </c>
      <c r="C985" s="4">
        <v>696.78</v>
      </c>
      <c r="D985">
        <f t="shared" si="34"/>
        <v>-7.8747653171853949E-2</v>
      </c>
      <c r="E985">
        <v>1.8326902841108383E-2</v>
      </c>
      <c r="F985">
        <v>982</v>
      </c>
      <c r="G985">
        <f t="shared" ca="1" si="35"/>
        <v>1.7450344914675422E-2</v>
      </c>
    </row>
    <row r="986" spans="2:7" x14ac:dyDescent="0.35">
      <c r="B986" s="2">
        <v>43983</v>
      </c>
      <c r="C986" s="4">
        <v>756.34</v>
      </c>
      <c r="D986">
        <f t="shared" si="34"/>
        <v>-6.7156723689241304E-2</v>
      </c>
      <c r="E986">
        <v>1.8296869740828114E-2</v>
      </c>
      <c r="F986">
        <v>983</v>
      </c>
      <c r="G986">
        <f t="shared" ca="1" si="35"/>
        <v>-5.8101630585056917E-3</v>
      </c>
    </row>
    <row r="987" spans="2:7" x14ac:dyDescent="0.35">
      <c r="B987" s="2">
        <v>43630</v>
      </c>
      <c r="C987" s="4">
        <v>810.79</v>
      </c>
      <c r="D987">
        <f t="shared" si="34"/>
        <v>-0.90312875981060414</v>
      </c>
      <c r="E987">
        <v>1.8273384909072599E-2</v>
      </c>
      <c r="F987">
        <v>984</v>
      </c>
      <c r="G987">
        <f t="shared" ca="1" si="35"/>
        <v>-7.2792032456461177E-3</v>
      </c>
    </row>
    <row r="988" spans="2:7" x14ac:dyDescent="0.35">
      <c r="B988" s="2">
        <v>44701</v>
      </c>
      <c r="C988" s="4">
        <v>8369.77</v>
      </c>
      <c r="D988">
        <f t="shared" si="34"/>
        <v>79.656933603160837</v>
      </c>
      <c r="E988">
        <v>1.8266029006172024E-2</v>
      </c>
      <c r="F988">
        <v>985</v>
      </c>
      <c r="G988">
        <f t="shared" ca="1" si="35"/>
        <v>-1.1842065888073995E-2</v>
      </c>
    </row>
    <row r="989" spans="2:7" x14ac:dyDescent="0.35">
      <c r="B989" s="2">
        <v>40332</v>
      </c>
      <c r="C989" s="4">
        <v>103.77</v>
      </c>
      <c r="D989">
        <f t="shared" si="34"/>
        <v>0.14777126424068143</v>
      </c>
      <c r="E989">
        <v>1.8251398292611132E-2</v>
      </c>
      <c r="F989">
        <v>986</v>
      </c>
      <c r="G989">
        <f t="shared" ca="1" si="35"/>
        <v>-1.2742230844520508E-2</v>
      </c>
    </row>
    <row r="990" spans="2:7" x14ac:dyDescent="0.35">
      <c r="B990" s="2">
        <v>39052</v>
      </c>
      <c r="C990" s="4">
        <v>90.41</v>
      </c>
      <c r="D990">
        <f t="shared" si="34"/>
        <v>-0.11992601966319483</v>
      </c>
      <c r="E990">
        <v>1.8245297893906942E-2</v>
      </c>
      <c r="F990">
        <v>987</v>
      </c>
      <c r="G990">
        <f t="shared" ca="1" si="35"/>
        <v>4.7528649602349593E-2</v>
      </c>
    </row>
    <row r="991" spans="2:7" x14ac:dyDescent="0.35">
      <c r="B991" s="2">
        <v>41276</v>
      </c>
      <c r="C991" s="4">
        <v>102.73</v>
      </c>
      <c r="D991">
        <f t="shared" si="34"/>
        <v>-0.10824652777777777</v>
      </c>
      <c r="E991">
        <v>1.8237684606997817E-2</v>
      </c>
      <c r="F991">
        <v>988</v>
      </c>
      <c r="G991">
        <f t="shared" ca="1" si="35"/>
        <v>-5.0854939549937186E-3</v>
      </c>
    </row>
    <row r="992" spans="2:7" x14ac:dyDescent="0.35">
      <c r="B992" s="2">
        <v>40462</v>
      </c>
      <c r="C992" s="4">
        <v>115.2</v>
      </c>
      <c r="D992">
        <f t="shared" si="34"/>
        <v>0.1570912012856569</v>
      </c>
      <c r="E992">
        <v>1.8207530493194346E-2</v>
      </c>
      <c r="F992">
        <v>989</v>
      </c>
      <c r="G992">
        <f t="shared" ca="1" si="35"/>
        <v>4.8492744195711396E-2</v>
      </c>
    </row>
    <row r="993" spans="2:7" x14ac:dyDescent="0.35">
      <c r="B993" s="2">
        <v>40616</v>
      </c>
      <c r="C993" s="4">
        <v>99.56</v>
      </c>
      <c r="D993">
        <f t="shared" si="34"/>
        <v>0.91094049904030716</v>
      </c>
      <c r="E993">
        <v>1.8204131724278927E-2</v>
      </c>
      <c r="F993">
        <v>990</v>
      </c>
      <c r="G993">
        <f t="shared" ca="1" si="35"/>
        <v>-1.6736150553894547E-2</v>
      </c>
    </row>
    <row r="994" spans="2:7" x14ac:dyDescent="0.35">
      <c r="B994" s="2">
        <v>38264</v>
      </c>
      <c r="C994" s="4">
        <v>52.1</v>
      </c>
      <c r="D994">
        <f t="shared" si="34"/>
        <v>-0.99154046369949644</v>
      </c>
      <c r="E994">
        <v>1.8174711745163163E-2</v>
      </c>
      <c r="F994">
        <v>991</v>
      </c>
      <c r="G994">
        <f t="shared" ca="1" si="35"/>
        <v>3.5698449582163137E-2</v>
      </c>
    </row>
    <row r="995" spans="2:7" x14ac:dyDescent="0.35">
      <c r="B995" s="2">
        <v>44503</v>
      </c>
      <c r="C995" s="4">
        <v>6158.73</v>
      </c>
      <c r="D995">
        <f t="shared" si="34"/>
        <v>117.14176098215997</v>
      </c>
      <c r="E995">
        <v>1.8167119646080865E-2</v>
      </c>
      <c r="F995">
        <v>992</v>
      </c>
      <c r="G995">
        <f t="shared" ca="1" si="35"/>
        <v>-3.0107062109640367E-2</v>
      </c>
    </row>
    <row r="996" spans="2:7" x14ac:dyDescent="0.35">
      <c r="B996" s="2">
        <v>38252</v>
      </c>
      <c r="C996" s="4">
        <v>52.13</v>
      </c>
      <c r="D996">
        <f t="shared" si="34"/>
        <v>-0.9218909199880132</v>
      </c>
      <c r="E996">
        <v>1.8164062499999911E-2</v>
      </c>
      <c r="F996">
        <v>993</v>
      </c>
      <c r="G996">
        <f t="shared" ca="1" si="35"/>
        <v>-2.0345390327892492E-2</v>
      </c>
    </row>
    <row r="997" spans="2:7" x14ac:dyDescent="0.35">
      <c r="B997" s="2">
        <v>43741</v>
      </c>
      <c r="C997" s="4">
        <v>667.4</v>
      </c>
      <c r="D997">
        <f t="shared" si="34"/>
        <v>0.14243653605847406</v>
      </c>
      <c r="E997">
        <v>1.8154080854309695E-2</v>
      </c>
      <c r="F997">
        <v>994</v>
      </c>
      <c r="G997">
        <f t="shared" ca="1" si="35"/>
        <v>5.3053295463225493E-2</v>
      </c>
    </row>
    <row r="998" spans="2:7" x14ac:dyDescent="0.35">
      <c r="B998" s="2">
        <v>42100</v>
      </c>
      <c r="C998" s="4">
        <v>584.19000000000005</v>
      </c>
      <c r="D998">
        <f t="shared" si="34"/>
        <v>8.8931414055884854</v>
      </c>
      <c r="E998">
        <v>1.8142842204329268E-2</v>
      </c>
      <c r="F998">
        <v>995</v>
      </c>
      <c r="G998">
        <f t="shared" ca="1" si="35"/>
        <v>-1.2306288384455915E-3</v>
      </c>
    </row>
    <row r="999" spans="2:7" x14ac:dyDescent="0.35">
      <c r="B999" s="2">
        <v>38887</v>
      </c>
      <c r="C999" s="4">
        <v>59.05</v>
      </c>
      <c r="D999">
        <f t="shared" si="34"/>
        <v>-0.36763760976654525</v>
      </c>
      <c r="E999">
        <v>1.8103448275861966E-2</v>
      </c>
      <c r="F999">
        <v>996</v>
      </c>
      <c r="G999">
        <f t="shared" ca="1" si="35"/>
        <v>-2.3792850212169198E-3</v>
      </c>
    </row>
    <row r="1000" spans="2:7" x14ac:dyDescent="0.35">
      <c r="B1000" s="2">
        <v>41158</v>
      </c>
      <c r="C1000" s="4">
        <v>93.38</v>
      </c>
      <c r="D1000">
        <f t="shared" si="34"/>
        <v>1.5142703284868064</v>
      </c>
      <c r="E1000">
        <v>1.8098560837330968E-2</v>
      </c>
      <c r="F1000">
        <v>997</v>
      </c>
      <c r="G1000">
        <f t="shared" ca="1" si="35"/>
        <v>2.4327132681667141E-3</v>
      </c>
    </row>
    <row r="1001" spans="2:7" x14ac:dyDescent="0.35">
      <c r="B1001" s="2">
        <v>39759</v>
      </c>
      <c r="C1001" s="4">
        <v>37.14</v>
      </c>
      <c r="D1001">
        <f t="shared" si="34"/>
        <v>-0.86648932345963048</v>
      </c>
      <c r="E1001">
        <v>1.8092105263157965E-2</v>
      </c>
      <c r="F1001">
        <v>998</v>
      </c>
      <c r="G1001">
        <f t="shared" ca="1" si="35"/>
        <v>3.6802297864780868E-3</v>
      </c>
    </row>
    <row r="1002" spans="2:7" x14ac:dyDescent="0.35">
      <c r="B1002" s="2">
        <v>42009</v>
      </c>
      <c r="C1002" s="4">
        <v>278.18</v>
      </c>
      <c r="D1002">
        <f t="shared" si="34"/>
        <v>-0.95164063382791386</v>
      </c>
      <c r="E1002">
        <v>1.8079344166300748E-2</v>
      </c>
      <c r="F1002">
        <v>999</v>
      </c>
      <c r="G1002">
        <f t="shared" ca="1" si="35"/>
        <v>1.6493062176794752E-2</v>
      </c>
    </row>
    <row r="1003" spans="2:7" x14ac:dyDescent="0.35">
      <c r="B1003" s="2">
        <v>44530</v>
      </c>
      <c r="C1003" s="4">
        <v>5752.35</v>
      </c>
      <c r="D1003">
        <f t="shared" si="34"/>
        <v>187.29296235679215</v>
      </c>
      <c r="E1003">
        <v>1.8012342117698088E-2</v>
      </c>
      <c r="F1003">
        <v>1000</v>
      </c>
      <c r="G1003">
        <f t="shared" ca="1" si="35"/>
        <v>2.0869820796733846E-2</v>
      </c>
    </row>
    <row r="1004" spans="2:7" x14ac:dyDescent="0.35">
      <c r="B1004" s="2">
        <v>37621</v>
      </c>
      <c r="C1004" s="4">
        <v>30.55</v>
      </c>
      <c r="D1004">
        <f t="shared" si="34"/>
        <v>-0.71012430021823703</v>
      </c>
      <c r="E1004">
        <v>1.7994001999333431E-2</v>
      </c>
      <c r="F1004">
        <v>1001</v>
      </c>
      <c r="G1004">
        <f t="shared" ca="1" si="35"/>
        <v>3.9807247492988876E-2</v>
      </c>
    </row>
    <row r="1005" spans="2:7" x14ac:dyDescent="0.35">
      <c r="B1005" s="2">
        <v>41109</v>
      </c>
      <c r="C1005" s="4">
        <v>105.39</v>
      </c>
      <c r="D1005">
        <f t="shared" si="34"/>
        <v>-0.97129120130754565</v>
      </c>
      <c r="E1005">
        <v>1.79658070124602E-2</v>
      </c>
      <c r="F1005">
        <v>1002</v>
      </c>
      <c r="G1005">
        <f t="shared" ca="1" si="35"/>
        <v>1.5320293079371505E-2</v>
      </c>
    </row>
    <row r="1006" spans="2:7" x14ac:dyDescent="0.35">
      <c r="B1006" s="2">
        <v>44369</v>
      </c>
      <c r="C1006" s="4">
        <v>3671</v>
      </c>
      <c r="D1006">
        <f t="shared" si="34"/>
        <v>0.40113969030652541</v>
      </c>
      <c r="E1006">
        <v>1.7960584876727248E-2</v>
      </c>
      <c r="F1006">
        <v>1003</v>
      </c>
      <c r="G1006">
        <f t="shared" ca="1" si="35"/>
        <v>-3.0588312051394E-3</v>
      </c>
    </row>
    <row r="1007" spans="2:7" x14ac:dyDescent="0.35">
      <c r="B1007" s="2">
        <v>44281</v>
      </c>
      <c r="C1007" s="4">
        <v>2620.0100000000002</v>
      </c>
      <c r="D1007">
        <f t="shared" si="34"/>
        <v>-0.64532967293293642</v>
      </c>
      <c r="E1007">
        <v>1.7957953057553322E-2</v>
      </c>
      <c r="F1007">
        <v>1004</v>
      </c>
      <c r="G1007">
        <f t="shared" ca="1" si="35"/>
        <v>-1.3634103060124249E-2</v>
      </c>
    </row>
    <row r="1008" spans="2:7" x14ac:dyDescent="0.35">
      <c r="B1008" s="2">
        <v>44596</v>
      </c>
      <c r="C1008" s="4">
        <v>7387.17</v>
      </c>
      <c r="D1008">
        <f t="shared" si="34"/>
        <v>61.629673590504453</v>
      </c>
      <c r="E1008">
        <v>1.7952594017547341E-2</v>
      </c>
      <c r="F1008">
        <v>1005</v>
      </c>
      <c r="G1008">
        <f t="shared" ca="1" si="35"/>
        <v>-1.7125167296403794E-2</v>
      </c>
    </row>
    <row r="1009" spans="2:7" x14ac:dyDescent="0.35">
      <c r="B1009" s="2">
        <v>39255</v>
      </c>
      <c r="C1009" s="4">
        <v>117.95</v>
      </c>
      <c r="D1009">
        <f t="shared" si="34"/>
        <v>-0.85501634830493889</v>
      </c>
      <c r="E1009">
        <v>1.7951152153275141E-2</v>
      </c>
      <c r="F1009">
        <v>1006</v>
      </c>
      <c r="G1009">
        <f t="shared" ca="1" si="35"/>
        <v>3.3516522234332505E-2</v>
      </c>
    </row>
    <row r="1010" spans="2:7" x14ac:dyDescent="0.35">
      <c r="B1010" s="2">
        <v>43987</v>
      </c>
      <c r="C1010" s="4">
        <v>813.54</v>
      </c>
      <c r="D1010">
        <f t="shared" si="34"/>
        <v>0.25144597587989148</v>
      </c>
      <c r="E1010">
        <v>1.7930206078502486E-2</v>
      </c>
      <c r="F1010">
        <v>1007</v>
      </c>
      <c r="G1010">
        <f t="shared" ca="1" si="35"/>
        <v>-2.2844354964443002E-2</v>
      </c>
    </row>
    <row r="1011" spans="2:7" x14ac:dyDescent="0.35">
      <c r="B1011" s="2">
        <v>42734</v>
      </c>
      <c r="C1011" s="4">
        <v>650.08000000000004</v>
      </c>
      <c r="D1011">
        <f t="shared" si="34"/>
        <v>2.9463364293085661</v>
      </c>
      <c r="E1011">
        <v>1.7929004274775728E-2</v>
      </c>
      <c r="F1011">
        <v>1008</v>
      </c>
      <c r="G1011">
        <f t="shared" ca="1" si="35"/>
        <v>6.3344052142890031E-2</v>
      </c>
    </row>
    <row r="1012" spans="2:7" x14ac:dyDescent="0.35">
      <c r="B1012" s="2">
        <v>41632</v>
      </c>
      <c r="C1012" s="4">
        <v>164.73</v>
      </c>
      <c r="D1012">
        <f t="shared" si="34"/>
        <v>1.7345617529880477</v>
      </c>
      <c r="E1012">
        <v>1.7920039547673294E-2</v>
      </c>
      <c r="F1012">
        <v>1009</v>
      </c>
      <c r="G1012">
        <f t="shared" ca="1" si="35"/>
        <v>-2.0055030683578903E-2</v>
      </c>
    </row>
    <row r="1013" spans="2:7" x14ac:dyDescent="0.35">
      <c r="B1013" s="2">
        <v>39541</v>
      </c>
      <c r="C1013" s="4">
        <v>60.24</v>
      </c>
      <c r="D1013">
        <f t="shared" si="34"/>
        <v>-0.92849427265713103</v>
      </c>
      <c r="E1013">
        <v>1.7911456573166618E-2</v>
      </c>
      <c r="F1013">
        <v>1010</v>
      </c>
      <c r="G1013">
        <f t="shared" ca="1" si="35"/>
        <v>2.1571231061159612E-2</v>
      </c>
    </row>
    <row r="1014" spans="2:7" x14ac:dyDescent="0.35">
      <c r="B1014" s="2">
        <v>42989</v>
      </c>
      <c r="C1014" s="4">
        <v>842.45</v>
      </c>
      <c r="D1014">
        <f t="shared" si="34"/>
        <v>-0.87573200772941162</v>
      </c>
      <c r="E1014">
        <v>1.78942535401867E-2</v>
      </c>
      <c r="F1014">
        <v>1011</v>
      </c>
      <c r="G1014">
        <f t="shared" ca="1" si="35"/>
        <v>-1.1745349531179286E-3</v>
      </c>
    </row>
    <row r="1015" spans="2:7" x14ac:dyDescent="0.35">
      <c r="B1015" s="2">
        <v>45054</v>
      </c>
      <c r="C1015" s="4">
        <v>6779.3</v>
      </c>
      <c r="D1015">
        <f t="shared" si="34"/>
        <v>22.840554227036151</v>
      </c>
      <c r="E1015">
        <v>1.7874704402987884E-2</v>
      </c>
      <c r="F1015">
        <v>1012</v>
      </c>
      <c r="G1015">
        <f t="shared" ca="1" si="35"/>
        <v>-2.0085780633977278E-2</v>
      </c>
    </row>
    <row r="1016" spans="2:7" x14ac:dyDescent="0.35">
      <c r="B1016" s="2">
        <v>41843</v>
      </c>
      <c r="C1016" s="4">
        <v>284.36</v>
      </c>
      <c r="D1016">
        <f t="shared" si="34"/>
        <v>10.338118022328549</v>
      </c>
      <c r="E1016">
        <v>1.7861617210151337E-2</v>
      </c>
      <c r="F1016">
        <v>1013</v>
      </c>
      <c r="G1016">
        <f t="shared" ca="1" si="35"/>
        <v>-3.8277495589846234E-3</v>
      </c>
    </row>
    <row r="1017" spans="2:7" x14ac:dyDescent="0.35">
      <c r="B1017" s="2">
        <v>37827</v>
      </c>
      <c r="C1017" s="4">
        <v>25.08</v>
      </c>
      <c r="D1017">
        <f t="shared" si="34"/>
        <v>-0.97821138776432159</v>
      </c>
      <c r="E1017">
        <v>1.7857142857142794E-2</v>
      </c>
      <c r="F1017">
        <v>1014</v>
      </c>
      <c r="G1017">
        <f t="shared" ca="1" si="35"/>
        <v>-6.0037722473288537E-3</v>
      </c>
    </row>
    <row r="1018" spans="2:7" x14ac:dyDescent="0.35">
      <c r="B1018" s="2">
        <v>43259</v>
      </c>
      <c r="C1018" s="4">
        <v>1151.06</v>
      </c>
      <c r="D1018">
        <f t="shared" si="34"/>
        <v>10.775549872122761</v>
      </c>
      <c r="E1018">
        <v>1.7835510084977191E-2</v>
      </c>
      <c r="F1018">
        <v>1015</v>
      </c>
      <c r="G1018">
        <f t="shared" ca="1" si="35"/>
        <v>2.0841114285331985E-3</v>
      </c>
    </row>
    <row r="1019" spans="2:7" x14ac:dyDescent="0.35">
      <c r="B1019" s="2">
        <v>41162</v>
      </c>
      <c r="C1019" s="4">
        <v>97.75</v>
      </c>
      <c r="D1019">
        <f t="shared" si="34"/>
        <v>-0.89184913092063778</v>
      </c>
      <c r="E1019">
        <v>1.7805081216159868E-2</v>
      </c>
      <c r="F1019">
        <v>1016</v>
      </c>
      <c r="G1019">
        <f t="shared" ca="1" si="35"/>
        <v>-1.3274169770156129E-2</v>
      </c>
    </row>
    <row r="1020" spans="2:7" x14ac:dyDescent="0.35">
      <c r="B1020" s="2">
        <v>44028</v>
      </c>
      <c r="C1020" s="4">
        <v>903.83</v>
      </c>
      <c r="D1020">
        <f t="shared" si="34"/>
        <v>-0.5105622553027882</v>
      </c>
      <c r="E1020">
        <v>1.7803653070876946E-2</v>
      </c>
      <c r="F1020">
        <v>1017</v>
      </c>
      <c r="G1020">
        <f t="shared" ca="1" si="35"/>
        <v>-1.3228380446984815E-2</v>
      </c>
    </row>
    <row r="1021" spans="2:7" x14ac:dyDescent="0.35">
      <c r="B1021" s="2">
        <v>44197</v>
      </c>
      <c r="C1021" s="4">
        <v>1846.67</v>
      </c>
      <c r="D1021">
        <f t="shared" si="34"/>
        <v>2.0200994341412355</v>
      </c>
      <c r="E1021">
        <v>1.779110334602807E-2</v>
      </c>
      <c r="F1021">
        <v>1018</v>
      </c>
      <c r="G1021">
        <f t="shared" ca="1" si="35"/>
        <v>1.6947406434248205E-2</v>
      </c>
    </row>
    <row r="1022" spans="2:7" x14ac:dyDescent="0.35">
      <c r="B1022" s="2">
        <v>43714</v>
      </c>
      <c r="C1022" s="4">
        <v>611.46</v>
      </c>
      <c r="D1022">
        <f t="shared" si="34"/>
        <v>5.4979808714133904</v>
      </c>
      <c r="E1022">
        <v>1.7776890042944249E-2</v>
      </c>
      <c r="F1022">
        <v>1019</v>
      </c>
      <c r="G1022">
        <f t="shared" ca="1" si="35"/>
        <v>2.2478201589528849E-2</v>
      </c>
    </row>
    <row r="1023" spans="2:7" x14ac:dyDescent="0.35">
      <c r="B1023" s="2">
        <v>39461</v>
      </c>
      <c r="C1023" s="4">
        <v>94.1</v>
      </c>
      <c r="D1023">
        <f t="shared" si="34"/>
        <v>9.2154131847725029E-2</v>
      </c>
      <c r="E1023">
        <v>1.7737399956738065E-2</v>
      </c>
      <c r="F1023">
        <v>1020</v>
      </c>
      <c r="G1023">
        <f t="shared" ca="1" si="35"/>
        <v>-3.5192515671572208E-2</v>
      </c>
    </row>
    <row r="1024" spans="2:7" x14ac:dyDescent="0.35">
      <c r="B1024" s="2">
        <v>39045</v>
      </c>
      <c r="C1024" s="4">
        <v>86.16</v>
      </c>
      <c r="D1024">
        <f t="shared" si="34"/>
        <v>1.5850585058505851</v>
      </c>
      <c r="E1024">
        <v>1.7717930545712246E-2</v>
      </c>
      <c r="F1024">
        <v>1021</v>
      </c>
      <c r="G1024">
        <f t="shared" ca="1" si="35"/>
        <v>-3.2986872039716751E-2</v>
      </c>
    </row>
    <row r="1025" spans="2:7" x14ac:dyDescent="0.35">
      <c r="B1025" s="2">
        <v>39857</v>
      </c>
      <c r="C1025" s="4">
        <v>33.33</v>
      </c>
      <c r="D1025">
        <f t="shared" si="34"/>
        <v>-0.99580248375083902</v>
      </c>
      <c r="E1025">
        <v>1.7709923664122051E-2</v>
      </c>
      <c r="F1025">
        <v>1022</v>
      </c>
      <c r="G1025">
        <f t="shared" ca="1" si="35"/>
        <v>-1.1631339994290116E-2</v>
      </c>
    </row>
    <row r="1026" spans="2:7" x14ac:dyDescent="0.35">
      <c r="B1026" s="2">
        <v>44678</v>
      </c>
      <c r="C1026" s="4">
        <v>7940.41</v>
      </c>
      <c r="D1026">
        <f t="shared" si="34"/>
        <v>8.3705421416601755</v>
      </c>
      <c r="E1026">
        <v>1.7660757105635083E-2</v>
      </c>
      <c r="F1026">
        <v>1023</v>
      </c>
      <c r="G1026">
        <f t="shared" ca="1" si="35"/>
        <v>1.2751853537037602E-2</v>
      </c>
    </row>
    <row r="1027" spans="2:7" x14ac:dyDescent="0.35">
      <c r="B1027" s="2">
        <v>42517</v>
      </c>
      <c r="C1027" s="4">
        <v>847.38</v>
      </c>
      <c r="D1027">
        <f t="shared" si="34"/>
        <v>-0.85991032991449601</v>
      </c>
      <c r="E1027">
        <v>1.765384061103914E-2</v>
      </c>
      <c r="F1027">
        <v>1024</v>
      </c>
      <c r="G1027">
        <f t="shared" ca="1" si="35"/>
        <v>-4.4313514062652923E-2</v>
      </c>
    </row>
    <row r="1028" spans="2:7" x14ac:dyDescent="0.35">
      <c r="B1028" s="2">
        <v>44502</v>
      </c>
      <c r="C1028" s="4">
        <v>6048.84</v>
      </c>
      <c r="D1028">
        <f t="shared" ref="D1028:D1091" si="36">C1028/C1029-1</f>
        <v>23.969411764705882</v>
      </c>
      <c r="E1028">
        <v>1.7649938676935983E-2</v>
      </c>
      <c r="F1028">
        <v>1025</v>
      </c>
      <c r="G1028">
        <f t="shared" ca="1" si="35"/>
        <v>-5.6341898544396758E-2</v>
      </c>
    </row>
    <row r="1029" spans="2:7" x14ac:dyDescent="0.35">
      <c r="B1029" s="2">
        <v>41725</v>
      </c>
      <c r="C1029" s="4">
        <v>242.25</v>
      </c>
      <c r="D1029">
        <f t="shared" si="36"/>
        <v>-0.9586154939490642</v>
      </c>
      <c r="E1029">
        <v>1.7643352236925036E-2</v>
      </c>
      <c r="F1029">
        <v>1026</v>
      </c>
      <c r="G1029">
        <f t="shared" ref="G1029:G1092" ca="1" si="37">_xlfn.NORM.INV(RAND(),K$6,K$7)</f>
        <v>5.3728420717042303E-3</v>
      </c>
    </row>
    <row r="1030" spans="2:7" x14ac:dyDescent="0.35">
      <c r="B1030" s="2">
        <v>44531</v>
      </c>
      <c r="C1030" s="4">
        <v>5853.64</v>
      </c>
      <c r="D1030">
        <f t="shared" si="36"/>
        <v>5.9931784242279438</v>
      </c>
      <c r="E1030">
        <v>1.7608455674637424E-2</v>
      </c>
      <c r="F1030">
        <v>1027</v>
      </c>
      <c r="G1030">
        <f t="shared" ca="1" si="37"/>
        <v>9.6504297821154803E-3</v>
      </c>
    </row>
    <row r="1031" spans="2:7" x14ac:dyDescent="0.35">
      <c r="B1031" s="2">
        <v>43497</v>
      </c>
      <c r="C1031" s="4">
        <v>837.05</v>
      </c>
      <c r="D1031">
        <f t="shared" si="36"/>
        <v>-0.88035049350686478</v>
      </c>
      <c r="E1031">
        <v>1.7504406491217317E-2</v>
      </c>
      <c r="F1031">
        <v>1028</v>
      </c>
      <c r="G1031">
        <f t="shared" ca="1" si="37"/>
        <v>-1.4505026995685136E-2</v>
      </c>
    </row>
    <row r="1032" spans="2:7" x14ac:dyDescent="0.35">
      <c r="B1032" s="2">
        <v>44865</v>
      </c>
      <c r="C1032" s="4">
        <v>6995.85</v>
      </c>
      <c r="D1032">
        <f t="shared" si="36"/>
        <v>78.084897128645721</v>
      </c>
      <c r="E1032">
        <v>1.7489382744778625E-2</v>
      </c>
      <c r="F1032">
        <v>1029</v>
      </c>
      <c r="G1032">
        <f t="shared" ca="1" si="37"/>
        <v>1.0092861696773526E-2</v>
      </c>
    </row>
    <row r="1033" spans="2:7" x14ac:dyDescent="0.35">
      <c r="B1033" s="2">
        <v>39436</v>
      </c>
      <c r="C1033" s="4">
        <v>88.46</v>
      </c>
      <c r="D1033">
        <f t="shared" si="36"/>
        <v>-0.67110350981558597</v>
      </c>
      <c r="E1033">
        <v>1.7483321831147869E-2</v>
      </c>
      <c r="F1033">
        <v>1030</v>
      </c>
      <c r="G1033">
        <f t="shared" ca="1" si="37"/>
        <v>-1.8902773631727276E-2</v>
      </c>
    </row>
    <row r="1034" spans="2:7" x14ac:dyDescent="0.35">
      <c r="B1034" s="2">
        <v>41899</v>
      </c>
      <c r="C1034" s="4">
        <v>268.95999999999998</v>
      </c>
      <c r="D1034">
        <f t="shared" si="36"/>
        <v>1.639191443430478</v>
      </c>
      <c r="E1034">
        <v>1.747749110993424E-2</v>
      </c>
      <c r="F1034">
        <v>1031</v>
      </c>
      <c r="G1034">
        <f t="shared" ca="1" si="37"/>
        <v>-2.7570608124468845E-2</v>
      </c>
    </row>
    <row r="1035" spans="2:7" x14ac:dyDescent="0.35">
      <c r="B1035" s="2">
        <v>40331</v>
      </c>
      <c r="C1035" s="4">
        <v>101.91</v>
      </c>
      <c r="D1035">
        <f t="shared" si="36"/>
        <v>-0.87446724643393858</v>
      </c>
      <c r="E1035">
        <v>1.7472044728434444E-2</v>
      </c>
      <c r="F1035">
        <v>1032</v>
      </c>
      <c r="G1035">
        <f t="shared" ca="1" si="37"/>
        <v>-3.1516697737661824E-2</v>
      </c>
    </row>
    <row r="1036" spans="2:7" x14ac:dyDescent="0.35">
      <c r="B1036" s="2">
        <v>43609</v>
      </c>
      <c r="C1036" s="4">
        <v>811.82</v>
      </c>
      <c r="D1036">
        <f t="shared" si="36"/>
        <v>23.415639097744361</v>
      </c>
      <c r="E1036">
        <v>1.7458546917495044E-2</v>
      </c>
      <c r="F1036">
        <v>1033</v>
      </c>
      <c r="G1036">
        <f t="shared" ca="1" si="37"/>
        <v>6.4020856440041764E-3</v>
      </c>
    </row>
    <row r="1037" spans="2:7" x14ac:dyDescent="0.35">
      <c r="B1037" s="2">
        <v>39827</v>
      </c>
      <c r="C1037" s="4">
        <v>33.25</v>
      </c>
      <c r="D1037">
        <f t="shared" si="36"/>
        <v>-0.55554070311455694</v>
      </c>
      <c r="E1037">
        <v>1.744186046511631E-2</v>
      </c>
      <c r="F1037">
        <v>1034</v>
      </c>
      <c r="G1037">
        <f t="shared" ca="1" si="37"/>
        <v>2.4802127239273875E-2</v>
      </c>
    </row>
    <row r="1038" spans="2:7" x14ac:dyDescent="0.35">
      <c r="B1038" s="2">
        <v>39625</v>
      </c>
      <c r="C1038" s="4">
        <v>74.81</v>
      </c>
      <c r="D1038">
        <f t="shared" si="36"/>
        <v>7.2544802867383629E-2</v>
      </c>
      <c r="E1038">
        <v>1.74078607371142E-2</v>
      </c>
      <c r="F1038">
        <v>1035</v>
      </c>
      <c r="G1038">
        <f t="shared" ca="1" si="37"/>
        <v>3.3485057071284907E-2</v>
      </c>
    </row>
    <row r="1039" spans="2:7" x14ac:dyDescent="0.35">
      <c r="B1039" s="2">
        <v>38688</v>
      </c>
      <c r="C1039" s="4">
        <v>69.75</v>
      </c>
      <c r="D1039">
        <f t="shared" si="36"/>
        <v>-0.98826533959854845</v>
      </c>
      <c r="E1039">
        <v>1.7357059509918393E-2</v>
      </c>
      <c r="F1039">
        <v>1036</v>
      </c>
      <c r="G1039">
        <f t="shared" ca="1" si="37"/>
        <v>-3.3307283348542355E-2</v>
      </c>
    </row>
    <row r="1040" spans="2:7" x14ac:dyDescent="0.35">
      <c r="B1040" s="2">
        <v>44501</v>
      </c>
      <c r="C1040" s="4">
        <v>5943.93</v>
      </c>
      <c r="D1040">
        <f t="shared" si="36"/>
        <v>90.290585163569347</v>
      </c>
      <c r="E1040">
        <v>1.7353753675627415E-2</v>
      </c>
      <c r="F1040">
        <v>1037</v>
      </c>
      <c r="G1040">
        <f t="shared" ca="1" si="37"/>
        <v>3.5227103894210465E-2</v>
      </c>
    </row>
    <row r="1041" spans="2:7" x14ac:dyDescent="0.35">
      <c r="B1041" s="2">
        <v>38803</v>
      </c>
      <c r="C1041" s="4">
        <v>65.11</v>
      </c>
      <c r="D1041">
        <f t="shared" si="36"/>
        <v>-0.95780489543572234</v>
      </c>
      <c r="E1041">
        <v>1.7343749999999991E-2</v>
      </c>
      <c r="F1041">
        <v>1038</v>
      </c>
      <c r="G1041">
        <f t="shared" ca="1" si="37"/>
        <v>1.0609540794346686E-2</v>
      </c>
    </row>
    <row r="1042" spans="2:7" x14ac:dyDescent="0.35">
      <c r="B1042" s="2">
        <v>44158</v>
      </c>
      <c r="C1042" s="4">
        <v>1543.07</v>
      </c>
      <c r="D1042">
        <f t="shared" si="36"/>
        <v>24.287938380858733</v>
      </c>
      <c r="E1042">
        <v>1.7339477969632755E-2</v>
      </c>
      <c r="F1042">
        <v>1039</v>
      </c>
      <c r="G1042">
        <f t="shared" ca="1" si="37"/>
        <v>1.5200792547202722E-2</v>
      </c>
    </row>
    <row r="1043" spans="2:7" x14ac:dyDescent="0.35">
      <c r="B1043" s="2">
        <v>38926</v>
      </c>
      <c r="C1043" s="4">
        <v>61.02</v>
      </c>
      <c r="D1043">
        <f t="shared" si="36"/>
        <v>-0.48825897349882585</v>
      </c>
      <c r="E1043">
        <v>1.7339113037679432E-2</v>
      </c>
      <c r="F1043">
        <v>1040</v>
      </c>
      <c r="G1043">
        <f t="shared" ca="1" si="37"/>
        <v>1.1834963772544307E-2</v>
      </c>
    </row>
    <row r="1044" spans="2:7" x14ac:dyDescent="0.35">
      <c r="B1044" s="2">
        <v>39259</v>
      </c>
      <c r="C1044" s="4">
        <v>119.24</v>
      </c>
      <c r="D1044">
        <f t="shared" si="36"/>
        <v>0.30817334064728463</v>
      </c>
      <c r="E1044">
        <v>1.731934135312696E-2</v>
      </c>
      <c r="F1044">
        <v>1041</v>
      </c>
      <c r="G1044">
        <f t="shared" ca="1" si="37"/>
        <v>3.934847768834529E-4</v>
      </c>
    </row>
    <row r="1045" spans="2:7" x14ac:dyDescent="0.35">
      <c r="B1045" s="2">
        <v>41082</v>
      </c>
      <c r="C1045" s="4">
        <v>91.15</v>
      </c>
      <c r="D1045">
        <f t="shared" si="36"/>
        <v>-0.84943590082426201</v>
      </c>
      <c r="E1045">
        <v>1.7299107142857206E-2</v>
      </c>
      <c r="F1045">
        <v>1042</v>
      </c>
      <c r="G1045">
        <f t="shared" ca="1" si="37"/>
        <v>-1.3761367296724588E-2</v>
      </c>
    </row>
    <row r="1046" spans="2:7" x14ac:dyDescent="0.35">
      <c r="B1046" s="2">
        <v>43693</v>
      </c>
      <c r="C1046" s="4">
        <v>605.39</v>
      </c>
      <c r="D1046">
        <f t="shared" si="36"/>
        <v>19.563519021739129</v>
      </c>
      <c r="E1046">
        <v>1.7291211561082154E-2</v>
      </c>
      <c r="F1046">
        <v>1043</v>
      </c>
      <c r="G1046">
        <f t="shared" ca="1" si="37"/>
        <v>2.0931198218349784E-2</v>
      </c>
    </row>
    <row r="1047" spans="2:7" x14ac:dyDescent="0.35">
      <c r="B1047" s="2">
        <v>38047</v>
      </c>
      <c r="C1047" s="4">
        <v>29.44</v>
      </c>
      <c r="D1047">
        <f t="shared" si="36"/>
        <v>-0.73553719008264462</v>
      </c>
      <c r="E1047">
        <v>1.7277125086385681E-2</v>
      </c>
      <c r="F1047">
        <v>1044</v>
      </c>
      <c r="G1047">
        <f t="shared" ca="1" si="37"/>
        <v>-1.9005109646779518E-2</v>
      </c>
    </row>
    <row r="1048" spans="2:7" x14ac:dyDescent="0.35">
      <c r="B1048" s="2">
        <v>40253</v>
      </c>
      <c r="C1048" s="4">
        <v>111.32</v>
      </c>
      <c r="D1048">
        <f t="shared" si="36"/>
        <v>-0.97459334981159551</v>
      </c>
      <c r="E1048">
        <v>1.7271314995887632E-2</v>
      </c>
      <c r="F1048">
        <v>1045</v>
      </c>
      <c r="G1048">
        <f t="shared" ca="1" si="37"/>
        <v>1.6878158133107304E-2</v>
      </c>
    </row>
    <row r="1049" spans="2:7" x14ac:dyDescent="0.35">
      <c r="B1049" s="2">
        <v>44424</v>
      </c>
      <c r="C1049" s="4">
        <v>4381.53</v>
      </c>
      <c r="D1049">
        <f t="shared" si="36"/>
        <v>199.98761467889906</v>
      </c>
      <c r="E1049">
        <v>1.7266597943888851E-2</v>
      </c>
      <c r="F1049">
        <v>1046</v>
      </c>
      <c r="G1049">
        <f t="shared" ca="1" si="37"/>
        <v>1.4364052420438046E-2</v>
      </c>
    </row>
    <row r="1050" spans="2:7" x14ac:dyDescent="0.35">
      <c r="B1050" s="2">
        <v>37769</v>
      </c>
      <c r="C1050" s="4">
        <v>21.8</v>
      </c>
      <c r="D1050">
        <f t="shared" si="36"/>
        <v>-0.6542974944497304</v>
      </c>
      <c r="E1050">
        <v>1.7265515632291173E-2</v>
      </c>
      <c r="F1050">
        <v>1047</v>
      </c>
      <c r="G1050">
        <f t="shared" ca="1" si="37"/>
        <v>-5.8493388002730197E-3</v>
      </c>
    </row>
    <row r="1051" spans="2:7" x14ac:dyDescent="0.35">
      <c r="B1051" s="2">
        <v>38523</v>
      </c>
      <c r="C1051" s="4">
        <v>63.06</v>
      </c>
      <c r="D1051">
        <f t="shared" si="36"/>
        <v>-0.88684932981643971</v>
      </c>
      <c r="E1051">
        <v>1.7260848523955374E-2</v>
      </c>
      <c r="F1051">
        <v>1048</v>
      </c>
      <c r="G1051">
        <f t="shared" ca="1" si="37"/>
        <v>3.3121532103988924E-2</v>
      </c>
    </row>
    <row r="1052" spans="2:7" x14ac:dyDescent="0.35">
      <c r="B1052" s="2">
        <v>42192</v>
      </c>
      <c r="C1052" s="4">
        <v>557.30999999999995</v>
      </c>
      <c r="D1052">
        <f t="shared" si="36"/>
        <v>4.5124629080118694</v>
      </c>
      <c r="E1052">
        <v>1.7248932208958401E-2</v>
      </c>
      <c r="F1052">
        <v>1049</v>
      </c>
      <c r="G1052">
        <f t="shared" ca="1" si="37"/>
        <v>-2.1776905303993007E-2</v>
      </c>
    </row>
    <row r="1053" spans="2:7" x14ac:dyDescent="0.35">
      <c r="B1053" s="2">
        <v>39176</v>
      </c>
      <c r="C1053" s="4">
        <v>101.1</v>
      </c>
      <c r="D1053">
        <f t="shared" si="36"/>
        <v>-0.85399246133183138</v>
      </c>
      <c r="E1053">
        <v>1.7204950196196833E-2</v>
      </c>
      <c r="F1053">
        <v>1050</v>
      </c>
      <c r="G1053">
        <f t="shared" ca="1" si="37"/>
        <v>1.9103398537233009E-2</v>
      </c>
    </row>
    <row r="1054" spans="2:7" x14ac:dyDescent="0.35">
      <c r="B1054" s="2">
        <v>42787</v>
      </c>
      <c r="C1054" s="4">
        <v>692.43</v>
      </c>
      <c r="D1054">
        <f t="shared" si="36"/>
        <v>9.6135806253832001</v>
      </c>
      <c r="E1054">
        <v>1.7157546823356462E-2</v>
      </c>
      <c r="F1054">
        <v>1051</v>
      </c>
      <c r="G1054">
        <f t="shared" ca="1" si="37"/>
        <v>1.3709069950835588E-2</v>
      </c>
    </row>
    <row r="1055" spans="2:7" x14ac:dyDescent="0.35">
      <c r="B1055" s="2">
        <v>38756</v>
      </c>
      <c r="C1055" s="4">
        <v>65.239999999999995</v>
      </c>
      <c r="D1055">
        <f t="shared" si="36"/>
        <v>-0.41859014348097323</v>
      </c>
      <c r="E1055">
        <v>1.7149984409104979E-2</v>
      </c>
      <c r="F1055">
        <v>1052</v>
      </c>
      <c r="G1055">
        <f t="shared" ca="1" si="37"/>
        <v>5.9342168697911056E-2</v>
      </c>
    </row>
    <row r="1056" spans="2:7" x14ac:dyDescent="0.35">
      <c r="B1056" s="2">
        <v>40375</v>
      </c>
      <c r="C1056" s="4">
        <v>112.21</v>
      </c>
      <c r="D1056">
        <f t="shared" si="36"/>
        <v>2.2571843251088528</v>
      </c>
      <c r="E1056">
        <v>1.7131979695431454E-2</v>
      </c>
      <c r="F1056">
        <v>1053</v>
      </c>
      <c r="G1056">
        <f t="shared" ca="1" si="37"/>
        <v>-4.9723650813153289E-3</v>
      </c>
    </row>
    <row r="1057" spans="2:7" x14ac:dyDescent="0.35">
      <c r="B1057" s="2">
        <v>39924</v>
      </c>
      <c r="C1057" s="4">
        <v>34.450000000000003</v>
      </c>
      <c r="D1057">
        <f t="shared" si="36"/>
        <v>-0.99596102891176397</v>
      </c>
      <c r="E1057">
        <v>1.712429878948929E-2</v>
      </c>
      <c r="F1057">
        <v>1054</v>
      </c>
      <c r="G1057">
        <f t="shared" ca="1" si="37"/>
        <v>5.6016546637247628E-3</v>
      </c>
    </row>
    <row r="1058" spans="2:7" x14ac:dyDescent="0.35">
      <c r="B1058" s="2">
        <v>44767</v>
      </c>
      <c r="C1058" s="4">
        <v>8529.4</v>
      </c>
      <c r="D1058">
        <f t="shared" si="36"/>
        <v>36.056957900682107</v>
      </c>
      <c r="E1058">
        <v>1.7063544113613993E-2</v>
      </c>
      <c r="F1058">
        <v>1055</v>
      </c>
      <c r="G1058">
        <f t="shared" ca="1" si="37"/>
        <v>-1.0378681741457655E-2</v>
      </c>
    </row>
    <row r="1059" spans="2:7" x14ac:dyDescent="0.35">
      <c r="B1059" s="2">
        <v>41696</v>
      </c>
      <c r="C1059" s="4">
        <v>230.17</v>
      </c>
      <c r="D1059">
        <f t="shared" si="36"/>
        <v>-0.66605246358307701</v>
      </c>
      <c r="E1059">
        <v>1.7056250276169749E-2</v>
      </c>
      <c r="F1059">
        <v>1056</v>
      </c>
      <c r="G1059">
        <f t="shared" ca="1" si="37"/>
        <v>5.5584810397363626E-2</v>
      </c>
    </row>
    <row r="1060" spans="2:7" x14ac:dyDescent="0.35">
      <c r="B1060" s="2">
        <v>42828</v>
      </c>
      <c r="C1060" s="4">
        <v>689.24</v>
      </c>
      <c r="D1060">
        <f t="shared" si="36"/>
        <v>2.1496595530777314</v>
      </c>
      <c r="E1060">
        <v>1.7028183562048049E-2</v>
      </c>
      <c r="F1060">
        <v>1057</v>
      </c>
      <c r="G1060">
        <f t="shared" ca="1" si="37"/>
        <v>1.2516399162563838E-2</v>
      </c>
    </row>
    <row r="1061" spans="2:7" x14ac:dyDescent="0.35">
      <c r="B1061" s="2">
        <v>41778</v>
      </c>
      <c r="C1061" s="4">
        <v>218.83</v>
      </c>
      <c r="D1061">
        <f t="shared" si="36"/>
        <v>-0.77515078655610692</v>
      </c>
      <c r="E1061">
        <v>1.7009806199749233E-2</v>
      </c>
      <c r="F1061">
        <v>1058</v>
      </c>
      <c r="G1061">
        <f t="shared" ca="1" si="37"/>
        <v>1.8279550444072857E-2</v>
      </c>
    </row>
    <row r="1062" spans="2:7" x14ac:dyDescent="0.35">
      <c r="B1062" s="2">
        <v>43199</v>
      </c>
      <c r="C1062" s="4">
        <v>973.23</v>
      </c>
      <c r="D1062">
        <f t="shared" si="36"/>
        <v>12.20887622149837</v>
      </c>
      <c r="E1062">
        <v>1.6980501159898909E-2</v>
      </c>
      <c r="F1062">
        <v>1059</v>
      </c>
      <c r="G1062">
        <f t="shared" ca="1" si="37"/>
        <v>-2.817830237530217E-2</v>
      </c>
    </row>
    <row r="1063" spans="2:7" x14ac:dyDescent="0.35">
      <c r="B1063" s="2">
        <v>38581</v>
      </c>
      <c r="C1063" s="4">
        <v>73.680000000000007</v>
      </c>
      <c r="D1063">
        <f t="shared" si="36"/>
        <v>-4.7077082255561176E-2</v>
      </c>
      <c r="E1063">
        <v>1.697722567287796E-2</v>
      </c>
      <c r="F1063">
        <v>1060</v>
      </c>
      <c r="G1063">
        <f t="shared" ca="1" si="37"/>
        <v>1.7233593419213763E-2</v>
      </c>
    </row>
    <row r="1064" spans="2:7" x14ac:dyDescent="0.35">
      <c r="B1064" s="2">
        <v>41499</v>
      </c>
      <c r="C1064" s="4">
        <v>77.319999999999993</v>
      </c>
      <c r="D1064">
        <f t="shared" si="36"/>
        <v>-0.93842772504300187</v>
      </c>
      <c r="E1064">
        <v>1.6966986715770016E-2</v>
      </c>
      <c r="F1064">
        <v>1061</v>
      </c>
      <c r="G1064">
        <f t="shared" ca="1" si="37"/>
        <v>0.10878004576497513</v>
      </c>
    </row>
    <row r="1065" spans="2:7" x14ac:dyDescent="0.35">
      <c r="B1065" s="2">
        <v>43355</v>
      </c>
      <c r="C1065" s="4">
        <v>1255.76</v>
      </c>
      <c r="D1065">
        <f t="shared" si="36"/>
        <v>4.6428507234654441</v>
      </c>
      <c r="E1065">
        <v>1.6957937189226113E-2</v>
      </c>
      <c r="F1065">
        <v>1062</v>
      </c>
      <c r="G1065">
        <f t="shared" ca="1" si="37"/>
        <v>-3.197546443879265E-2</v>
      </c>
    </row>
    <row r="1066" spans="2:7" x14ac:dyDescent="0.35">
      <c r="B1066" s="2">
        <v>41779</v>
      </c>
      <c r="C1066" s="4">
        <v>222.54</v>
      </c>
      <c r="D1066">
        <f t="shared" si="36"/>
        <v>-0.63946537059538278</v>
      </c>
      <c r="E1066">
        <v>1.6953799753232968E-2</v>
      </c>
      <c r="F1066">
        <v>1063</v>
      </c>
      <c r="G1066">
        <f t="shared" ca="1" si="37"/>
        <v>-2.3732212539228784E-3</v>
      </c>
    </row>
    <row r="1067" spans="2:7" x14ac:dyDescent="0.35">
      <c r="B1067" s="2">
        <v>42886</v>
      </c>
      <c r="C1067" s="4">
        <v>617.25</v>
      </c>
      <c r="D1067">
        <f t="shared" si="36"/>
        <v>-0.34048850329087954</v>
      </c>
      <c r="E1067">
        <v>1.6953341241597419E-2</v>
      </c>
      <c r="F1067">
        <v>1064</v>
      </c>
      <c r="G1067">
        <f t="shared" ca="1" si="37"/>
        <v>-1.0846089270395825E-2</v>
      </c>
    </row>
    <row r="1068" spans="2:7" x14ac:dyDescent="0.35">
      <c r="B1068" s="2">
        <v>43192</v>
      </c>
      <c r="C1068" s="4">
        <v>935.92</v>
      </c>
      <c r="D1068">
        <f t="shared" si="36"/>
        <v>-0.44249326884128759</v>
      </c>
      <c r="E1068">
        <v>1.6950625869262659E-2</v>
      </c>
      <c r="F1068">
        <v>1065</v>
      </c>
      <c r="G1068">
        <f t="shared" ca="1" si="37"/>
        <v>7.656494230969626E-3</v>
      </c>
    </row>
    <row r="1069" spans="2:7" x14ac:dyDescent="0.35">
      <c r="B1069" s="2">
        <v>44172</v>
      </c>
      <c r="C1069" s="4">
        <v>1678.76</v>
      </c>
      <c r="D1069">
        <f t="shared" si="36"/>
        <v>0.7616269308260577</v>
      </c>
      <c r="E1069">
        <v>1.694956323677288E-2</v>
      </c>
      <c r="F1069">
        <v>1066</v>
      </c>
      <c r="G1069">
        <f t="shared" ca="1" si="37"/>
        <v>6.6307973847515647E-2</v>
      </c>
    </row>
    <row r="1070" spans="2:7" x14ac:dyDescent="0.35">
      <c r="B1070" s="2">
        <v>43195</v>
      </c>
      <c r="C1070" s="4">
        <v>952.96</v>
      </c>
      <c r="D1070">
        <f t="shared" si="36"/>
        <v>-0.25334754095791767</v>
      </c>
      <c r="E1070">
        <v>1.6946258590515129E-2</v>
      </c>
      <c r="F1070">
        <v>1067</v>
      </c>
      <c r="G1070">
        <f t="shared" ca="1" si="37"/>
        <v>1.7337862718394426E-2</v>
      </c>
    </row>
    <row r="1071" spans="2:7" x14ac:dyDescent="0.35">
      <c r="B1071" s="2">
        <v>43284</v>
      </c>
      <c r="C1071" s="4">
        <v>1276.31</v>
      </c>
      <c r="D1071">
        <f t="shared" si="36"/>
        <v>22.3371731577985</v>
      </c>
      <c r="E1071">
        <v>1.6931461444074314E-2</v>
      </c>
      <c r="F1071">
        <v>1068</v>
      </c>
      <c r="G1071">
        <f t="shared" ca="1" si="37"/>
        <v>-1.8223501611494382E-2</v>
      </c>
    </row>
    <row r="1072" spans="2:7" x14ac:dyDescent="0.35">
      <c r="B1072" s="2">
        <v>38294</v>
      </c>
      <c r="C1072" s="4">
        <v>54.69</v>
      </c>
      <c r="D1072">
        <f t="shared" si="36"/>
        <v>-0.27954156237649852</v>
      </c>
      <c r="E1072">
        <v>1.6920788397173592E-2</v>
      </c>
      <c r="F1072">
        <v>1069</v>
      </c>
      <c r="G1072">
        <f t="shared" ca="1" si="37"/>
        <v>1.1455040443768572E-2</v>
      </c>
    </row>
    <row r="1073" spans="2:7" x14ac:dyDescent="0.35">
      <c r="B1073" s="2">
        <v>39638</v>
      </c>
      <c r="C1073" s="4">
        <v>75.91</v>
      </c>
      <c r="D1073">
        <f t="shared" si="36"/>
        <v>0.2855207451312447</v>
      </c>
      <c r="E1073">
        <v>1.6878767582049425E-2</v>
      </c>
      <c r="F1073">
        <v>1070</v>
      </c>
      <c r="G1073">
        <f t="shared" ca="1" si="37"/>
        <v>6.0182561387281674E-3</v>
      </c>
    </row>
    <row r="1074" spans="2:7" x14ac:dyDescent="0.35">
      <c r="B1074" s="2">
        <v>38897</v>
      </c>
      <c r="C1074" s="4">
        <v>59.05</v>
      </c>
      <c r="D1074">
        <f t="shared" si="36"/>
        <v>-0.99281315417944593</v>
      </c>
      <c r="E1074">
        <v>1.6876183915963461E-2</v>
      </c>
      <c r="F1074">
        <v>1071</v>
      </c>
      <c r="G1074">
        <f t="shared" ca="1" si="37"/>
        <v>-2.2155442351644326E-2</v>
      </c>
    </row>
    <row r="1075" spans="2:7" x14ac:dyDescent="0.35">
      <c r="B1075" s="2">
        <v>44707</v>
      </c>
      <c r="C1075" s="4">
        <v>8216.4</v>
      </c>
      <c r="D1075">
        <f t="shared" si="36"/>
        <v>82.094660194174764</v>
      </c>
      <c r="E1075">
        <v>1.687489557614108E-2</v>
      </c>
      <c r="F1075">
        <v>1072</v>
      </c>
      <c r="G1075">
        <f t="shared" ca="1" si="37"/>
        <v>1.7813471267161918E-2</v>
      </c>
    </row>
    <row r="1076" spans="2:7" x14ac:dyDescent="0.35">
      <c r="B1076" s="2">
        <v>39423</v>
      </c>
      <c r="C1076" s="4">
        <v>98.88</v>
      </c>
      <c r="D1076">
        <f t="shared" si="36"/>
        <v>0.31769722814498924</v>
      </c>
      <c r="E1076">
        <v>1.6865487453722849E-2</v>
      </c>
      <c r="F1076">
        <v>1073</v>
      </c>
      <c r="G1076">
        <f t="shared" ca="1" si="37"/>
        <v>3.0114153999842425E-2</v>
      </c>
    </row>
    <row r="1077" spans="2:7" x14ac:dyDescent="0.35">
      <c r="B1077" s="2">
        <v>38608</v>
      </c>
      <c r="C1077" s="4">
        <v>75.040000000000006</v>
      </c>
      <c r="D1077">
        <f t="shared" si="36"/>
        <v>-0.22551346888223756</v>
      </c>
      <c r="E1077">
        <v>1.680216802168033E-2</v>
      </c>
      <c r="F1077">
        <v>1074</v>
      </c>
      <c r="G1077">
        <f t="shared" ca="1" si="37"/>
        <v>3.915173471022191E-2</v>
      </c>
    </row>
    <row r="1078" spans="2:7" x14ac:dyDescent="0.35">
      <c r="B1078" s="2">
        <v>41095</v>
      </c>
      <c r="C1078" s="4">
        <v>96.89</v>
      </c>
      <c r="D1078">
        <f t="shared" si="36"/>
        <v>-0.93611451780933919</v>
      </c>
      <c r="E1078">
        <v>1.6790848987301876E-2</v>
      </c>
      <c r="F1078">
        <v>1075</v>
      </c>
      <c r="G1078">
        <f t="shared" ca="1" si="37"/>
        <v>-2.4866663748613328E-2</v>
      </c>
    </row>
    <row r="1079" spans="2:7" x14ac:dyDescent="0.35">
      <c r="B1079" s="2">
        <v>44134</v>
      </c>
      <c r="C1079" s="4">
        <v>1516.62</v>
      </c>
      <c r="D1079">
        <f t="shared" si="36"/>
        <v>45.309007633587782</v>
      </c>
      <c r="E1079">
        <v>1.6767117410046772E-2</v>
      </c>
      <c r="F1079">
        <v>1076</v>
      </c>
      <c r="G1079">
        <f t="shared" ca="1" si="37"/>
        <v>4.2899793895273285E-2</v>
      </c>
    </row>
    <row r="1080" spans="2:7" x14ac:dyDescent="0.35">
      <c r="B1080" s="2">
        <v>39856</v>
      </c>
      <c r="C1080" s="4">
        <v>32.75</v>
      </c>
      <c r="D1080">
        <f t="shared" si="36"/>
        <v>-0.99636887767829918</v>
      </c>
      <c r="E1080">
        <v>1.6764979819931636E-2</v>
      </c>
      <c r="F1080">
        <v>1077</v>
      </c>
      <c r="G1080">
        <f t="shared" ca="1" si="37"/>
        <v>-1.1190591781578397E-2</v>
      </c>
    </row>
    <row r="1081" spans="2:7" x14ac:dyDescent="0.35">
      <c r="B1081" s="2">
        <v>44803</v>
      </c>
      <c r="C1081" s="4">
        <v>9019.25</v>
      </c>
      <c r="D1081">
        <f t="shared" si="36"/>
        <v>86.226789168278529</v>
      </c>
      <c r="E1081">
        <v>1.6728949311509034E-2</v>
      </c>
      <c r="F1081">
        <v>1078</v>
      </c>
      <c r="G1081">
        <f t="shared" ca="1" si="37"/>
        <v>6.3925416902058793E-3</v>
      </c>
    </row>
    <row r="1082" spans="2:7" x14ac:dyDescent="0.35">
      <c r="B1082" s="2">
        <v>40595</v>
      </c>
      <c r="C1082" s="4">
        <v>103.4</v>
      </c>
      <c r="D1082">
        <f t="shared" si="36"/>
        <v>0.40470044830865382</v>
      </c>
      <c r="E1082">
        <v>1.6715830875122961E-2</v>
      </c>
      <c r="F1082">
        <v>1079</v>
      </c>
      <c r="G1082">
        <f t="shared" ca="1" si="37"/>
        <v>-2.9322485388230062E-2</v>
      </c>
    </row>
    <row r="1083" spans="2:7" x14ac:dyDescent="0.35">
      <c r="B1083" s="2">
        <v>38692</v>
      </c>
      <c r="C1083" s="4">
        <v>73.61</v>
      </c>
      <c r="D1083">
        <f t="shared" si="36"/>
        <v>-0.53823474060598464</v>
      </c>
      <c r="E1083">
        <v>1.6712707182320319E-2</v>
      </c>
      <c r="F1083">
        <v>1080</v>
      </c>
      <c r="G1083">
        <f t="shared" ca="1" si="37"/>
        <v>-3.7579663480308882E-2</v>
      </c>
    </row>
    <row r="1084" spans="2:7" x14ac:dyDescent="0.35">
      <c r="B1084" s="2">
        <v>41627</v>
      </c>
      <c r="C1084" s="4">
        <v>159.41</v>
      </c>
      <c r="D1084">
        <f t="shared" si="36"/>
        <v>-0.77664597665718571</v>
      </c>
      <c r="E1084">
        <v>1.6710249378149244E-2</v>
      </c>
      <c r="F1084">
        <v>1081</v>
      </c>
      <c r="G1084">
        <f t="shared" ca="1" si="37"/>
        <v>1.7788786938188169E-3</v>
      </c>
    </row>
    <row r="1085" spans="2:7" x14ac:dyDescent="0.35">
      <c r="B1085" s="2">
        <v>42628</v>
      </c>
      <c r="C1085" s="4">
        <v>713.71</v>
      </c>
      <c r="D1085">
        <f t="shared" si="36"/>
        <v>0.14084079283887463</v>
      </c>
      <c r="E1085">
        <v>1.6709877774295556E-2</v>
      </c>
      <c r="F1085">
        <v>1082</v>
      </c>
      <c r="G1085">
        <f t="shared" ca="1" si="37"/>
        <v>8.8744794612212307E-3</v>
      </c>
    </row>
    <row r="1086" spans="2:7" x14ac:dyDescent="0.35">
      <c r="B1086" s="2">
        <v>42732</v>
      </c>
      <c r="C1086" s="4">
        <v>625.6</v>
      </c>
      <c r="D1086">
        <f t="shared" si="36"/>
        <v>-0.30077120822622105</v>
      </c>
      <c r="E1086">
        <v>1.6690231258024157E-2</v>
      </c>
      <c r="F1086">
        <v>1083</v>
      </c>
      <c r="G1086">
        <f t="shared" ca="1" si="37"/>
        <v>5.1963700929936289E-2</v>
      </c>
    </row>
    <row r="1087" spans="2:7" x14ac:dyDescent="0.35">
      <c r="B1087" s="2">
        <v>42450</v>
      </c>
      <c r="C1087" s="4">
        <v>894.7</v>
      </c>
      <c r="D1087">
        <f t="shared" si="36"/>
        <v>0.37059958944820637</v>
      </c>
      <c r="E1087">
        <v>1.6681439058203296E-2</v>
      </c>
      <c r="F1087">
        <v>1084</v>
      </c>
      <c r="G1087">
        <f t="shared" ca="1" si="37"/>
        <v>-9.6059536245964132E-3</v>
      </c>
    </row>
    <row r="1088" spans="2:7" x14ac:dyDescent="0.35">
      <c r="B1088" s="2">
        <v>42745</v>
      </c>
      <c r="C1088" s="4">
        <v>652.78</v>
      </c>
      <c r="D1088">
        <f t="shared" si="36"/>
        <v>1.6162478457777243</v>
      </c>
      <c r="E1088">
        <v>1.6680424252807136E-2</v>
      </c>
      <c r="F1088">
        <v>1085</v>
      </c>
      <c r="G1088">
        <f t="shared" ca="1" si="37"/>
        <v>-1.83104865080738E-3</v>
      </c>
    </row>
    <row r="1089" spans="2:7" x14ac:dyDescent="0.35">
      <c r="B1089" s="2">
        <v>41731</v>
      </c>
      <c r="C1089" s="4">
        <v>249.51</v>
      </c>
      <c r="D1089">
        <f t="shared" si="36"/>
        <v>3.5439810599162263</v>
      </c>
      <c r="E1089">
        <v>1.6665308450819039E-2</v>
      </c>
      <c r="F1089">
        <v>1086</v>
      </c>
      <c r="G1089">
        <f t="shared" ca="1" si="37"/>
        <v>4.0878480980145522E-2</v>
      </c>
    </row>
    <row r="1090" spans="2:7" x14ac:dyDescent="0.35">
      <c r="B1090" s="2">
        <v>38384</v>
      </c>
      <c r="C1090" s="4">
        <v>54.91</v>
      </c>
      <c r="D1090">
        <f t="shared" si="36"/>
        <v>1.2994137353433834</v>
      </c>
      <c r="E1090">
        <v>1.6663580818367052E-2</v>
      </c>
      <c r="F1090">
        <v>1087</v>
      </c>
      <c r="G1090">
        <f t="shared" ca="1" si="37"/>
        <v>-3.956696229595958E-2</v>
      </c>
    </row>
    <row r="1091" spans="2:7" x14ac:dyDescent="0.35">
      <c r="B1091" s="2">
        <v>37789</v>
      </c>
      <c r="C1091" s="4">
        <v>23.88</v>
      </c>
      <c r="D1091">
        <f t="shared" si="36"/>
        <v>-0.97122856901890386</v>
      </c>
      <c r="E1091">
        <v>1.6602809706258048E-2</v>
      </c>
      <c r="F1091">
        <v>1088</v>
      </c>
      <c r="G1091">
        <f t="shared" ca="1" si="37"/>
        <v>-5.7475820567454965E-3</v>
      </c>
    </row>
    <row r="1092" spans="2:7" x14ac:dyDescent="0.35">
      <c r="B1092" s="2">
        <v>42515</v>
      </c>
      <c r="C1092" s="4">
        <v>829.99</v>
      </c>
      <c r="D1092">
        <f t="shared" ref="D1092:D1155" si="38">C1092/C1093-1</f>
        <v>9.4217729784028119</v>
      </c>
      <c r="E1092">
        <v>1.6596443094409885E-2</v>
      </c>
      <c r="F1092">
        <v>1089</v>
      </c>
      <c r="G1092">
        <f t="shared" ca="1" si="37"/>
        <v>1.4356222630016513E-2</v>
      </c>
    </row>
    <row r="1093" spans="2:7" x14ac:dyDescent="0.35">
      <c r="B1093" s="2">
        <v>41429</v>
      </c>
      <c r="C1093" s="4">
        <v>79.64</v>
      </c>
      <c r="D1093">
        <f t="shared" si="38"/>
        <v>0.28638345986108882</v>
      </c>
      <c r="E1093">
        <v>1.6594332397242839E-2</v>
      </c>
      <c r="F1093">
        <v>1090</v>
      </c>
      <c r="G1093">
        <f t="shared" ref="G1093:G1156" ca="1" si="39">_xlfn.NORM.INV(RAND(),K$6,K$7)</f>
        <v>-1.8731757029892732E-2</v>
      </c>
    </row>
    <row r="1094" spans="2:7" x14ac:dyDescent="0.35">
      <c r="B1094" s="2">
        <v>38937</v>
      </c>
      <c r="C1094" s="4">
        <v>61.91</v>
      </c>
      <c r="D1094">
        <f t="shared" si="38"/>
        <v>-0.78004760720503075</v>
      </c>
      <c r="E1094">
        <v>1.6584564860426809E-2</v>
      </c>
      <c r="F1094">
        <v>1091</v>
      </c>
      <c r="G1094">
        <f t="shared" ca="1" si="39"/>
        <v>-3.2193120978261477E-2</v>
      </c>
    </row>
    <row r="1095" spans="2:7" x14ac:dyDescent="0.35">
      <c r="B1095" s="2">
        <v>41827</v>
      </c>
      <c r="C1095" s="4">
        <v>281.47000000000003</v>
      </c>
      <c r="D1095">
        <f t="shared" si="38"/>
        <v>4.3973154362416116</v>
      </c>
      <c r="E1095">
        <v>1.6577578734469967E-2</v>
      </c>
      <c r="F1095">
        <v>1092</v>
      </c>
      <c r="G1095">
        <f t="shared" ca="1" si="39"/>
        <v>1.3761484778584819E-2</v>
      </c>
    </row>
    <row r="1096" spans="2:7" x14ac:dyDescent="0.35">
      <c r="B1096" s="2">
        <v>38355</v>
      </c>
      <c r="C1096" s="4">
        <v>52.15</v>
      </c>
      <c r="D1096">
        <f t="shared" si="38"/>
        <v>-0.94383051139545904</v>
      </c>
      <c r="E1096">
        <v>1.6569200779727122E-2</v>
      </c>
      <c r="F1096">
        <v>1093</v>
      </c>
      <c r="G1096">
        <f t="shared" ca="1" si="39"/>
        <v>1.25614066090852E-2</v>
      </c>
    </row>
    <row r="1097" spans="2:7" x14ac:dyDescent="0.35">
      <c r="B1097" s="2">
        <v>43103</v>
      </c>
      <c r="C1097" s="4">
        <v>928.44</v>
      </c>
      <c r="D1097">
        <f t="shared" si="38"/>
        <v>0.16459697448634003</v>
      </c>
      <c r="E1097">
        <v>1.6566116652615426E-2</v>
      </c>
      <c r="F1097">
        <v>1094</v>
      </c>
      <c r="G1097">
        <f t="shared" ca="1" si="39"/>
        <v>-4.4121004307106238E-3</v>
      </c>
    </row>
    <row r="1098" spans="2:7" x14ac:dyDescent="0.35">
      <c r="B1098" s="2">
        <v>43040</v>
      </c>
      <c r="C1098" s="4">
        <v>797.22</v>
      </c>
      <c r="D1098">
        <f t="shared" si="38"/>
        <v>33.171453064723536</v>
      </c>
      <c r="E1098">
        <v>1.6564018208943709E-2</v>
      </c>
      <c r="F1098">
        <v>1095</v>
      </c>
      <c r="G1098">
        <f t="shared" ca="1" si="39"/>
        <v>-1.913990092309744E-2</v>
      </c>
    </row>
    <row r="1099" spans="2:7" x14ac:dyDescent="0.35">
      <c r="B1099" s="2">
        <v>37701</v>
      </c>
      <c r="C1099" s="4">
        <v>23.33</v>
      </c>
      <c r="D1099">
        <f t="shared" si="38"/>
        <v>-0.63835064331111457</v>
      </c>
      <c r="E1099">
        <v>1.6557734204792895E-2</v>
      </c>
      <c r="F1099">
        <v>1096</v>
      </c>
      <c r="G1099">
        <f t="shared" ca="1" si="39"/>
        <v>1.9585941556727968E-2</v>
      </c>
    </row>
    <row r="1100" spans="2:7" x14ac:dyDescent="0.35">
      <c r="B1100" s="2">
        <v>38775</v>
      </c>
      <c r="C1100" s="4">
        <v>64.510000000000005</v>
      </c>
      <c r="D1100">
        <f t="shared" si="38"/>
        <v>-0.91644756440311359</v>
      </c>
      <c r="E1100">
        <v>1.6545855657106978E-2</v>
      </c>
      <c r="F1100">
        <v>1097</v>
      </c>
      <c r="G1100">
        <f t="shared" ca="1" si="39"/>
        <v>2.1359311027454919E-2</v>
      </c>
    </row>
    <row r="1101" spans="2:7" x14ac:dyDescent="0.35">
      <c r="B1101" s="2">
        <v>43004</v>
      </c>
      <c r="C1101" s="4">
        <v>772.09</v>
      </c>
      <c r="D1101">
        <f t="shared" si="38"/>
        <v>6.6527901675091687</v>
      </c>
      <c r="E1101">
        <v>1.6536542335391813E-2</v>
      </c>
      <c r="F1101">
        <v>1098</v>
      </c>
      <c r="G1101">
        <f t="shared" ca="1" si="39"/>
        <v>2.4224647534697313E-2</v>
      </c>
    </row>
    <row r="1102" spans="2:7" x14ac:dyDescent="0.35">
      <c r="B1102" s="2">
        <v>41275</v>
      </c>
      <c r="C1102" s="4">
        <v>100.89</v>
      </c>
      <c r="D1102">
        <f t="shared" si="38"/>
        <v>-0.88385693071016613</v>
      </c>
      <c r="E1102">
        <v>1.652392947103265E-2</v>
      </c>
      <c r="F1102">
        <v>1099</v>
      </c>
      <c r="G1102">
        <f t="shared" ca="1" si="39"/>
        <v>8.1381979369934861E-3</v>
      </c>
    </row>
    <row r="1103" spans="2:7" x14ac:dyDescent="0.35">
      <c r="B1103" s="2">
        <v>43503</v>
      </c>
      <c r="C1103" s="4">
        <v>868.67</v>
      </c>
      <c r="D1103">
        <f t="shared" si="38"/>
        <v>27.811608623548921</v>
      </c>
      <c r="E1103">
        <v>1.6523316365338436E-2</v>
      </c>
      <c r="F1103">
        <v>1100</v>
      </c>
      <c r="G1103">
        <f t="shared" ca="1" si="39"/>
        <v>1.0255798536211856E-2</v>
      </c>
    </row>
    <row r="1104" spans="2:7" x14ac:dyDescent="0.35">
      <c r="B1104" s="2">
        <v>37932</v>
      </c>
      <c r="C1104" s="4">
        <v>30.15</v>
      </c>
      <c r="D1104">
        <f t="shared" si="38"/>
        <v>-0.64765688909664598</v>
      </c>
      <c r="E1104">
        <v>1.6520566419420124E-2</v>
      </c>
      <c r="F1104">
        <v>1101</v>
      </c>
      <c r="G1104">
        <f t="shared" ca="1" si="39"/>
        <v>-3.9518213427363622E-3</v>
      </c>
    </row>
    <row r="1105" spans="2:7" x14ac:dyDescent="0.35">
      <c r="B1105" s="2">
        <v>41558</v>
      </c>
      <c r="C1105" s="4">
        <v>85.57</v>
      </c>
      <c r="D1105">
        <f t="shared" si="38"/>
        <v>1.1371128871128868</v>
      </c>
      <c r="E1105">
        <v>1.6512235685435916E-2</v>
      </c>
      <c r="F1105">
        <v>1102</v>
      </c>
      <c r="G1105">
        <f t="shared" ca="1" si="39"/>
        <v>-1.242756271291298E-2</v>
      </c>
    </row>
    <row r="1106" spans="2:7" x14ac:dyDescent="0.35">
      <c r="B1106" s="2">
        <v>38209</v>
      </c>
      <c r="C1106" s="4">
        <v>40.04</v>
      </c>
      <c r="D1106">
        <f t="shared" si="38"/>
        <v>-0.51230207064555411</v>
      </c>
      <c r="E1106">
        <v>1.6501650165016368E-2</v>
      </c>
      <c r="F1106">
        <v>1103</v>
      </c>
      <c r="G1106">
        <f t="shared" ca="1" si="39"/>
        <v>4.4551502434769963E-2</v>
      </c>
    </row>
    <row r="1107" spans="2:7" x14ac:dyDescent="0.35">
      <c r="B1107" s="2">
        <v>40869</v>
      </c>
      <c r="C1107" s="4">
        <v>82.1</v>
      </c>
      <c r="D1107">
        <f t="shared" si="38"/>
        <v>1.2524005486968446</v>
      </c>
      <c r="E1107">
        <v>1.6466509842763433E-2</v>
      </c>
      <c r="F1107">
        <v>1104</v>
      </c>
      <c r="G1107">
        <f t="shared" ca="1" si="39"/>
        <v>2.6215502369561815E-3</v>
      </c>
    </row>
    <row r="1108" spans="2:7" x14ac:dyDescent="0.35">
      <c r="B1108" s="2">
        <v>38174</v>
      </c>
      <c r="C1108" s="4">
        <v>36.450000000000003</v>
      </c>
      <c r="D1108">
        <f t="shared" si="38"/>
        <v>-0.50428396572827416</v>
      </c>
      <c r="E1108">
        <v>1.6452872281093267E-2</v>
      </c>
      <c r="F1108">
        <v>1105</v>
      </c>
      <c r="G1108">
        <f t="shared" ca="1" si="39"/>
        <v>4.1274166842160849E-2</v>
      </c>
    </row>
    <row r="1109" spans="2:7" x14ac:dyDescent="0.35">
      <c r="B1109" s="2">
        <v>39624</v>
      </c>
      <c r="C1109" s="4">
        <v>73.53</v>
      </c>
      <c r="D1109">
        <f t="shared" si="38"/>
        <v>-0.98840257405129173</v>
      </c>
      <c r="E1109">
        <v>1.645009676527498E-2</v>
      </c>
      <c r="F1109">
        <v>1106</v>
      </c>
      <c r="G1109">
        <f t="shared" ca="1" si="39"/>
        <v>-6.3119638075579613E-4</v>
      </c>
    </row>
    <row r="1110" spans="2:7" x14ac:dyDescent="0.35">
      <c r="B1110" s="2">
        <v>44993</v>
      </c>
      <c r="C1110" s="4">
        <v>6340.2</v>
      </c>
      <c r="D1110">
        <f t="shared" si="38"/>
        <v>97.373933281613645</v>
      </c>
      <c r="E1110">
        <v>1.6440486401128718E-2</v>
      </c>
      <c r="F1110">
        <v>1107</v>
      </c>
      <c r="G1110">
        <f t="shared" ca="1" si="39"/>
        <v>4.2666182600482605E-3</v>
      </c>
    </row>
    <row r="1111" spans="2:7" x14ac:dyDescent="0.35">
      <c r="B1111" s="2">
        <v>38538</v>
      </c>
      <c r="C1111" s="4">
        <v>64.45</v>
      </c>
      <c r="D1111">
        <f t="shared" si="38"/>
        <v>-0.989167065863231</v>
      </c>
      <c r="E1111">
        <v>1.6401198549124807E-2</v>
      </c>
      <c r="F1111">
        <v>1108</v>
      </c>
      <c r="G1111">
        <f t="shared" ca="1" si="39"/>
        <v>9.2608451144769784E-3</v>
      </c>
    </row>
    <row r="1112" spans="2:7" x14ac:dyDescent="0.35">
      <c r="B1112" s="2">
        <v>44532</v>
      </c>
      <c r="C1112" s="4">
        <v>5949.45</v>
      </c>
      <c r="D1112">
        <f t="shared" si="38"/>
        <v>226.94827586206895</v>
      </c>
      <c r="E1112">
        <v>1.6367593497379263E-2</v>
      </c>
      <c r="F1112">
        <v>1109</v>
      </c>
      <c r="G1112">
        <f t="shared" ca="1" si="39"/>
        <v>4.6469740012624272E-2</v>
      </c>
    </row>
    <row r="1113" spans="2:7" x14ac:dyDescent="0.35">
      <c r="B1113" s="2">
        <v>37860</v>
      </c>
      <c r="C1113" s="4">
        <v>26.1</v>
      </c>
      <c r="D1113">
        <f t="shared" si="38"/>
        <v>-0.73926073926073921</v>
      </c>
      <c r="E1113">
        <v>1.6355140186915973E-2</v>
      </c>
      <c r="F1113">
        <v>1110</v>
      </c>
      <c r="G1113">
        <f t="shared" ca="1" si="39"/>
        <v>-4.3597671469939987E-2</v>
      </c>
    </row>
    <row r="1114" spans="2:7" x14ac:dyDescent="0.35">
      <c r="B1114" s="2">
        <v>40189</v>
      </c>
      <c r="C1114" s="4">
        <v>100.1</v>
      </c>
      <c r="D1114">
        <f t="shared" si="38"/>
        <v>-0.97991540795197352</v>
      </c>
      <c r="E1114">
        <v>1.6346837242359635E-2</v>
      </c>
      <c r="F1114">
        <v>1111</v>
      </c>
      <c r="G1114">
        <f t="shared" ca="1" si="39"/>
        <v>-1.1262428706819976E-3</v>
      </c>
    </row>
    <row r="1115" spans="2:7" x14ac:dyDescent="0.35">
      <c r="B1115" s="2">
        <v>44452</v>
      </c>
      <c r="C1115" s="4">
        <v>4983.92</v>
      </c>
      <c r="D1115">
        <f t="shared" si="38"/>
        <v>5.0888666267577243</v>
      </c>
      <c r="E1115">
        <v>1.6344567547009747E-2</v>
      </c>
      <c r="F1115">
        <v>1112</v>
      </c>
      <c r="G1115">
        <f t="shared" ca="1" si="39"/>
        <v>-6.1930241584006269E-3</v>
      </c>
    </row>
    <row r="1116" spans="2:7" x14ac:dyDescent="0.35">
      <c r="B1116" s="2">
        <v>42233</v>
      </c>
      <c r="C1116" s="4">
        <v>818.53</v>
      </c>
      <c r="D1116">
        <f t="shared" si="38"/>
        <v>5.8358944379488893</v>
      </c>
      <c r="E1116">
        <v>1.6302458405761167E-2</v>
      </c>
      <c r="F1116">
        <v>1113</v>
      </c>
      <c r="G1116">
        <f t="shared" ca="1" si="39"/>
        <v>6.6505745791342774E-2</v>
      </c>
    </row>
    <row r="1117" spans="2:7" x14ac:dyDescent="0.35">
      <c r="B1117" s="2">
        <v>40533</v>
      </c>
      <c r="C1117" s="4">
        <v>119.74</v>
      </c>
      <c r="D1117">
        <f t="shared" si="38"/>
        <v>-0.78234631184789327</v>
      </c>
      <c r="E1117">
        <v>1.6296044814123167E-2</v>
      </c>
      <c r="F1117">
        <v>1114</v>
      </c>
      <c r="G1117">
        <f t="shared" ca="1" si="39"/>
        <v>9.3989676811066236E-3</v>
      </c>
    </row>
    <row r="1118" spans="2:7" x14ac:dyDescent="0.35">
      <c r="B1118" s="2">
        <v>42177</v>
      </c>
      <c r="C1118" s="4">
        <v>550.14</v>
      </c>
      <c r="D1118">
        <f t="shared" si="38"/>
        <v>-0.88595605657627707</v>
      </c>
      <c r="E1118">
        <v>1.6274730755731159E-2</v>
      </c>
      <c r="F1118">
        <v>1115</v>
      </c>
      <c r="G1118">
        <f t="shared" ca="1" si="39"/>
        <v>4.785726787174064E-2</v>
      </c>
    </row>
    <row r="1119" spans="2:7" x14ac:dyDescent="0.35">
      <c r="B1119" s="2">
        <v>44440</v>
      </c>
      <c r="C1119" s="4">
        <v>4823.93</v>
      </c>
      <c r="D1119">
        <f t="shared" si="38"/>
        <v>64.347195881874839</v>
      </c>
      <c r="E1119">
        <v>1.6255264105907719E-2</v>
      </c>
      <c r="F1119">
        <v>1116</v>
      </c>
      <c r="G1119">
        <f t="shared" ca="1" si="39"/>
        <v>4.1780447400688217E-2</v>
      </c>
    </row>
    <row r="1120" spans="2:7" x14ac:dyDescent="0.35">
      <c r="B1120" s="2">
        <v>39493</v>
      </c>
      <c r="C1120" s="4">
        <v>73.819999999999993</v>
      </c>
      <c r="D1120">
        <f t="shared" si="38"/>
        <v>-0.92241234339527456</v>
      </c>
      <c r="E1120">
        <v>1.6244493392070458E-2</v>
      </c>
      <c r="F1120">
        <v>1117</v>
      </c>
      <c r="G1120">
        <f t="shared" ca="1" si="39"/>
        <v>3.6216890177250223E-2</v>
      </c>
    </row>
    <row r="1121" spans="2:7" x14ac:dyDescent="0.35">
      <c r="B1121" s="2">
        <v>44042</v>
      </c>
      <c r="C1121" s="4">
        <v>951.44</v>
      </c>
      <c r="D1121">
        <f t="shared" si="38"/>
        <v>6.3949945593035915</v>
      </c>
      <c r="E1121">
        <v>1.6213444983231184E-2</v>
      </c>
      <c r="F1121">
        <v>1118</v>
      </c>
      <c r="G1121">
        <f t="shared" ca="1" si="39"/>
        <v>-2.9984267972835401E-2</v>
      </c>
    </row>
    <row r="1122" spans="2:7" x14ac:dyDescent="0.35">
      <c r="B1122" s="2">
        <v>40542</v>
      </c>
      <c r="C1122" s="4">
        <v>128.66</v>
      </c>
      <c r="D1122">
        <f t="shared" si="38"/>
        <v>-0.90290763925048867</v>
      </c>
      <c r="E1122">
        <v>1.6191454071558198E-2</v>
      </c>
      <c r="F1122">
        <v>1119</v>
      </c>
      <c r="G1122">
        <f t="shared" ca="1" si="39"/>
        <v>2.8935850059174709E-2</v>
      </c>
    </row>
    <row r="1123" spans="2:7" x14ac:dyDescent="0.35">
      <c r="B1123" s="2">
        <v>43320</v>
      </c>
      <c r="C1123" s="4">
        <v>1325.13</v>
      </c>
      <c r="D1123">
        <f t="shared" si="38"/>
        <v>4.0960658385570907</v>
      </c>
      <c r="E1123">
        <v>1.6172816784761235E-2</v>
      </c>
      <c r="F1123">
        <v>1120</v>
      </c>
      <c r="G1123">
        <f t="shared" ca="1" si="39"/>
        <v>1.92430570957225E-2</v>
      </c>
    </row>
    <row r="1124" spans="2:7" x14ac:dyDescent="0.35">
      <c r="B1124" s="2">
        <v>41719</v>
      </c>
      <c r="C1124" s="4">
        <v>260.02999999999997</v>
      </c>
      <c r="D1124">
        <f t="shared" si="38"/>
        <v>1.3820996702088677</v>
      </c>
      <c r="E1124">
        <v>1.6139116842516454E-2</v>
      </c>
      <c r="F1124">
        <v>1121</v>
      </c>
      <c r="G1124">
        <f t="shared" ca="1" si="39"/>
        <v>3.8696549118980426E-2</v>
      </c>
    </row>
    <row r="1125" spans="2:7" x14ac:dyDescent="0.35">
      <c r="B1125" s="2">
        <v>40347</v>
      </c>
      <c r="C1125" s="4">
        <v>109.16</v>
      </c>
      <c r="D1125">
        <f t="shared" si="38"/>
        <v>-0.89101655318384221</v>
      </c>
      <c r="E1125">
        <v>1.6103509261844895E-2</v>
      </c>
      <c r="F1125">
        <v>1122</v>
      </c>
      <c r="G1125">
        <f t="shared" ca="1" si="39"/>
        <v>7.1774186463356314E-3</v>
      </c>
    </row>
    <row r="1126" spans="2:7" x14ac:dyDescent="0.35">
      <c r="B1126" s="2">
        <v>43409</v>
      </c>
      <c r="C1126" s="4">
        <v>1001.62</v>
      </c>
      <c r="D1126">
        <f t="shared" si="38"/>
        <v>1.969170569751586</v>
      </c>
      <c r="E1126">
        <v>1.6089108910890992E-2</v>
      </c>
      <c r="F1126">
        <v>1123</v>
      </c>
      <c r="G1126">
        <f t="shared" ca="1" si="39"/>
        <v>5.0249336718927624E-3</v>
      </c>
    </row>
    <row r="1127" spans="2:7" x14ac:dyDescent="0.35">
      <c r="B1127" s="2">
        <v>42019</v>
      </c>
      <c r="C1127" s="4">
        <v>337.34</v>
      </c>
      <c r="D1127">
        <f t="shared" si="38"/>
        <v>-0.61298242393648761</v>
      </c>
      <c r="E1127">
        <v>1.6084337349397515E-2</v>
      </c>
      <c r="F1127">
        <v>1124</v>
      </c>
      <c r="G1127">
        <f t="shared" ca="1" si="39"/>
        <v>-1.1144893113350863E-2</v>
      </c>
    </row>
    <row r="1128" spans="2:7" x14ac:dyDescent="0.35">
      <c r="B1128" s="2">
        <v>43529</v>
      </c>
      <c r="C1128" s="4">
        <v>871.64</v>
      </c>
      <c r="D1128">
        <f t="shared" si="38"/>
        <v>-0.71074341769043403</v>
      </c>
      <c r="E1128">
        <v>1.6075071399428653E-2</v>
      </c>
      <c r="F1128">
        <v>1125</v>
      </c>
      <c r="G1128">
        <f t="shared" ca="1" si="39"/>
        <v>2.7228300016383183E-2</v>
      </c>
    </row>
    <row r="1129" spans="2:7" x14ac:dyDescent="0.35">
      <c r="B1129" s="2">
        <v>44308</v>
      </c>
      <c r="C1129" s="4">
        <v>3013.38</v>
      </c>
      <c r="D1129">
        <f t="shared" si="38"/>
        <v>98.189598420013169</v>
      </c>
      <c r="E1129">
        <v>1.6070296589024036E-2</v>
      </c>
      <c r="F1129">
        <v>1126</v>
      </c>
      <c r="G1129">
        <f t="shared" ca="1" si="39"/>
        <v>-3.5451438151999949E-3</v>
      </c>
    </row>
    <row r="1130" spans="2:7" x14ac:dyDescent="0.35">
      <c r="B1130" s="2">
        <v>38140</v>
      </c>
      <c r="C1130" s="4">
        <v>30.38</v>
      </c>
      <c r="D1130">
        <f t="shared" si="38"/>
        <v>0.41105434277751951</v>
      </c>
      <c r="E1130">
        <v>1.6053511705685697E-2</v>
      </c>
      <c r="F1130">
        <v>1127</v>
      </c>
      <c r="G1130">
        <f t="shared" ca="1" si="39"/>
        <v>-3.1444920628212469E-2</v>
      </c>
    </row>
    <row r="1131" spans="2:7" x14ac:dyDescent="0.35">
      <c r="B1131" s="2">
        <v>37756</v>
      </c>
      <c r="C1131" s="4">
        <v>21.53</v>
      </c>
      <c r="D1131">
        <f t="shared" si="38"/>
        <v>-0.63446519524617995</v>
      </c>
      <c r="E1131">
        <v>1.6045304388862647E-2</v>
      </c>
      <c r="F1131">
        <v>1128</v>
      </c>
      <c r="G1131">
        <f t="shared" ca="1" si="39"/>
        <v>-1.4973308271817351E-2</v>
      </c>
    </row>
    <row r="1132" spans="2:7" x14ac:dyDescent="0.35">
      <c r="B1132" s="2">
        <v>38478</v>
      </c>
      <c r="C1132" s="4">
        <v>58.9</v>
      </c>
      <c r="D1132">
        <f t="shared" si="38"/>
        <v>-0.35908596300326445</v>
      </c>
      <c r="E1132">
        <v>1.6042780748663166E-2</v>
      </c>
      <c r="F1132">
        <v>1129</v>
      </c>
      <c r="G1132">
        <f t="shared" ca="1" si="39"/>
        <v>-2.1824607211085739E-2</v>
      </c>
    </row>
    <row r="1133" spans="2:7" x14ac:dyDescent="0.35">
      <c r="B1133" s="2">
        <v>39069</v>
      </c>
      <c r="C1133" s="4">
        <v>91.9</v>
      </c>
      <c r="D1133">
        <f t="shared" si="38"/>
        <v>0.83469754442004396</v>
      </c>
      <c r="E1133">
        <v>1.603095632946383E-2</v>
      </c>
      <c r="F1133">
        <v>1130</v>
      </c>
      <c r="G1133">
        <f t="shared" ca="1" si="39"/>
        <v>2.5331508000644123E-2</v>
      </c>
    </row>
    <row r="1134" spans="2:7" x14ac:dyDescent="0.35">
      <c r="B1134" s="2">
        <v>38286</v>
      </c>
      <c r="C1134" s="4">
        <v>50.09</v>
      </c>
      <c r="D1134">
        <f t="shared" si="38"/>
        <v>-0.42800045677743515</v>
      </c>
      <c r="E1134">
        <v>1.6024340770791179E-2</v>
      </c>
      <c r="F1134">
        <v>1131</v>
      </c>
      <c r="G1134">
        <f t="shared" ca="1" si="39"/>
        <v>1.0924856503190703E-3</v>
      </c>
    </row>
    <row r="1135" spans="2:7" x14ac:dyDescent="0.35">
      <c r="B1135" s="2">
        <v>39409</v>
      </c>
      <c r="C1135" s="4">
        <v>87.57</v>
      </c>
      <c r="D1135">
        <f t="shared" si="38"/>
        <v>0.43580914904082624</v>
      </c>
      <c r="E1135">
        <v>1.6011138183083862E-2</v>
      </c>
      <c r="F1135">
        <v>1132</v>
      </c>
      <c r="G1135">
        <f t="shared" ca="1" si="39"/>
        <v>4.2455830900642727E-2</v>
      </c>
    </row>
    <row r="1136" spans="2:7" x14ac:dyDescent="0.35">
      <c r="B1136" s="2">
        <v>39689</v>
      </c>
      <c r="C1136" s="4">
        <v>60.99</v>
      </c>
      <c r="D1136">
        <f t="shared" si="38"/>
        <v>-0.2001311475409836</v>
      </c>
      <c r="E1136">
        <v>1.5992003998001048E-2</v>
      </c>
      <c r="F1136">
        <v>1133</v>
      </c>
      <c r="G1136">
        <f t="shared" ca="1" si="39"/>
        <v>-7.9491100009539392E-2</v>
      </c>
    </row>
    <row r="1137" spans="2:7" x14ac:dyDescent="0.35">
      <c r="B1137" s="2">
        <v>41536</v>
      </c>
      <c r="C1137" s="4">
        <v>76.25</v>
      </c>
      <c r="D1137">
        <f t="shared" si="38"/>
        <v>-0.91885621854015687</v>
      </c>
      <c r="E1137">
        <v>1.5989340439706901E-2</v>
      </c>
      <c r="F1137">
        <v>1134</v>
      </c>
      <c r="G1137">
        <f t="shared" ca="1" si="39"/>
        <v>1.1535413437698618E-2</v>
      </c>
    </row>
    <row r="1138" spans="2:7" x14ac:dyDescent="0.35">
      <c r="B1138" s="2">
        <v>43395</v>
      </c>
      <c r="C1138" s="4">
        <v>939.69</v>
      </c>
      <c r="D1138">
        <f t="shared" si="38"/>
        <v>7.7169758812615967</v>
      </c>
      <c r="E1138">
        <v>1.59799331826882E-2</v>
      </c>
      <c r="F1138">
        <v>1135</v>
      </c>
      <c r="G1138">
        <f t="shared" ca="1" si="39"/>
        <v>-1.3922878119354134E-2</v>
      </c>
    </row>
    <row r="1139" spans="2:7" x14ac:dyDescent="0.35">
      <c r="B1139" s="2">
        <v>39451</v>
      </c>
      <c r="C1139" s="4">
        <v>107.8</v>
      </c>
      <c r="D1139">
        <f t="shared" si="38"/>
        <v>-0.89453809053288591</v>
      </c>
      <c r="E1139">
        <v>1.5926868344171119E-2</v>
      </c>
      <c r="F1139">
        <v>1136</v>
      </c>
      <c r="G1139">
        <f t="shared" ca="1" si="39"/>
        <v>4.9093792188292698E-2</v>
      </c>
    </row>
    <row r="1140" spans="2:7" x14ac:dyDescent="0.35">
      <c r="B1140" s="2">
        <v>43124</v>
      </c>
      <c r="C1140" s="4">
        <v>1022.17</v>
      </c>
      <c r="D1140">
        <f t="shared" si="38"/>
        <v>-0.61656594756604888</v>
      </c>
      <c r="E1140">
        <v>1.5922079212840945E-2</v>
      </c>
      <c r="F1140">
        <v>1137</v>
      </c>
      <c r="G1140">
        <f t="shared" ca="1" si="39"/>
        <v>-1.4470780034832046E-2</v>
      </c>
    </row>
    <row r="1141" spans="2:7" x14ac:dyDescent="0.35">
      <c r="B1141" s="2">
        <v>44265</v>
      </c>
      <c r="C1141" s="4">
        <v>2665.83</v>
      </c>
      <c r="D1141">
        <f t="shared" si="38"/>
        <v>8.7538692327393797</v>
      </c>
      <c r="E1141">
        <v>1.5918081141437224E-2</v>
      </c>
      <c r="F1141">
        <v>1138</v>
      </c>
      <c r="G1141">
        <f t="shared" ca="1" si="39"/>
        <v>-5.1614339075172919E-2</v>
      </c>
    </row>
    <row r="1142" spans="2:7" x14ac:dyDescent="0.35">
      <c r="B1142" s="2">
        <v>41872</v>
      </c>
      <c r="C1142" s="4">
        <v>273.31</v>
      </c>
      <c r="D1142">
        <f t="shared" si="38"/>
        <v>-0.92180351742547573</v>
      </c>
      <c r="E1142">
        <v>1.5909006430509631E-2</v>
      </c>
      <c r="F1142">
        <v>1139</v>
      </c>
      <c r="G1142">
        <f t="shared" ca="1" si="39"/>
        <v>-3.6764994852838837E-2</v>
      </c>
    </row>
    <row r="1143" spans="2:7" x14ac:dyDescent="0.35">
      <c r="B1143" s="2">
        <v>44319</v>
      </c>
      <c r="C1143" s="4">
        <v>3495.17</v>
      </c>
      <c r="D1143">
        <f t="shared" si="38"/>
        <v>41.381108281799442</v>
      </c>
      <c r="E1143">
        <v>1.5904896161839321E-2</v>
      </c>
      <c r="F1143">
        <v>1140</v>
      </c>
      <c r="G1143">
        <f t="shared" ca="1" si="39"/>
        <v>1.1855093091733226E-2</v>
      </c>
    </row>
    <row r="1144" spans="2:7" x14ac:dyDescent="0.35">
      <c r="B1144" s="2">
        <v>38848</v>
      </c>
      <c r="C1144" s="4">
        <v>82.47</v>
      </c>
      <c r="D1144">
        <f t="shared" si="38"/>
        <v>1.8655316191799858</v>
      </c>
      <c r="E1144">
        <v>1.5890613451589042E-2</v>
      </c>
      <c r="F1144">
        <v>1141</v>
      </c>
      <c r="G1144">
        <f t="shared" ca="1" si="39"/>
        <v>-6.8232521175383542E-3</v>
      </c>
    </row>
    <row r="1145" spans="2:7" x14ac:dyDescent="0.35">
      <c r="B1145" s="2">
        <v>37862</v>
      </c>
      <c r="C1145" s="4">
        <v>28.78</v>
      </c>
      <c r="D1145">
        <f t="shared" si="38"/>
        <v>-0.71703863926850842</v>
      </c>
      <c r="E1145">
        <v>1.5884221673138077E-2</v>
      </c>
      <c r="F1145">
        <v>1142</v>
      </c>
      <c r="G1145">
        <f t="shared" ca="1" si="39"/>
        <v>2.4007401187184921E-2</v>
      </c>
    </row>
    <row r="1146" spans="2:7" x14ac:dyDescent="0.35">
      <c r="B1146" s="2">
        <v>39448</v>
      </c>
      <c r="C1146" s="4">
        <v>101.71</v>
      </c>
      <c r="D1146">
        <f t="shared" si="38"/>
        <v>-0.98564454186314676</v>
      </c>
      <c r="E1146">
        <v>1.5880942868557568E-2</v>
      </c>
      <c r="F1146">
        <v>1143</v>
      </c>
      <c r="G1146">
        <f t="shared" ca="1" si="39"/>
        <v>-3.5913403376096893E-2</v>
      </c>
    </row>
    <row r="1147" spans="2:7" x14ac:dyDescent="0.35">
      <c r="B1147" s="2">
        <v>44631</v>
      </c>
      <c r="C1147" s="4">
        <v>7085.11</v>
      </c>
      <c r="D1147">
        <f t="shared" si="38"/>
        <v>177.15212471712343</v>
      </c>
      <c r="E1147">
        <v>1.5854831795117263E-2</v>
      </c>
      <c r="F1147">
        <v>1144</v>
      </c>
      <c r="G1147">
        <f t="shared" ca="1" si="39"/>
        <v>-3.3228757638991739E-2</v>
      </c>
    </row>
    <row r="1148" spans="2:7" x14ac:dyDescent="0.35">
      <c r="B1148" s="2">
        <v>37979</v>
      </c>
      <c r="C1148" s="4">
        <v>39.770000000000003</v>
      </c>
      <c r="D1148">
        <f t="shared" si="38"/>
        <v>-0.95299498865355525</v>
      </c>
      <c r="E1148">
        <v>1.5836526181353783E-2</v>
      </c>
      <c r="F1148">
        <v>1145</v>
      </c>
      <c r="G1148">
        <f t="shared" ca="1" si="39"/>
        <v>7.8602454014640374E-3</v>
      </c>
    </row>
    <row r="1149" spans="2:7" x14ac:dyDescent="0.35">
      <c r="B1149" s="2">
        <v>43647</v>
      </c>
      <c r="C1149" s="4">
        <v>846.08</v>
      </c>
      <c r="D1149">
        <f t="shared" si="38"/>
        <v>-0.26196146163173095</v>
      </c>
      <c r="E1149">
        <v>1.5824228598871448E-2</v>
      </c>
      <c r="F1149">
        <v>1146</v>
      </c>
      <c r="G1149">
        <f t="shared" ca="1" si="39"/>
        <v>-2.4208378194780663E-2</v>
      </c>
    </row>
    <row r="1150" spans="2:7" x14ac:dyDescent="0.35">
      <c r="B1150" s="2">
        <v>43249</v>
      </c>
      <c r="C1150" s="4">
        <v>1146.3900000000001</v>
      </c>
      <c r="D1150">
        <f t="shared" si="38"/>
        <v>28.237184391736804</v>
      </c>
      <c r="E1150">
        <v>1.580789508661562E-2</v>
      </c>
      <c r="F1150">
        <v>1147</v>
      </c>
      <c r="G1150">
        <f t="shared" ca="1" si="39"/>
        <v>-1.6024406546361537E-2</v>
      </c>
    </row>
    <row r="1151" spans="2:7" x14ac:dyDescent="0.35">
      <c r="B1151" s="2">
        <v>37987</v>
      </c>
      <c r="C1151" s="4">
        <v>39.21</v>
      </c>
      <c r="D1151">
        <f t="shared" si="38"/>
        <v>-0.95183224205496109</v>
      </c>
      <c r="E1151">
        <v>1.5803108808290167E-2</v>
      </c>
      <c r="F1151">
        <v>1148</v>
      </c>
      <c r="G1151">
        <f t="shared" ca="1" si="39"/>
        <v>3.3440985109406518E-2</v>
      </c>
    </row>
    <row r="1152" spans="2:7" x14ac:dyDescent="0.35">
      <c r="B1152" s="2">
        <v>43602</v>
      </c>
      <c r="C1152" s="4">
        <v>814.03</v>
      </c>
      <c r="D1152">
        <f t="shared" si="38"/>
        <v>7.1985094168597037</v>
      </c>
      <c r="E1152">
        <v>1.5797946017445108E-2</v>
      </c>
      <c r="F1152">
        <v>1149</v>
      </c>
      <c r="G1152">
        <f t="shared" ca="1" si="39"/>
        <v>-2.5756912265795382E-2</v>
      </c>
    </row>
    <row r="1153" spans="2:7" x14ac:dyDescent="0.35">
      <c r="B1153" s="2">
        <v>41173</v>
      </c>
      <c r="C1153" s="4">
        <v>99.29</v>
      </c>
      <c r="D1153">
        <f t="shared" si="38"/>
        <v>0.37463657759933544</v>
      </c>
      <c r="E1153">
        <v>1.5754475703324777E-2</v>
      </c>
      <c r="F1153">
        <v>1150</v>
      </c>
      <c r="G1153">
        <f t="shared" ca="1" si="39"/>
        <v>-5.3774508707603967E-2</v>
      </c>
    </row>
    <row r="1154" spans="2:7" x14ac:dyDescent="0.35">
      <c r="B1154" s="2">
        <v>38566</v>
      </c>
      <c r="C1154" s="4">
        <v>72.23</v>
      </c>
      <c r="D1154">
        <f t="shared" si="38"/>
        <v>-0.91273408239700371</v>
      </c>
      <c r="E1154">
        <v>1.5750246097595344E-2</v>
      </c>
      <c r="F1154">
        <v>1151</v>
      </c>
      <c r="G1154">
        <f t="shared" ca="1" si="39"/>
        <v>2.7625068949605196E-2</v>
      </c>
    </row>
    <row r="1155" spans="2:7" x14ac:dyDescent="0.35">
      <c r="B1155" s="2">
        <v>42528</v>
      </c>
      <c r="C1155" s="4">
        <v>827.7</v>
      </c>
      <c r="D1155">
        <f t="shared" si="38"/>
        <v>8.3462059620596207</v>
      </c>
      <c r="E1155">
        <v>1.573237777341463E-2</v>
      </c>
      <c r="F1155">
        <v>1152</v>
      </c>
      <c r="G1155">
        <f t="shared" ca="1" si="39"/>
        <v>1.5120362830643894E-3</v>
      </c>
    </row>
    <row r="1156" spans="2:7" x14ac:dyDescent="0.35">
      <c r="B1156" s="2">
        <v>41332</v>
      </c>
      <c r="C1156" s="4">
        <v>88.56</v>
      </c>
      <c r="D1156">
        <f t="shared" ref="D1156:D1219" si="40">C1156/C1157-1</f>
        <v>-0.21822033898305082</v>
      </c>
      <c r="E1156">
        <v>1.5712811102190694E-2</v>
      </c>
      <c r="F1156">
        <v>1153</v>
      </c>
      <c r="G1156">
        <f t="shared" ca="1" si="39"/>
        <v>-2.9632186418140784E-2</v>
      </c>
    </row>
    <row r="1157" spans="2:7" x14ac:dyDescent="0.35">
      <c r="B1157" s="2">
        <v>40303</v>
      </c>
      <c r="C1157" s="4">
        <v>113.28</v>
      </c>
      <c r="D1157">
        <f t="shared" si="40"/>
        <v>6.3661971830985875E-2</v>
      </c>
      <c r="E1157">
        <v>1.5690845512418283E-2</v>
      </c>
      <c r="F1157">
        <v>1154</v>
      </c>
      <c r="G1157">
        <f t="shared" ref="G1157:G1220" ca="1" si="41">_xlfn.NORM.INV(RAND(),K$6,K$7)</f>
        <v>-4.4275582411428205E-2</v>
      </c>
    </row>
    <row r="1158" spans="2:7" x14ac:dyDescent="0.35">
      <c r="B1158" s="2">
        <v>40226</v>
      </c>
      <c r="C1158" s="4">
        <v>106.5</v>
      </c>
      <c r="D1158">
        <f t="shared" si="40"/>
        <v>-0.98064016520392361</v>
      </c>
      <c r="E1158">
        <v>1.5639900820141106E-2</v>
      </c>
      <c r="F1158">
        <v>1155</v>
      </c>
      <c r="G1158">
        <f t="shared" ca="1" si="41"/>
        <v>4.3932886866382094E-3</v>
      </c>
    </row>
    <row r="1159" spans="2:7" x14ac:dyDescent="0.35">
      <c r="B1159" s="2">
        <v>44558</v>
      </c>
      <c r="C1159" s="4">
        <v>5501.08</v>
      </c>
      <c r="D1159">
        <f t="shared" si="40"/>
        <v>40.59292303039468</v>
      </c>
      <c r="E1159">
        <v>1.5613374663759449E-2</v>
      </c>
      <c r="F1159">
        <v>1156</v>
      </c>
      <c r="G1159">
        <f t="shared" ca="1" si="41"/>
        <v>-6.643667035510073E-3</v>
      </c>
    </row>
    <row r="1160" spans="2:7" x14ac:dyDescent="0.35">
      <c r="B1160" s="2">
        <v>40493</v>
      </c>
      <c r="C1160" s="4">
        <v>132.26</v>
      </c>
      <c r="D1160">
        <f t="shared" si="40"/>
        <v>0.61096224116930564</v>
      </c>
      <c r="E1160">
        <v>1.5587806189050202E-2</v>
      </c>
      <c r="F1160">
        <v>1157</v>
      </c>
      <c r="G1160">
        <f t="shared" ca="1" si="41"/>
        <v>-7.8995819688073895E-3</v>
      </c>
    </row>
    <row r="1161" spans="2:7" x14ac:dyDescent="0.35">
      <c r="B1161" s="2">
        <v>40878</v>
      </c>
      <c r="C1161" s="4">
        <v>82.1</v>
      </c>
      <c r="D1161">
        <f t="shared" si="40"/>
        <v>0.25958883092973273</v>
      </c>
      <c r="E1161">
        <v>1.5586343394359048E-2</v>
      </c>
      <c r="F1161">
        <v>1158</v>
      </c>
      <c r="G1161">
        <f t="shared" ca="1" si="41"/>
        <v>3.8920121615026908E-3</v>
      </c>
    </row>
    <row r="1162" spans="2:7" x14ac:dyDescent="0.35">
      <c r="B1162" s="2">
        <v>40045</v>
      </c>
      <c r="C1162" s="4">
        <v>65.180000000000007</v>
      </c>
      <c r="D1162">
        <f t="shared" si="40"/>
        <v>-4.8328223098262346E-2</v>
      </c>
      <c r="E1162">
        <v>1.5581177937052049E-2</v>
      </c>
      <c r="F1162">
        <v>1159</v>
      </c>
      <c r="G1162">
        <f t="shared" ca="1" si="41"/>
        <v>-2.0561597994250554E-2</v>
      </c>
    </row>
    <row r="1163" spans="2:7" x14ac:dyDescent="0.35">
      <c r="B1163" s="2">
        <v>38642</v>
      </c>
      <c r="C1163" s="4">
        <v>68.489999999999995</v>
      </c>
      <c r="D1163">
        <f t="shared" si="40"/>
        <v>-0.75764331210191083</v>
      </c>
      <c r="E1163">
        <v>1.556939501779353E-2</v>
      </c>
      <c r="F1163">
        <v>1160</v>
      </c>
      <c r="G1163">
        <f t="shared" ca="1" si="41"/>
        <v>2.489081471485188E-2</v>
      </c>
    </row>
    <row r="1164" spans="2:7" x14ac:dyDescent="0.35">
      <c r="B1164" s="2">
        <v>41911</v>
      </c>
      <c r="C1164" s="4">
        <v>282.60000000000002</v>
      </c>
      <c r="D1164">
        <f t="shared" si="40"/>
        <v>1.7254315748866818</v>
      </c>
      <c r="E1164">
        <v>1.5560426923491688E-2</v>
      </c>
      <c r="F1164">
        <v>1161</v>
      </c>
      <c r="G1164">
        <f t="shared" ca="1" si="41"/>
        <v>-4.4490363413779328E-3</v>
      </c>
    </row>
    <row r="1165" spans="2:7" x14ac:dyDescent="0.35">
      <c r="B1165" s="2">
        <v>40441</v>
      </c>
      <c r="C1165" s="4">
        <v>103.69</v>
      </c>
      <c r="D1165">
        <f t="shared" si="40"/>
        <v>0.23249732556757396</v>
      </c>
      <c r="E1165">
        <v>1.5473508960924587E-2</v>
      </c>
      <c r="F1165">
        <v>1162</v>
      </c>
      <c r="G1165">
        <f t="shared" ca="1" si="41"/>
        <v>-3.5042038036779147E-2</v>
      </c>
    </row>
    <row r="1166" spans="2:7" x14ac:dyDescent="0.35">
      <c r="B1166" s="2">
        <v>40918</v>
      </c>
      <c r="C1166" s="4">
        <v>84.13</v>
      </c>
      <c r="D1166">
        <f t="shared" si="40"/>
        <v>1.8441514536849222</v>
      </c>
      <c r="E1166">
        <v>1.544960772480386E-2</v>
      </c>
      <c r="F1166">
        <v>1163</v>
      </c>
      <c r="G1166">
        <f t="shared" ca="1" si="41"/>
        <v>3.4498150481452029E-2</v>
      </c>
    </row>
    <row r="1167" spans="2:7" x14ac:dyDescent="0.35">
      <c r="B1167" s="2">
        <v>38041</v>
      </c>
      <c r="C1167" s="4">
        <v>29.58</v>
      </c>
      <c r="D1167">
        <f t="shared" si="40"/>
        <v>-0.97820095214232028</v>
      </c>
      <c r="E1167">
        <v>1.5447991761071034E-2</v>
      </c>
      <c r="F1167">
        <v>1164</v>
      </c>
      <c r="G1167">
        <f t="shared" ca="1" si="41"/>
        <v>-3.5493897622545276E-2</v>
      </c>
    </row>
    <row r="1168" spans="2:7" x14ac:dyDescent="0.35">
      <c r="B1168" s="2">
        <v>43333</v>
      </c>
      <c r="C1168" s="4">
        <v>1356.94</v>
      </c>
      <c r="D1168">
        <f t="shared" si="40"/>
        <v>0.45893408164801253</v>
      </c>
      <c r="E1168">
        <v>1.542283717345283E-2</v>
      </c>
      <c r="F1168">
        <v>1165</v>
      </c>
      <c r="G1168">
        <f t="shared" ca="1" si="41"/>
        <v>1.5853230630887283E-2</v>
      </c>
    </row>
    <row r="1169" spans="2:7" x14ac:dyDescent="0.35">
      <c r="B1169" s="2">
        <v>43388</v>
      </c>
      <c r="C1169" s="4">
        <v>930.09</v>
      </c>
      <c r="D1169">
        <f t="shared" si="40"/>
        <v>-0.89055781871068407</v>
      </c>
      <c r="E1169">
        <v>1.5415352031180163E-2</v>
      </c>
      <c r="F1169">
        <v>1166</v>
      </c>
      <c r="G1169">
        <f t="shared" ca="1" si="41"/>
        <v>-2.910426548696135E-2</v>
      </c>
    </row>
    <row r="1170" spans="2:7" x14ac:dyDescent="0.35">
      <c r="B1170" s="2">
        <v>44704</v>
      </c>
      <c r="C1170" s="4">
        <v>8498.4599999999991</v>
      </c>
      <c r="D1170">
        <f t="shared" si="40"/>
        <v>108.03849114703617</v>
      </c>
      <c r="E1170">
        <v>1.5375571849644443E-2</v>
      </c>
      <c r="F1170">
        <v>1167</v>
      </c>
      <c r="G1170">
        <f t="shared" ca="1" si="41"/>
        <v>1.3626703936500156E-2</v>
      </c>
    </row>
    <row r="1171" spans="2:7" x14ac:dyDescent="0.35">
      <c r="B1171" s="2">
        <v>38964</v>
      </c>
      <c r="C1171" s="4">
        <v>77.94</v>
      </c>
      <c r="D1171">
        <f t="shared" si="40"/>
        <v>-0.98408722016353778</v>
      </c>
      <c r="E1171">
        <v>1.5372589890567889E-2</v>
      </c>
      <c r="F1171">
        <v>1168</v>
      </c>
      <c r="G1171">
        <f t="shared" ca="1" si="41"/>
        <v>-7.4640076170339707E-3</v>
      </c>
    </row>
    <row r="1172" spans="2:7" x14ac:dyDescent="0.35">
      <c r="B1172" s="2">
        <v>44441</v>
      </c>
      <c r="C1172" s="4">
        <v>4897.95</v>
      </c>
      <c r="D1172">
        <f t="shared" si="40"/>
        <v>3.3310578394008257</v>
      </c>
      <c r="E1172">
        <v>1.5344335427752709E-2</v>
      </c>
      <c r="F1172">
        <v>1169</v>
      </c>
      <c r="G1172">
        <f t="shared" ca="1" si="41"/>
        <v>-3.2079521286846858E-2</v>
      </c>
    </row>
    <row r="1173" spans="2:7" x14ac:dyDescent="0.35">
      <c r="B1173" s="2">
        <v>43258</v>
      </c>
      <c r="C1173" s="4">
        <v>1130.8900000000001</v>
      </c>
      <c r="D1173">
        <f t="shared" si="40"/>
        <v>49.217140319715817</v>
      </c>
      <c r="E1173">
        <v>1.5343867839827663E-2</v>
      </c>
      <c r="F1173">
        <v>1170</v>
      </c>
      <c r="G1173">
        <f t="shared" ca="1" si="41"/>
        <v>-1.1954182830824004E-3</v>
      </c>
    </row>
    <row r="1174" spans="2:7" x14ac:dyDescent="0.35">
      <c r="B1174" s="2">
        <v>37760</v>
      </c>
      <c r="C1174" s="4">
        <v>22.52</v>
      </c>
      <c r="D1174">
        <f t="shared" si="40"/>
        <v>-0.69385535617183258</v>
      </c>
      <c r="E1174">
        <v>1.5329125338142457E-2</v>
      </c>
      <c r="F1174">
        <v>1171</v>
      </c>
      <c r="G1174">
        <f t="shared" ca="1" si="41"/>
        <v>-5.5050197109487935E-2</v>
      </c>
    </row>
    <row r="1175" spans="2:7" x14ac:dyDescent="0.35">
      <c r="B1175" s="2">
        <v>40900</v>
      </c>
      <c r="C1175" s="4">
        <v>73.56</v>
      </c>
      <c r="D1175">
        <f t="shared" si="40"/>
        <v>-0.98067673458880267</v>
      </c>
      <c r="E1175">
        <v>1.5320910973084967E-2</v>
      </c>
      <c r="F1175">
        <v>1172</v>
      </c>
      <c r="G1175">
        <f t="shared" ca="1" si="41"/>
        <v>-9.0965646295056123E-3</v>
      </c>
    </row>
    <row r="1176" spans="2:7" x14ac:dyDescent="0.35">
      <c r="B1176" s="2">
        <v>44375</v>
      </c>
      <c r="C1176" s="4">
        <v>3806.81</v>
      </c>
      <c r="D1176">
        <f t="shared" si="40"/>
        <v>40.136913767019664</v>
      </c>
      <c r="E1176">
        <v>1.5271165873238068E-2</v>
      </c>
      <c r="F1176">
        <v>1173</v>
      </c>
      <c r="G1176">
        <f t="shared" ca="1" si="41"/>
        <v>-4.2121614827963175E-3</v>
      </c>
    </row>
    <row r="1177" spans="2:7" x14ac:dyDescent="0.35">
      <c r="B1177" s="2">
        <v>41085</v>
      </c>
      <c r="C1177" s="4">
        <v>92.54</v>
      </c>
      <c r="D1177">
        <f t="shared" si="40"/>
        <v>2.0836387870709765</v>
      </c>
      <c r="E1177">
        <v>1.5249588590235952E-2</v>
      </c>
      <c r="F1177">
        <v>1174</v>
      </c>
      <c r="G1177">
        <f t="shared" ca="1" si="41"/>
        <v>5.6743518261540143E-3</v>
      </c>
    </row>
    <row r="1178" spans="2:7" x14ac:dyDescent="0.35">
      <c r="B1178" s="2">
        <v>37609</v>
      </c>
      <c r="C1178" s="4">
        <v>30.01</v>
      </c>
      <c r="D1178">
        <f t="shared" si="40"/>
        <v>-0.99589702223072929</v>
      </c>
      <c r="E1178">
        <v>1.5223274695534528E-2</v>
      </c>
      <c r="F1178">
        <v>1175</v>
      </c>
      <c r="G1178">
        <f t="shared" ca="1" si="41"/>
        <v>5.89979779825306E-3</v>
      </c>
    </row>
    <row r="1179" spans="2:7" x14ac:dyDescent="0.35">
      <c r="B1179" s="2">
        <v>44853</v>
      </c>
      <c r="C1179" s="4">
        <v>7314.2</v>
      </c>
      <c r="D1179">
        <f t="shared" si="40"/>
        <v>60.15551839464883</v>
      </c>
      <c r="E1179">
        <v>1.5205457586420001E-2</v>
      </c>
      <c r="F1179">
        <v>1176</v>
      </c>
      <c r="G1179">
        <f t="shared" ca="1" si="41"/>
        <v>-7.4991787330322954E-2</v>
      </c>
    </row>
    <row r="1180" spans="2:7" x14ac:dyDescent="0.35">
      <c r="B1180" s="2">
        <v>39281</v>
      </c>
      <c r="C1180" s="4">
        <v>119.6</v>
      </c>
      <c r="D1180">
        <f t="shared" si="40"/>
        <v>-0.98623713327311124</v>
      </c>
      <c r="E1180">
        <v>1.5193956370426864E-2</v>
      </c>
      <c r="F1180">
        <v>1177</v>
      </c>
      <c r="G1180">
        <f t="shared" ca="1" si="41"/>
        <v>7.7826724605523758E-3</v>
      </c>
    </row>
    <row r="1181" spans="2:7" x14ac:dyDescent="0.35">
      <c r="B1181" s="2">
        <v>44771</v>
      </c>
      <c r="C1181" s="4">
        <v>8690.0499999999993</v>
      </c>
      <c r="D1181">
        <f t="shared" si="40"/>
        <v>405.26694717157545</v>
      </c>
      <c r="E1181">
        <v>1.5192757009345748E-2</v>
      </c>
      <c r="F1181">
        <v>1178</v>
      </c>
      <c r="G1181">
        <f t="shared" ca="1" si="41"/>
        <v>6.5227788529236136E-3</v>
      </c>
    </row>
    <row r="1182" spans="2:7" x14ac:dyDescent="0.35">
      <c r="B1182" s="2">
        <v>37712</v>
      </c>
      <c r="C1182" s="4">
        <v>21.39</v>
      </c>
      <c r="D1182">
        <f t="shared" si="40"/>
        <v>-0.99750013147976091</v>
      </c>
      <c r="E1182">
        <v>1.5187470336972098E-2</v>
      </c>
      <c r="F1182">
        <v>1179</v>
      </c>
      <c r="G1182">
        <f t="shared" ca="1" si="41"/>
        <v>-6.8178140245324703E-2</v>
      </c>
    </row>
    <row r="1183" spans="2:7" x14ac:dyDescent="0.35">
      <c r="B1183" s="2">
        <v>44834</v>
      </c>
      <c r="C1183" s="4">
        <v>8556.4500000000007</v>
      </c>
      <c r="D1183">
        <f t="shared" si="40"/>
        <v>9.7777427887643285</v>
      </c>
      <c r="E1183">
        <v>1.5168592648838519E-2</v>
      </c>
      <c r="F1183">
        <v>1180</v>
      </c>
      <c r="G1183">
        <f t="shared" ca="1" si="41"/>
        <v>-1.9694257247810834E-2</v>
      </c>
    </row>
    <row r="1184" spans="2:7" x14ac:dyDescent="0.35">
      <c r="B1184" s="2">
        <v>43031</v>
      </c>
      <c r="C1184" s="4">
        <v>793.9</v>
      </c>
      <c r="D1184">
        <f t="shared" si="40"/>
        <v>1.8099670831416135</v>
      </c>
      <c r="E1184">
        <v>1.516546468211355E-2</v>
      </c>
      <c r="F1184">
        <v>1181</v>
      </c>
      <c r="G1184">
        <f t="shared" ca="1" si="41"/>
        <v>1.2136696566188179E-2</v>
      </c>
    </row>
    <row r="1185" spans="2:7" x14ac:dyDescent="0.35">
      <c r="B1185" s="2">
        <v>41941</v>
      </c>
      <c r="C1185" s="4">
        <v>282.52999999999997</v>
      </c>
      <c r="D1185">
        <f t="shared" si="40"/>
        <v>1.2492635936629246</v>
      </c>
      <c r="E1185">
        <v>1.5126473124460915E-2</v>
      </c>
      <c r="F1185">
        <v>1182</v>
      </c>
      <c r="G1185">
        <f t="shared" ca="1" si="41"/>
        <v>1.0527334097954703E-2</v>
      </c>
    </row>
    <row r="1186" spans="2:7" x14ac:dyDescent="0.35">
      <c r="B1186" s="2">
        <v>40267</v>
      </c>
      <c r="C1186" s="4">
        <v>125.61</v>
      </c>
      <c r="D1186">
        <f t="shared" si="40"/>
        <v>3.1455445544554452</v>
      </c>
      <c r="E1186">
        <v>1.5112332309681564E-2</v>
      </c>
      <c r="F1186">
        <v>1183</v>
      </c>
      <c r="G1186">
        <f t="shared" ca="1" si="41"/>
        <v>-5.0795708083503158E-3</v>
      </c>
    </row>
    <row r="1187" spans="2:7" x14ac:dyDescent="0.35">
      <c r="B1187" s="2">
        <v>37546</v>
      </c>
      <c r="C1187" s="4">
        <v>30.3</v>
      </c>
      <c r="D1187">
        <f t="shared" si="40"/>
        <v>-0.70979791207738718</v>
      </c>
      <c r="E1187">
        <v>1.5075376884422065E-2</v>
      </c>
      <c r="F1187">
        <v>1184</v>
      </c>
      <c r="G1187">
        <f t="shared" ca="1" si="41"/>
        <v>-2.2579880857505948E-2</v>
      </c>
    </row>
    <row r="1188" spans="2:7" x14ac:dyDescent="0.35">
      <c r="B1188" s="2">
        <v>40742</v>
      </c>
      <c r="C1188" s="4">
        <v>104.41</v>
      </c>
      <c r="D1188">
        <f t="shared" si="40"/>
        <v>2.6003448275862069</v>
      </c>
      <c r="E1188">
        <v>1.5069025860392715E-2</v>
      </c>
      <c r="F1188">
        <v>1185</v>
      </c>
      <c r="G1188">
        <f t="shared" ca="1" si="41"/>
        <v>2.1533700866429979E-2</v>
      </c>
    </row>
    <row r="1189" spans="2:7" x14ac:dyDescent="0.35">
      <c r="B1189" s="2">
        <v>39884</v>
      </c>
      <c r="C1189" s="4">
        <v>29</v>
      </c>
      <c r="D1189">
        <f t="shared" si="40"/>
        <v>0</v>
      </c>
      <c r="E1189">
        <v>1.5050752537626888E-2</v>
      </c>
      <c r="F1189">
        <v>1186</v>
      </c>
      <c r="G1189">
        <f t="shared" ca="1" si="41"/>
        <v>-2.9116619291520877E-2</v>
      </c>
    </row>
    <row r="1190" spans="2:7" x14ac:dyDescent="0.35">
      <c r="B1190" s="2">
        <v>38092</v>
      </c>
      <c r="C1190" s="4">
        <v>29</v>
      </c>
      <c r="D1190">
        <f t="shared" si="40"/>
        <v>-0.79147192061551741</v>
      </c>
      <c r="E1190">
        <v>1.5050752537626888E-2</v>
      </c>
      <c r="F1190">
        <v>1187</v>
      </c>
      <c r="G1190">
        <f t="shared" ca="1" si="41"/>
        <v>9.6794213055292309E-3</v>
      </c>
    </row>
    <row r="1191" spans="2:7" x14ac:dyDescent="0.35">
      <c r="B1191" s="2">
        <v>41614</v>
      </c>
      <c r="C1191" s="4">
        <v>139.07</v>
      </c>
      <c r="D1191">
        <f t="shared" si="40"/>
        <v>3.5776826859776172</v>
      </c>
      <c r="E1191">
        <v>1.5035398875994366E-2</v>
      </c>
      <c r="F1191">
        <v>1188</v>
      </c>
      <c r="G1191">
        <f t="shared" ca="1" si="41"/>
        <v>-5.4942660819635551E-2</v>
      </c>
    </row>
    <row r="1192" spans="2:7" x14ac:dyDescent="0.35">
      <c r="B1192" s="2">
        <v>37540</v>
      </c>
      <c r="C1192" s="4">
        <v>30.38</v>
      </c>
      <c r="D1192">
        <f t="shared" si="40"/>
        <v>-0.59552656104380242</v>
      </c>
      <c r="E1192">
        <v>1.5035081857667887E-2</v>
      </c>
      <c r="F1192">
        <v>1189</v>
      </c>
      <c r="G1192">
        <f t="shared" ca="1" si="41"/>
        <v>1.0523246696181793E-2</v>
      </c>
    </row>
    <row r="1193" spans="2:7" x14ac:dyDescent="0.35">
      <c r="B1193" s="2">
        <v>38695</v>
      </c>
      <c r="C1193" s="4">
        <v>75.11</v>
      </c>
      <c r="D1193">
        <f t="shared" si="40"/>
        <v>-0.97203752652544584</v>
      </c>
      <c r="E1193">
        <v>1.4999999999999902E-2</v>
      </c>
      <c r="F1193">
        <v>1190</v>
      </c>
      <c r="G1193">
        <f t="shared" ca="1" si="41"/>
        <v>1.5197750558206619E-2</v>
      </c>
    </row>
    <row r="1194" spans="2:7" x14ac:dyDescent="0.35">
      <c r="B1194" s="2">
        <v>44260</v>
      </c>
      <c r="C1194" s="4">
        <v>2686.1</v>
      </c>
      <c r="D1194">
        <f t="shared" si="40"/>
        <v>39.871880706025564</v>
      </c>
      <c r="E1194">
        <v>1.4982334825898835E-2</v>
      </c>
      <c r="F1194">
        <v>1191</v>
      </c>
      <c r="G1194">
        <f t="shared" ca="1" si="41"/>
        <v>-7.5568671822522204E-3</v>
      </c>
    </row>
    <row r="1195" spans="2:7" x14ac:dyDescent="0.35">
      <c r="B1195" s="2">
        <v>38824</v>
      </c>
      <c r="C1195" s="4">
        <v>65.72</v>
      </c>
      <c r="D1195">
        <f t="shared" si="40"/>
        <v>-0.91421149503309096</v>
      </c>
      <c r="E1195">
        <v>1.4980694980694986E-2</v>
      </c>
      <c r="F1195">
        <v>1192</v>
      </c>
      <c r="G1195">
        <f t="shared" ca="1" si="41"/>
        <v>-1.3735314870927886E-2</v>
      </c>
    </row>
    <row r="1196" spans="2:7" x14ac:dyDescent="0.35">
      <c r="B1196" s="2">
        <v>42970</v>
      </c>
      <c r="C1196" s="4">
        <v>766.07</v>
      </c>
      <c r="D1196">
        <f t="shared" si="40"/>
        <v>6.782891394899929</v>
      </c>
      <c r="E1196">
        <v>1.4971448255760134E-2</v>
      </c>
      <c r="F1196">
        <v>1193</v>
      </c>
      <c r="G1196">
        <f t="shared" ca="1" si="41"/>
        <v>-1.2285063010782206E-3</v>
      </c>
    </row>
    <row r="1197" spans="2:7" x14ac:dyDescent="0.35">
      <c r="B1197" s="2">
        <v>41592</v>
      </c>
      <c r="C1197" s="4">
        <v>98.43</v>
      </c>
      <c r="D1197">
        <f t="shared" si="40"/>
        <v>-1.5109065439263492E-2</v>
      </c>
      <c r="E1197">
        <v>1.4951536399257614E-2</v>
      </c>
      <c r="F1197">
        <v>1194</v>
      </c>
      <c r="G1197">
        <f t="shared" ca="1" si="41"/>
        <v>1.6388329115053141E-2</v>
      </c>
    </row>
    <row r="1198" spans="2:7" x14ac:dyDescent="0.35">
      <c r="B1198" s="2">
        <v>40177</v>
      </c>
      <c r="C1198" s="4">
        <v>99.94</v>
      </c>
      <c r="D1198">
        <f t="shared" si="40"/>
        <v>2.2660130718954248</v>
      </c>
      <c r="E1198">
        <v>1.4928404590230482E-2</v>
      </c>
      <c r="F1198">
        <v>1195</v>
      </c>
      <c r="G1198">
        <f t="shared" ca="1" si="41"/>
        <v>-3.7110596456630646E-2</v>
      </c>
    </row>
    <row r="1199" spans="2:7" x14ac:dyDescent="0.35">
      <c r="B1199" s="2">
        <v>37526</v>
      </c>
      <c r="C1199" s="4">
        <v>30.6</v>
      </c>
      <c r="D1199">
        <f t="shared" si="40"/>
        <v>-0.99541174353745576</v>
      </c>
      <c r="E1199">
        <v>1.4925373134328401E-2</v>
      </c>
      <c r="F1199">
        <v>1196</v>
      </c>
      <c r="G1199">
        <f t="shared" ca="1" si="41"/>
        <v>-3.1693160196711929E-2</v>
      </c>
    </row>
    <row r="1200" spans="2:7" x14ac:dyDescent="0.35">
      <c r="B1200" s="2">
        <v>44963</v>
      </c>
      <c r="C1200" s="4">
        <v>6669.2</v>
      </c>
      <c r="D1200">
        <f t="shared" si="40"/>
        <v>6.3528698374898021</v>
      </c>
      <c r="E1200">
        <v>1.492128470663423E-2</v>
      </c>
      <c r="F1200">
        <v>1197</v>
      </c>
      <c r="G1200">
        <f t="shared" ca="1" si="41"/>
        <v>-8.4682199228587815E-3</v>
      </c>
    </row>
    <row r="1201" spans="2:7" x14ac:dyDescent="0.35">
      <c r="B1201" s="2">
        <v>42480</v>
      </c>
      <c r="C1201" s="4">
        <v>907.02</v>
      </c>
      <c r="D1201">
        <f t="shared" si="40"/>
        <v>-0.18045792146303563</v>
      </c>
      <c r="E1201">
        <v>1.4915686647495097E-2</v>
      </c>
      <c r="F1201">
        <v>1198</v>
      </c>
      <c r="G1201">
        <f t="shared" ca="1" si="41"/>
        <v>-3.6084816501862078E-2</v>
      </c>
    </row>
    <row r="1202" spans="2:7" x14ac:dyDescent="0.35">
      <c r="B1202" s="2">
        <v>43237</v>
      </c>
      <c r="C1202" s="4">
        <v>1106.74</v>
      </c>
      <c r="D1202">
        <f t="shared" si="40"/>
        <v>-0.74555653903187613</v>
      </c>
      <c r="E1202">
        <v>1.4901558015204097E-2</v>
      </c>
      <c r="F1202">
        <v>1199</v>
      </c>
      <c r="G1202">
        <f t="shared" ca="1" si="41"/>
        <v>1.763292368504666E-2</v>
      </c>
    </row>
    <row r="1203" spans="2:7" x14ac:dyDescent="0.35">
      <c r="B1203" s="2">
        <v>44391</v>
      </c>
      <c r="C1203" s="4">
        <v>4349.6499999999996</v>
      </c>
      <c r="D1203">
        <f t="shared" si="40"/>
        <v>-0.44006472600226831</v>
      </c>
      <c r="E1203">
        <v>1.4893299298617269E-2</v>
      </c>
      <c r="F1203">
        <v>1200</v>
      </c>
      <c r="G1203">
        <f t="shared" ca="1" si="41"/>
        <v>-4.5634977480046163E-2</v>
      </c>
    </row>
    <row r="1204" spans="2:7" x14ac:dyDescent="0.35">
      <c r="B1204" s="2">
        <v>44671</v>
      </c>
      <c r="C1204" s="4">
        <v>7768.13</v>
      </c>
      <c r="D1204">
        <f t="shared" si="40"/>
        <v>222.09391154508904</v>
      </c>
      <c r="E1204">
        <v>1.4889942201365081E-2</v>
      </c>
      <c r="F1204">
        <v>1201</v>
      </c>
      <c r="G1204">
        <f t="shared" ca="1" si="41"/>
        <v>1.4742013917398732E-2</v>
      </c>
    </row>
    <row r="1205" spans="2:7" x14ac:dyDescent="0.35">
      <c r="B1205" s="2">
        <v>37966</v>
      </c>
      <c r="C1205" s="4">
        <v>34.82</v>
      </c>
      <c r="D1205">
        <f t="shared" si="40"/>
        <v>-0.63588831956499003</v>
      </c>
      <c r="E1205">
        <v>1.4864470999708557E-2</v>
      </c>
      <c r="F1205">
        <v>1202</v>
      </c>
      <c r="G1205">
        <f t="shared" ca="1" si="41"/>
        <v>1.2028682536945012E-2</v>
      </c>
    </row>
    <row r="1206" spans="2:7" x14ac:dyDescent="0.35">
      <c r="B1206" s="2">
        <v>41214</v>
      </c>
      <c r="C1206" s="4">
        <v>95.63</v>
      </c>
      <c r="D1206">
        <f t="shared" si="40"/>
        <v>1.1957671957671945E-2</v>
      </c>
      <c r="E1206">
        <v>1.4857264140931692E-2</v>
      </c>
      <c r="F1206">
        <v>1203</v>
      </c>
      <c r="G1206">
        <f t="shared" ca="1" si="41"/>
        <v>-1.1178452323202966E-2</v>
      </c>
    </row>
    <row r="1207" spans="2:7" x14ac:dyDescent="0.35">
      <c r="B1207" s="2">
        <v>40169</v>
      </c>
      <c r="C1207" s="4">
        <v>94.5</v>
      </c>
      <c r="D1207">
        <f t="shared" si="40"/>
        <v>2.0542986425339365</v>
      </c>
      <c r="E1207">
        <v>1.4819587628865927E-2</v>
      </c>
      <c r="F1207">
        <v>1204</v>
      </c>
      <c r="G1207">
        <f t="shared" ca="1" si="41"/>
        <v>3.0322114296881312E-2</v>
      </c>
    </row>
    <row r="1208" spans="2:7" x14ac:dyDescent="0.35">
      <c r="B1208" s="2">
        <v>37596</v>
      </c>
      <c r="C1208" s="4">
        <v>30.94</v>
      </c>
      <c r="D1208">
        <f t="shared" si="40"/>
        <v>-0.74321520458129298</v>
      </c>
      <c r="E1208">
        <v>1.475893735651046E-2</v>
      </c>
      <c r="F1208">
        <v>1205</v>
      </c>
      <c r="G1208">
        <f t="shared" ca="1" si="41"/>
        <v>9.3434140992659526E-3</v>
      </c>
    </row>
    <row r="1209" spans="2:7" x14ac:dyDescent="0.35">
      <c r="B1209" s="2">
        <v>39273</v>
      </c>
      <c r="C1209" s="4">
        <v>120.49</v>
      </c>
      <c r="D1209">
        <f t="shared" si="40"/>
        <v>-0.91303375003608855</v>
      </c>
      <c r="E1209">
        <v>1.473808320700698E-2</v>
      </c>
      <c r="F1209">
        <v>1206</v>
      </c>
      <c r="G1209">
        <f t="shared" ca="1" si="41"/>
        <v>1.5881014873951275E-2</v>
      </c>
    </row>
    <row r="1210" spans="2:7" x14ac:dyDescent="0.35">
      <c r="B1210" s="2">
        <v>44112</v>
      </c>
      <c r="C1210" s="4">
        <v>1385.48</v>
      </c>
      <c r="D1210">
        <f t="shared" si="40"/>
        <v>-0.81463985026483265</v>
      </c>
      <c r="E1210">
        <v>1.4728608362568396E-2</v>
      </c>
      <c r="F1210">
        <v>1207</v>
      </c>
      <c r="G1210">
        <f t="shared" ca="1" si="41"/>
        <v>1.9372911141097651E-2</v>
      </c>
    </row>
    <row r="1211" spans="2:7" x14ac:dyDescent="0.35">
      <c r="B1211" s="2">
        <v>44642</v>
      </c>
      <c r="C1211" s="4">
        <v>7474.53</v>
      </c>
      <c r="D1211">
        <f t="shared" si="40"/>
        <v>8.2399065443667006</v>
      </c>
      <c r="E1211">
        <v>1.4702228955653096E-2</v>
      </c>
      <c r="F1211">
        <v>1208</v>
      </c>
      <c r="G1211">
        <f t="shared" ca="1" si="41"/>
        <v>2.6546178129685266E-2</v>
      </c>
    </row>
    <row r="1212" spans="2:7" x14ac:dyDescent="0.35">
      <c r="B1212" s="2">
        <v>43041</v>
      </c>
      <c r="C1212" s="4">
        <v>808.94</v>
      </c>
      <c r="D1212">
        <f t="shared" si="40"/>
        <v>3.1679632699910698E-2</v>
      </c>
      <c r="E1212">
        <v>1.4701086274804931E-2</v>
      </c>
      <c r="F1212">
        <v>1209</v>
      </c>
      <c r="G1212">
        <f t="shared" ca="1" si="41"/>
        <v>-2.3668473130901486E-2</v>
      </c>
    </row>
    <row r="1213" spans="2:7" x14ac:dyDescent="0.35">
      <c r="B1213" s="2">
        <v>42921</v>
      </c>
      <c r="C1213" s="4">
        <v>784.1</v>
      </c>
      <c r="D1213">
        <f t="shared" si="40"/>
        <v>-5.0542477961832755E-2</v>
      </c>
      <c r="E1213">
        <v>1.4635282547652118E-2</v>
      </c>
      <c r="F1213">
        <v>1210</v>
      </c>
      <c r="G1213">
        <f t="shared" ca="1" si="41"/>
        <v>5.9063015832102493E-3</v>
      </c>
    </row>
    <row r="1214" spans="2:7" x14ac:dyDescent="0.35">
      <c r="B1214" s="2">
        <v>43047</v>
      </c>
      <c r="C1214" s="4">
        <v>825.84</v>
      </c>
      <c r="D1214">
        <f t="shared" si="40"/>
        <v>-0.86459863588667363</v>
      </c>
      <c r="E1214">
        <v>1.4632707972430214E-2</v>
      </c>
      <c r="F1214">
        <v>1211</v>
      </c>
      <c r="G1214">
        <f t="shared" ca="1" si="41"/>
        <v>3.072281709232912E-2</v>
      </c>
    </row>
    <row r="1215" spans="2:7" x14ac:dyDescent="0.35">
      <c r="B1215" s="2">
        <v>45021</v>
      </c>
      <c r="C1215" s="4">
        <v>6099.2</v>
      </c>
      <c r="D1215">
        <f t="shared" si="40"/>
        <v>5.3735161344256808</v>
      </c>
      <c r="E1215">
        <v>1.4622461031723599E-2</v>
      </c>
      <c r="F1215">
        <v>1212</v>
      </c>
      <c r="G1215">
        <f t="shared" ca="1" si="41"/>
        <v>4.3060944666853647E-3</v>
      </c>
    </row>
    <row r="1216" spans="2:7" x14ac:dyDescent="0.35">
      <c r="B1216" s="2">
        <v>43432</v>
      </c>
      <c r="C1216" s="4">
        <v>956.96</v>
      </c>
      <c r="D1216">
        <f t="shared" si="40"/>
        <v>2.4639832042279015</v>
      </c>
      <c r="E1216">
        <v>1.4567121138228556E-2</v>
      </c>
      <c r="F1216">
        <v>1213</v>
      </c>
      <c r="G1216">
        <f t="shared" ca="1" si="41"/>
        <v>4.1786031528677131E-2</v>
      </c>
    </row>
    <row r="1217" spans="2:7" x14ac:dyDescent="0.35">
      <c r="B1217" s="2">
        <v>41939</v>
      </c>
      <c r="C1217" s="4">
        <v>276.26</v>
      </c>
      <c r="D1217">
        <f t="shared" si="40"/>
        <v>1.9537046936811717</v>
      </c>
      <c r="E1217">
        <v>1.4542783694454497E-2</v>
      </c>
      <c r="F1217">
        <v>1214</v>
      </c>
      <c r="G1217">
        <f t="shared" ca="1" si="41"/>
        <v>-4.0517719687050001E-2</v>
      </c>
    </row>
    <row r="1218" spans="2:7" x14ac:dyDescent="0.35">
      <c r="B1218" s="2">
        <v>41235</v>
      </c>
      <c r="C1218" s="4">
        <v>93.53</v>
      </c>
      <c r="D1218">
        <f t="shared" si="40"/>
        <v>-0.96481149147657796</v>
      </c>
      <c r="E1218">
        <v>1.4535199045449643E-2</v>
      </c>
      <c r="F1218">
        <v>1215</v>
      </c>
      <c r="G1218">
        <f t="shared" ca="1" si="41"/>
        <v>-3.6250323629221657E-3</v>
      </c>
    </row>
    <row r="1219" spans="2:7" x14ac:dyDescent="0.35">
      <c r="B1219" s="2">
        <v>44285</v>
      </c>
      <c r="C1219" s="4">
        <v>2657.97</v>
      </c>
      <c r="D1219">
        <f t="shared" si="40"/>
        <v>4.3429754558063793</v>
      </c>
      <c r="E1219">
        <v>1.4488494318723788E-2</v>
      </c>
      <c r="F1219">
        <v>1216</v>
      </c>
      <c r="G1219">
        <f t="shared" ca="1" si="41"/>
        <v>1.175518026785009E-2</v>
      </c>
    </row>
    <row r="1220" spans="2:7" x14ac:dyDescent="0.35">
      <c r="B1220" s="2">
        <v>42171</v>
      </c>
      <c r="C1220" s="4">
        <v>497.47</v>
      </c>
      <c r="D1220">
        <f t="shared" ref="D1220:D1283" si="42">C1220/C1221-1</f>
        <v>-0.62099256414944837</v>
      </c>
      <c r="E1220">
        <v>1.4478862899443223E-2</v>
      </c>
      <c r="F1220">
        <v>1217</v>
      </c>
      <c r="G1220">
        <f t="shared" ca="1" si="41"/>
        <v>-2.6863411625597678E-3</v>
      </c>
    </row>
    <row r="1221" spans="2:7" x14ac:dyDescent="0.35">
      <c r="B1221" s="2">
        <v>43301</v>
      </c>
      <c r="C1221" s="4">
        <v>1312.56</v>
      </c>
      <c r="D1221">
        <f t="shared" si="42"/>
        <v>3.7168577281057971</v>
      </c>
      <c r="E1221">
        <v>1.4476399526985873E-2</v>
      </c>
      <c r="F1221">
        <v>1218</v>
      </c>
      <c r="G1221">
        <f t="shared" ref="G1221:G1284" ca="1" si="43">_xlfn.NORM.INV(RAND(),K$6,K$7)</f>
        <v>-7.4957123337456924E-3</v>
      </c>
    </row>
    <row r="1222" spans="2:7" x14ac:dyDescent="0.35">
      <c r="B1222" s="2">
        <v>41908</v>
      </c>
      <c r="C1222" s="4">
        <v>278.27</v>
      </c>
      <c r="D1222">
        <f t="shared" si="42"/>
        <v>3.2653280196198651</v>
      </c>
      <c r="E1222">
        <v>1.4473204520597749E-2</v>
      </c>
      <c r="F1222">
        <v>1219</v>
      </c>
      <c r="G1222">
        <f t="shared" ca="1" si="43"/>
        <v>1.6665676150574387E-2</v>
      </c>
    </row>
    <row r="1223" spans="2:7" x14ac:dyDescent="0.35">
      <c r="B1223" s="2">
        <v>40134</v>
      </c>
      <c r="C1223" s="4">
        <v>65.239999999999995</v>
      </c>
      <c r="D1223">
        <f t="shared" si="42"/>
        <v>-0.21198212344486056</v>
      </c>
      <c r="E1223">
        <v>1.4461203545327095E-2</v>
      </c>
      <c r="F1223">
        <v>1220</v>
      </c>
      <c r="G1223">
        <f t="shared" ca="1" si="43"/>
        <v>-1.796066504205068E-2</v>
      </c>
    </row>
    <row r="1224" spans="2:7" x14ac:dyDescent="0.35">
      <c r="B1224" s="2">
        <v>40823</v>
      </c>
      <c r="C1224" s="4">
        <v>82.79</v>
      </c>
      <c r="D1224">
        <f t="shared" si="42"/>
        <v>-0.18729753607539013</v>
      </c>
      <c r="E1224">
        <v>1.4459012375934499E-2</v>
      </c>
      <c r="F1224">
        <v>1221</v>
      </c>
      <c r="G1224">
        <f t="shared" ca="1" si="43"/>
        <v>2.8520244309169305E-2</v>
      </c>
    </row>
    <row r="1225" spans="2:7" x14ac:dyDescent="0.35">
      <c r="B1225" s="2">
        <v>40631</v>
      </c>
      <c r="C1225" s="4">
        <v>101.87</v>
      </c>
      <c r="D1225">
        <f t="shared" si="42"/>
        <v>-0.98462525279966195</v>
      </c>
      <c r="E1225">
        <v>1.4439354710217067E-2</v>
      </c>
      <c r="F1225">
        <v>1222</v>
      </c>
      <c r="G1225">
        <f t="shared" ca="1" si="43"/>
        <v>-6.5287604550198124E-5</v>
      </c>
    </row>
    <row r="1226" spans="2:7" x14ac:dyDescent="0.35">
      <c r="B1226" s="2">
        <v>44623</v>
      </c>
      <c r="C1226" s="4">
        <v>6625.8</v>
      </c>
      <c r="D1226">
        <f t="shared" si="42"/>
        <v>65.357536304456687</v>
      </c>
      <c r="E1226">
        <v>1.4433065453270499E-2</v>
      </c>
      <c r="F1226">
        <v>1223</v>
      </c>
      <c r="G1226">
        <f t="shared" ca="1" si="43"/>
        <v>1.2728579478252258E-2</v>
      </c>
    </row>
    <row r="1227" spans="2:7" x14ac:dyDescent="0.35">
      <c r="B1227" s="2">
        <v>41596</v>
      </c>
      <c r="C1227" s="4">
        <v>99.85</v>
      </c>
      <c r="D1227">
        <f t="shared" si="42"/>
        <v>-0.87464219354190731</v>
      </c>
      <c r="E1227">
        <v>1.4426495986995747E-2</v>
      </c>
      <c r="F1227">
        <v>1224</v>
      </c>
      <c r="G1227">
        <f t="shared" ca="1" si="43"/>
        <v>1.0475938234854078E-2</v>
      </c>
    </row>
    <row r="1228" spans="2:7" x14ac:dyDescent="0.35">
      <c r="B1228" s="2">
        <v>43020</v>
      </c>
      <c r="C1228" s="4">
        <v>796.52</v>
      </c>
      <c r="D1228">
        <f t="shared" si="42"/>
        <v>10.185507653419464</v>
      </c>
      <c r="E1228">
        <v>1.4403790068898692E-2</v>
      </c>
      <c r="F1228">
        <v>1225</v>
      </c>
      <c r="G1228">
        <f t="shared" ca="1" si="43"/>
        <v>-2.416709595715192E-2</v>
      </c>
    </row>
    <row r="1229" spans="2:7" x14ac:dyDescent="0.35">
      <c r="B1229" s="2">
        <v>39650</v>
      </c>
      <c r="C1229" s="4">
        <v>71.209999999999994</v>
      </c>
      <c r="D1229">
        <f t="shared" si="42"/>
        <v>-0.70984434846385791</v>
      </c>
      <c r="E1229">
        <v>1.4387464387464188E-2</v>
      </c>
      <c r="F1229">
        <v>1226</v>
      </c>
      <c r="G1229">
        <f t="shared" ca="1" si="43"/>
        <v>-4.6380893880479057E-2</v>
      </c>
    </row>
    <row r="1230" spans="2:7" x14ac:dyDescent="0.35">
      <c r="B1230" s="2">
        <v>41730</v>
      </c>
      <c r="C1230" s="4">
        <v>245.42</v>
      </c>
      <c r="D1230">
        <f t="shared" si="42"/>
        <v>2.4796540479228693</v>
      </c>
      <c r="E1230">
        <v>1.4383731503678554E-2</v>
      </c>
      <c r="F1230">
        <v>1227</v>
      </c>
      <c r="G1230">
        <f t="shared" ca="1" si="43"/>
        <v>1.0161568796075196E-2</v>
      </c>
    </row>
    <row r="1231" spans="2:7" x14ac:dyDescent="0.35">
      <c r="B1231" s="2">
        <v>38862</v>
      </c>
      <c r="C1231" s="4">
        <v>70.53</v>
      </c>
      <c r="D1231">
        <f t="shared" si="42"/>
        <v>-0.40491056361795474</v>
      </c>
      <c r="E1231">
        <v>1.4382281029771349E-2</v>
      </c>
      <c r="F1231">
        <v>1228</v>
      </c>
      <c r="G1231">
        <f t="shared" ca="1" si="43"/>
        <v>-2.0123877536578537E-2</v>
      </c>
    </row>
    <row r="1232" spans="2:7" x14ac:dyDescent="0.35">
      <c r="B1232" s="2">
        <v>39246</v>
      </c>
      <c r="C1232" s="4">
        <v>118.52</v>
      </c>
      <c r="D1232">
        <f t="shared" si="42"/>
        <v>0.17451194133386183</v>
      </c>
      <c r="E1232">
        <v>1.4378637452927112E-2</v>
      </c>
      <c r="F1232">
        <v>1229</v>
      </c>
      <c r="G1232">
        <f t="shared" ca="1" si="43"/>
        <v>-8.2985468195102604E-3</v>
      </c>
    </row>
    <row r="1233" spans="2:7" x14ac:dyDescent="0.35">
      <c r="B1233" s="2">
        <v>39163</v>
      </c>
      <c r="C1233" s="4">
        <v>100.91</v>
      </c>
      <c r="D1233">
        <f t="shared" si="42"/>
        <v>-0.98810220010847261</v>
      </c>
      <c r="E1233">
        <v>1.4374748693204653E-2</v>
      </c>
      <c r="F1233">
        <v>1230</v>
      </c>
      <c r="G1233">
        <f t="shared" ca="1" si="43"/>
        <v>-3.5604755466646286E-2</v>
      </c>
    </row>
    <row r="1234" spans="2:7" x14ac:dyDescent="0.35">
      <c r="B1234" s="2">
        <v>44769</v>
      </c>
      <c r="C1234" s="4">
        <v>8481.4</v>
      </c>
      <c r="D1234">
        <f t="shared" si="42"/>
        <v>10.284910254533841</v>
      </c>
      <c r="E1234">
        <v>1.4363795103632171E-2</v>
      </c>
      <c r="F1234">
        <v>1231</v>
      </c>
      <c r="G1234">
        <f t="shared" ca="1" si="43"/>
        <v>4.0476915767519016E-2</v>
      </c>
    </row>
    <row r="1235" spans="2:7" x14ac:dyDescent="0.35">
      <c r="B1235" s="2">
        <v>42214</v>
      </c>
      <c r="C1235" s="4">
        <v>751.57</v>
      </c>
      <c r="D1235">
        <f t="shared" si="42"/>
        <v>-0.17709211549200155</v>
      </c>
      <c r="E1235">
        <v>1.4332950941359002E-2</v>
      </c>
      <c r="F1235">
        <v>1232</v>
      </c>
      <c r="G1235">
        <f t="shared" ca="1" si="43"/>
        <v>-1.5642955686381181E-2</v>
      </c>
    </row>
    <row r="1236" spans="2:7" x14ac:dyDescent="0.35">
      <c r="B1236" s="2">
        <v>43102</v>
      </c>
      <c r="C1236" s="4">
        <v>913.31</v>
      </c>
      <c r="D1236">
        <f t="shared" si="42"/>
        <v>7.2051028658700922</v>
      </c>
      <c r="E1236">
        <v>1.4315541636125362E-2</v>
      </c>
      <c r="F1236">
        <v>1233</v>
      </c>
      <c r="G1236">
        <f t="shared" ca="1" si="43"/>
        <v>-9.2190819836177884E-3</v>
      </c>
    </row>
    <row r="1237" spans="2:7" x14ac:dyDescent="0.35">
      <c r="B1237" s="2">
        <v>40381</v>
      </c>
      <c r="C1237" s="4">
        <v>111.31</v>
      </c>
      <c r="D1237">
        <f t="shared" si="42"/>
        <v>-0.98128444747841936</v>
      </c>
      <c r="E1237">
        <v>1.4306542737379413E-2</v>
      </c>
      <c r="F1237">
        <v>1234</v>
      </c>
      <c r="G1237">
        <f t="shared" ca="1" si="43"/>
        <v>9.6351176625118131E-3</v>
      </c>
    </row>
    <row r="1238" spans="2:7" x14ac:dyDescent="0.35">
      <c r="B1238" s="2">
        <v>44565</v>
      </c>
      <c r="C1238" s="4">
        <v>5947.46</v>
      </c>
      <c r="D1238">
        <f t="shared" si="42"/>
        <v>6.0534392789373808</v>
      </c>
      <c r="E1238">
        <v>1.4270658176125384E-2</v>
      </c>
      <c r="F1238">
        <v>1235</v>
      </c>
      <c r="G1238">
        <f t="shared" ca="1" si="43"/>
        <v>6.1529089221412196E-3</v>
      </c>
    </row>
    <row r="1239" spans="2:7" x14ac:dyDescent="0.35">
      <c r="B1239" s="2">
        <v>43817</v>
      </c>
      <c r="C1239" s="4">
        <v>843.2</v>
      </c>
      <c r="D1239">
        <f t="shared" si="42"/>
        <v>24.730851388465059</v>
      </c>
      <c r="E1239">
        <v>1.4241724403387224E-2</v>
      </c>
      <c r="F1239">
        <v>1236</v>
      </c>
      <c r="G1239">
        <f t="shared" ca="1" si="43"/>
        <v>2.7180870879128974E-2</v>
      </c>
    </row>
    <row r="1240" spans="2:7" x14ac:dyDescent="0.35">
      <c r="B1240" s="2">
        <v>37510</v>
      </c>
      <c r="C1240" s="4">
        <v>32.770000000000003</v>
      </c>
      <c r="D1240">
        <f t="shared" si="42"/>
        <v>-0.96010858450601355</v>
      </c>
      <c r="E1240">
        <v>1.4237078303930728E-2</v>
      </c>
      <c r="F1240">
        <v>1237</v>
      </c>
      <c r="G1240">
        <f t="shared" ca="1" si="43"/>
        <v>6.7997316979684528E-3</v>
      </c>
    </row>
    <row r="1241" spans="2:7" x14ac:dyDescent="0.35">
      <c r="B1241" s="2">
        <v>42242</v>
      </c>
      <c r="C1241" s="4">
        <v>821.48</v>
      </c>
      <c r="D1241">
        <f t="shared" si="42"/>
        <v>8.1960147766707721</v>
      </c>
      <c r="E1241">
        <v>1.4235446632508086E-2</v>
      </c>
      <c r="F1241">
        <v>1238</v>
      </c>
      <c r="G1241">
        <f t="shared" ca="1" si="43"/>
        <v>5.3343004098436328E-2</v>
      </c>
    </row>
    <row r="1242" spans="2:7" x14ac:dyDescent="0.35">
      <c r="B1242" s="2">
        <v>41473</v>
      </c>
      <c r="C1242" s="4">
        <v>89.33</v>
      </c>
      <c r="D1242">
        <f t="shared" si="42"/>
        <v>-0.19933673926682793</v>
      </c>
      <c r="E1242">
        <v>1.4191643960036249E-2</v>
      </c>
      <c r="F1242">
        <v>1239</v>
      </c>
      <c r="G1242">
        <f t="shared" ca="1" si="43"/>
        <v>4.2800342977832853E-4</v>
      </c>
    </row>
    <row r="1243" spans="2:7" x14ac:dyDescent="0.35">
      <c r="B1243" s="2">
        <v>40192</v>
      </c>
      <c r="C1243" s="4">
        <v>111.57</v>
      </c>
      <c r="D1243">
        <f t="shared" si="42"/>
        <v>-0.80072159608480542</v>
      </c>
      <c r="E1243">
        <v>1.4180529042814083E-2</v>
      </c>
      <c r="F1243">
        <v>1240</v>
      </c>
      <c r="G1243">
        <f t="shared" ca="1" si="43"/>
        <v>-2.1616046852483257E-2</v>
      </c>
    </row>
    <row r="1244" spans="2:7" x14ac:dyDescent="0.35">
      <c r="B1244" s="2">
        <v>42684</v>
      </c>
      <c r="C1244" s="4">
        <v>559.87</v>
      </c>
      <c r="D1244">
        <f t="shared" si="42"/>
        <v>-0.5642356787048568</v>
      </c>
      <c r="E1244">
        <v>1.4165383570328816E-2</v>
      </c>
      <c r="F1244">
        <v>1241</v>
      </c>
      <c r="G1244">
        <f t="shared" ca="1" si="43"/>
        <v>3.1045954672158229E-2</v>
      </c>
    </row>
    <row r="1245" spans="2:7" x14ac:dyDescent="0.35">
      <c r="B1245" s="2">
        <v>43360</v>
      </c>
      <c r="C1245" s="4">
        <v>1284.8</v>
      </c>
      <c r="D1245">
        <f t="shared" si="42"/>
        <v>12.470329209477878</v>
      </c>
      <c r="E1245">
        <v>1.4160996479484655E-2</v>
      </c>
      <c r="F1245">
        <v>1242</v>
      </c>
      <c r="G1245">
        <f t="shared" ca="1" si="43"/>
        <v>3.6556500152786699E-2</v>
      </c>
    </row>
    <row r="1246" spans="2:7" x14ac:dyDescent="0.35">
      <c r="B1246" s="2">
        <v>40946</v>
      </c>
      <c r="C1246" s="4">
        <v>95.38</v>
      </c>
      <c r="D1246">
        <f t="shared" si="42"/>
        <v>2.4052124241342376</v>
      </c>
      <c r="E1246">
        <v>1.4141414141414232E-2</v>
      </c>
      <c r="F1246">
        <v>1243</v>
      </c>
      <c r="G1246">
        <f t="shared" ca="1" si="43"/>
        <v>-4.8756224942504971E-2</v>
      </c>
    </row>
    <row r="1247" spans="2:7" x14ac:dyDescent="0.35">
      <c r="B1247" s="2">
        <v>37580</v>
      </c>
      <c r="C1247" s="4">
        <v>28.01</v>
      </c>
      <c r="D1247">
        <f t="shared" si="42"/>
        <v>-0.67300957272939521</v>
      </c>
      <c r="E1247">
        <v>1.4120202751629174E-2</v>
      </c>
      <c r="F1247">
        <v>1244</v>
      </c>
      <c r="G1247">
        <f t="shared" ca="1" si="43"/>
        <v>-1.9899971208846151E-2</v>
      </c>
    </row>
    <row r="1248" spans="2:7" x14ac:dyDescent="0.35">
      <c r="B1248" s="2">
        <v>41410</v>
      </c>
      <c r="C1248" s="4">
        <v>85.66</v>
      </c>
      <c r="D1248">
        <f t="shared" si="42"/>
        <v>-0.24859649122807026</v>
      </c>
      <c r="E1248">
        <v>1.4087841837338688E-2</v>
      </c>
      <c r="F1248">
        <v>1245</v>
      </c>
      <c r="G1248">
        <f t="shared" ca="1" si="43"/>
        <v>-1.4877932275166799E-2</v>
      </c>
    </row>
    <row r="1249" spans="2:7" x14ac:dyDescent="0.35">
      <c r="B1249" s="2">
        <v>40472</v>
      </c>
      <c r="C1249" s="4">
        <v>114</v>
      </c>
      <c r="D1249">
        <f t="shared" si="42"/>
        <v>0.94009530292716148</v>
      </c>
      <c r="E1249">
        <v>1.4054438711972983E-2</v>
      </c>
      <c r="F1249">
        <v>1246</v>
      </c>
      <c r="G1249">
        <f t="shared" ca="1" si="43"/>
        <v>-6.8340814172658235E-2</v>
      </c>
    </row>
    <row r="1250" spans="2:7" x14ac:dyDescent="0.35">
      <c r="B1250" s="2">
        <v>38439</v>
      </c>
      <c r="C1250" s="4">
        <v>58.76</v>
      </c>
      <c r="D1250">
        <f t="shared" si="42"/>
        <v>-0.33709386281588449</v>
      </c>
      <c r="E1250">
        <v>1.3977566867989566E-2</v>
      </c>
      <c r="F1250">
        <v>1247</v>
      </c>
      <c r="G1250">
        <f t="shared" ca="1" si="43"/>
        <v>-3.5260176339453754E-2</v>
      </c>
    </row>
    <row r="1251" spans="2:7" x14ac:dyDescent="0.35">
      <c r="B1251" s="2">
        <v>41569</v>
      </c>
      <c r="C1251" s="4">
        <v>88.64</v>
      </c>
      <c r="D1251">
        <f t="shared" si="42"/>
        <v>0.19589854290339992</v>
      </c>
      <c r="E1251">
        <v>1.3955616563715356E-2</v>
      </c>
      <c r="F1251">
        <v>1248</v>
      </c>
      <c r="G1251">
        <f t="shared" ca="1" si="43"/>
        <v>-9.7281352160930503E-3</v>
      </c>
    </row>
    <row r="1252" spans="2:7" x14ac:dyDescent="0.35">
      <c r="B1252" s="2">
        <v>39636</v>
      </c>
      <c r="C1252" s="4">
        <v>74.12</v>
      </c>
      <c r="D1252">
        <f t="shared" si="42"/>
        <v>-0.42489137181874603</v>
      </c>
      <c r="E1252">
        <v>1.3953488372093092E-2</v>
      </c>
      <c r="F1252">
        <v>1249</v>
      </c>
      <c r="G1252">
        <f t="shared" ca="1" si="43"/>
        <v>-5.0008590109049574E-2</v>
      </c>
    </row>
    <row r="1253" spans="2:7" x14ac:dyDescent="0.35">
      <c r="B1253" s="2">
        <v>40497</v>
      </c>
      <c r="C1253" s="4">
        <v>128.88</v>
      </c>
      <c r="D1253">
        <f t="shared" si="42"/>
        <v>4.0442270058708409</v>
      </c>
      <c r="E1253">
        <v>1.3924946896388901E-2</v>
      </c>
      <c r="F1253">
        <v>1250</v>
      </c>
      <c r="G1253">
        <f t="shared" ca="1" si="43"/>
        <v>-2.9418478807551107E-2</v>
      </c>
    </row>
    <row r="1254" spans="2:7" x14ac:dyDescent="0.35">
      <c r="B1254" s="2">
        <v>37799</v>
      </c>
      <c r="C1254" s="4">
        <v>25.55</v>
      </c>
      <c r="D1254">
        <f t="shared" si="42"/>
        <v>-0.76668797370103192</v>
      </c>
      <c r="E1254">
        <v>1.388888888888884E-2</v>
      </c>
      <c r="F1254">
        <v>1251</v>
      </c>
      <c r="G1254">
        <f t="shared" ca="1" si="43"/>
        <v>1.104847774180865E-2</v>
      </c>
    </row>
    <row r="1255" spans="2:7" x14ac:dyDescent="0.35">
      <c r="B1255" s="2">
        <v>40212</v>
      </c>
      <c r="C1255" s="4">
        <v>109.51</v>
      </c>
      <c r="D1255">
        <f t="shared" si="42"/>
        <v>-0.88523610907337935</v>
      </c>
      <c r="E1255">
        <v>1.3887602999722137E-2</v>
      </c>
      <c r="F1255">
        <v>1252</v>
      </c>
      <c r="G1255">
        <f t="shared" ca="1" si="43"/>
        <v>-8.6065313300125439E-3</v>
      </c>
    </row>
    <row r="1256" spans="2:7" x14ac:dyDescent="0.35">
      <c r="B1256" s="2">
        <v>43145</v>
      </c>
      <c r="C1256" s="4">
        <v>954.22</v>
      </c>
      <c r="D1256">
        <f t="shared" si="42"/>
        <v>8.1321657574887549</v>
      </c>
      <c r="E1256">
        <v>1.3887265579344499E-2</v>
      </c>
      <c r="F1256">
        <v>1253</v>
      </c>
      <c r="G1256">
        <f t="shared" ca="1" si="43"/>
        <v>-3.9506770675258991E-2</v>
      </c>
    </row>
    <row r="1257" spans="2:7" x14ac:dyDescent="0.35">
      <c r="B1257" s="2">
        <v>39381</v>
      </c>
      <c r="C1257" s="4">
        <v>104.49</v>
      </c>
      <c r="D1257">
        <f t="shared" si="42"/>
        <v>4.2294264339152177E-2</v>
      </c>
      <c r="E1257">
        <v>1.3875412381137098E-2</v>
      </c>
      <c r="F1257">
        <v>1254</v>
      </c>
      <c r="G1257">
        <f t="shared" ca="1" si="43"/>
        <v>4.1578927419611096E-3</v>
      </c>
    </row>
    <row r="1258" spans="2:7" x14ac:dyDescent="0.35">
      <c r="B1258" s="2">
        <v>39378</v>
      </c>
      <c r="C1258" s="4">
        <v>100.25</v>
      </c>
      <c r="D1258">
        <f t="shared" si="42"/>
        <v>-0.83313359299577217</v>
      </c>
      <c r="E1258">
        <v>1.3855177993527645E-2</v>
      </c>
      <c r="F1258">
        <v>1255</v>
      </c>
      <c r="G1258">
        <f t="shared" ca="1" si="43"/>
        <v>1.3147499210002273E-2</v>
      </c>
    </row>
    <row r="1259" spans="2:7" x14ac:dyDescent="0.35">
      <c r="B1259" s="2">
        <v>43713</v>
      </c>
      <c r="C1259" s="4">
        <v>600.78</v>
      </c>
      <c r="D1259">
        <f t="shared" si="42"/>
        <v>-0.1646784016017353</v>
      </c>
      <c r="E1259">
        <v>1.3837794053123575E-2</v>
      </c>
      <c r="F1259">
        <v>1256</v>
      </c>
      <c r="G1259">
        <f t="shared" ca="1" si="43"/>
        <v>-1.7136669572371394E-2</v>
      </c>
    </row>
    <row r="1260" spans="2:7" x14ac:dyDescent="0.35">
      <c r="B1260" s="2">
        <v>42859</v>
      </c>
      <c r="C1260" s="4">
        <v>719.22</v>
      </c>
      <c r="D1260">
        <f t="shared" si="42"/>
        <v>-0.26889218695996908</v>
      </c>
      <c r="E1260">
        <v>1.3828392607941886E-2</v>
      </c>
      <c r="F1260">
        <v>1257</v>
      </c>
      <c r="G1260">
        <f t="shared" ca="1" si="43"/>
        <v>4.1399004341277613E-2</v>
      </c>
    </row>
    <row r="1261" spans="2:7" x14ac:dyDescent="0.35">
      <c r="B1261" s="2">
        <v>43159</v>
      </c>
      <c r="C1261" s="4">
        <v>983.74</v>
      </c>
      <c r="D1261">
        <f t="shared" si="42"/>
        <v>-0.84230462807559192</v>
      </c>
      <c r="E1261">
        <v>1.3820040604742623E-2</v>
      </c>
      <c r="F1261">
        <v>1258</v>
      </c>
      <c r="G1261">
        <f t="shared" ca="1" si="43"/>
        <v>-4.0212997429488549E-2</v>
      </c>
    </row>
    <row r="1262" spans="2:7" x14ac:dyDescent="0.35">
      <c r="B1262" s="2">
        <v>44509</v>
      </c>
      <c r="C1262" s="4">
        <v>6238.23</v>
      </c>
      <c r="D1262">
        <f t="shared" si="42"/>
        <v>9.9404244124868448</v>
      </c>
      <c r="E1262">
        <v>1.3817178350811865E-2</v>
      </c>
      <c r="F1262">
        <v>1259</v>
      </c>
      <c r="G1262">
        <f t="shared" ca="1" si="43"/>
        <v>-1.6182218349420362E-2</v>
      </c>
    </row>
    <row r="1263" spans="2:7" x14ac:dyDescent="0.35">
      <c r="B1263" s="2">
        <v>42153</v>
      </c>
      <c r="C1263" s="4">
        <v>570.20000000000005</v>
      </c>
      <c r="D1263">
        <f t="shared" si="42"/>
        <v>6.9073637498266542</v>
      </c>
      <c r="E1263">
        <v>1.3779002578006905E-2</v>
      </c>
      <c r="F1263">
        <v>1260</v>
      </c>
      <c r="G1263">
        <f t="shared" ca="1" si="43"/>
        <v>1.1254815392487853E-2</v>
      </c>
    </row>
    <row r="1264" spans="2:7" x14ac:dyDescent="0.35">
      <c r="B1264" s="2">
        <v>38551</v>
      </c>
      <c r="C1264" s="4">
        <v>72.11</v>
      </c>
      <c r="D1264">
        <f t="shared" si="42"/>
        <v>-0.94584791457022277</v>
      </c>
      <c r="E1264">
        <v>1.37775903275692E-2</v>
      </c>
      <c r="F1264">
        <v>1261</v>
      </c>
      <c r="G1264">
        <f t="shared" ca="1" si="43"/>
        <v>2.3418072985392634E-2</v>
      </c>
    </row>
    <row r="1265" spans="2:7" x14ac:dyDescent="0.35">
      <c r="B1265" s="2">
        <v>43325</v>
      </c>
      <c r="C1265" s="4">
        <v>1331.62</v>
      </c>
      <c r="D1265">
        <f t="shared" si="42"/>
        <v>0.74318628092682282</v>
      </c>
      <c r="E1265">
        <v>1.3756613756613634E-2</v>
      </c>
      <c r="F1265">
        <v>1262</v>
      </c>
      <c r="G1265">
        <f t="shared" ca="1" si="43"/>
        <v>9.4229980393725123E-3</v>
      </c>
    </row>
    <row r="1266" spans="2:7" x14ac:dyDescent="0.35">
      <c r="B1266" s="2">
        <v>42569</v>
      </c>
      <c r="C1266" s="4">
        <v>763.9</v>
      </c>
      <c r="D1266">
        <f t="shared" si="42"/>
        <v>6.8388917393535138</v>
      </c>
      <c r="E1266">
        <v>1.3748440693261088E-2</v>
      </c>
      <c r="F1266">
        <v>1263</v>
      </c>
      <c r="G1266">
        <f t="shared" ca="1" si="43"/>
        <v>4.0859587958453548E-2</v>
      </c>
    </row>
    <row r="1267" spans="2:7" x14ac:dyDescent="0.35">
      <c r="B1267" s="2">
        <v>41129</v>
      </c>
      <c r="C1267" s="4">
        <v>97.45</v>
      </c>
      <c r="D1267">
        <f t="shared" si="42"/>
        <v>-0.85672278173932215</v>
      </c>
      <c r="E1267">
        <v>1.3731405388536455E-2</v>
      </c>
      <c r="F1267">
        <v>1264</v>
      </c>
      <c r="G1267">
        <f t="shared" ca="1" si="43"/>
        <v>6.4579108052835585E-3</v>
      </c>
    </row>
    <row r="1268" spans="2:7" x14ac:dyDescent="0.35">
      <c r="B1268" s="2">
        <v>42768</v>
      </c>
      <c r="C1268" s="4">
        <v>680.15</v>
      </c>
      <c r="D1268">
        <f t="shared" si="42"/>
        <v>-0.54454444399801782</v>
      </c>
      <c r="E1268">
        <v>1.3727009866753903E-2</v>
      </c>
      <c r="F1268">
        <v>1265</v>
      </c>
      <c r="G1268">
        <f t="shared" ca="1" si="43"/>
        <v>-7.4478352085869219E-3</v>
      </c>
    </row>
    <row r="1269" spans="2:7" x14ac:dyDescent="0.35">
      <c r="B1269" s="2">
        <v>44124</v>
      </c>
      <c r="C1269" s="4">
        <v>1493.34</v>
      </c>
      <c r="D1269">
        <f t="shared" si="42"/>
        <v>49.518944519621108</v>
      </c>
      <c r="E1269">
        <v>1.3725969371130686E-2</v>
      </c>
      <c r="F1269">
        <v>1266</v>
      </c>
      <c r="G1269">
        <f t="shared" ca="1" si="43"/>
        <v>3.2195889041871886E-2</v>
      </c>
    </row>
    <row r="1270" spans="2:7" x14ac:dyDescent="0.35">
      <c r="B1270" s="2">
        <v>37532</v>
      </c>
      <c r="C1270" s="4">
        <v>29.56</v>
      </c>
      <c r="D1270">
        <f t="shared" si="42"/>
        <v>-0.95975877043712643</v>
      </c>
      <c r="E1270">
        <v>1.3717421124828544E-2</v>
      </c>
      <c r="F1270">
        <v>1267</v>
      </c>
      <c r="G1270">
        <f t="shared" ca="1" si="43"/>
        <v>-5.5750953337415497E-2</v>
      </c>
    </row>
    <row r="1271" spans="2:7" x14ac:dyDescent="0.35">
      <c r="B1271" s="2">
        <v>42612</v>
      </c>
      <c r="C1271" s="4">
        <v>734.57</v>
      </c>
      <c r="D1271">
        <f t="shared" si="42"/>
        <v>8.6463558765594222</v>
      </c>
      <c r="E1271">
        <v>1.371734540386127E-2</v>
      </c>
      <c r="F1271">
        <v>1268</v>
      </c>
      <c r="G1271">
        <f t="shared" ca="1" si="43"/>
        <v>-6.4038669513754743E-3</v>
      </c>
    </row>
    <row r="1272" spans="2:7" x14ac:dyDescent="0.35">
      <c r="B1272" s="2">
        <v>40777</v>
      </c>
      <c r="C1272" s="4">
        <v>76.150000000000006</v>
      </c>
      <c r="D1272">
        <f t="shared" si="42"/>
        <v>-0.29063809967396359</v>
      </c>
      <c r="E1272">
        <v>1.3711395101171364E-2</v>
      </c>
      <c r="F1272">
        <v>1269</v>
      </c>
      <c r="G1272">
        <f t="shared" ca="1" si="43"/>
        <v>-6.8532098048235228E-3</v>
      </c>
    </row>
    <row r="1273" spans="2:7" x14ac:dyDescent="0.35">
      <c r="B1273" s="2">
        <v>40637</v>
      </c>
      <c r="C1273" s="4">
        <v>107.35</v>
      </c>
      <c r="D1273">
        <f t="shared" si="42"/>
        <v>0.15058949624866025</v>
      </c>
      <c r="E1273">
        <v>1.3692162417374698E-2</v>
      </c>
      <c r="F1273">
        <v>1270</v>
      </c>
      <c r="G1273">
        <f t="shared" ca="1" si="43"/>
        <v>-2.375586316069438E-2</v>
      </c>
    </row>
    <row r="1274" spans="2:7" x14ac:dyDescent="0.35">
      <c r="B1274" s="2">
        <v>41240</v>
      </c>
      <c r="C1274" s="4">
        <v>93.3</v>
      </c>
      <c r="D1274">
        <f t="shared" si="42"/>
        <v>-0.98845711316482943</v>
      </c>
      <c r="E1274">
        <v>1.3689700130377958E-2</v>
      </c>
      <c r="F1274">
        <v>1271</v>
      </c>
      <c r="G1274">
        <f t="shared" ca="1" si="43"/>
        <v>1.6117959046568826E-2</v>
      </c>
    </row>
    <row r="1275" spans="2:7" x14ac:dyDescent="0.35">
      <c r="B1275" s="2">
        <v>44749</v>
      </c>
      <c r="C1275" s="4">
        <v>8082.9</v>
      </c>
      <c r="D1275">
        <f t="shared" si="42"/>
        <v>4.988087388782291</v>
      </c>
      <c r="E1275">
        <v>1.3675953272258567E-2</v>
      </c>
      <c r="F1275">
        <v>1272</v>
      </c>
      <c r="G1275">
        <f t="shared" ca="1" si="43"/>
        <v>3.7361422972204995E-2</v>
      </c>
    </row>
    <row r="1276" spans="2:7" x14ac:dyDescent="0.35">
      <c r="B1276" s="2">
        <v>43326</v>
      </c>
      <c r="C1276" s="4">
        <v>1349.83</v>
      </c>
      <c r="D1276">
        <f t="shared" si="42"/>
        <v>32.703620474406989</v>
      </c>
      <c r="E1276">
        <v>1.3675072468121607E-2</v>
      </c>
      <c r="F1276">
        <v>1273</v>
      </c>
      <c r="G1276">
        <f t="shared" ca="1" si="43"/>
        <v>-5.8799626902153249E-3</v>
      </c>
    </row>
    <row r="1277" spans="2:7" x14ac:dyDescent="0.35">
      <c r="B1277" s="2">
        <v>38190</v>
      </c>
      <c r="C1277" s="4">
        <v>40.049999999999997</v>
      </c>
      <c r="D1277">
        <f t="shared" si="42"/>
        <v>-0.49104079298513159</v>
      </c>
      <c r="E1277">
        <v>1.3667425968109326E-2</v>
      </c>
      <c r="F1277">
        <v>1274</v>
      </c>
      <c r="G1277">
        <f t="shared" ca="1" si="43"/>
        <v>-3.8995902170563396E-2</v>
      </c>
    </row>
    <row r="1278" spans="2:7" x14ac:dyDescent="0.35">
      <c r="B1278" s="2">
        <v>38994</v>
      </c>
      <c r="C1278" s="4">
        <v>78.69</v>
      </c>
      <c r="D1278">
        <f t="shared" si="42"/>
        <v>-0.9876383984114816</v>
      </c>
      <c r="E1278">
        <v>1.3654515007084811E-2</v>
      </c>
      <c r="F1278">
        <v>1275</v>
      </c>
      <c r="G1278">
        <f t="shared" ca="1" si="43"/>
        <v>-7.1447495824715642E-4</v>
      </c>
    </row>
    <row r="1279" spans="2:7" x14ac:dyDescent="0.35">
      <c r="B1279" s="2">
        <v>44578</v>
      </c>
      <c r="C1279" s="4">
        <v>6365.68</v>
      </c>
      <c r="D1279">
        <f t="shared" si="42"/>
        <v>61.013443740867025</v>
      </c>
      <c r="E1279">
        <v>1.3641698022773818E-2</v>
      </c>
      <c r="F1279">
        <v>1276</v>
      </c>
      <c r="G1279">
        <f t="shared" ca="1" si="43"/>
        <v>1.9279574149287694E-2</v>
      </c>
    </row>
    <row r="1280" spans="2:7" x14ac:dyDescent="0.35">
      <c r="B1280" s="2">
        <v>40183</v>
      </c>
      <c r="C1280" s="4">
        <v>102.65</v>
      </c>
      <c r="D1280">
        <f t="shared" si="42"/>
        <v>0.68251106376003956</v>
      </c>
      <c r="E1280">
        <v>1.3626937888812085E-2</v>
      </c>
      <c r="F1280">
        <v>1277</v>
      </c>
      <c r="G1280">
        <f t="shared" ca="1" si="43"/>
        <v>-1.1620897350269601E-2</v>
      </c>
    </row>
    <row r="1281" spans="2:7" x14ac:dyDescent="0.35">
      <c r="B1281" s="2">
        <v>39547</v>
      </c>
      <c r="C1281" s="4">
        <v>61.01</v>
      </c>
      <c r="D1281">
        <f t="shared" si="42"/>
        <v>-0.9239400097241095</v>
      </c>
      <c r="E1281">
        <v>1.3623525502575173E-2</v>
      </c>
      <c r="F1281">
        <v>1278</v>
      </c>
      <c r="G1281">
        <f t="shared" ca="1" si="43"/>
        <v>1.3558573873553434E-2</v>
      </c>
    </row>
    <row r="1282" spans="2:7" x14ac:dyDescent="0.35">
      <c r="B1282" s="2">
        <v>43826</v>
      </c>
      <c r="C1282" s="4">
        <v>802.13</v>
      </c>
      <c r="D1282">
        <f t="shared" si="42"/>
        <v>7.2898925175692426</v>
      </c>
      <c r="E1282">
        <v>1.3622291021671895E-2</v>
      </c>
      <c r="F1282">
        <v>1279</v>
      </c>
      <c r="G1282">
        <f t="shared" ca="1" si="43"/>
        <v>3.118236852086273E-2</v>
      </c>
    </row>
    <row r="1283" spans="2:7" x14ac:dyDescent="0.35">
      <c r="B1283" s="2">
        <v>40849</v>
      </c>
      <c r="C1283" s="4">
        <v>96.76</v>
      </c>
      <c r="D1283">
        <f t="shared" si="42"/>
        <v>-0.89450041432247374</v>
      </c>
      <c r="E1283">
        <v>1.3618269432223107E-2</v>
      </c>
      <c r="F1283">
        <v>1280</v>
      </c>
      <c r="G1283">
        <f t="shared" ca="1" si="43"/>
        <v>-3.7062268957142708E-2</v>
      </c>
    </row>
    <row r="1284" spans="2:7" x14ac:dyDescent="0.35">
      <c r="B1284" s="2">
        <v>42261</v>
      </c>
      <c r="C1284" s="4">
        <v>917.16</v>
      </c>
      <c r="D1284">
        <f t="shared" ref="D1284:D1347" si="44">C1284/C1285-1</f>
        <v>0.13660416640848649</v>
      </c>
      <c r="E1284">
        <v>1.3615666858229014E-2</v>
      </c>
      <c r="F1284">
        <v>1281</v>
      </c>
      <c r="G1284">
        <f t="shared" ca="1" si="43"/>
        <v>3.0373560870888532E-2</v>
      </c>
    </row>
    <row r="1285" spans="2:7" x14ac:dyDescent="0.35">
      <c r="B1285" s="2">
        <v>43033</v>
      </c>
      <c r="C1285" s="4">
        <v>806.93</v>
      </c>
      <c r="D1285">
        <f t="shared" si="44"/>
        <v>-5.4674320524836117E-2</v>
      </c>
      <c r="E1285">
        <v>1.3603818615751662E-2</v>
      </c>
      <c r="F1285">
        <v>1282</v>
      </c>
      <c r="G1285">
        <f t="shared" ref="G1285:G1348" ca="1" si="45">_xlfn.NORM.INV(RAND(),K$6,K$7)</f>
        <v>1.880034270222115E-2</v>
      </c>
    </row>
    <row r="1286" spans="2:7" x14ac:dyDescent="0.35">
      <c r="B1286" s="2">
        <v>42499</v>
      </c>
      <c r="C1286" s="4">
        <v>853.6</v>
      </c>
      <c r="D1286">
        <f t="shared" si="44"/>
        <v>7.118698877686894</v>
      </c>
      <c r="E1286">
        <v>1.3596152704387743E-2</v>
      </c>
      <c r="F1286">
        <v>1283</v>
      </c>
      <c r="G1286">
        <f t="shared" ca="1" si="45"/>
        <v>-2.1834067383600751E-2</v>
      </c>
    </row>
    <row r="1287" spans="2:7" x14ac:dyDescent="0.35">
      <c r="B1287" s="2">
        <v>40591</v>
      </c>
      <c r="C1287" s="4">
        <v>105.14</v>
      </c>
      <c r="D1287">
        <f t="shared" si="44"/>
        <v>-0.98641091159596184</v>
      </c>
      <c r="E1287">
        <v>1.3592981779620095E-2</v>
      </c>
      <c r="F1287">
        <v>1284</v>
      </c>
      <c r="G1287">
        <f t="shared" ca="1" si="45"/>
        <v>1.1320716231154298E-3</v>
      </c>
    </row>
    <row r="1288" spans="2:7" x14ac:dyDescent="0.35">
      <c r="B1288" s="2">
        <v>44685</v>
      </c>
      <c r="C1288" s="4">
        <v>7737.09</v>
      </c>
      <c r="D1288">
        <f t="shared" si="44"/>
        <v>41.474143610013179</v>
      </c>
      <c r="E1288">
        <v>1.3587707657299442E-2</v>
      </c>
      <c r="F1288">
        <v>1285</v>
      </c>
      <c r="G1288">
        <f t="shared" ca="1" si="45"/>
        <v>-9.3492699765767122E-3</v>
      </c>
    </row>
    <row r="1289" spans="2:7" x14ac:dyDescent="0.35">
      <c r="B1289" s="2">
        <v>41674</v>
      </c>
      <c r="C1289" s="4">
        <v>182.16</v>
      </c>
      <c r="D1289">
        <f t="shared" si="44"/>
        <v>0.81996203416924751</v>
      </c>
      <c r="E1289">
        <v>1.3576674827509461E-2</v>
      </c>
      <c r="F1289">
        <v>1286</v>
      </c>
      <c r="G1289">
        <f t="shared" ca="1" si="45"/>
        <v>-2.1298358142405154E-3</v>
      </c>
    </row>
    <row r="1290" spans="2:7" x14ac:dyDescent="0.35">
      <c r="B1290" s="2">
        <v>41270</v>
      </c>
      <c r="C1290" s="4">
        <v>100.09</v>
      </c>
      <c r="D1290">
        <f t="shared" si="44"/>
        <v>-0.8907385979084339</v>
      </c>
      <c r="E1290">
        <v>1.3569620253164549E-2</v>
      </c>
      <c r="F1290">
        <v>1287</v>
      </c>
      <c r="G1290">
        <f t="shared" ca="1" si="45"/>
        <v>2.1794848597399045E-3</v>
      </c>
    </row>
    <row r="1291" spans="2:7" x14ac:dyDescent="0.35">
      <c r="B1291" s="2">
        <v>42341</v>
      </c>
      <c r="C1291" s="4">
        <v>916.06</v>
      </c>
      <c r="D1291">
        <f t="shared" si="44"/>
        <v>14.096572181938035</v>
      </c>
      <c r="E1291">
        <v>1.3531305665888338E-2</v>
      </c>
      <c r="F1291">
        <v>1288</v>
      </c>
      <c r="G1291">
        <f t="shared" ca="1" si="45"/>
        <v>-3.892566186025069E-2</v>
      </c>
    </row>
    <row r="1292" spans="2:7" x14ac:dyDescent="0.35">
      <c r="B1292" s="2">
        <v>38498</v>
      </c>
      <c r="C1292" s="4">
        <v>60.68</v>
      </c>
      <c r="D1292">
        <f t="shared" si="44"/>
        <v>-0.92720467387262018</v>
      </c>
      <c r="E1292">
        <v>1.3529313512610663E-2</v>
      </c>
      <c r="F1292">
        <v>1289</v>
      </c>
      <c r="G1292">
        <f t="shared" ca="1" si="45"/>
        <v>-3.9374569813058931E-2</v>
      </c>
    </row>
    <row r="1293" spans="2:7" x14ac:dyDescent="0.35">
      <c r="B1293" s="2">
        <v>42431</v>
      </c>
      <c r="C1293" s="4">
        <v>833.57</v>
      </c>
      <c r="D1293">
        <f t="shared" si="44"/>
        <v>-0.82581958221105922</v>
      </c>
      <c r="E1293">
        <v>1.3520578758587254E-2</v>
      </c>
      <c r="F1293">
        <v>1290</v>
      </c>
      <c r="G1293">
        <f t="shared" ca="1" si="45"/>
        <v>-4.0939590922465172E-2</v>
      </c>
    </row>
    <row r="1294" spans="2:7" x14ac:dyDescent="0.35">
      <c r="B1294" s="2">
        <v>44433</v>
      </c>
      <c r="C1294" s="4">
        <v>4785.67</v>
      </c>
      <c r="D1294">
        <f t="shared" si="44"/>
        <v>4.5874070355278986</v>
      </c>
      <c r="E1294">
        <v>1.3515888899477968E-2</v>
      </c>
      <c r="F1294">
        <v>1291</v>
      </c>
      <c r="G1294">
        <f t="shared" ca="1" si="45"/>
        <v>8.1567127653246405E-3</v>
      </c>
    </row>
    <row r="1295" spans="2:7" x14ac:dyDescent="0.35">
      <c r="B1295" s="2">
        <v>42297</v>
      </c>
      <c r="C1295" s="4">
        <v>856.51</v>
      </c>
      <c r="D1295">
        <f t="shared" si="44"/>
        <v>4.0982510725701582E-2</v>
      </c>
      <c r="E1295">
        <v>1.3513353607307987E-2</v>
      </c>
      <c r="F1295">
        <v>1292</v>
      </c>
      <c r="G1295">
        <f t="shared" ca="1" si="45"/>
        <v>3.102836461366781E-3</v>
      </c>
    </row>
    <row r="1296" spans="2:7" x14ac:dyDescent="0.35">
      <c r="B1296" s="2">
        <v>43612</v>
      </c>
      <c r="C1296" s="4">
        <v>822.79</v>
      </c>
      <c r="D1296">
        <f t="shared" si="44"/>
        <v>6.6645551932929674</v>
      </c>
      <c r="E1296">
        <v>1.351284767559302E-2</v>
      </c>
      <c r="F1296">
        <v>1293</v>
      </c>
      <c r="G1296">
        <f t="shared" ca="1" si="45"/>
        <v>7.9755654930399062E-3</v>
      </c>
    </row>
    <row r="1297" spans="2:7" x14ac:dyDescent="0.35">
      <c r="B1297" s="2">
        <v>40654</v>
      </c>
      <c r="C1297" s="4">
        <v>107.35</v>
      </c>
      <c r="D1297">
        <f t="shared" si="44"/>
        <v>0.473980502540162</v>
      </c>
      <c r="E1297">
        <v>1.3500755287009003E-2</v>
      </c>
      <c r="F1297">
        <v>1294</v>
      </c>
      <c r="G1297">
        <f t="shared" ca="1" si="45"/>
        <v>-9.4041905888656834E-3</v>
      </c>
    </row>
    <row r="1298" spans="2:7" x14ac:dyDescent="0.35">
      <c r="B1298" s="2">
        <v>40898</v>
      </c>
      <c r="C1298" s="4">
        <v>72.83</v>
      </c>
      <c r="D1298">
        <f t="shared" si="44"/>
        <v>-4.9092570831701376E-2</v>
      </c>
      <c r="E1298">
        <v>1.3498469245755595E-2</v>
      </c>
      <c r="F1298">
        <v>1295</v>
      </c>
      <c r="G1298">
        <f t="shared" ca="1" si="45"/>
        <v>1.9077808645941614E-2</v>
      </c>
    </row>
    <row r="1299" spans="2:7" x14ac:dyDescent="0.35">
      <c r="B1299" s="2">
        <v>39476</v>
      </c>
      <c r="C1299" s="4">
        <v>76.59</v>
      </c>
      <c r="D1299">
        <f t="shared" si="44"/>
        <v>-0.91852301014872029</v>
      </c>
      <c r="E1299">
        <v>1.3497419610956962E-2</v>
      </c>
      <c r="F1299">
        <v>1296</v>
      </c>
      <c r="G1299">
        <f t="shared" ca="1" si="45"/>
        <v>1.1097786381819083E-2</v>
      </c>
    </row>
    <row r="1300" spans="2:7" x14ac:dyDescent="0.35">
      <c r="B1300" s="2">
        <v>43136</v>
      </c>
      <c r="C1300" s="4">
        <v>940.02</v>
      </c>
      <c r="D1300">
        <f t="shared" si="44"/>
        <v>7.7378694924707201</v>
      </c>
      <c r="E1300">
        <v>1.3487725199728295E-2</v>
      </c>
      <c r="F1300">
        <v>1297</v>
      </c>
      <c r="G1300">
        <f t="shared" ca="1" si="45"/>
        <v>8.4682490756481113E-2</v>
      </c>
    </row>
    <row r="1301" spans="2:7" x14ac:dyDescent="0.35">
      <c r="B1301" s="2">
        <v>40219</v>
      </c>
      <c r="C1301" s="4">
        <v>107.58</v>
      </c>
      <c r="D1301">
        <f t="shared" si="44"/>
        <v>0.25238649592549467</v>
      </c>
      <c r="E1301">
        <v>1.3471502590673534E-2</v>
      </c>
      <c r="F1301">
        <v>1298</v>
      </c>
      <c r="G1301">
        <f t="shared" ca="1" si="45"/>
        <v>1.3449530989224029E-2</v>
      </c>
    </row>
    <row r="1302" spans="2:7" x14ac:dyDescent="0.35">
      <c r="B1302" s="2">
        <v>41016</v>
      </c>
      <c r="C1302" s="4">
        <v>85.9</v>
      </c>
      <c r="D1302">
        <f t="shared" si="44"/>
        <v>-0.8613778301353946</v>
      </c>
      <c r="E1302">
        <v>1.3449740443605585E-2</v>
      </c>
      <c r="F1302">
        <v>1299</v>
      </c>
      <c r="G1302">
        <f t="shared" ca="1" si="45"/>
        <v>-6.3881950251561542E-3</v>
      </c>
    </row>
    <row r="1303" spans="2:7" x14ac:dyDescent="0.35">
      <c r="B1303" s="2">
        <v>43717</v>
      </c>
      <c r="C1303" s="4">
        <v>619.66999999999996</v>
      </c>
      <c r="D1303">
        <f t="shared" si="44"/>
        <v>-0.85333532146136881</v>
      </c>
      <c r="E1303">
        <v>1.3426879926732527E-2</v>
      </c>
      <c r="F1303">
        <v>1300</v>
      </c>
      <c r="G1303">
        <f t="shared" ca="1" si="45"/>
        <v>3.8307656254667186E-2</v>
      </c>
    </row>
    <row r="1304" spans="2:7" x14ac:dyDescent="0.35">
      <c r="B1304" s="2">
        <v>44399</v>
      </c>
      <c r="C1304" s="4">
        <v>4225.08</v>
      </c>
      <c r="D1304">
        <f t="shared" si="44"/>
        <v>54.90948789202065</v>
      </c>
      <c r="E1304">
        <v>1.3422496833864317E-2</v>
      </c>
      <c r="F1304">
        <v>1301</v>
      </c>
      <c r="G1304">
        <f t="shared" ca="1" si="45"/>
        <v>2.4280296804025017E-2</v>
      </c>
    </row>
    <row r="1305" spans="2:7" x14ac:dyDescent="0.35">
      <c r="B1305" s="2">
        <v>39475</v>
      </c>
      <c r="C1305" s="4">
        <v>75.569999999999993</v>
      </c>
      <c r="D1305">
        <f t="shared" si="44"/>
        <v>-0.93797857934260742</v>
      </c>
      <c r="E1305">
        <v>1.3410218586562994E-2</v>
      </c>
      <c r="F1305">
        <v>1302</v>
      </c>
      <c r="G1305">
        <f t="shared" ca="1" si="45"/>
        <v>-2.093820960513049E-2</v>
      </c>
    </row>
    <row r="1306" spans="2:7" x14ac:dyDescent="0.35">
      <c r="B1306" s="2">
        <v>43266</v>
      </c>
      <c r="C1306" s="4">
        <v>1218.45</v>
      </c>
      <c r="D1306">
        <f t="shared" si="44"/>
        <v>37.352219074598679</v>
      </c>
      <c r="E1306">
        <v>1.3398872199211542E-2</v>
      </c>
      <c r="F1306">
        <v>1303</v>
      </c>
      <c r="G1306">
        <f t="shared" ca="1" si="45"/>
        <v>-2.3603710692888181E-2</v>
      </c>
    </row>
    <row r="1307" spans="2:7" x14ac:dyDescent="0.35">
      <c r="B1307" s="2">
        <v>38162</v>
      </c>
      <c r="C1307" s="4">
        <v>31.77</v>
      </c>
      <c r="D1307">
        <f t="shared" si="44"/>
        <v>-0.7142728662649519</v>
      </c>
      <c r="E1307">
        <v>1.3397129186602852E-2</v>
      </c>
      <c r="F1307">
        <v>1304</v>
      </c>
      <c r="G1307">
        <f t="shared" ca="1" si="45"/>
        <v>-9.0330916315960966E-3</v>
      </c>
    </row>
    <row r="1308" spans="2:7" x14ac:dyDescent="0.35">
      <c r="B1308" s="2">
        <v>39289</v>
      </c>
      <c r="C1308" s="4">
        <v>111.19</v>
      </c>
      <c r="D1308">
        <f t="shared" si="44"/>
        <v>0.11435157346161562</v>
      </c>
      <c r="E1308">
        <v>1.330538594732511E-2</v>
      </c>
      <c r="F1308">
        <v>1305</v>
      </c>
      <c r="G1308">
        <f t="shared" ca="1" si="45"/>
        <v>-2.1376729540874256E-3</v>
      </c>
    </row>
    <row r="1309" spans="2:7" x14ac:dyDescent="0.35">
      <c r="B1309" s="2">
        <v>40723</v>
      </c>
      <c r="C1309" s="4">
        <v>99.78</v>
      </c>
      <c r="D1309">
        <f t="shared" si="44"/>
        <v>-0.62891888876492241</v>
      </c>
      <c r="E1309">
        <v>1.3303544226668018E-2</v>
      </c>
      <c r="F1309">
        <v>1306</v>
      </c>
      <c r="G1309">
        <f t="shared" ca="1" si="45"/>
        <v>6.4094347980600958E-3</v>
      </c>
    </row>
    <row r="1310" spans="2:7" x14ac:dyDescent="0.35">
      <c r="B1310" s="2">
        <v>42004</v>
      </c>
      <c r="C1310" s="4">
        <v>268.89</v>
      </c>
      <c r="D1310">
        <f t="shared" si="44"/>
        <v>1.8755213346166184</v>
      </c>
      <c r="E1310">
        <v>1.3226316979425778E-2</v>
      </c>
      <c r="F1310">
        <v>1307</v>
      </c>
      <c r="G1310">
        <f t="shared" ca="1" si="45"/>
        <v>2.7028006266602633E-2</v>
      </c>
    </row>
    <row r="1311" spans="2:7" x14ac:dyDescent="0.35">
      <c r="B1311" s="2">
        <v>39147</v>
      </c>
      <c r="C1311" s="4">
        <v>93.51</v>
      </c>
      <c r="D1311">
        <f t="shared" si="44"/>
        <v>2.0459283387622151</v>
      </c>
      <c r="E1311">
        <v>1.3219200346733073E-2</v>
      </c>
      <c r="F1311">
        <v>1308</v>
      </c>
      <c r="G1311">
        <f t="shared" ca="1" si="45"/>
        <v>-6.2823000217208632E-3</v>
      </c>
    </row>
    <row r="1312" spans="2:7" x14ac:dyDescent="0.35">
      <c r="B1312" s="2">
        <v>37547</v>
      </c>
      <c r="C1312" s="4">
        <v>30.7</v>
      </c>
      <c r="D1312">
        <f t="shared" si="44"/>
        <v>-0.73688721288995551</v>
      </c>
      <c r="E1312">
        <v>1.3201320132013139E-2</v>
      </c>
      <c r="F1312">
        <v>1309</v>
      </c>
      <c r="G1312">
        <f t="shared" ca="1" si="45"/>
        <v>3.5333715786428268E-3</v>
      </c>
    </row>
    <row r="1313" spans="2:7" x14ac:dyDescent="0.35">
      <c r="B1313" s="2">
        <v>39190</v>
      </c>
      <c r="C1313" s="4">
        <v>116.68</v>
      </c>
      <c r="D1313">
        <f t="shared" si="44"/>
        <v>0.38066501005798137</v>
      </c>
      <c r="E1313">
        <v>1.3199027440083499E-2</v>
      </c>
      <c r="F1313">
        <v>1310</v>
      </c>
      <c r="G1313">
        <f t="shared" ca="1" si="45"/>
        <v>-2.3208184000972153E-2</v>
      </c>
    </row>
    <row r="1314" spans="2:7" x14ac:dyDescent="0.35">
      <c r="B1314" s="2">
        <v>41381</v>
      </c>
      <c r="C1314" s="4">
        <v>84.51</v>
      </c>
      <c r="D1314">
        <f t="shared" si="44"/>
        <v>-0.98276632060639058</v>
      </c>
      <c r="E1314">
        <v>1.3187867162210765E-2</v>
      </c>
      <c r="F1314">
        <v>1311</v>
      </c>
      <c r="G1314">
        <f t="shared" ca="1" si="45"/>
        <v>-3.1587552559150571E-2</v>
      </c>
    </row>
    <row r="1315" spans="2:7" x14ac:dyDescent="0.35">
      <c r="B1315" s="2">
        <v>44448</v>
      </c>
      <c r="C1315" s="4">
        <v>4903.7700000000004</v>
      </c>
      <c r="D1315">
        <f t="shared" si="44"/>
        <v>-0.45250259582212193</v>
      </c>
      <c r="E1315">
        <v>1.3186086633126592E-2</v>
      </c>
      <c r="F1315">
        <v>1312</v>
      </c>
      <c r="G1315">
        <f t="shared" ca="1" si="45"/>
        <v>-4.120795869866075E-2</v>
      </c>
    </row>
    <row r="1316" spans="2:7" x14ac:dyDescent="0.35">
      <c r="B1316" s="2">
        <v>44777</v>
      </c>
      <c r="C1316" s="4">
        <v>8956.7000000000007</v>
      </c>
      <c r="D1316">
        <f t="shared" si="44"/>
        <v>175.24360487996853</v>
      </c>
      <c r="E1316">
        <v>1.3166973971471707E-2</v>
      </c>
      <c r="F1316">
        <v>1313</v>
      </c>
      <c r="G1316">
        <f t="shared" ca="1" si="45"/>
        <v>2.2788292077439033E-3</v>
      </c>
    </row>
    <row r="1317" spans="2:7" x14ac:dyDescent="0.35">
      <c r="B1317" s="2">
        <v>38238</v>
      </c>
      <c r="C1317" s="4">
        <v>50.82</v>
      </c>
      <c r="D1317">
        <f t="shared" si="44"/>
        <v>-0.46358454718176056</v>
      </c>
      <c r="E1317">
        <v>1.3157894736842257E-2</v>
      </c>
      <c r="F1317">
        <v>1314</v>
      </c>
      <c r="G1317">
        <f t="shared" ca="1" si="45"/>
        <v>1.1792869805913165E-2</v>
      </c>
    </row>
    <row r="1318" spans="2:7" x14ac:dyDescent="0.35">
      <c r="B1318" s="2">
        <v>39148</v>
      </c>
      <c r="C1318" s="4">
        <v>94.74</v>
      </c>
      <c r="D1318">
        <f t="shared" si="44"/>
        <v>-0.97347585558143701</v>
      </c>
      <c r="E1318">
        <v>1.3153673403913935E-2</v>
      </c>
      <c r="F1318">
        <v>1315</v>
      </c>
      <c r="G1318">
        <f t="shared" ca="1" si="45"/>
        <v>-2.1812332445697157E-2</v>
      </c>
    </row>
    <row r="1319" spans="2:7" x14ac:dyDescent="0.35">
      <c r="B1319" s="2">
        <v>44354</v>
      </c>
      <c r="C1319" s="4">
        <v>3571.84</v>
      </c>
      <c r="D1319">
        <f t="shared" si="44"/>
        <v>28.839933166248958</v>
      </c>
      <c r="E1319">
        <v>1.313848737207568E-2</v>
      </c>
      <c r="F1319">
        <v>1316</v>
      </c>
      <c r="G1319">
        <f t="shared" ca="1" si="45"/>
        <v>1.0322907685823937E-2</v>
      </c>
    </row>
    <row r="1320" spans="2:7" x14ac:dyDescent="0.35">
      <c r="B1320" s="2">
        <v>40536</v>
      </c>
      <c r="C1320" s="4">
        <v>119.7</v>
      </c>
      <c r="D1320">
        <f t="shared" si="44"/>
        <v>-3.0815357708002811E-3</v>
      </c>
      <c r="E1320">
        <v>1.3118916631400745E-2</v>
      </c>
      <c r="F1320">
        <v>1317</v>
      </c>
      <c r="G1320">
        <f t="shared" ca="1" si="45"/>
        <v>-1.5571899711424905E-2</v>
      </c>
    </row>
    <row r="1321" spans="2:7" x14ac:dyDescent="0.35">
      <c r="B1321" s="2">
        <v>39247</v>
      </c>
      <c r="C1321" s="4">
        <v>120.07</v>
      </c>
      <c r="D1321">
        <f t="shared" si="44"/>
        <v>2.1614007372301214</v>
      </c>
      <c r="E1321">
        <v>1.3077961525481019E-2</v>
      </c>
      <c r="F1321">
        <v>1318</v>
      </c>
      <c r="G1321">
        <f t="shared" ca="1" si="45"/>
        <v>-1.2891638293476219E-2</v>
      </c>
    </row>
    <row r="1322" spans="2:7" x14ac:dyDescent="0.35">
      <c r="B1322" s="2">
        <v>39755</v>
      </c>
      <c r="C1322" s="4">
        <v>37.979999999999997</v>
      </c>
      <c r="D1322">
        <f t="shared" si="44"/>
        <v>0.39735099337748325</v>
      </c>
      <c r="E1322">
        <v>1.307015204054407E-2</v>
      </c>
      <c r="F1322">
        <v>1319</v>
      </c>
      <c r="G1322">
        <f t="shared" ca="1" si="45"/>
        <v>-1.3489754682544059E-2</v>
      </c>
    </row>
    <row r="1323" spans="2:7" x14ac:dyDescent="0.35">
      <c r="B1323" s="2">
        <v>37816</v>
      </c>
      <c r="C1323" s="4">
        <v>27.18</v>
      </c>
      <c r="D1323">
        <f t="shared" si="44"/>
        <v>-0.92199741713301764</v>
      </c>
      <c r="E1323">
        <v>1.3045098770033681E-2</v>
      </c>
      <c r="F1323">
        <v>1320</v>
      </c>
      <c r="G1323">
        <f t="shared" ca="1" si="45"/>
        <v>-3.6440142937846452E-5</v>
      </c>
    </row>
    <row r="1324" spans="2:7" x14ac:dyDescent="0.35">
      <c r="B1324" s="2">
        <v>42044</v>
      </c>
      <c r="C1324" s="4">
        <v>348.45</v>
      </c>
      <c r="D1324">
        <f t="shared" si="44"/>
        <v>5.2953929539295386</v>
      </c>
      <c r="E1324">
        <v>1.3024391662063373E-2</v>
      </c>
      <c r="F1324">
        <v>1321</v>
      </c>
      <c r="G1324">
        <f t="shared" ca="1" si="45"/>
        <v>-1.4018123518986338E-3</v>
      </c>
    </row>
    <row r="1325" spans="2:7" x14ac:dyDescent="0.35">
      <c r="B1325" s="2">
        <v>38391</v>
      </c>
      <c r="C1325" s="4">
        <v>55.35</v>
      </c>
      <c r="D1325">
        <f t="shared" si="44"/>
        <v>1.4107731769879228E-2</v>
      </c>
      <c r="E1325">
        <v>1.2994143484626575E-2</v>
      </c>
      <c r="F1325">
        <v>1322</v>
      </c>
      <c r="G1325">
        <f t="shared" ca="1" si="45"/>
        <v>-5.6480262672779093E-2</v>
      </c>
    </row>
    <row r="1326" spans="2:7" x14ac:dyDescent="0.35">
      <c r="B1326" s="2">
        <v>40016</v>
      </c>
      <c r="C1326" s="4">
        <v>54.58</v>
      </c>
      <c r="D1326">
        <f t="shared" si="44"/>
        <v>-0.90631651218674902</v>
      </c>
      <c r="E1326">
        <v>1.2991833704528499E-2</v>
      </c>
      <c r="F1326">
        <v>1323</v>
      </c>
      <c r="G1326">
        <f t="shared" ca="1" si="45"/>
        <v>1.252216165380143E-2</v>
      </c>
    </row>
    <row r="1327" spans="2:7" x14ac:dyDescent="0.35">
      <c r="B1327" s="2">
        <v>42702</v>
      </c>
      <c r="C1327" s="4">
        <v>582.6</v>
      </c>
      <c r="D1327">
        <f t="shared" si="44"/>
        <v>-0.87661615680294802</v>
      </c>
      <c r="E1327">
        <v>1.2935530982683074E-2</v>
      </c>
      <c r="F1327">
        <v>1324</v>
      </c>
      <c r="G1327">
        <f t="shared" ca="1" si="45"/>
        <v>-3.6040716908055041E-2</v>
      </c>
    </row>
    <row r="1328" spans="2:7" x14ac:dyDescent="0.35">
      <c r="B1328" s="2">
        <v>44432</v>
      </c>
      <c r="C1328" s="4">
        <v>4721.8500000000004</v>
      </c>
      <c r="D1328">
        <f t="shared" si="44"/>
        <v>63.762721163077771</v>
      </c>
      <c r="E1328">
        <v>1.2933438591372859E-2</v>
      </c>
      <c r="F1328">
        <v>1325</v>
      </c>
      <c r="G1328">
        <f t="shared" ca="1" si="45"/>
        <v>3.9741431926286243E-2</v>
      </c>
    </row>
    <row r="1329" spans="2:7" x14ac:dyDescent="0.35">
      <c r="B1329" s="2">
        <v>38812</v>
      </c>
      <c r="C1329" s="4">
        <v>72.91</v>
      </c>
      <c r="D1329">
        <f t="shared" si="44"/>
        <v>3.3158565962873698E-2</v>
      </c>
      <c r="E1329">
        <v>1.2920255626562849E-2</v>
      </c>
      <c r="F1329">
        <v>1326</v>
      </c>
      <c r="G1329">
        <f t="shared" ca="1" si="45"/>
        <v>2.5933742602440538E-2</v>
      </c>
    </row>
    <row r="1330" spans="2:7" x14ac:dyDescent="0.35">
      <c r="B1330" s="2">
        <v>38866</v>
      </c>
      <c r="C1330" s="4">
        <v>70.569999999999993</v>
      </c>
      <c r="D1330">
        <f t="shared" si="44"/>
        <v>-0.2981601193436102</v>
      </c>
      <c r="E1330">
        <v>1.2918042198937663E-2</v>
      </c>
      <c r="F1330">
        <v>1327</v>
      </c>
      <c r="G1330">
        <f t="shared" ca="1" si="45"/>
        <v>4.116651952441033E-4</v>
      </c>
    </row>
    <row r="1331" spans="2:7" x14ac:dyDescent="0.35">
      <c r="B1331" s="2">
        <v>41200</v>
      </c>
      <c r="C1331" s="4">
        <v>100.55</v>
      </c>
      <c r="D1331">
        <f t="shared" si="44"/>
        <v>1.6116883116883116</v>
      </c>
      <c r="E1331">
        <v>1.2894127128034727E-2</v>
      </c>
      <c r="F1331">
        <v>1328</v>
      </c>
      <c r="G1331">
        <f t="shared" ca="1" si="45"/>
        <v>3.3652301904153852E-2</v>
      </c>
    </row>
    <row r="1332" spans="2:7" x14ac:dyDescent="0.35">
      <c r="B1332" s="2">
        <v>39737</v>
      </c>
      <c r="C1332" s="4">
        <v>38.5</v>
      </c>
      <c r="D1332">
        <f t="shared" si="44"/>
        <v>-0.95220241346774592</v>
      </c>
      <c r="E1332">
        <v>1.2891344383057168E-2</v>
      </c>
      <c r="F1332">
        <v>1329</v>
      </c>
      <c r="G1332">
        <f t="shared" ca="1" si="45"/>
        <v>-4.6926971906719522E-3</v>
      </c>
    </row>
    <row r="1333" spans="2:7" x14ac:dyDescent="0.35">
      <c r="B1333" s="2">
        <v>43770</v>
      </c>
      <c r="C1333" s="4">
        <v>805.48</v>
      </c>
      <c r="D1333">
        <f t="shared" si="44"/>
        <v>20.297726070861977</v>
      </c>
      <c r="E1333">
        <v>1.2889352765866446E-2</v>
      </c>
      <c r="F1333">
        <v>1330</v>
      </c>
      <c r="G1333">
        <f t="shared" ca="1" si="45"/>
        <v>1.8182076478777367E-2</v>
      </c>
    </row>
    <row r="1334" spans="2:7" x14ac:dyDescent="0.35">
      <c r="B1334" s="2">
        <v>38215</v>
      </c>
      <c r="C1334" s="4">
        <v>37.82</v>
      </c>
      <c r="D1334">
        <f t="shared" si="44"/>
        <v>-0.55306074214133782</v>
      </c>
      <c r="E1334">
        <v>1.2854847348687581E-2</v>
      </c>
      <c r="F1334">
        <v>1331</v>
      </c>
      <c r="G1334">
        <f t="shared" ca="1" si="45"/>
        <v>5.1237803762976195E-2</v>
      </c>
    </row>
    <row r="1335" spans="2:7" x14ac:dyDescent="0.35">
      <c r="B1335" s="2">
        <v>40884</v>
      </c>
      <c r="C1335" s="4">
        <v>84.62</v>
      </c>
      <c r="D1335">
        <f t="shared" si="44"/>
        <v>0.40634867874355995</v>
      </c>
      <c r="E1335">
        <v>1.2806702573309403E-2</v>
      </c>
      <c r="F1335">
        <v>1332</v>
      </c>
      <c r="G1335">
        <f t="shared" ca="1" si="45"/>
        <v>-2.5692117665577448E-2</v>
      </c>
    </row>
    <row r="1336" spans="2:7" x14ac:dyDescent="0.35">
      <c r="B1336" s="2">
        <v>38422</v>
      </c>
      <c r="C1336" s="4">
        <v>60.17</v>
      </c>
      <c r="D1336">
        <f t="shared" si="44"/>
        <v>-0.28403141361256545</v>
      </c>
      <c r="E1336">
        <v>1.2792459181955929E-2</v>
      </c>
      <c r="F1336">
        <v>1333</v>
      </c>
      <c r="G1336">
        <f t="shared" ca="1" si="45"/>
        <v>1.4353012516315093E-2</v>
      </c>
    </row>
    <row r="1337" spans="2:7" x14ac:dyDescent="0.35">
      <c r="B1337" s="2">
        <v>41556</v>
      </c>
      <c r="C1337" s="4">
        <v>84.04</v>
      </c>
      <c r="D1337">
        <f t="shared" si="44"/>
        <v>1.7162249515190693</v>
      </c>
      <c r="E1337">
        <v>1.2774162448782933E-2</v>
      </c>
      <c r="F1337">
        <v>1334</v>
      </c>
      <c r="G1337">
        <f t="shared" ca="1" si="45"/>
        <v>-3.035852881992172E-2</v>
      </c>
    </row>
    <row r="1338" spans="2:7" x14ac:dyDescent="0.35">
      <c r="B1338" s="2">
        <v>37907</v>
      </c>
      <c r="C1338" s="4">
        <v>30.94</v>
      </c>
      <c r="D1338">
        <f t="shared" si="44"/>
        <v>0.39181286549707606</v>
      </c>
      <c r="E1338">
        <v>1.2765957446808418E-2</v>
      </c>
      <c r="F1338">
        <v>1335</v>
      </c>
      <c r="G1338">
        <f t="shared" ca="1" si="45"/>
        <v>-1.5965537250107419E-2</v>
      </c>
    </row>
    <row r="1339" spans="2:7" x14ac:dyDescent="0.35">
      <c r="B1339" s="2">
        <v>37776</v>
      </c>
      <c r="C1339" s="4">
        <v>22.23</v>
      </c>
      <c r="D1339">
        <f t="shared" si="44"/>
        <v>-0.97332229262672809</v>
      </c>
      <c r="E1339">
        <v>1.2756264236902126E-2</v>
      </c>
      <c r="F1339">
        <v>1336</v>
      </c>
      <c r="G1339">
        <f t="shared" ca="1" si="45"/>
        <v>-1.6236269738204262E-4</v>
      </c>
    </row>
    <row r="1340" spans="2:7" x14ac:dyDescent="0.35">
      <c r="B1340" s="2">
        <v>43613</v>
      </c>
      <c r="C1340" s="4">
        <v>833.28</v>
      </c>
      <c r="D1340">
        <f t="shared" si="44"/>
        <v>0.65398967844382683</v>
      </c>
      <c r="E1340">
        <v>1.274930419669662E-2</v>
      </c>
      <c r="F1340">
        <v>1337</v>
      </c>
      <c r="G1340">
        <f t="shared" ca="1" si="45"/>
        <v>7.1847896106798153E-3</v>
      </c>
    </row>
    <row r="1341" spans="2:7" x14ac:dyDescent="0.35">
      <c r="B1341" s="2">
        <v>42172</v>
      </c>
      <c r="C1341" s="4">
        <v>503.8</v>
      </c>
      <c r="D1341">
        <f t="shared" si="44"/>
        <v>-0.1695239351180271</v>
      </c>
      <c r="E1341">
        <v>1.2724385390073811E-2</v>
      </c>
      <c r="F1341">
        <v>1338</v>
      </c>
      <c r="G1341">
        <f t="shared" ca="1" si="45"/>
        <v>5.8642982961601767E-3</v>
      </c>
    </row>
    <row r="1342" spans="2:7" x14ac:dyDescent="0.35">
      <c r="B1342" s="2">
        <v>42675</v>
      </c>
      <c r="C1342" s="4">
        <v>606.64</v>
      </c>
      <c r="D1342">
        <f t="shared" si="44"/>
        <v>-0.21742047008436749</v>
      </c>
      <c r="E1342">
        <v>1.270387125853456E-2</v>
      </c>
      <c r="F1342">
        <v>1339</v>
      </c>
      <c r="G1342">
        <f t="shared" ca="1" si="45"/>
        <v>-3.390137724690917E-2</v>
      </c>
    </row>
    <row r="1343" spans="2:7" x14ac:dyDescent="0.35">
      <c r="B1343" s="2">
        <v>43794</v>
      </c>
      <c r="C1343" s="4">
        <v>775.18</v>
      </c>
      <c r="D1343">
        <f t="shared" si="44"/>
        <v>12.098681987157823</v>
      </c>
      <c r="E1343">
        <v>1.2685017048349234E-2</v>
      </c>
      <c r="F1343">
        <v>1340</v>
      </c>
      <c r="G1343">
        <f t="shared" ca="1" si="45"/>
        <v>-2.0413813635166037E-2</v>
      </c>
    </row>
    <row r="1344" spans="2:7" x14ac:dyDescent="0.35">
      <c r="B1344" s="2">
        <v>39540</v>
      </c>
      <c r="C1344" s="4">
        <v>59.18</v>
      </c>
      <c r="D1344">
        <f t="shared" si="44"/>
        <v>-0.93294734814579816</v>
      </c>
      <c r="E1344">
        <v>1.2662559890485925E-2</v>
      </c>
      <c r="F1344">
        <v>1341</v>
      </c>
      <c r="G1344">
        <f t="shared" ca="1" si="45"/>
        <v>2.1858367803394333E-3</v>
      </c>
    </row>
    <row r="1345" spans="2:7" x14ac:dyDescent="0.35">
      <c r="B1345" s="2">
        <v>42507</v>
      </c>
      <c r="C1345" s="4">
        <v>882.59</v>
      </c>
      <c r="D1345">
        <f t="shared" si="44"/>
        <v>27.270019218449715</v>
      </c>
      <c r="E1345">
        <v>1.2655468355592392E-2</v>
      </c>
      <c r="F1345">
        <v>1342</v>
      </c>
      <c r="G1345">
        <f t="shared" ca="1" si="45"/>
        <v>-8.7525289876077203E-3</v>
      </c>
    </row>
    <row r="1346" spans="2:7" x14ac:dyDescent="0.35">
      <c r="B1346" s="2">
        <v>37600</v>
      </c>
      <c r="C1346" s="4">
        <v>31.22</v>
      </c>
      <c r="D1346">
        <f t="shared" si="44"/>
        <v>-0.9583994030407611</v>
      </c>
      <c r="E1346">
        <v>1.2650016217969462E-2</v>
      </c>
      <c r="F1346">
        <v>1343</v>
      </c>
      <c r="G1346">
        <f t="shared" ca="1" si="45"/>
        <v>2.8299859602485673E-2</v>
      </c>
    </row>
    <row r="1347" spans="2:7" x14ac:dyDescent="0.35">
      <c r="B1347" s="2">
        <v>43970</v>
      </c>
      <c r="C1347" s="4">
        <v>750.47</v>
      </c>
      <c r="D1347">
        <f t="shared" si="44"/>
        <v>-0.1133597977363483</v>
      </c>
      <c r="E1347">
        <v>1.2643367966536312E-2</v>
      </c>
      <c r="F1347">
        <v>1344</v>
      </c>
      <c r="G1347">
        <f t="shared" ca="1" si="45"/>
        <v>-1.9376007183352219E-2</v>
      </c>
    </row>
    <row r="1348" spans="2:7" x14ac:dyDescent="0.35">
      <c r="B1348" s="2">
        <v>42293</v>
      </c>
      <c r="C1348" s="4">
        <v>846.42</v>
      </c>
      <c r="D1348">
        <f t="shared" ref="D1348:D1411" si="46">C1348/C1349-1</f>
        <v>2.7722490759167773E-3</v>
      </c>
      <c r="E1348">
        <v>1.2621579910751635E-2</v>
      </c>
      <c r="F1348">
        <v>1345</v>
      </c>
      <c r="G1348">
        <f t="shared" ca="1" si="45"/>
        <v>4.2801165852031947E-2</v>
      </c>
    </row>
    <row r="1349" spans="2:7" x14ac:dyDescent="0.35">
      <c r="B1349" s="2">
        <v>42432</v>
      </c>
      <c r="C1349" s="4">
        <v>844.08</v>
      </c>
      <c r="D1349">
        <f t="shared" si="46"/>
        <v>-0.11104558092509897</v>
      </c>
      <c r="E1349">
        <v>1.2608419208944621E-2</v>
      </c>
      <c r="F1349">
        <v>1346</v>
      </c>
      <c r="G1349">
        <f t="shared" ref="G1349:G1412" ca="1" si="47">_xlfn.NORM.INV(RAND(),K$6,K$7)</f>
        <v>2.147438784473259E-2</v>
      </c>
    </row>
    <row r="1350" spans="2:7" x14ac:dyDescent="0.35">
      <c r="B1350" s="2">
        <v>43417</v>
      </c>
      <c r="C1350" s="4">
        <v>949.52</v>
      </c>
      <c r="D1350">
        <f t="shared" si="46"/>
        <v>18.028456913827654</v>
      </c>
      <c r="E1350">
        <v>1.2594512162608762E-2</v>
      </c>
      <c r="F1350">
        <v>1347</v>
      </c>
      <c r="G1350">
        <f t="shared" ca="1" si="47"/>
        <v>-1.4394367273578568E-2</v>
      </c>
    </row>
    <row r="1351" spans="2:7" x14ac:dyDescent="0.35">
      <c r="B1351" s="2">
        <v>38334</v>
      </c>
      <c r="C1351" s="4">
        <v>49.9</v>
      </c>
      <c r="D1351">
        <f t="shared" si="46"/>
        <v>-1.6167192429022093E-2</v>
      </c>
      <c r="E1351">
        <v>1.2581168831168776E-2</v>
      </c>
      <c r="F1351">
        <v>1348</v>
      </c>
      <c r="G1351">
        <f t="shared" ca="1" si="47"/>
        <v>-4.9553446191121777E-3</v>
      </c>
    </row>
    <row r="1352" spans="2:7" x14ac:dyDescent="0.35">
      <c r="B1352" s="2">
        <v>38287</v>
      </c>
      <c r="C1352" s="4">
        <v>50.72</v>
      </c>
      <c r="D1352">
        <f t="shared" si="46"/>
        <v>-0.58473882429998358</v>
      </c>
      <c r="E1352">
        <v>1.2577360750648747E-2</v>
      </c>
      <c r="F1352">
        <v>1349</v>
      </c>
      <c r="G1352">
        <f t="shared" ca="1" si="47"/>
        <v>8.5079167573144737E-2</v>
      </c>
    </row>
    <row r="1353" spans="2:7" x14ac:dyDescent="0.35">
      <c r="B1353" s="2">
        <v>39233</v>
      </c>
      <c r="C1353" s="4">
        <v>122.14</v>
      </c>
      <c r="D1353">
        <f t="shared" si="46"/>
        <v>-0.85351051836215786</v>
      </c>
      <c r="E1353">
        <v>1.2517615850120345E-2</v>
      </c>
      <c r="F1353">
        <v>1350</v>
      </c>
      <c r="G1353">
        <f t="shared" ca="1" si="47"/>
        <v>-1.6820680448225087E-2</v>
      </c>
    </row>
    <row r="1354" spans="2:7" x14ac:dyDescent="0.35">
      <c r="B1354" s="2">
        <v>43812</v>
      </c>
      <c r="C1354" s="4">
        <v>833.78</v>
      </c>
      <c r="D1354">
        <f t="shared" si="46"/>
        <v>0.17723967525591244</v>
      </c>
      <c r="E1354">
        <v>1.2495598003618769E-2</v>
      </c>
      <c r="F1354">
        <v>1351</v>
      </c>
      <c r="G1354">
        <f t="shared" ca="1" si="47"/>
        <v>-2.2195855393183344E-3</v>
      </c>
    </row>
    <row r="1355" spans="2:7" x14ac:dyDescent="0.35">
      <c r="B1355" s="2">
        <v>42857</v>
      </c>
      <c r="C1355" s="4">
        <v>708.25</v>
      </c>
      <c r="D1355">
        <f t="shared" si="46"/>
        <v>18.414747807017545</v>
      </c>
      <c r="E1355">
        <v>1.2494460407999952E-2</v>
      </c>
      <c r="F1355">
        <v>1352</v>
      </c>
      <c r="G1355">
        <f t="shared" ca="1" si="47"/>
        <v>2.8990632785861427E-2</v>
      </c>
    </row>
    <row r="1356" spans="2:7" x14ac:dyDescent="0.35">
      <c r="B1356" s="2">
        <v>38170</v>
      </c>
      <c r="C1356" s="4">
        <v>36.479999999999997</v>
      </c>
      <c r="D1356">
        <f t="shared" si="46"/>
        <v>-0.95820683492387182</v>
      </c>
      <c r="E1356">
        <v>1.2489592006660999E-2</v>
      </c>
      <c r="F1356">
        <v>1353</v>
      </c>
      <c r="G1356">
        <f t="shared" ca="1" si="47"/>
        <v>-1.5745821736984151E-2</v>
      </c>
    </row>
    <row r="1357" spans="2:7" x14ac:dyDescent="0.35">
      <c r="B1357" s="2">
        <v>43074</v>
      </c>
      <c r="C1357" s="4">
        <v>872.87</v>
      </c>
      <c r="D1357">
        <f t="shared" si="46"/>
        <v>5.2703305715353865E-2</v>
      </c>
      <c r="E1357">
        <v>1.2457518007725099E-2</v>
      </c>
      <c r="F1357">
        <v>1354</v>
      </c>
      <c r="G1357">
        <f t="shared" ca="1" si="47"/>
        <v>-4.6378831962386353E-2</v>
      </c>
    </row>
    <row r="1358" spans="2:7" x14ac:dyDescent="0.35">
      <c r="B1358" s="2">
        <v>43655</v>
      </c>
      <c r="C1358" s="4">
        <v>829.17</v>
      </c>
      <c r="D1358">
        <f t="shared" si="46"/>
        <v>3.7370198924058462E-2</v>
      </c>
      <c r="E1358">
        <v>1.245466866918199E-2</v>
      </c>
      <c r="F1358">
        <v>1355</v>
      </c>
      <c r="G1358">
        <f t="shared" ca="1" si="47"/>
        <v>-2.3740854639967359E-2</v>
      </c>
    </row>
    <row r="1359" spans="2:7" x14ac:dyDescent="0.35">
      <c r="B1359" s="2">
        <v>43600</v>
      </c>
      <c r="C1359" s="4">
        <v>799.3</v>
      </c>
      <c r="D1359">
        <f t="shared" si="46"/>
        <v>-5.7129038726953185E-2</v>
      </c>
      <c r="E1359">
        <v>1.2451391439826542E-2</v>
      </c>
      <c r="F1359">
        <v>1356</v>
      </c>
      <c r="G1359">
        <f t="shared" ca="1" si="47"/>
        <v>-3.307068493043689E-2</v>
      </c>
    </row>
    <row r="1360" spans="2:7" x14ac:dyDescent="0.35">
      <c r="B1360" s="2">
        <v>43517</v>
      </c>
      <c r="C1360" s="4">
        <v>847.73</v>
      </c>
      <c r="D1360">
        <f t="shared" si="46"/>
        <v>7.3184182121479733</v>
      </c>
      <c r="E1360">
        <v>1.2420431609998506E-2</v>
      </c>
      <c r="F1360">
        <v>1357</v>
      </c>
      <c r="G1360">
        <f t="shared" ca="1" si="47"/>
        <v>-1.2836744458647336E-2</v>
      </c>
    </row>
    <row r="1361" spans="2:7" x14ac:dyDescent="0.35">
      <c r="B1361" s="2">
        <v>40156</v>
      </c>
      <c r="C1361" s="4">
        <v>101.91</v>
      </c>
      <c r="D1361">
        <f t="shared" si="46"/>
        <v>0.43272880641079725</v>
      </c>
      <c r="E1361">
        <v>1.2418040929862872E-2</v>
      </c>
      <c r="F1361">
        <v>1358</v>
      </c>
      <c r="G1361">
        <f t="shared" ca="1" si="47"/>
        <v>9.9773304031568789E-3</v>
      </c>
    </row>
    <row r="1362" spans="2:7" x14ac:dyDescent="0.35">
      <c r="B1362" s="2">
        <v>38548</v>
      </c>
      <c r="C1362" s="4">
        <v>71.13</v>
      </c>
      <c r="D1362">
        <f t="shared" si="46"/>
        <v>-0.9888288599563394</v>
      </c>
      <c r="E1362">
        <v>1.2382578992314208E-2</v>
      </c>
      <c r="F1362">
        <v>1359</v>
      </c>
      <c r="G1362">
        <f t="shared" ca="1" si="47"/>
        <v>2.9581591800918274E-2</v>
      </c>
    </row>
    <row r="1363" spans="2:7" x14ac:dyDescent="0.35">
      <c r="B1363" s="2">
        <v>45034</v>
      </c>
      <c r="C1363" s="4">
        <v>6367.3</v>
      </c>
      <c r="D1363">
        <f t="shared" si="46"/>
        <v>8.1257363163401308</v>
      </c>
      <c r="E1363">
        <v>1.2329583846734771E-2</v>
      </c>
      <c r="F1363">
        <v>1360</v>
      </c>
      <c r="G1363">
        <f t="shared" ca="1" si="47"/>
        <v>-1.4441681904498353E-2</v>
      </c>
    </row>
    <row r="1364" spans="2:7" x14ac:dyDescent="0.35">
      <c r="B1364" s="2">
        <v>42830</v>
      </c>
      <c r="C1364" s="4">
        <v>697.73</v>
      </c>
      <c r="D1364">
        <f t="shared" si="46"/>
        <v>-0.91127317581830669</v>
      </c>
      <c r="E1364">
        <v>1.2317915385061884E-2</v>
      </c>
      <c r="F1364">
        <v>1361</v>
      </c>
      <c r="G1364">
        <f t="shared" ca="1" si="47"/>
        <v>-1.3790925771153571E-2</v>
      </c>
    </row>
    <row r="1365" spans="2:7" x14ac:dyDescent="0.35">
      <c r="B1365" s="2">
        <v>44672</v>
      </c>
      <c r="C1365" s="4">
        <v>7863.8</v>
      </c>
      <c r="D1365">
        <f t="shared" si="46"/>
        <v>155.77432216905902</v>
      </c>
      <c r="E1365">
        <v>1.2315705324190018E-2</v>
      </c>
      <c r="F1365">
        <v>1362</v>
      </c>
      <c r="G1365">
        <f t="shared" ca="1" si="47"/>
        <v>5.1654888451306544E-2</v>
      </c>
    </row>
    <row r="1366" spans="2:7" x14ac:dyDescent="0.35">
      <c r="B1366" s="2">
        <v>38237</v>
      </c>
      <c r="C1366" s="4">
        <v>50.16</v>
      </c>
      <c r="D1366">
        <f t="shared" si="46"/>
        <v>-0.94489547057466461</v>
      </c>
      <c r="E1366">
        <v>1.2310797174571064E-2</v>
      </c>
      <c r="F1366">
        <v>1363</v>
      </c>
      <c r="G1366">
        <f t="shared" ca="1" si="47"/>
        <v>1.4307606590283118E-2</v>
      </c>
    </row>
    <row r="1367" spans="2:7" x14ac:dyDescent="0.35">
      <c r="B1367" s="2">
        <v>43399</v>
      </c>
      <c r="C1367" s="4">
        <v>910.27</v>
      </c>
      <c r="D1367">
        <f t="shared" si="46"/>
        <v>15.992159790927758</v>
      </c>
      <c r="E1367">
        <v>1.2288427748493147E-2</v>
      </c>
      <c r="F1367">
        <v>1364</v>
      </c>
      <c r="G1367">
        <f t="shared" ca="1" si="47"/>
        <v>1.8767978913891106E-2</v>
      </c>
    </row>
    <row r="1368" spans="2:7" x14ac:dyDescent="0.35">
      <c r="B1368" s="2">
        <v>38344</v>
      </c>
      <c r="C1368" s="4">
        <v>53.57</v>
      </c>
      <c r="D1368">
        <f t="shared" si="46"/>
        <v>-0.98171697314712425</v>
      </c>
      <c r="E1368">
        <v>1.2282690854119371E-2</v>
      </c>
      <c r="F1368">
        <v>1365</v>
      </c>
      <c r="G1368">
        <f t="shared" ca="1" si="47"/>
        <v>3.4980586883395462E-2</v>
      </c>
    </row>
    <row r="1369" spans="2:7" x14ac:dyDescent="0.35">
      <c r="B1369" s="2">
        <v>44302</v>
      </c>
      <c r="C1369" s="4">
        <v>2930.04</v>
      </c>
      <c r="D1369">
        <f t="shared" si="46"/>
        <v>2.7797213622291017</v>
      </c>
      <c r="E1369">
        <v>1.2278459146657372E-2</v>
      </c>
      <c r="F1369">
        <v>1366</v>
      </c>
      <c r="G1369">
        <f t="shared" ca="1" si="47"/>
        <v>2.3305507503284657E-2</v>
      </c>
    </row>
    <row r="1370" spans="2:7" x14ac:dyDescent="0.35">
      <c r="B1370" s="2">
        <v>42979</v>
      </c>
      <c r="C1370" s="4">
        <v>775.2</v>
      </c>
      <c r="D1370">
        <f t="shared" si="46"/>
        <v>10.310183834257368</v>
      </c>
      <c r="E1370">
        <v>1.2261527010616335E-2</v>
      </c>
      <c r="F1370">
        <v>1367</v>
      </c>
      <c r="G1370">
        <f t="shared" ca="1" si="47"/>
        <v>-1.6146552042377856E-2</v>
      </c>
    </row>
    <row r="1371" spans="2:7" x14ac:dyDescent="0.35">
      <c r="B1371" s="2">
        <v>38681</v>
      </c>
      <c r="C1371" s="4">
        <v>68.540000000000006</v>
      </c>
      <c r="D1371">
        <f t="shared" si="46"/>
        <v>1.127910586774294</v>
      </c>
      <c r="E1371">
        <v>1.2258159799143575E-2</v>
      </c>
      <c r="F1371">
        <v>1368</v>
      </c>
      <c r="G1371">
        <f t="shared" ca="1" si="47"/>
        <v>2.1647308825992539E-2</v>
      </c>
    </row>
    <row r="1372" spans="2:7" x14ac:dyDescent="0.35">
      <c r="B1372" s="2">
        <v>39855</v>
      </c>
      <c r="C1372" s="4">
        <v>32.21</v>
      </c>
      <c r="D1372">
        <f t="shared" si="46"/>
        <v>-0.59129552087298565</v>
      </c>
      <c r="E1372">
        <v>1.2256442489000596E-2</v>
      </c>
      <c r="F1372">
        <v>1369</v>
      </c>
      <c r="G1372">
        <f t="shared" ca="1" si="47"/>
        <v>-5.0753545762086773E-2</v>
      </c>
    </row>
    <row r="1373" spans="2:7" x14ac:dyDescent="0.35">
      <c r="B1373" s="2">
        <v>38972</v>
      </c>
      <c r="C1373" s="4">
        <v>78.81</v>
      </c>
      <c r="D1373">
        <f t="shared" si="46"/>
        <v>-0.17588622817107591</v>
      </c>
      <c r="E1373">
        <v>1.2201387105060357E-2</v>
      </c>
      <c r="F1373">
        <v>1370</v>
      </c>
      <c r="G1373">
        <f t="shared" ca="1" si="47"/>
        <v>-2.5996955935279488E-2</v>
      </c>
    </row>
    <row r="1374" spans="2:7" x14ac:dyDescent="0.35">
      <c r="B1374" s="2">
        <v>39419</v>
      </c>
      <c r="C1374" s="4">
        <v>95.63</v>
      </c>
      <c r="D1374">
        <f t="shared" si="46"/>
        <v>-0.92588947356184659</v>
      </c>
      <c r="E1374">
        <v>1.2171888230313233E-2</v>
      </c>
      <c r="F1374">
        <v>1371</v>
      </c>
      <c r="G1374">
        <f t="shared" ca="1" si="47"/>
        <v>2.4791179732498142E-2</v>
      </c>
    </row>
    <row r="1375" spans="2:7" x14ac:dyDescent="0.35">
      <c r="B1375" s="2">
        <v>43290</v>
      </c>
      <c r="C1375" s="4">
        <v>1290.3699999999999</v>
      </c>
      <c r="D1375">
        <f t="shared" si="46"/>
        <v>-0.79769374284684003</v>
      </c>
      <c r="E1375">
        <v>1.2166041761448421E-2</v>
      </c>
      <c r="F1375">
        <v>1372</v>
      </c>
      <c r="G1375">
        <f t="shared" ca="1" si="47"/>
        <v>1.8966910307380937E-2</v>
      </c>
    </row>
    <row r="1376" spans="2:7" x14ac:dyDescent="0.35">
      <c r="B1376" s="2">
        <v>44946</v>
      </c>
      <c r="C1376" s="4">
        <v>6378.3</v>
      </c>
      <c r="D1376">
        <f t="shared" si="46"/>
        <v>79.432534678436326</v>
      </c>
      <c r="E1376">
        <v>1.2163480993073295E-2</v>
      </c>
      <c r="F1376">
        <v>1373</v>
      </c>
      <c r="G1376">
        <f t="shared" ca="1" si="47"/>
        <v>-1.4896824521751634E-2</v>
      </c>
    </row>
    <row r="1377" spans="2:7" x14ac:dyDescent="0.35">
      <c r="B1377" s="2">
        <v>38999</v>
      </c>
      <c r="C1377" s="4">
        <v>79.3</v>
      </c>
      <c r="D1377">
        <f t="shared" si="46"/>
        <v>-0.20301507537688446</v>
      </c>
      <c r="E1377">
        <v>1.2125079770261671E-2</v>
      </c>
      <c r="F1377">
        <v>1374</v>
      </c>
      <c r="G1377">
        <f t="shared" ca="1" si="47"/>
        <v>-6.2881313068204546E-4</v>
      </c>
    </row>
    <row r="1378" spans="2:7" x14ac:dyDescent="0.35">
      <c r="B1378" s="2">
        <v>40322</v>
      </c>
      <c r="C1378" s="4">
        <v>99.5</v>
      </c>
      <c r="D1378">
        <f t="shared" si="46"/>
        <v>-0.80026898448320849</v>
      </c>
      <c r="E1378">
        <v>1.2104567185433845E-2</v>
      </c>
      <c r="F1378">
        <v>1375</v>
      </c>
      <c r="G1378">
        <f t="shared" ca="1" si="47"/>
        <v>1.8507878291923756E-3</v>
      </c>
    </row>
    <row r="1379" spans="2:7" x14ac:dyDescent="0.35">
      <c r="B1379" s="2">
        <v>42086</v>
      </c>
      <c r="C1379" s="4">
        <v>498.17</v>
      </c>
      <c r="D1379">
        <f t="shared" si="46"/>
        <v>0.83056515029029199</v>
      </c>
      <c r="E1379">
        <v>1.2088090691154241E-2</v>
      </c>
      <c r="F1379">
        <v>1376</v>
      </c>
      <c r="G1379">
        <f t="shared" ca="1" si="47"/>
        <v>3.6404793083307303E-2</v>
      </c>
    </row>
    <row r="1380" spans="2:7" x14ac:dyDescent="0.35">
      <c r="B1380" s="2">
        <v>42005</v>
      </c>
      <c r="C1380" s="4">
        <v>272.14</v>
      </c>
      <c r="D1380">
        <f t="shared" si="46"/>
        <v>-0.5855315260432532</v>
      </c>
      <c r="E1380">
        <v>1.2086726914351642E-2</v>
      </c>
      <c r="F1380">
        <v>1377</v>
      </c>
      <c r="G1380">
        <f t="shared" ca="1" si="47"/>
        <v>4.7428620339505359E-2</v>
      </c>
    </row>
    <row r="1381" spans="2:7" x14ac:dyDescent="0.35">
      <c r="B1381" s="2">
        <v>42739</v>
      </c>
      <c r="C1381" s="4">
        <v>656.6</v>
      </c>
      <c r="D1381">
        <f t="shared" si="46"/>
        <v>0.29437971888737757</v>
      </c>
      <c r="E1381">
        <v>1.2084592145015227E-2</v>
      </c>
      <c r="F1381">
        <v>1378</v>
      </c>
      <c r="G1381">
        <f t="shared" ca="1" si="47"/>
        <v>2.6848730866315555E-2</v>
      </c>
    </row>
    <row r="1382" spans="2:7" x14ac:dyDescent="0.35">
      <c r="B1382" s="2">
        <v>42165</v>
      </c>
      <c r="C1382" s="4">
        <v>507.27</v>
      </c>
      <c r="D1382">
        <f t="shared" si="46"/>
        <v>-0.31703803433187483</v>
      </c>
      <c r="E1382">
        <v>1.2050356123935124E-2</v>
      </c>
      <c r="F1382">
        <v>1379</v>
      </c>
      <c r="G1382">
        <f t="shared" ca="1" si="47"/>
        <v>-2.0825809715698595E-2</v>
      </c>
    </row>
    <row r="1383" spans="2:7" x14ac:dyDescent="0.35">
      <c r="B1383" s="2">
        <v>43980</v>
      </c>
      <c r="C1383" s="4">
        <v>742.75</v>
      </c>
      <c r="D1383">
        <f t="shared" si="46"/>
        <v>-9.0357978273915229E-2</v>
      </c>
      <c r="E1383">
        <v>1.2045073646632432E-2</v>
      </c>
      <c r="F1383">
        <v>1380</v>
      </c>
      <c r="G1383">
        <f t="shared" ca="1" si="47"/>
        <v>9.8396147949485254E-3</v>
      </c>
    </row>
    <row r="1384" spans="2:7" x14ac:dyDescent="0.35">
      <c r="B1384" s="2">
        <v>43627</v>
      </c>
      <c r="C1384" s="4">
        <v>816.53</v>
      </c>
      <c r="D1384">
        <f t="shared" si="46"/>
        <v>-0.77084298058761958</v>
      </c>
      <c r="E1384">
        <v>1.2022359109105984E-2</v>
      </c>
      <c r="F1384">
        <v>1381</v>
      </c>
      <c r="G1384">
        <f t="shared" ca="1" si="47"/>
        <v>3.6796523804905036E-2</v>
      </c>
    </row>
    <row r="1385" spans="2:7" x14ac:dyDescent="0.35">
      <c r="B1385" s="2">
        <v>44343</v>
      </c>
      <c r="C1385" s="4">
        <v>3563.19</v>
      </c>
      <c r="D1385">
        <f t="shared" si="46"/>
        <v>29.645824374301196</v>
      </c>
      <c r="E1385">
        <v>1.2016882143100593E-2</v>
      </c>
      <c r="F1385">
        <v>1382</v>
      </c>
      <c r="G1385">
        <f t="shared" ca="1" si="47"/>
        <v>1.1288727284183496E-2</v>
      </c>
    </row>
    <row r="1386" spans="2:7" x14ac:dyDescent="0.35">
      <c r="B1386" s="2">
        <v>39230</v>
      </c>
      <c r="C1386" s="4">
        <v>116.27</v>
      </c>
      <c r="D1386">
        <f t="shared" si="46"/>
        <v>0.12806830309498407</v>
      </c>
      <c r="E1386">
        <v>1.201148925058737E-2</v>
      </c>
      <c r="F1386">
        <v>1383</v>
      </c>
      <c r="G1386">
        <f t="shared" ca="1" si="47"/>
        <v>-2.8075526688115915E-2</v>
      </c>
    </row>
    <row r="1387" spans="2:7" x14ac:dyDescent="0.35">
      <c r="B1387" s="2">
        <v>40409</v>
      </c>
      <c r="C1387" s="4">
        <v>103.07</v>
      </c>
      <c r="D1387">
        <f t="shared" si="46"/>
        <v>-7.7556955889490631E-4</v>
      </c>
      <c r="E1387">
        <v>1.1978399607265544E-2</v>
      </c>
      <c r="F1387">
        <v>1384</v>
      </c>
      <c r="G1387">
        <f t="shared" ca="1" si="47"/>
        <v>-9.2373413294739512E-3</v>
      </c>
    </row>
    <row r="1388" spans="2:7" x14ac:dyDescent="0.35">
      <c r="B1388" s="2">
        <v>39135</v>
      </c>
      <c r="C1388" s="4">
        <v>103.15</v>
      </c>
      <c r="D1388">
        <f t="shared" si="46"/>
        <v>0.33926252921319144</v>
      </c>
      <c r="E1388">
        <v>1.1968998332188674E-2</v>
      </c>
      <c r="F1388">
        <v>1385</v>
      </c>
      <c r="G1388">
        <f t="shared" ca="1" si="47"/>
        <v>1.1502303921608122E-2</v>
      </c>
    </row>
    <row r="1389" spans="2:7" x14ac:dyDescent="0.35">
      <c r="B1389" s="2">
        <v>41452</v>
      </c>
      <c r="C1389" s="4">
        <v>77.02</v>
      </c>
      <c r="D1389">
        <f t="shared" si="46"/>
        <v>-0.77144044156923264</v>
      </c>
      <c r="E1389">
        <v>1.1956378925239708E-2</v>
      </c>
      <c r="F1389">
        <v>1386</v>
      </c>
      <c r="G1389">
        <f t="shared" ca="1" si="47"/>
        <v>2.8843628520115183E-2</v>
      </c>
    </row>
    <row r="1390" spans="2:7" x14ac:dyDescent="0.35">
      <c r="B1390" s="2">
        <v>42023</v>
      </c>
      <c r="C1390" s="4">
        <v>336.98</v>
      </c>
      <c r="D1390">
        <f t="shared" si="46"/>
        <v>2.3328058550093957</v>
      </c>
      <c r="E1390">
        <v>1.1921563916999611E-2</v>
      </c>
      <c r="F1390">
        <v>1387</v>
      </c>
      <c r="G1390">
        <f t="shared" ca="1" si="47"/>
        <v>-3.8068548669550804E-2</v>
      </c>
    </row>
    <row r="1391" spans="2:7" x14ac:dyDescent="0.35">
      <c r="B1391" s="2">
        <v>41262</v>
      </c>
      <c r="C1391" s="4">
        <v>101.11</v>
      </c>
      <c r="D1391">
        <f t="shared" si="46"/>
        <v>-3.2717880034439872E-2</v>
      </c>
      <c r="E1391">
        <v>1.1909527622097738E-2</v>
      </c>
      <c r="F1391">
        <v>1388</v>
      </c>
      <c r="G1391">
        <f t="shared" ca="1" si="47"/>
        <v>-6.090398127943198E-2</v>
      </c>
    </row>
    <row r="1392" spans="2:7" x14ac:dyDescent="0.35">
      <c r="B1392" s="2">
        <v>40729</v>
      </c>
      <c r="C1392" s="4">
        <v>104.53</v>
      </c>
      <c r="D1392">
        <f t="shared" si="46"/>
        <v>-0.87155794207635506</v>
      </c>
      <c r="E1392">
        <v>1.1907066795740606E-2</v>
      </c>
      <c r="F1392">
        <v>1389</v>
      </c>
      <c r="G1392">
        <f t="shared" ca="1" si="47"/>
        <v>-1.1605522791602315E-2</v>
      </c>
    </row>
    <row r="1393" spans="2:7" x14ac:dyDescent="0.35">
      <c r="B1393" s="2">
        <v>43833</v>
      </c>
      <c r="C1393" s="4">
        <v>813.83</v>
      </c>
      <c r="D1393">
        <f t="shared" si="46"/>
        <v>6.4024922685100973</v>
      </c>
      <c r="E1393">
        <v>1.1899137094969259E-2</v>
      </c>
      <c r="F1393">
        <v>1390</v>
      </c>
      <c r="G1393">
        <f t="shared" ca="1" si="47"/>
        <v>-2.8605881538018192E-2</v>
      </c>
    </row>
    <row r="1394" spans="2:7" x14ac:dyDescent="0.35">
      <c r="B1394" s="2">
        <v>40245</v>
      </c>
      <c r="C1394" s="4">
        <v>109.94</v>
      </c>
      <c r="D1394">
        <f t="shared" si="46"/>
        <v>-0.87956400284822256</v>
      </c>
      <c r="E1394">
        <v>1.1872986654394735E-2</v>
      </c>
      <c r="F1394">
        <v>1391</v>
      </c>
      <c r="G1394">
        <f t="shared" ca="1" si="47"/>
        <v>2.097854839223787E-2</v>
      </c>
    </row>
    <row r="1395" spans="2:7" x14ac:dyDescent="0.35">
      <c r="B1395" s="2">
        <v>43185</v>
      </c>
      <c r="C1395" s="4">
        <v>912.85</v>
      </c>
      <c r="D1395">
        <f t="shared" si="46"/>
        <v>-0.28067106372583783</v>
      </c>
      <c r="E1395">
        <v>1.1860555340021062E-2</v>
      </c>
      <c r="F1395">
        <v>1392</v>
      </c>
      <c r="G1395">
        <f t="shared" ca="1" si="47"/>
        <v>2.6763575366080872E-2</v>
      </c>
    </row>
    <row r="1396" spans="2:7" x14ac:dyDescent="0.35">
      <c r="B1396" s="2">
        <v>44091</v>
      </c>
      <c r="C1396" s="4">
        <v>1269.03</v>
      </c>
      <c r="D1396">
        <f t="shared" si="46"/>
        <v>16.024818889187014</v>
      </c>
      <c r="E1396">
        <v>1.1824270451283647E-2</v>
      </c>
      <c r="F1396">
        <v>1393</v>
      </c>
      <c r="G1396">
        <f t="shared" ca="1" si="47"/>
        <v>-1.3001572705832748E-2</v>
      </c>
    </row>
    <row r="1397" spans="2:7" x14ac:dyDescent="0.35">
      <c r="B1397" s="2">
        <v>39497</v>
      </c>
      <c r="C1397" s="4">
        <v>74.540000000000006</v>
      </c>
      <c r="D1397">
        <f t="shared" si="46"/>
        <v>-0.87303047336774153</v>
      </c>
      <c r="E1397">
        <v>1.1809420388217751E-2</v>
      </c>
      <c r="F1397">
        <v>1394</v>
      </c>
      <c r="G1397">
        <f t="shared" ca="1" si="47"/>
        <v>-1.543703294526752E-2</v>
      </c>
    </row>
    <row r="1398" spans="2:7" x14ac:dyDescent="0.35">
      <c r="B1398" s="2">
        <v>42704</v>
      </c>
      <c r="C1398" s="4">
        <v>587.07000000000005</v>
      </c>
      <c r="D1398">
        <f t="shared" si="46"/>
        <v>8.5133689839572195</v>
      </c>
      <c r="E1398">
        <v>1.180586674020212E-2</v>
      </c>
      <c r="F1398">
        <v>1395</v>
      </c>
      <c r="G1398">
        <f t="shared" ca="1" si="47"/>
        <v>6.1506615352187582E-3</v>
      </c>
    </row>
    <row r="1399" spans="2:7" x14ac:dyDescent="0.35">
      <c r="B1399" s="2">
        <v>39692</v>
      </c>
      <c r="C1399" s="4">
        <v>61.71</v>
      </c>
      <c r="D1399">
        <f t="shared" si="46"/>
        <v>0.94546027742749073</v>
      </c>
      <c r="E1399">
        <v>1.180521396950307E-2</v>
      </c>
      <c r="F1399">
        <v>1396</v>
      </c>
      <c r="G1399">
        <f t="shared" ca="1" si="47"/>
        <v>2.9283374296207709E-3</v>
      </c>
    </row>
    <row r="1400" spans="2:7" x14ac:dyDescent="0.35">
      <c r="B1400" s="2">
        <v>39841</v>
      </c>
      <c r="C1400" s="4">
        <v>31.72</v>
      </c>
      <c r="D1400">
        <f t="shared" si="46"/>
        <v>-0.97511883657813403</v>
      </c>
      <c r="E1400">
        <v>1.180223285486437E-2</v>
      </c>
      <c r="F1400">
        <v>1397</v>
      </c>
      <c r="G1400">
        <f t="shared" ca="1" si="47"/>
        <v>-2.6012807843117328E-2</v>
      </c>
    </row>
    <row r="1401" spans="2:7" x14ac:dyDescent="0.35">
      <c r="B1401" s="2">
        <v>43287</v>
      </c>
      <c r="C1401" s="4">
        <v>1274.8599999999999</v>
      </c>
      <c r="D1401">
        <f t="shared" si="46"/>
        <v>-0.14261695316493161</v>
      </c>
      <c r="E1401">
        <v>1.1785620749041659E-2</v>
      </c>
      <c r="F1401">
        <v>1398</v>
      </c>
      <c r="G1401">
        <f t="shared" ca="1" si="47"/>
        <v>2.396183655528095E-2</v>
      </c>
    </row>
    <row r="1402" spans="2:7" x14ac:dyDescent="0.35">
      <c r="B1402" s="2">
        <v>44149</v>
      </c>
      <c r="C1402" s="4">
        <v>1486.92</v>
      </c>
      <c r="D1402">
        <f t="shared" si="46"/>
        <v>49.678936605316977</v>
      </c>
      <c r="E1402">
        <v>1.1771750520542801E-2</v>
      </c>
      <c r="F1402">
        <v>1399</v>
      </c>
      <c r="G1402">
        <f t="shared" ca="1" si="47"/>
        <v>-3.4797573111334515E-4</v>
      </c>
    </row>
    <row r="1403" spans="2:7" x14ac:dyDescent="0.35">
      <c r="B1403" s="2">
        <v>38093</v>
      </c>
      <c r="C1403" s="4">
        <v>29.34</v>
      </c>
      <c r="D1403">
        <f t="shared" si="46"/>
        <v>-0.69383282896796405</v>
      </c>
      <c r="E1403">
        <v>1.172413793103444E-2</v>
      </c>
      <c r="F1403">
        <v>1400</v>
      </c>
      <c r="G1403">
        <f t="shared" ca="1" si="47"/>
        <v>1.1045258740938152E-2</v>
      </c>
    </row>
    <row r="1404" spans="2:7" x14ac:dyDescent="0.35">
      <c r="B1404" s="2">
        <v>41302</v>
      </c>
      <c r="C1404" s="4">
        <v>95.83</v>
      </c>
      <c r="D1404">
        <f t="shared" si="46"/>
        <v>-0.90918223258370534</v>
      </c>
      <c r="E1404">
        <v>1.171875E-2</v>
      </c>
      <c r="F1404">
        <v>1401</v>
      </c>
      <c r="G1404">
        <f t="shared" ca="1" si="47"/>
        <v>2.5623393322238806E-2</v>
      </c>
    </row>
    <row r="1405" spans="2:7" x14ac:dyDescent="0.35">
      <c r="B1405" s="2">
        <v>44063</v>
      </c>
      <c r="C1405" s="4">
        <v>1055.19</v>
      </c>
      <c r="D1405">
        <f t="shared" si="46"/>
        <v>0.23479024047744446</v>
      </c>
      <c r="E1405">
        <v>1.1706840016107778E-2</v>
      </c>
      <c r="F1405">
        <v>1402</v>
      </c>
      <c r="G1405">
        <f t="shared" ca="1" si="47"/>
        <v>3.0342047903058797E-3</v>
      </c>
    </row>
    <row r="1406" spans="2:7" x14ac:dyDescent="0.35">
      <c r="B1406" s="2">
        <v>43502</v>
      </c>
      <c r="C1406" s="4">
        <v>854.55</v>
      </c>
      <c r="D1406">
        <f t="shared" si="46"/>
        <v>9.355671352399419</v>
      </c>
      <c r="E1406">
        <v>1.1696875702937204E-2</v>
      </c>
      <c r="F1406">
        <v>1403</v>
      </c>
      <c r="G1406">
        <f t="shared" ca="1" si="47"/>
        <v>1.3981365364005188E-2</v>
      </c>
    </row>
    <row r="1407" spans="2:7" x14ac:dyDescent="0.35">
      <c r="B1407" s="2">
        <v>40785</v>
      </c>
      <c r="C1407" s="4">
        <v>82.52</v>
      </c>
      <c r="D1407">
        <f t="shared" si="46"/>
        <v>-0.1208182399318134</v>
      </c>
      <c r="E1407">
        <v>1.1646438641657486E-2</v>
      </c>
      <c r="F1407">
        <v>1404</v>
      </c>
      <c r="G1407">
        <f t="shared" ca="1" si="47"/>
        <v>2.6611989885701466E-2</v>
      </c>
    </row>
    <row r="1408" spans="2:7" x14ac:dyDescent="0.35">
      <c r="B1408" s="2">
        <v>41121</v>
      </c>
      <c r="C1408" s="4">
        <v>93.86</v>
      </c>
      <c r="D1408">
        <f t="shared" si="46"/>
        <v>0.26837837837837841</v>
      </c>
      <c r="E1408">
        <v>1.1640439749946108E-2</v>
      </c>
      <c r="F1408">
        <v>1405</v>
      </c>
      <c r="G1408">
        <f t="shared" ca="1" si="47"/>
        <v>-1.9684186291315096E-2</v>
      </c>
    </row>
    <row r="1409" spans="2:7" x14ac:dyDescent="0.35">
      <c r="B1409" s="2">
        <v>38694</v>
      </c>
      <c r="C1409" s="4">
        <v>74</v>
      </c>
      <c r="D1409">
        <f t="shared" si="46"/>
        <v>0.17590974098204359</v>
      </c>
      <c r="E1409">
        <v>1.1619958988379864E-2</v>
      </c>
      <c r="F1409">
        <v>1406</v>
      </c>
      <c r="G1409">
        <f t="shared" ca="1" si="47"/>
        <v>1.5943433128077392E-2</v>
      </c>
    </row>
    <row r="1410" spans="2:7" x14ac:dyDescent="0.35">
      <c r="B1410" s="2">
        <v>39549</v>
      </c>
      <c r="C1410" s="4">
        <v>62.93</v>
      </c>
      <c r="D1410">
        <f t="shared" si="46"/>
        <v>-0.8941605839416058</v>
      </c>
      <c r="E1410">
        <v>1.1573701977174E-2</v>
      </c>
      <c r="F1410">
        <v>1407</v>
      </c>
      <c r="G1410">
        <f t="shared" ca="1" si="47"/>
        <v>-2.6912206860657536E-2</v>
      </c>
    </row>
    <row r="1411" spans="2:7" x14ac:dyDescent="0.35">
      <c r="B1411" s="2">
        <v>42110</v>
      </c>
      <c r="C1411" s="4">
        <v>594.58000000000004</v>
      </c>
      <c r="D1411">
        <f t="shared" si="46"/>
        <v>4.9097505218169175</v>
      </c>
      <c r="E1411">
        <v>1.1568954370682949E-2</v>
      </c>
      <c r="F1411">
        <v>1408</v>
      </c>
      <c r="G1411">
        <f t="shared" ca="1" si="47"/>
        <v>-5.6420900882431076E-2</v>
      </c>
    </row>
    <row r="1412" spans="2:7" x14ac:dyDescent="0.35">
      <c r="B1412" s="2">
        <v>41288</v>
      </c>
      <c r="C1412" s="4">
        <v>100.61</v>
      </c>
      <c r="D1412">
        <f t="shared" ref="D1412:D1475" si="48">C1412/C1413-1</f>
        <v>-0.87260848095014998</v>
      </c>
      <c r="E1412">
        <v>1.1562437160667738E-2</v>
      </c>
      <c r="F1412">
        <v>1409</v>
      </c>
      <c r="G1412">
        <f t="shared" ca="1" si="47"/>
        <v>3.4319781154658911E-2</v>
      </c>
    </row>
    <row r="1413" spans="2:7" x14ac:dyDescent="0.35">
      <c r="B1413" s="2">
        <v>42936</v>
      </c>
      <c r="C1413" s="4">
        <v>789.77</v>
      </c>
      <c r="D1413">
        <f t="shared" si="48"/>
        <v>-0.86491391312974431</v>
      </c>
      <c r="E1413">
        <v>1.1552993916106313E-2</v>
      </c>
      <c r="F1413">
        <v>1410</v>
      </c>
      <c r="G1413">
        <f t="shared" ref="G1413:G1476" ca="1" si="49">_xlfn.NORM.INV(RAND(),K$6,K$7)</f>
        <v>-7.1595283881522517E-3</v>
      </c>
    </row>
    <row r="1414" spans="2:7" x14ac:dyDescent="0.35">
      <c r="B1414" s="2">
        <v>44495</v>
      </c>
      <c r="C1414" s="4">
        <v>5846.42</v>
      </c>
      <c r="D1414">
        <f t="shared" si="48"/>
        <v>24.128599673343075</v>
      </c>
      <c r="E1414">
        <v>1.1533350865779779E-2</v>
      </c>
      <c r="F1414">
        <v>1411</v>
      </c>
      <c r="G1414">
        <f t="shared" ca="1" si="49"/>
        <v>2.5603253877492047E-2</v>
      </c>
    </row>
    <row r="1415" spans="2:7" x14ac:dyDescent="0.35">
      <c r="B1415" s="2">
        <v>41787</v>
      </c>
      <c r="C1415" s="4">
        <v>232.66</v>
      </c>
      <c r="D1415">
        <f t="shared" si="48"/>
        <v>1.9006358309437728</v>
      </c>
      <c r="E1415">
        <v>1.1477262846709024E-2</v>
      </c>
      <c r="F1415">
        <v>1412</v>
      </c>
      <c r="G1415">
        <f t="shared" ca="1" si="49"/>
        <v>2.2207612377282398E-2</v>
      </c>
    </row>
    <row r="1416" spans="2:7" x14ac:dyDescent="0.35">
      <c r="B1416" s="2">
        <v>39000</v>
      </c>
      <c r="C1416" s="4">
        <v>80.209999999999994</v>
      </c>
      <c r="D1416">
        <f t="shared" si="48"/>
        <v>-0.69269376652235548</v>
      </c>
      <c r="E1416">
        <v>1.1475409836065431E-2</v>
      </c>
      <c r="F1416">
        <v>1413</v>
      </c>
      <c r="G1416">
        <f t="shared" ca="1" si="49"/>
        <v>-4.8722016617012788E-2</v>
      </c>
    </row>
    <row r="1417" spans="2:7" x14ac:dyDescent="0.35">
      <c r="B1417" s="2">
        <v>41865</v>
      </c>
      <c r="C1417" s="4">
        <v>261.01</v>
      </c>
      <c r="D1417">
        <f t="shared" si="48"/>
        <v>-0.56789285477782925</v>
      </c>
      <c r="E1417">
        <v>1.1470645223793818E-2</v>
      </c>
      <c r="F1417">
        <v>1414</v>
      </c>
      <c r="G1417">
        <f t="shared" ca="1" si="49"/>
        <v>-3.1976401666895603E-2</v>
      </c>
    </row>
    <row r="1418" spans="2:7" x14ac:dyDescent="0.35">
      <c r="B1418" s="2">
        <v>43679</v>
      </c>
      <c r="C1418" s="4">
        <v>604.04</v>
      </c>
      <c r="D1418">
        <f t="shared" si="48"/>
        <v>-0.77597697611197447</v>
      </c>
      <c r="E1418">
        <v>1.1470386309214708E-2</v>
      </c>
      <c r="F1418">
        <v>1415</v>
      </c>
      <c r="G1418">
        <f t="shared" ca="1" si="49"/>
        <v>-4.7351994667543269E-3</v>
      </c>
    </row>
    <row r="1419" spans="2:7" x14ac:dyDescent="0.35">
      <c r="B1419" s="2">
        <v>44267</v>
      </c>
      <c r="C1419" s="4">
        <v>2696.33</v>
      </c>
      <c r="D1419">
        <f t="shared" si="48"/>
        <v>-0.65429672224679636</v>
      </c>
      <c r="E1419">
        <v>1.1441089641875068E-2</v>
      </c>
      <c r="F1419">
        <v>1416</v>
      </c>
      <c r="G1419">
        <f t="shared" ca="1" si="49"/>
        <v>3.2136596636463614E-2</v>
      </c>
    </row>
    <row r="1420" spans="2:7" x14ac:dyDescent="0.35">
      <c r="B1420" s="2">
        <v>44756</v>
      </c>
      <c r="C1420" s="4">
        <v>7799.55</v>
      </c>
      <c r="D1420">
        <f t="shared" si="48"/>
        <v>266.01643272851766</v>
      </c>
      <c r="E1420">
        <v>1.1431127940451979E-2</v>
      </c>
      <c r="F1420">
        <v>1417</v>
      </c>
      <c r="G1420">
        <f t="shared" ca="1" si="49"/>
        <v>6.7193046638623286E-4</v>
      </c>
    </row>
    <row r="1421" spans="2:7" x14ac:dyDescent="0.35">
      <c r="B1421" s="2">
        <v>37635</v>
      </c>
      <c r="C1421" s="4">
        <v>29.21</v>
      </c>
      <c r="D1421">
        <f t="shared" si="48"/>
        <v>-0.42124034079651274</v>
      </c>
      <c r="E1421">
        <v>1.1426592797783908E-2</v>
      </c>
      <c r="F1421">
        <v>1418</v>
      </c>
      <c r="G1421">
        <f t="shared" ca="1" si="49"/>
        <v>-1.4341126459103921E-2</v>
      </c>
    </row>
    <row r="1422" spans="2:7" x14ac:dyDescent="0.35">
      <c r="B1422" s="2">
        <v>38335</v>
      </c>
      <c r="C1422" s="4">
        <v>50.47</v>
      </c>
      <c r="D1422">
        <f t="shared" si="48"/>
        <v>-0.234375</v>
      </c>
      <c r="E1422">
        <v>1.1422845691382744E-2</v>
      </c>
      <c r="F1422">
        <v>1419</v>
      </c>
      <c r="G1422">
        <f t="shared" ca="1" si="49"/>
        <v>-7.0403855972807447E-2</v>
      </c>
    </row>
    <row r="1423" spans="2:7" x14ac:dyDescent="0.35">
      <c r="B1423" s="2">
        <v>38651</v>
      </c>
      <c r="C1423" s="4">
        <v>65.92</v>
      </c>
      <c r="D1423">
        <f t="shared" si="48"/>
        <v>-0.75168568953177384</v>
      </c>
      <c r="E1423">
        <v>1.1353175820803862E-2</v>
      </c>
      <c r="F1423">
        <v>1420</v>
      </c>
      <c r="G1423">
        <f t="shared" ca="1" si="49"/>
        <v>-4.0503303002610784E-2</v>
      </c>
    </row>
    <row r="1424" spans="2:7" x14ac:dyDescent="0.35">
      <c r="B1424" s="2">
        <v>41862</v>
      </c>
      <c r="C1424" s="4">
        <v>265.47000000000003</v>
      </c>
      <c r="D1424">
        <f t="shared" si="48"/>
        <v>0.16787646825920555</v>
      </c>
      <c r="E1424">
        <v>1.1352813440512088E-2</v>
      </c>
      <c r="F1424">
        <v>1421</v>
      </c>
      <c r="G1424">
        <f t="shared" ca="1" si="49"/>
        <v>2.2287147376248193E-2</v>
      </c>
    </row>
    <row r="1425" spans="2:7" x14ac:dyDescent="0.35">
      <c r="B1425" s="2">
        <v>41772</v>
      </c>
      <c r="C1425" s="4">
        <v>227.31</v>
      </c>
      <c r="D1425">
        <f t="shared" si="48"/>
        <v>-0.72141333921611883</v>
      </c>
      <c r="E1425">
        <v>1.1345435130806214E-2</v>
      </c>
      <c r="F1425">
        <v>1422</v>
      </c>
      <c r="G1425">
        <f t="shared" ca="1" si="49"/>
        <v>-1.2016371086453047E-2</v>
      </c>
    </row>
    <row r="1426" spans="2:7" x14ac:dyDescent="0.35">
      <c r="B1426" s="2">
        <v>42983</v>
      </c>
      <c r="C1426" s="4">
        <v>815.94</v>
      </c>
      <c r="D1426">
        <f t="shared" si="48"/>
        <v>8.8317869622846139</v>
      </c>
      <c r="E1426">
        <v>1.1341241215186315E-2</v>
      </c>
      <c r="F1426">
        <v>1423</v>
      </c>
      <c r="G1426">
        <f t="shared" ca="1" si="49"/>
        <v>6.4571334952587059E-2</v>
      </c>
    </row>
    <row r="1427" spans="2:7" x14ac:dyDescent="0.35">
      <c r="B1427" s="2">
        <v>41374</v>
      </c>
      <c r="C1427" s="4">
        <v>82.99</v>
      </c>
      <c r="D1427">
        <f t="shared" si="48"/>
        <v>1.6548304542546384</v>
      </c>
      <c r="E1427">
        <v>1.1333170850597041E-2</v>
      </c>
      <c r="F1427">
        <v>1424</v>
      </c>
      <c r="G1427">
        <f t="shared" ca="1" si="49"/>
        <v>1.448822699020697E-3</v>
      </c>
    </row>
    <row r="1428" spans="2:7" x14ac:dyDescent="0.35">
      <c r="B1428" s="2">
        <v>37484</v>
      </c>
      <c r="C1428" s="4">
        <v>31.26</v>
      </c>
      <c r="D1428">
        <f t="shared" si="48"/>
        <v>-0.97193265993265998</v>
      </c>
      <c r="E1428">
        <v>1.1323196376577194E-2</v>
      </c>
      <c r="F1428">
        <v>1425</v>
      </c>
      <c r="G1428">
        <f t="shared" ca="1" si="49"/>
        <v>4.0472206963283075E-2</v>
      </c>
    </row>
    <row r="1429" spans="2:7" x14ac:dyDescent="0.35">
      <c r="B1429" s="2">
        <v>43229</v>
      </c>
      <c r="C1429" s="4">
        <v>1113.75</v>
      </c>
      <c r="D1429">
        <f t="shared" si="48"/>
        <v>0.40140171628457111</v>
      </c>
      <c r="E1429">
        <v>1.1323187563562431E-2</v>
      </c>
      <c r="F1429">
        <v>1426</v>
      </c>
      <c r="G1429">
        <f t="shared" ca="1" si="49"/>
        <v>7.5775602658588572E-3</v>
      </c>
    </row>
    <row r="1430" spans="2:7" x14ac:dyDescent="0.35">
      <c r="B1430" s="2">
        <v>42559</v>
      </c>
      <c r="C1430" s="4">
        <v>794.74</v>
      </c>
      <c r="D1430">
        <f t="shared" si="48"/>
        <v>-7.1706975814511686E-3</v>
      </c>
      <c r="E1430">
        <v>1.1299722596900263E-2</v>
      </c>
      <c r="F1430">
        <v>1427</v>
      </c>
      <c r="G1430">
        <f t="shared" ca="1" si="49"/>
        <v>2.046723151253297E-2</v>
      </c>
    </row>
    <row r="1431" spans="2:7" x14ac:dyDescent="0.35">
      <c r="B1431" s="2">
        <v>43607</v>
      </c>
      <c r="C1431" s="4">
        <v>800.48</v>
      </c>
      <c r="D1431">
        <f t="shared" si="48"/>
        <v>-0.14017486949236291</v>
      </c>
      <c r="E1431">
        <v>1.1294438689137598E-2</v>
      </c>
      <c r="F1431">
        <v>1428</v>
      </c>
      <c r="G1431">
        <f t="shared" ca="1" si="49"/>
        <v>-6.2894897461801156E-3</v>
      </c>
    </row>
    <row r="1432" spans="2:7" x14ac:dyDescent="0.35">
      <c r="B1432" s="2">
        <v>43846</v>
      </c>
      <c r="C1432" s="4">
        <v>930.98</v>
      </c>
      <c r="D1432">
        <f t="shared" si="48"/>
        <v>27.787260358688929</v>
      </c>
      <c r="E1432">
        <v>1.1286240345865117E-2</v>
      </c>
      <c r="F1432">
        <v>1429</v>
      </c>
      <c r="G1432">
        <f t="shared" ca="1" si="49"/>
        <v>-3.0568094492723279E-2</v>
      </c>
    </row>
    <row r="1433" spans="2:7" x14ac:dyDescent="0.35">
      <c r="B1433" s="2">
        <v>38117</v>
      </c>
      <c r="C1433" s="4">
        <v>32.340000000000003</v>
      </c>
      <c r="D1433">
        <f t="shared" si="48"/>
        <v>-0.96117414010444802</v>
      </c>
      <c r="E1433">
        <v>1.1257035647279645E-2</v>
      </c>
      <c r="F1433">
        <v>1430</v>
      </c>
      <c r="G1433">
        <f t="shared" ca="1" si="49"/>
        <v>6.4514262073014014E-2</v>
      </c>
    </row>
    <row r="1434" spans="2:7" x14ac:dyDescent="0.35">
      <c r="B1434" s="2">
        <v>43494</v>
      </c>
      <c r="C1434" s="4">
        <v>832.95</v>
      </c>
      <c r="D1434">
        <f t="shared" si="48"/>
        <v>3.4103888364701795E-2</v>
      </c>
      <c r="E1434">
        <v>1.1254370629370847E-2</v>
      </c>
      <c r="F1434">
        <v>1431</v>
      </c>
      <c r="G1434">
        <f t="shared" ca="1" si="49"/>
        <v>-9.5932192293651363E-3</v>
      </c>
    </row>
    <row r="1435" spans="2:7" x14ac:dyDescent="0.35">
      <c r="B1435" s="2">
        <v>43021</v>
      </c>
      <c r="C1435" s="4">
        <v>805.48</v>
      </c>
      <c r="D1435">
        <f t="shared" si="48"/>
        <v>-0.10927789450403624</v>
      </c>
      <c r="E1435">
        <v>1.1248932857932159E-2</v>
      </c>
      <c r="F1435">
        <v>1432</v>
      </c>
      <c r="G1435">
        <f t="shared" ca="1" si="49"/>
        <v>5.3996843497448148E-2</v>
      </c>
    </row>
    <row r="1436" spans="2:7" x14ac:dyDescent="0.35">
      <c r="B1436" s="2">
        <v>43531</v>
      </c>
      <c r="C1436" s="4">
        <v>904.3</v>
      </c>
      <c r="D1436">
        <f t="shared" si="48"/>
        <v>-4.474679399150705E-2</v>
      </c>
      <c r="E1436">
        <v>1.1215852035738605E-2</v>
      </c>
      <c r="F1436">
        <v>1433</v>
      </c>
      <c r="G1436">
        <f t="shared" ca="1" si="49"/>
        <v>2.3297726593982927E-2</v>
      </c>
    </row>
    <row r="1437" spans="2:7" x14ac:dyDescent="0.35">
      <c r="B1437" s="2">
        <v>43171</v>
      </c>
      <c r="C1437" s="4">
        <v>946.66</v>
      </c>
      <c r="D1437">
        <f t="shared" si="48"/>
        <v>9.2463470072518668</v>
      </c>
      <c r="E1437">
        <v>1.1172826319162388E-2</v>
      </c>
      <c r="F1437">
        <v>1434</v>
      </c>
      <c r="G1437">
        <f t="shared" ca="1" si="49"/>
        <v>-2.1173705605981259E-2</v>
      </c>
    </row>
    <row r="1438" spans="2:7" x14ac:dyDescent="0.35">
      <c r="B1438" s="2">
        <v>41330</v>
      </c>
      <c r="C1438" s="4">
        <v>92.39</v>
      </c>
      <c r="D1438">
        <f t="shared" si="48"/>
        <v>2.1792842395044736</v>
      </c>
      <c r="E1438">
        <v>1.1163401554120655E-2</v>
      </c>
      <c r="F1438">
        <v>1435</v>
      </c>
      <c r="G1438">
        <f t="shared" ca="1" si="49"/>
        <v>1.9183918989975617E-2</v>
      </c>
    </row>
    <row r="1439" spans="2:7" x14ac:dyDescent="0.35">
      <c r="B1439" s="2">
        <v>39899</v>
      </c>
      <c r="C1439" s="4">
        <v>29.06</v>
      </c>
      <c r="D1439">
        <f t="shared" si="48"/>
        <v>-5.924247329232768E-2</v>
      </c>
      <c r="E1439">
        <v>1.1134307585247027E-2</v>
      </c>
      <c r="F1439">
        <v>1436</v>
      </c>
      <c r="G1439">
        <f t="shared" ca="1" si="49"/>
        <v>2.6312281059423504E-2</v>
      </c>
    </row>
    <row r="1440" spans="2:7" x14ac:dyDescent="0.35">
      <c r="B1440" s="2">
        <v>37622</v>
      </c>
      <c r="C1440" s="4">
        <v>30.89</v>
      </c>
      <c r="D1440">
        <f t="shared" si="48"/>
        <v>-0.68826319507518419</v>
      </c>
      <c r="E1440">
        <v>1.1129296235679265E-2</v>
      </c>
      <c r="F1440">
        <v>1437</v>
      </c>
      <c r="G1440">
        <f t="shared" ca="1" si="49"/>
        <v>5.7158341573796297E-2</v>
      </c>
    </row>
    <row r="1441" spans="2:7" x14ac:dyDescent="0.35">
      <c r="B1441" s="2">
        <v>40683</v>
      </c>
      <c r="C1441" s="4">
        <v>99.09</v>
      </c>
      <c r="D1441">
        <f t="shared" si="48"/>
        <v>0.60184287099903022</v>
      </c>
      <c r="E1441">
        <v>1.1122448979591804E-2</v>
      </c>
      <c r="F1441">
        <v>1438</v>
      </c>
      <c r="G1441">
        <f t="shared" ca="1" si="49"/>
        <v>2.481267256238406E-3</v>
      </c>
    </row>
    <row r="1442" spans="2:7" x14ac:dyDescent="0.35">
      <c r="B1442" s="2">
        <v>40129</v>
      </c>
      <c r="C1442" s="4">
        <v>61.86</v>
      </c>
      <c r="D1442">
        <f t="shared" si="48"/>
        <v>-0.88753340726869445</v>
      </c>
      <c r="E1442">
        <v>1.1114743380189696E-2</v>
      </c>
      <c r="F1442">
        <v>1439</v>
      </c>
      <c r="G1442">
        <f t="shared" ca="1" si="49"/>
        <v>-2.6045428791838104E-3</v>
      </c>
    </row>
    <row r="1443" spans="2:7" x14ac:dyDescent="0.35">
      <c r="B1443" s="2">
        <v>42188</v>
      </c>
      <c r="C1443" s="4">
        <v>550.03</v>
      </c>
      <c r="D1443">
        <f t="shared" si="48"/>
        <v>4.3025161476911205</v>
      </c>
      <c r="E1443">
        <v>1.1028803558627231E-2</v>
      </c>
      <c r="F1443">
        <v>1440</v>
      </c>
      <c r="G1443">
        <f t="shared" ca="1" si="49"/>
        <v>-1.0185228573955329E-2</v>
      </c>
    </row>
    <row r="1444" spans="2:7" x14ac:dyDescent="0.35">
      <c r="B1444" s="2">
        <v>40590</v>
      </c>
      <c r="C1444" s="4">
        <v>103.73</v>
      </c>
      <c r="D1444">
        <f t="shared" si="48"/>
        <v>0.85232142857142867</v>
      </c>
      <c r="E1444">
        <v>1.1013645224171587E-2</v>
      </c>
      <c r="F1444">
        <v>1441</v>
      </c>
      <c r="G1444">
        <f t="shared" ca="1" si="49"/>
        <v>3.7426466550837152E-2</v>
      </c>
    </row>
    <row r="1445" spans="2:7" x14ac:dyDescent="0.35">
      <c r="B1445" s="2">
        <v>39980</v>
      </c>
      <c r="C1445" s="4">
        <v>56</v>
      </c>
      <c r="D1445">
        <f t="shared" si="48"/>
        <v>-0.92139688956262988</v>
      </c>
      <c r="E1445">
        <v>1.1012818198230745E-2</v>
      </c>
      <c r="F1445">
        <v>1442</v>
      </c>
      <c r="G1445">
        <f t="shared" ca="1" si="49"/>
        <v>9.488399026632335E-3</v>
      </c>
    </row>
    <row r="1446" spans="2:7" x14ac:dyDescent="0.35">
      <c r="B1446" s="2">
        <v>42895</v>
      </c>
      <c r="C1446" s="4">
        <v>712.44</v>
      </c>
      <c r="D1446">
        <f t="shared" si="48"/>
        <v>7.2439250173570944</v>
      </c>
      <c r="E1446">
        <v>1.099774368871409E-2</v>
      </c>
      <c r="F1446">
        <v>1443</v>
      </c>
      <c r="G1446">
        <f t="shared" ca="1" si="49"/>
        <v>1.1436315897854113E-2</v>
      </c>
    </row>
    <row r="1447" spans="2:7" x14ac:dyDescent="0.35">
      <c r="B1447" s="2">
        <v>40921</v>
      </c>
      <c r="C1447" s="4">
        <v>86.42</v>
      </c>
      <c r="D1447">
        <f t="shared" si="48"/>
        <v>-0.90109185798979097</v>
      </c>
      <c r="E1447">
        <v>1.099672437997179E-2</v>
      </c>
      <c r="F1447">
        <v>1444</v>
      </c>
      <c r="G1447">
        <f t="shared" ca="1" si="49"/>
        <v>-2.8885634204569256E-3</v>
      </c>
    </row>
    <row r="1448" spans="2:7" x14ac:dyDescent="0.35">
      <c r="B1448" s="2">
        <v>42461</v>
      </c>
      <c r="C1448" s="4">
        <v>873.74</v>
      </c>
      <c r="D1448">
        <f t="shared" si="48"/>
        <v>-0.10548030754425297</v>
      </c>
      <c r="E1448">
        <v>1.0992316948995606E-2</v>
      </c>
      <c r="F1448">
        <v>1445</v>
      </c>
      <c r="G1448">
        <f t="shared" ca="1" si="49"/>
        <v>9.4053162954566963E-2</v>
      </c>
    </row>
    <row r="1449" spans="2:7" x14ac:dyDescent="0.35">
      <c r="B1449" s="2">
        <v>43448</v>
      </c>
      <c r="C1449" s="4">
        <v>976.77</v>
      </c>
      <c r="D1449">
        <f t="shared" si="48"/>
        <v>8.6195587945637175</v>
      </c>
      <c r="E1449">
        <v>1.0960690554555175E-2</v>
      </c>
      <c r="F1449">
        <v>1446</v>
      </c>
      <c r="G1449">
        <f t="shared" ca="1" si="49"/>
        <v>6.4277437964155498E-2</v>
      </c>
    </row>
    <row r="1450" spans="2:7" x14ac:dyDescent="0.35">
      <c r="B1450" s="2">
        <v>41198</v>
      </c>
      <c r="C1450" s="4">
        <v>101.54</v>
      </c>
      <c r="D1450">
        <f t="shared" si="48"/>
        <v>-0.19800963588974008</v>
      </c>
      <c r="E1450">
        <v>1.0951812027080843E-2</v>
      </c>
      <c r="F1450">
        <v>1447</v>
      </c>
      <c r="G1450">
        <f t="shared" ca="1" si="49"/>
        <v>3.4358273057961235E-2</v>
      </c>
    </row>
    <row r="1451" spans="2:7" x14ac:dyDescent="0.35">
      <c r="B1451" s="2">
        <v>40541</v>
      </c>
      <c r="C1451" s="4">
        <v>126.61</v>
      </c>
      <c r="D1451">
        <f t="shared" si="48"/>
        <v>0.32868086892643511</v>
      </c>
      <c r="E1451">
        <v>1.0938997125518934E-2</v>
      </c>
      <c r="F1451">
        <v>1448</v>
      </c>
      <c r="G1451">
        <f t="shared" ca="1" si="49"/>
        <v>-2.3058676963841365E-2</v>
      </c>
    </row>
    <row r="1452" spans="2:7" x14ac:dyDescent="0.35">
      <c r="B1452" s="2">
        <v>41094</v>
      </c>
      <c r="C1452" s="4">
        <v>95.29</v>
      </c>
      <c r="D1452">
        <f t="shared" si="48"/>
        <v>-0.64046936311500158</v>
      </c>
      <c r="E1452">
        <v>1.0927222575854101E-2</v>
      </c>
      <c r="F1452">
        <v>1449</v>
      </c>
      <c r="G1452">
        <f t="shared" ca="1" si="49"/>
        <v>-9.0459349890204752E-2</v>
      </c>
    </row>
    <row r="1453" spans="2:7" x14ac:dyDescent="0.35">
      <c r="B1453" s="2">
        <v>41995</v>
      </c>
      <c r="C1453" s="4">
        <v>265.04000000000002</v>
      </c>
      <c r="D1453">
        <f t="shared" si="48"/>
        <v>2.4036214203159112</v>
      </c>
      <c r="E1453">
        <v>1.09085361202228E-2</v>
      </c>
      <c r="F1453">
        <v>1450</v>
      </c>
      <c r="G1453">
        <f t="shared" ca="1" si="49"/>
        <v>-2.1350245045120415E-2</v>
      </c>
    </row>
    <row r="1454" spans="2:7" x14ac:dyDescent="0.35">
      <c r="B1454" s="2">
        <v>38982</v>
      </c>
      <c r="C1454" s="4">
        <v>77.87</v>
      </c>
      <c r="D1454">
        <f t="shared" si="48"/>
        <v>-0.88104004033058858</v>
      </c>
      <c r="E1454">
        <v>1.0904842269245707E-2</v>
      </c>
      <c r="F1454">
        <v>1451</v>
      </c>
      <c r="G1454">
        <f t="shared" ca="1" si="49"/>
        <v>1.5999488357798825E-2</v>
      </c>
    </row>
    <row r="1455" spans="2:7" x14ac:dyDescent="0.35">
      <c r="B1455" s="2">
        <v>42751</v>
      </c>
      <c r="C1455" s="4">
        <v>654.59</v>
      </c>
      <c r="D1455">
        <f t="shared" si="48"/>
        <v>8.0487973458667401</v>
      </c>
      <c r="E1455">
        <v>1.0902969746575453E-2</v>
      </c>
      <c r="F1455">
        <v>1452</v>
      </c>
      <c r="G1455">
        <f t="shared" ca="1" si="49"/>
        <v>6.819529989589488E-3</v>
      </c>
    </row>
    <row r="1456" spans="2:7" x14ac:dyDescent="0.35">
      <c r="B1456" s="2">
        <v>39623</v>
      </c>
      <c r="C1456" s="4">
        <v>72.34</v>
      </c>
      <c r="D1456">
        <f t="shared" si="48"/>
        <v>-0.99192997800099059</v>
      </c>
      <c r="E1456">
        <v>1.0899944102850778E-2</v>
      </c>
      <c r="F1456">
        <v>1453</v>
      </c>
      <c r="G1456">
        <f t="shared" ca="1" si="49"/>
        <v>2.7600930404606611E-2</v>
      </c>
    </row>
    <row r="1457" spans="2:7" x14ac:dyDescent="0.35">
      <c r="B1457" s="2">
        <v>44655</v>
      </c>
      <c r="C1457" s="4">
        <v>8964.0400000000009</v>
      </c>
      <c r="D1457">
        <f t="shared" si="48"/>
        <v>98.269545957918069</v>
      </c>
      <c r="E1457">
        <v>1.0872127050858271E-2</v>
      </c>
      <c r="F1457">
        <v>1454</v>
      </c>
      <c r="G1457">
        <f t="shared" ca="1" si="49"/>
        <v>6.3180570226725269E-2</v>
      </c>
    </row>
    <row r="1458" spans="2:7" x14ac:dyDescent="0.35">
      <c r="B1458" s="2">
        <v>41474</v>
      </c>
      <c r="C1458" s="4">
        <v>90.3</v>
      </c>
      <c r="D1458">
        <f t="shared" si="48"/>
        <v>0.3269654665686994</v>
      </c>
      <c r="E1458">
        <v>1.0858614127392752E-2</v>
      </c>
      <c r="F1458">
        <v>1455</v>
      </c>
      <c r="G1458">
        <f t="shared" ca="1" si="49"/>
        <v>2.0404577607588237E-2</v>
      </c>
    </row>
    <row r="1459" spans="2:7" x14ac:dyDescent="0.35">
      <c r="B1459" s="2">
        <v>38645</v>
      </c>
      <c r="C1459" s="4">
        <v>68.05</v>
      </c>
      <c r="D1459">
        <f t="shared" si="48"/>
        <v>-0.91745812258166248</v>
      </c>
      <c r="E1459">
        <v>1.0843731431966708E-2</v>
      </c>
      <c r="F1459">
        <v>1456</v>
      </c>
      <c r="G1459">
        <f t="shared" ca="1" si="49"/>
        <v>-2.0519482674448117E-2</v>
      </c>
    </row>
    <row r="1460" spans="2:7" x14ac:dyDescent="0.35">
      <c r="B1460" s="2">
        <v>43643</v>
      </c>
      <c r="C1460" s="4">
        <v>824.43</v>
      </c>
      <c r="D1460">
        <f t="shared" si="48"/>
        <v>7.5663965087281788</v>
      </c>
      <c r="E1460">
        <v>1.0838779288613098E-2</v>
      </c>
      <c r="F1460">
        <v>1457</v>
      </c>
      <c r="G1460">
        <f t="shared" ca="1" si="49"/>
        <v>-3.9769883834500728E-3</v>
      </c>
    </row>
    <row r="1461" spans="2:7" x14ac:dyDescent="0.35">
      <c r="B1461" s="2">
        <v>40851</v>
      </c>
      <c r="C1461" s="4">
        <v>96.24</v>
      </c>
      <c r="D1461">
        <f t="shared" si="48"/>
        <v>2.0264150943396224</v>
      </c>
      <c r="E1461">
        <v>1.0818191366453123E-2</v>
      </c>
      <c r="F1461">
        <v>1458</v>
      </c>
      <c r="G1461">
        <f t="shared" ca="1" si="49"/>
        <v>2.0789669613945957E-2</v>
      </c>
    </row>
    <row r="1462" spans="2:7" x14ac:dyDescent="0.35">
      <c r="B1462" s="2">
        <v>39868</v>
      </c>
      <c r="C1462" s="4">
        <v>31.8</v>
      </c>
      <c r="D1462">
        <f t="shared" si="48"/>
        <v>-0.95829015883842028</v>
      </c>
      <c r="E1462">
        <v>1.0807374443738027E-2</v>
      </c>
      <c r="F1462">
        <v>1459</v>
      </c>
      <c r="G1462">
        <f t="shared" ca="1" si="49"/>
        <v>-1.7884151117145057E-3</v>
      </c>
    </row>
    <row r="1463" spans="2:7" x14ac:dyDescent="0.35">
      <c r="B1463" s="2">
        <v>43963</v>
      </c>
      <c r="C1463" s="4">
        <v>762.41</v>
      </c>
      <c r="D1463">
        <f t="shared" si="48"/>
        <v>9.0356719757799127</v>
      </c>
      <c r="E1463">
        <v>1.0805292604672001E-2</v>
      </c>
      <c r="F1463">
        <v>1460</v>
      </c>
      <c r="G1463">
        <f t="shared" ca="1" si="49"/>
        <v>-6.6042690937377791E-3</v>
      </c>
    </row>
    <row r="1464" spans="2:7" x14ac:dyDescent="0.35">
      <c r="B1464" s="2">
        <v>38615</v>
      </c>
      <c r="C1464" s="4">
        <v>75.97</v>
      </c>
      <c r="D1464">
        <f t="shared" si="48"/>
        <v>1.9968441814595659</v>
      </c>
      <c r="E1464">
        <v>1.077700904736556E-2</v>
      </c>
      <c r="F1464">
        <v>1461</v>
      </c>
      <c r="G1464">
        <f t="shared" ca="1" si="49"/>
        <v>-8.3704506386185623E-3</v>
      </c>
    </row>
    <row r="1465" spans="2:7" x14ac:dyDescent="0.35">
      <c r="B1465" s="2">
        <v>37830</v>
      </c>
      <c r="C1465" s="4">
        <v>25.35</v>
      </c>
      <c r="D1465">
        <f t="shared" si="48"/>
        <v>-0.50068938349418945</v>
      </c>
      <c r="E1465">
        <v>1.0765550239234534E-2</v>
      </c>
      <c r="F1465">
        <v>1462</v>
      </c>
      <c r="G1465">
        <f t="shared" ca="1" si="49"/>
        <v>-5.7019093483699473E-3</v>
      </c>
    </row>
    <row r="1466" spans="2:7" x14ac:dyDescent="0.35">
      <c r="B1466" s="2">
        <v>38329</v>
      </c>
      <c r="C1466" s="4">
        <v>50.77</v>
      </c>
      <c r="D1466">
        <f t="shared" si="48"/>
        <v>-0.99294699479741888</v>
      </c>
      <c r="E1466">
        <v>1.0750547481584771E-2</v>
      </c>
      <c r="F1466">
        <v>1463</v>
      </c>
      <c r="G1466">
        <f t="shared" ca="1" si="49"/>
        <v>-6.8154643723603373E-3</v>
      </c>
    </row>
    <row r="1467" spans="2:7" x14ac:dyDescent="0.35">
      <c r="B1467" s="2">
        <v>45057</v>
      </c>
      <c r="C1467" s="4">
        <v>7198.35</v>
      </c>
      <c r="D1467">
        <f t="shared" si="48"/>
        <v>83.02416248395005</v>
      </c>
      <c r="E1467">
        <v>1.074159101918748E-2</v>
      </c>
      <c r="F1467">
        <v>1464</v>
      </c>
      <c r="G1467">
        <f t="shared" ca="1" si="49"/>
        <v>2.23049061311794E-2</v>
      </c>
    </row>
    <row r="1468" spans="2:7" x14ac:dyDescent="0.35">
      <c r="B1468" s="2">
        <v>41036</v>
      </c>
      <c r="C1468" s="4">
        <v>85.67</v>
      </c>
      <c r="D1468">
        <f t="shared" si="48"/>
        <v>0.2464717008584314</v>
      </c>
      <c r="E1468">
        <v>1.0736196319018454E-2</v>
      </c>
      <c r="F1468">
        <v>1465</v>
      </c>
      <c r="G1468">
        <f t="shared" ca="1" si="49"/>
        <v>5.3064988101422144E-3</v>
      </c>
    </row>
    <row r="1469" spans="2:7" x14ac:dyDescent="0.35">
      <c r="B1469" s="2">
        <v>38636</v>
      </c>
      <c r="C1469" s="4">
        <v>68.73</v>
      </c>
      <c r="D1469">
        <f t="shared" si="48"/>
        <v>4.1679296756592876E-2</v>
      </c>
      <c r="E1469">
        <v>1.0735294117647065E-2</v>
      </c>
      <c r="F1469">
        <v>1466</v>
      </c>
      <c r="G1469">
        <f t="shared" ca="1" si="49"/>
        <v>2.9577038149808357E-2</v>
      </c>
    </row>
    <row r="1470" spans="2:7" x14ac:dyDescent="0.35">
      <c r="B1470" s="2">
        <v>40148</v>
      </c>
      <c r="C1470" s="4">
        <v>65.98</v>
      </c>
      <c r="D1470">
        <f t="shared" si="48"/>
        <v>-0.44470627840430899</v>
      </c>
      <c r="E1470">
        <v>1.0723039215686292E-2</v>
      </c>
      <c r="F1470">
        <v>1467</v>
      </c>
      <c r="G1470">
        <f t="shared" ca="1" si="49"/>
        <v>-4.7762436850529028E-3</v>
      </c>
    </row>
    <row r="1471" spans="2:7" x14ac:dyDescent="0.35">
      <c r="B1471" s="2">
        <v>40199</v>
      </c>
      <c r="C1471" s="4">
        <v>118.82</v>
      </c>
      <c r="D1471">
        <f t="shared" si="48"/>
        <v>-0.97543498395686545</v>
      </c>
      <c r="E1471">
        <v>1.0717931269139003E-2</v>
      </c>
      <c r="F1471">
        <v>1468</v>
      </c>
      <c r="G1471">
        <f t="shared" ca="1" si="49"/>
        <v>-4.5047731698182783E-2</v>
      </c>
    </row>
    <row r="1472" spans="2:7" x14ac:dyDescent="0.35">
      <c r="B1472" s="2">
        <v>44434</v>
      </c>
      <c r="C1472" s="4">
        <v>4836.96</v>
      </c>
      <c r="D1472">
        <f t="shared" si="48"/>
        <v>33.412066021627773</v>
      </c>
      <c r="E1472">
        <v>1.0717412608892696E-2</v>
      </c>
      <c r="F1472">
        <v>1469</v>
      </c>
      <c r="G1472">
        <f t="shared" ca="1" si="49"/>
        <v>-4.4082979153346911E-3</v>
      </c>
    </row>
    <row r="1473" spans="2:7" x14ac:dyDescent="0.35">
      <c r="B1473" s="2">
        <v>41617</v>
      </c>
      <c r="C1473" s="4">
        <v>140.56</v>
      </c>
      <c r="D1473">
        <f t="shared" si="48"/>
        <v>-0.8850892324294275</v>
      </c>
      <c r="E1473">
        <v>1.071402890630635E-2</v>
      </c>
      <c r="F1473">
        <v>1470</v>
      </c>
      <c r="G1473">
        <f t="shared" ca="1" si="49"/>
        <v>3.8844235069722892E-2</v>
      </c>
    </row>
    <row r="1474" spans="2:7" x14ac:dyDescent="0.35">
      <c r="B1474" s="2">
        <v>43270</v>
      </c>
      <c r="C1474" s="4">
        <v>1223.21</v>
      </c>
      <c r="D1474">
        <f t="shared" si="48"/>
        <v>45.141456054319121</v>
      </c>
      <c r="E1474">
        <v>1.0683478203391106E-2</v>
      </c>
      <c r="F1474">
        <v>1471</v>
      </c>
      <c r="G1474">
        <f t="shared" ca="1" si="49"/>
        <v>8.5393930512121709E-3</v>
      </c>
    </row>
    <row r="1475" spans="2:7" x14ac:dyDescent="0.35">
      <c r="B1475" s="2">
        <v>37841</v>
      </c>
      <c r="C1475" s="4">
        <v>26.51</v>
      </c>
      <c r="D1475">
        <f t="shared" si="48"/>
        <v>-0.95038089355569277</v>
      </c>
      <c r="E1475">
        <v>1.0674799847502969E-2</v>
      </c>
      <c r="F1475">
        <v>1472</v>
      </c>
      <c r="G1475">
        <f t="shared" ca="1" si="49"/>
        <v>4.0870872007071672E-2</v>
      </c>
    </row>
    <row r="1476" spans="2:7" x14ac:dyDescent="0.35">
      <c r="B1476" s="2">
        <v>43914</v>
      </c>
      <c r="C1476" s="4">
        <v>534.27</v>
      </c>
      <c r="D1476">
        <f t="shared" ref="D1476:D1539" si="50">C1476/C1477-1</f>
        <v>-0.9137523003906628</v>
      </c>
      <c r="E1476">
        <v>1.0669088019976236E-2</v>
      </c>
      <c r="F1476">
        <v>1473</v>
      </c>
      <c r="G1476">
        <f t="shared" ca="1" si="49"/>
        <v>1.4969898335502161E-2</v>
      </c>
    </row>
    <row r="1477" spans="2:7" x14ac:dyDescent="0.35">
      <c r="B1477" s="2">
        <v>44986</v>
      </c>
      <c r="C1477" s="4">
        <v>6194.6</v>
      </c>
      <c r="D1477">
        <f t="shared" si="50"/>
        <v>97.923666560204424</v>
      </c>
      <c r="E1477">
        <v>1.0661989639841885E-2</v>
      </c>
      <c r="F1477">
        <v>1474</v>
      </c>
      <c r="G1477">
        <f t="shared" ref="G1477:G1540" ca="1" si="51">_xlfn.NORM.INV(RAND(),K$6,K$7)</f>
        <v>-2.0476536838038493E-2</v>
      </c>
    </row>
    <row r="1478" spans="2:7" x14ac:dyDescent="0.35">
      <c r="B1478" s="2">
        <v>38454</v>
      </c>
      <c r="C1478" s="4">
        <v>62.62</v>
      </c>
      <c r="D1478">
        <f t="shared" si="50"/>
        <v>0.24394119984108054</v>
      </c>
      <c r="E1478">
        <v>1.0652033570045072E-2</v>
      </c>
      <c r="F1478">
        <v>1475</v>
      </c>
      <c r="G1478">
        <f t="shared" ca="1" si="51"/>
        <v>2.4337116591629359E-2</v>
      </c>
    </row>
    <row r="1479" spans="2:7" x14ac:dyDescent="0.35">
      <c r="B1479" s="2">
        <v>38240</v>
      </c>
      <c r="C1479" s="4">
        <v>50.34</v>
      </c>
      <c r="D1479">
        <f t="shared" si="50"/>
        <v>-0.39777485345136976</v>
      </c>
      <c r="E1479">
        <v>1.0640433647861824E-2</v>
      </c>
      <c r="F1479">
        <v>1476</v>
      </c>
      <c r="G1479">
        <f t="shared" ca="1" si="51"/>
        <v>4.8402197028089052E-4</v>
      </c>
    </row>
    <row r="1480" spans="2:7" x14ac:dyDescent="0.35">
      <c r="B1480" s="2">
        <v>40933</v>
      </c>
      <c r="C1480" s="4">
        <v>83.59</v>
      </c>
      <c r="D1480">
        <f t="shared" si="50"/>
        <v>-0.87523694383498263</v>
      </c>
      <c r="E1480">
        <v>1.0639584088985687E-2</v>
      </c>
      <c r="F1480">
        <v>1477</v>
      </c>
      <c r="G1480">
        <f t="shared" ca="1" si="51"/>
        <v>1.4292121608758951E-3</v>
      </c>
    </row>
    <row r="1481" spans="2:7" x14ac:dyDescent="0.35">
      <c r="B1481" s="2">
        <v>42808</v>
      </c>
      <c r="C1481" s="4">
        <v>669.99</v>
      </c>
      <c r="D1481">
        <f t="shared" si="50"/>
        <v>9.34893419833179</v>
      </c>
      <c r="E1481">
        <v>1.0634446556249344E-2</v>
      </c>
      <c r="F1481">
        <v>1478</v>
      </c>
      <c r="G1481">
        <f t="shared" ca="1" si="51"/>
        <v>-3.8827832984004284E-3</v>
      </c>
    </row>
    <row r="1482" spans="2:7" x14ac:dyDescent="0.35">
      <c r="B1482" s="2">
        <v>38512</v>
      </c>
      <c r="C1482" s="4">
        <v>64.739999999999995</v>
      </c>
      <c r="D1482">
        <f t="shared" si="50"/>
        <v>-0.97719884620667552</v>
      </c>
      <c r="E1482">
        <v>1.0615048392132342E-2</v>
      </c>
      <c r="F1482">
        <v>1479</v>
      </c>
      <c r="G1482">
        <f t="shared" ca="1" si="51"/>
        <v>-4.8866075138320239E-2</v>
      </c>
    </row>
    <row r="1483" spans="2:7" x14ac:dyDescent="0.35">
      <c r="B1483" s="2">
        <v>44236</v>
      </c>
      <c r="C1483" s="4">
        <v>2839.33</v>
      </c>
      <c r="D1483">
        <f t="shared" si="50"/>
        <v>3.5340774807575608</v>
      </c>
      <c r="E1483">
        <v>1.0610353369970627E-2</v>
      </c>
      <c r="F1483">
        <v>1480</v>
      </c>
      <c r="G1483">
        <f t="shared" ca="1" si="51"/>
        <v>-9.9147693020682874E-3</v>
      </c>
    </row>
    <row r="1484" spans="2:7" x14ac:dyDescent="0.35">
      <c r="B1484" s="2">
        <v>43719</v>
      </c>
      <c r="C1484" s="4">
        <v>626.22</v>
      </c>
      <c r="D1484">
        <f t="shared" si="50"/>
        <v>-0.32055204739274779</v>
      </c>
      <c r="E1484">
        <v>1.0570142172446673E-2</v>
      </c>
      <c r="F1484">
        <v>1481</v>
      </c>
      <c r="G1484">
        <f t="shared" ca="1" si="51"/>
        <v>-2.7297000848937318E-2</v>
      </c>
    </row>
    <row r="1485" spans="2:7" x14ac:dyDescent="0.35">
      <c r="B1485" s="2">
        <v>43480</v>
      </c>
      <c r="C1485" s="4">
        <v>921.66</v>
      </c>
      <c r="D1485">
        <f t="shared" si="50"/>
        <v>0.13283103282980369</v>
      </c>
      <c r="E1485">
        <v>1.0569943641586699E-2</v>
      </c>
      <c r="F1485">
        <v>1482</v>
      </c>
      <c r="G1485">
        <f t="shared" ca="1" si="51"/>
        <v>6.9909019591145533E-3</v>
      </c>
    </row>
    <row r="1486" spans="2:7" x14ac:dyDescent="0.35">
      <c r="B1486" s="2">
        <v>43991</v>
      </c>
      <c r="C1486" s="4">
        <v>813.59</v>
      </c>
      <c r="D1486">
        <f t="shared" si="50"/>
        <v>-0.23220150239704052</v>
      </c>
      <c r="E1486">
        <v>1.0557825833136691E-2</v>
      </c>
      <c r="F1486">
        <v>1483</v>
      </c>
      <c r="G1486">
        <f t="shared" ca="1" si="51"/>
        <v>4.3975866308452197E-2</v>
      </c>
    </row>
    <row r="1487" spans="2:7" x14ac:dyDescent="0.35">
      <c r="B1487" s="2">
        <v>44067</v>
      </c>
      <c r="C1487" s="4">
        <v>1059.6400000000001</v>
      </c>
      <c r="D1487">
        <f t="shared" si="50"/>
        <v>0.93414375935457983</v>
      </c>
      <c r="E1487">
        <v>1.0557235091601003E-2</v>
      </c>
      <c r="F1487">
        <v>1484</v>
      </c>
      <c r="G1487">
        <f t="shared" ca="1" si="51"/>
        <v>5.4830422604673537E-2</v>
      </c>
    </row>
    <row r="1488" spans="2:7" x14ac:dyDescent="0.35">
      <c r="B1488" s="2">
        <v>42186</v>
      </c>
      <c r="C1488" s="4">
        <v>547.86</v>
      </c>
      <c r="D1488">
        <f t="shared" si="50"/>
        <v>6.0400925212027765</v>
      </c>
      <c r="E1488">
        <v>1.05507802412661E-2</v>
      </c>
      <c r="F1488">
        <v>1485</v>
      </c>
      <c r="G1488">
        <f t="shared" ca="1" si="51"/>
        <v>5.9168673679955066E-3</v>
      </c>
    </row>
    <row r="1489" spans="2:7" x14ac:dyDescent="0.35">
      <c r="B1489" s="2">
        <v>38986</v>
      </c>
      <c r="C1489" s="4">
        <v>77.819999999999993</v>
      </c>
      <c r="D1489">
        <f t="shared" si="50"/>
        <v>-0.25108266769319609</v>
      </c>
      <c r="E1489">
        <v>1.051811453058038E-2</v>
      </c>
      <c r="F1489">
        <v>1486</v>
      </c>
      <c r="G1489">
        <f t="shared" ca="1" si="51"/>
        <v>-3.119282680683676E-2</v>
      </c>
    </row>
    <row r="1490" spans="2:7" x14ac:dyDescent="0.35">
      <c r="B1490" s="2">
        <v>40581</v>
      </c>
      <c r="C1490" s="4">
        <v>103.91</v>
      </c>
      <c r="D1490">
        <f t="shared" si="50"/>
        <v>0.63612029601637543</v>
      </c>
      <c r="E1490">
        <v>1.0502771564718349E-2</v>
      </c>
      <c r="F1490">
        <v>1487</v>
      </c>
      <c r="G1490">
        <f t="shared" ca="1" si="51"/>
        <v>-3.6943296282541518E-2</v>
      </c>
    </row>
    <row r="1491" spans="2:7" x14ac:dyDescent="0.35">
      <c r="B1491" s="2">
        <v>40060</v>
      </c>
      <c r="C1491" s="4">
        <v>63.51</v>
      </c>
      <c r="D1491">
        <f t="shared" si="50"/>
        <v>-0.89852687416118104</v>
      </c>
      <c r="E1491">
        <v>1.0501193317422386E-2</v>
      </c>
      <c r="F1491">
        <v>1488</v>
      </c>
      <c r="G1491">
        <f t="shared" ca="1" si="51"/>
        <v>-4.4064797032488993E-2</v>
      </c>
    </row>
    <row r="1492" spans="2:7" x14ac:dyDescent="0.35">
      <c r="B1492" s="2">
        <v>42662</v>
      </c>
      <c r="C1492" s="4">
        <v>625.88</v>
      </c>
      <c r="D1492">
        <f t="shared" si="50"/>
        <v>7.8689244721553084</v>
      </c>
      <c r="E1492">
        <v>1.046173716499843E-2</v>
      </c>
      <c r="F1492">
        <v>1489</v>
      </c>
      <c r="G1492">
        <f t="shared" ca="1" si="51"/>
        <v>-2.4533499224316038E-2</v>
      </c>
    </row>
    <row r="1493" spans="2:7" x14ac:dyDescent="0.35">
      <c r="B1493" s="2">
        <v>38573</v>
      </c>
      <c r="C1493" s="4">
        <v>70.569999999999993</v>
      </c>
      <c r="D1493">
        <f t="shared" si="50"/>
        <v>-0.91414528510772897</v>
      </c>
      <c r="E1493">
        <v>1.0452462772050364E-2</v>
      </c>
      <c r="F1493">
        <v>1490</v>
      </c>
      <c r="G1493">
        <f t="shared" ca="1" si="51"/>
        <v>1.8579367730417046E-2</v>
      </c>
    </row>
    <row r="1494" spans="2:7" x14ac:dyDescent="0.35">
      <c r="B1494" s="2">
        <v>42541</v>
      </c>
      <c r="C1494" s="4">
        <v>821.97</v>
      </c>
      <c r="D1494">
        <f t="shared" si="50"/>
        <v>7.5390608767920213</v>
      </c>
      <c r="E1494">
        <v>1.0411800860479437E-2</v>
      </c>
      <c r="F1494">
        <v>1491</v>
      </c>
      <c r="G1494">
        <f t="shared" ca="1" si="51"/>
        <v>-2.8748340920337997E-2</v>
      </c>
    </row>
    <row r="1495" spans="2:7" x14ac:dyDescent="0.35">
      <c r="B1495" s="2">
        <v>41220</v>
      </c>
      <c r="C1495" s="4">
        <v>96.26</v>
      </c>
      <c r="D1495">
        <f t="shared" si="50"/>
        <v>-0.63737050291957043</v>
      </c>
      <c r="E1495">
        <v>1.0391518841188274E-2</v>
      </c>
      <c r="F1495">
        <v>1492</v>
      </c>
      <c r="G1495">
        <f t="shared" ca="1" si="51"/>
        <v>3.2100135496327807E-2</v>
      </c>
    </row>
    <row r="1496" spans="2:7" x14ac:dyDescent="0.35">
      <c r="B1496" s="2">
        <v>41712</v>
      </c>
      <c r="C1496" s="4">
        <v>265.45</v>
      </c>
      <c r="D1496">
        <f t="shared" si="50"/>
        <v>-5.0845639503700912E-2</v>
      </c>
      <c r="E1496">
        <v>1.039129110840431E-2</v>
      </c>
      <c r="F1496">
        <v>1493</v>
      </c>
      <c r="G1496">
        <f t="shared" ca="1" si="51"/>
        <v>9.4274585373453693E-3</v>
      </c>
    </row>
    <row r="1497" spans="2:7" x14ac:dyDescent="0.35">
      <c r="B1497" s="2">
        <v>41885</v>
      </c>
      <c r="C1497" s="4">
        <v>279.67</v>
      </c>
      <c r="D1497">
        <f t="shared" si="50"/>
        <v>-0.96679469750488278</v>
      </c>
      <c r="E1497">
        <v>1.0331996676420596E-2</v>
      </c>
      <c r="F1497">
        <v>1494</v>
      </c>
      <c r="G1497">
        <f t="shared" ca="1" si="51"/>
        <v>2.4923792379952844E-3</v>
      </c>
    </row>
    <row r="1498" spans="2:7" x14ac:dyDescent="0.35">
      <c r="B1498" s="2">
        <v>44832</v>
      </c>
      <c r="C1498" s="4">
        <v>8422.4500000000007</v>
      </c>
      <c r="D1498">
        <f t="shared" si="50"/>
        <v>36.216428792364461</v>
      </c>
      <c r="E1498">
        <v>1.031614176298068E-2</v>
      </c>
      <c r="F1498">
        <v>1495</v>
      </c>
      <c r="G1498">
        <f t="shared" ca="1" si="51"/>
        <v>-1.3890978724261675E-2</v>
      </c>
    </row>
    <row r="1499" spans="2:7" x14ac:dyDescent="0.35">
      <c r="B1499" s="2">
        <v>41695</v>
      </c>
      <c r="C1499" s="4">
        <v>226.31</v>
      </c>
      <c r="D1499">
        <f t="shared" si="50"/>
        <v>2.4978361669242659</v>
      </c>
      <c r="E1499">
        <v>1.0312499999999947E-2</v>
      </c>
      <c r="F1499">
        <v>1496</v>
      </c>
      <c r="G1499">
        <f t="shared" ca="1" si="51"/>
        <v>1.017309164068955E-2</v>
      </c>
    </row>
    <row r="1500" spans="2:7" x14ac:dyDescent="0.35">
      <c r="B1500" s="2">
        <v>38940</v>
      </c>
      <c r="C1500" s="4">
        <v>64.7</v>
      </c>
      <c r="D1500">
        <f t="shared" si="50"/>
        <v>-0.13177670424047228</v>
      </c>
      <c r="E1500">
        <v>1.0306058713304145E-2</v>
      </c>
      <c r="F1500">
        <v>1497</v>
      </c>
      <c r="G1500">
        <f t="shared" ca="1" si="51"/>
        <v>4.9237819710464599E-2</v>
      </c>
    </row>
    <row r="1501" spans="2:7" x14ac:dyDescent="0.35">
      <c r="B1501" s="2">
        <v>39499</v>
      </c>
      <c r="C1501" s="4">
        <v>74.52</v>
      </c>
      <c r="D1501">
        <f t="shared" si="50"/>
        <v>2.1656754460492778</v>
      </c>
      <c r="E1501">
        <v>1.0303687635574654E-2</v>
      </c>
      <c r="F1501">
        <v>1498</v>
      </c>
      <c r="G1501">
        <f t="shared" ca="1" si="51"/>
        <v>1.9302803502724009E-3</v>
      </c>
    </row>
    <row r="1502" spans="2:7" x14ac:dyDescent="0.35">
      <c r="B1502" s="2">
        <v>37679</v>
      </c>
      <c r="C1502" s="4">
        <v>23.54</v>
      </c>
      <c r="D1502">
        <f t="shared" si="50"/>
        <v>-0.29520958083832338</v>
      </c>
      <c r="E1502">
        <v>1.0300429184549209E-2</v>
      </c>
      <c r="F1502">
        <v>1499</v>
      </c>
      <c r="G1502">
        <f t="shared" ca="1" si="51"/>
        <v>-7.0356379511223324E-2</v>
      </c>
    </row>
    <row r="1503" spans="2:7" x14ac:dyDescent="0.35">
      <c r="B1503" s="2">
        <v>37504</v>
      </c>
      <c r="C1503" s="4">
        <v>33.4</v>
      </c>
      <c r="D1503">
        <f t="shared" si="50"/>
        <v>-0.4520098441345366</v>
      </c>
      <c r="E1503">
        <v>1.0284331518451095E-2</v>
      </c>
      <c r="F1503">
        <v>1500</v>
      </c>
      <c r="G1503">
        <f t="shared" ca="1" si="51"/>
        <v>-2.9305894667103927E-2</v>
      </c>
    </row>
    <row r="1504" spans="2:7" x14ac:dyDescent="0.35">
      <c r="B1504" s="2">
        <v>38420</v>
      </c>
      <c r="C1504" s="4">
        <v>60.95</v>
      </c>
      <c r="D1504">
        <f t="shared" si="50"/>
        <v>-0.92682194741265456</v>
      </c>
      <c r="E1504">
        <v>1.0276810873528941E-2</v>
      </c>
      <c r="F1504">
        <v>1501</v>
      </c>
      <c r="G1504">
        <f t="shared" ca="1" si="51"/>
        <v>7.6250725206234915E-3</v>
      </c>
    </row>
    <row r="1505" spans="2:7" x14ac:dyDescent="0.35">
      <c r="B1505" s="2">
        <v>43644</v>
      </c>
      <c r="C1505" s="4">
        <v>832.9</v>
      </c>
      <c r="D1505">
        <f t="shared" si="50"/>
        <v>14.10518679724338</v>
      </c>
      <c r="E1505">
        <v>1.0273764904236815E-2</v>
      </c>
      <c r="F1505">
        <v>1502</v>
      </c>
      <c r="G1505">
        <f t="shared" ca="1" si="51"/>
        <v>-4.6318504999384086E-2</v>
      </c>
    </row>
    <row r="1506" spans="2:7" x14ac:dyDescent="0.35">
      <c r="B1506" s="2">
        <v>40017</v>
      </c>
      <c r="C1506" s="4">
        <v>55.14</v>
      </c>
      <c r="D1506">
        <f t="shared" si="50"/>
        <v>-0.26450580232092835</v>
      </c>
      <c r="E1506">
        <v>1.0260168559912186E-2</v>
      </c>
      <c r="F1506">
        <v>1503</v>
      </c>
      <c r="G1506">
        <f t="shared" ca="1" si="51"/>
        <v>4.157000611795774E-2</v>
      </c>
    </row>
    <row r="1507" spans="2:7" x14ac:dyDescent="0.35">
      <c r="B1507" s="2">
        <v>38705</v>
      </c>
      <c r="C1507" s="4">
        <v>74.97</v>
      </c>
      <c r="D1507">
        <f t="shared" si="50"/>
        <v>-0.3281656062371181</v>
      </c>
      <c r="E1507">
        <v>1.0241207384449558E-2</v>
      </c>
      <c r="F1507">
        <v>1504</v>
      </c>
      <c r="G1507">
        <f t="shared" ca="1" si="51"/>
        <v>1.1778410450606354E-2</v>
      </c>
    </row>
    <row r="1508" spans="2:7" x14ac:dyDescent="0.35">
      <c r="B1508" s="2">
        <v>40367</v>
      </c>
      <c r="C1508" s="4">
        <v>111.59</v>
      </c>
      <c r="D1508">
        <f t="shared" si="50"/>
        <v>0.12831142568250753</v>
      </c>
      <c r="E1508">
        <v>1.0229947492305103E-2</v>
      </c>
      <c r="F1508">
        <v>1505</v>
      </c>
      <c r="G1508">
        <f t="shared" ca="1" si="51"/>
        <v>-5.7885949215471149E-3</v>
      </c>
    </row>
    <row r="1509" spans="2:7" x14ac:dyDescent="0.35">
      <c r="B1509" s="2">
        <v>40428</v>
      </c>
      <c r="C1509" s="4">
        <v>98.9</v>
      </c>
      <c r="D1509">
        <f t="shared" si="50"/>
        <v>-0.98846774992857933</v>
      </c>
      <c r="E1509">
        <v>1.0214504596527174E-2</v>
      </c>
      <c r="F1509">
        <v>1506</v>
      </c>
      <c r="G1509">
        <f t="shared" ca="1" si="51"/>
        <v>-3.7653649259737465E-2</v>
      </c>
    </row>
    <row r="1510" spans="2:7" x14ac:dyDescent="0.35">
      <c r="B1510" s="2">
        <v>44840</v>
      </c>
      <c r="C1510" s="4">
        <v>8575.9500000000007</v>
      </c>
      <c r="D1510">
        <f t="shared" si="50"/>
        <v>0.28683967678768374</v>
      </c>
      <c r="E1510">
        <v>1.0206966416548058E-2</v>
      </c>
      <c r="F1510">
        <v>1507</v>
      </c>
      <c r="G1510">
        <f t="shared" ca="1" si="51"/>
        <v>-3.3928536674037328E-2</v>
      </c>
    </row>
    <row r="1511" spans="2:7" x14ac:dyDescent="0.35">
      <c r="B1511" s="2">
        <v>44953</v>
      </c>
      <c r="C1511" s="4">
        <v>6664.35</v>
      </c>
      <c r="D1511">
        <f t="shared" si="50"/>
        <v>-0.18690750704586201</v>
      </c>
      <c r="E1511">
        <v>1.0178560601467268E-2</v>
      </c>
      <c r="F1511">
        <v>1508</v>
      </c>
      <c r="G1511">
        <f t="shared" ca="1" si="51"/>
        <v>3.4001910881086353E-2</v>
      </c>
    </row>
    <row r="1512" spans="2:7" x14ac:dyDescent="0.35">
      <c r="B1512" s="2">
        <v>44763</v>
      </c>
      <c r="C1512" s="4">
        <v>8196.2999999999993</v>
      </c>
      <c r="D1512">
        <f t="shared" si="50"/>
        <v>0.24454884478025307</v>
      </c>
      <c r="E1512">
        <v>1.0167862160763042E-2</v>
      </c>
      <c r="F1512">
        <v>1509</v>
      </c>
      <c r="G1512">
        <f t="shared" ca="1" si="51"/>
        <v>4.3005468717646052E-2</v>
      </c>
    </row>
    <row r="1513" spans="2:7" x14ac:dyDescent="0.35">
      <c r="B1513" s="2">
        <v>44515</v>
      </c>
      <c r="C1513" s="4">
        <v>6585.76</v>
      </c>
      <c r="D1513">
        <f t="shared" si="50"/>
        <v>37.705612694681164</v>
      </c>
      <c r="E1513">
        <v>1.0157158327121385E-2</v>
      </c>
      <c r="F1513">
        <v>1510</v>
      </c>
      <c r="G1513">
        <f t="shared" ca="1" si="51"/>
        <v>4.3485813817217243E-3</v>
      </c>
    </row>
    <row r="1514" spans="2:7" x14ac:dyDescent="0.35">
      <c r="B1514" s="2">
        <v>41660</v>
      </c>
      <c r="C1514" s="4">
        <v>170.15</v>
      </c>
      <c r="D1514">
        <f t="shared" si="50"/>
        <v>1.7417015791169836</v>
      </c>
      <c r="E1514">
        <v>1.0151982901923651E-2</v>
      </c>
      <c r="F1514">
        <v>1511</v>
      </c>
      <c r="G1514">
        <f t="shared" ca="1" si="51"/>
        <v>-4.0580201008697837E-2</v>
      </c>
    </row>
    <row r="1515" spans="2:7" x14ac:dyDescent="0.35">
      <c r="B1515" s="2">
        <v>38901</v>
      </c>
      <c r="C1515" s="4">
        <v>62.06</v>
      </c>
      <c r="D1515">
        <f t="shared" si="50"/>
        <v>-0.38700118530225203</v>
      </c>
      <c r="E1515">
        <v>1.0091145833333481E-2</v>
      </c>
      <c r="F1515">
        <v>1512</v>
      </c>
      <c r="G1515">
        <f t="shared" ca="1" si="51"/>
        <v>2.8787585822610227E-2</v>
      </c>
    </row>
    <row r="1516" spans="2:7" x14ac:dyDescent="0.35">
      <c r="B1516" s="2">
        <v>41102</v>
      </c>
      <c r="C1516" s="4">
        <v>101.24</v>
      </c>
      <c r="D1516">
        <f t="shared" si="50"/>
        <v>-0.64126005456929236</v>
      </c>
      <c r="E1516">
        <v>1.0076823306395255E-2</v>
      </c>
      <c r="F1516">
        <v>1513</v>
      </c>
      <c r="G1516">
        <f t="shared" ca="1" si="51"/>
        <v>1.5776994878015368E-2</v>
      </c>
    </row>
    <row r="1517" spans="2:7" x14ac:dyDescent="0.35">
      <c r="B1517" s="2">
        <v>41890</v>
      </c>
      <c r="C1517" s="4">
        <v>282.20999999999998</v>
      </c>
      <c r="D1517">
        <f t="shared" si="50"/>
        <v>0.16078479763079945</v>
      </c>
      <c r="E1517">
        <v>1.0057265569076712E-2</v>
      </c>
      <c r="F1517">
        <v>1514</v>
      </c>
      <c r="G1517">
        <f t="shared" ca="1" si="51"/>
        <v>7.4120137113902734E-3</v>
      </c>
    </row>
    <row r="1518" spans="2:7" x14ac:dyDescent="0.35">
      <c r="B1518" s="2">
        <v>41740</v>
      </c>
      <c r="C1518" s="4">
        <v>243.12</v>
      </c>
      <c r="D1518">
        <f t="shared" si="50"/>
        <v>2.1838658983761134</v>
      </c>
      <c r="E1518">
        <v>1.0054009140008313E-2</v>
      </c>
      <c r="F1518">
        <v>1515</v>
      </c>
      <c r="G1518">
        <f t="shared" ca="1" si="51"/>
        <v>-3.8367135080846805E-2</v>
      </c>
    </row>
    <row r="1519" spans="2:7" x14ac:dyDescent="0.35">
      <c r="B1519" s="2">
        <v>40912</v>
      </c>
      <c r="C1519" s="4">
        <v>76.36</v>
      </c>
      <c r="D1519">
        <f t="shared" si="50"/>
        <v>-0.91080272871694234</v>
      </c>
      <c r="E1519">
        <v>1.0052910052910091E-2</v>
      </c>
      <c r="F1519">
        <v>1516</v>
      </c>
      <c r="G1519">
        <f t="shared" ca="1" si="51"/>
        <v>9.2982677437627326E-3</v>
      </c>
    </row>
    <row r="1520" spans="2:7" x14ac:dyDescent="0.35">
      <c r="B1520" s="2">
        <v>42332</v>
      </c>
      <c r="C1520" s="4">
        <v>856.08</v>
      </c>
      <c r="D1520">
        <f t="shared" si="50"/>
        <v>-0.91987945605480625</v>
      </c>
      <c r="E1520">
        <v>1.0040468633859101E-2</v>
      </c>
      <c r="F1520">
        <v>1517</v>
      </c>
      <c r="G1520">
        <f t="shared" ca="1" si="51"/>
        <v>2.1940249735694389E-2</v>
      </c>
    </row>
    <row r="1521" spans="2:7" x14ac:dyDescent="0.35">
      <c r="B1521" s="2">
        <v>44790</v>
      </c>
      <c r="C1521" s="4">
        <v>10684.9</v>
      </c>
      <c r="D1521">
        <f t="shared" si="50"/>
        <v>92.530287114845933</v>
      </c>
      <c r="E1521">
        <v>1.0000850733994371E-2</v>
      </c>
      <c r="F1521">
        <v>1518</v>
      </c>
      <c r="G1521">
        <f t="shared" ca="1" si="51"/>
        <v>2.6096794462009366E-3</v>
      </c>
    </row>
    <row r="1522" spans="2:7" x14ac:dyDescent="0.35">
      <c r="B1522" s="2">
        <v>39219</v>
      </c>
      <c r="C1522" s="4">
        <v>114.24</v>
      </c>
      <c r="D1522">
        <f t="shared" si="50"/>
        <v>0.48344370860927133</v>
      </c>
      <c r="E1522">
        <v>9.9902749535849544E-3</v>
      </c>
      <c r="F1522">
        <v>1519</v>
      </c>
      <c r="G1522">
        <f t="shared" ca="1" si="51"/>
        <v>-7.9534571846709388E-3</v>
      </c>
    </row>
    <row r="1523" spans="2:7" x14ac:dyDescent="0.35">
      <c r="B1523" s="2">
        <v>41537</v>
      </c>
      <c r="C1523" s="4">
        <v>77.010000000000005</v>
      </c>
      <c r="D1523">
        <f t="shared" si="50"/>
        <v>-0.98840839303991812</v>
      </c>
      <c r="E1523">
        <v>9.9672131147541254E-3</v>
      </c>
      <c r="F1523">
        <v>1520</v>
      </c>
      <c r="G1523">
        <f t="shared" ca="1" si="51"/>
        <v>-1.9845311685405376E-2</v>
      </c>
    </row>
    <row r="1524" spans="2:7" x14ac:dyDescent="0.35">
      <c r="B1524" s="2">
        <v>45044</v>
      </c>
      <c r="C1524" s="4">
        <v>6643.6</v>
      </c>
      <c r="D1524">
        <f t="shared" si="50"/>
        <v>67.111543981956117</v>
      </c>
      <c r="E1524">
        <v>9.941929403180394E-3</v>
      </c>
      <c r="F1524">
        <v>1521</v>
      </c>
      <c r="G1524">
        <f t="shared" ca="1" si="51"/>
        <v>-3.5490983074967765E-2</v>
      </c>
    </row>
    <row r="1525" spans="2:7" x14ac:dyDescent="0.35">
      <c r="B1525" s="2">
        <v>41579</v>
      </c>
      <c r="C1525" s="4">
        <v>97.54</v>
      </c>
      <c r="D1525">
        <f t="shared" si="50"/>
        <v>-0.22129969663100746</v>
      </c>
      <c r="E1525">
        <v>9.9399461586251459E-3</v>
      </c>
      <c r="F1525">
        <v>1522</v>
      </c>
      <c r="G1525">
        <f t="shared" ca="1" si="51"/>
        <v>5.063005498210451E-2</v>
      </c>
    </row>
    <row r="1526" spans="2:7" x14ac:dyDescent="0.35">
      <c r="B1526" s="2">
        <v>40288</v>
      </c>
      <c r="C1526" s="4">
        <v>125.26</v>
      </c>
      <c r="D1526">
        <f t="shared" si="50"/>
        <v>-0.97991871938951369</v>
      </c>
      <c r="E1526">
        <v>9.9169555752640637E-3</v>
      </c>
      <c r="F1526">
        <v>1523</v>
      </c>
      <c r="G1526">
        <f t="shared" ca="1" si="51"/>
        <v>-4.5919424074066196E-3</v>
      </c>
    </row>
    <row r="1527" spans="2:7" x14ac:dyDescent="0.35">
      <c r="B1527" s="2">
        <v>44991</v>
      </c>
      <c r="C1527" s="4">
        <v>6237.65</v>
      </c>
      <c r="D1527">
        <f t="shared" si="50"/>
        <v>6.2834006678965926</v>
      </c>
      <c r="E1527">
        <v>9.9086044572529453E-3</v>
      </c>
      <c r="F1527">
        <v>1524</v>
      </c>
      <c r="G1527">
        <f t="shared" ca="1" si="51"/>
        <v>-9.3875926996674734E-3</v>
      </c>
    </row>
    <row r="1528" spans="2:7" x14ac:dyDescent="0.35">
      <c r="B1528" s="2">
        <v>42250</v>
      </c>
      <c r="C1528" s="4">
        <v>856.42</v>
      </c>
      <c r="D1528">
        <f t="shared" si="50"/>
        <v>-0.87724129034107601</v>
      </c>
      <c r="E1528">
        <v>9.9054267588027933E-3</v>
      </c>
      <c r="F1528">
        <v>1525</v>
      </c>
      <c r="G1528">
        <f t="shared" ca="1" si="51"/>
        <v>1.1714461127338578E-2</v>
      </c>
    </row>
    <row r="1529" spans="2:7" x14ac:dyDescent="0.35">
      <c r="B1529" s="2">
        <v>44872</v>
      </c>
      <c r="C1529" s="4">
        <v>6976.45</v>
      </c>
      <c r="D1529">
        <f t="shared" si="50"/>
        <v>7.5713144865037538</v>
      </c>
      <c r="E1529">
        <v>9.9014917378998923E-3</v>
      </c>
      <c r="F1529">
        <v>1526</v>
      </c>
      <c r="G1529">
        <f t="shared" ca="1" si="51"/>
        <v>4.8507458123654694E-2</v>
      </c>
    </row>
    <row r="1530" spans="2:7" x14ac:dyDescent="0.35">
      <c r="B1530" s="2">
        <v>43046</v>
      </c>
      <c r="C1530" s="4">
        <v>813.93</v>
      </c>
      <c r="D1530">
        <f t="shared" si="50"/>
        <v>-0.2012541584479054</v>
      </c>
      <c r="E1530">
        <v>9.9013586450771296E-3</v>
      </c>
      <c r="F1530">
        <v>1527</v>
      </c>
      <c r="G1530">
        <f t="shared" ca="1" si="51"/>
        <v>-3.0777175464658319E-2</v>
      </c>
    </row>
    <row r="1531" spans="2:7" x14ac:dyDescent="0.35">
      <c r="B1531" s="2">
        <v>44060</v>
      </c>
      <c r="C1531" s="4">
        <v>1019.01</v>
      </c>
      <c r="D1531">
        <f t="shared" si="50"/>
        <v>9.4023070641078004</v>
      </c>
      <c r="E1531">
        <v>9.9006957245644234E-3</v>
      </c>
      <c r="F1531">
        <v>1528</v>
      </c>
      <c r="G1531">
        <f t="shared" ca="1" si="51"/>
        <v>4.2265853209188138E-2</v>
      </c>
    </row>
    <row r="1532" spans="2:7" x14ac:dyDescent="0.35">
      <c r="B1532" s="2">
        <v>40605</v>
      </c>
      <c r="C1532" s="4">
        <v>97.96</v>
      </c>
      <c r="D1532">
        <f t="shared" si="50"/>
        <v>-0.1112320812919616</v>
      </c>
      <c r="E1532">
        <v>9.8969072164947214E-3</v>
      </c>
      <c r="F1532">
        <v>1529</v>
      </c>
      <c r="G1532">
        <f t="shared" ca="1" si="51"/>
        <v>-4.2653216120459685E-2</v>
      </c>
    </row>
    <row r="1533" spans="2:7" x14ac:dyDescent="0.35">
      <c r="B1533" s="2">
        <v>39303</v>
      </c>
      <c r="C1533" s="4">
        <v>110.22</v>
      </c>
      <c r="D1533">
        <f t="shared" si="50"/>
        <v>2.8417567096549319</v>
      </c>
      <c r="E1533">
        <v>9.8955470038482041E-3</v>
      </c>
      <c r="F1533">
        <v>1530</v>
      </c>
      <c r="G1533">
        <f t="shared" ca="1" si="51"/>
        <v>1.767429571591464E-2</v>
      </c>
    </row>
    <row r="1534" spans="2:7" x14ac:dyDescent="0.35">
      <c r="B1534" s="2">
        <v>37586</v>
      </c>
      <c r="C1534" s="4">
        <v>28.69</v>
      </c>
      <c r="D1534">
        <f t="shared" si="50"/>
        <v>-0.96603407247800921</v>
      </c>
      <c r="E1534">
        <v>9.8556846180921642E-3</v>
      </c>
      <c r="F1534">
        <v>1531</v>
      </c>
      <c r="G1534">
        <f t="shared" ca="1" si="51"/>
        <v>-4.4436690603459391E-3</v>
      </c>
    </row>
    <row r="1535" spans="2:7" x14ac:dyDescent="0.35">
      <c r="B1535" s="2">
        <v>43501</v>
      </c>
      <c r="C1535" s="4">
        <v>844.67</v>
      </c>
      <c r="D1535">
        <f t="shared" si="50"/>
        <v>-0.2227273145549411</v>
      </c>
      <c r="E1535">
        <v>9.8513922264864551E-3</v>
      </c>
      <c r="F1535">
        <v>1532</v>
      </c>
      <c r="G1535">
        <f t="shared" ca="1" si="51"/>
        <v>7.8313665390847872E-2</v>
      </c>
    </row>
    <row r="1536" spans="2:7" x14ac:dyDescent="0.35">
      <c r="B1536" s="2">
        <v>43241</v>
      </c>
      <c r="C1536" s="4">
        <v>1086.71</v>
      </c>
      <c r="D1536">
        <f t="shared" si="50"/>
        <v>-0.87436210480557353</v>
      </c>
      <c r="E1536">
        <v>9.8502941149141154E-3</v>
      </c>
      <c r="F1536">
        <v>1533</v>
      </c>
      <c r="G1536">
        <f t="shared" ca="1" si="51"/>
        <v>4.3919074546982989E-2</v>
      </c>
    </row>
    <row r="1537" spans="2:7" x14ac:dyDescent="0.35">
      <c r="B1537" s="2">
        <v>44721</v>
      </c>
      <c r="C1537" s="4">
        <v>8649.5400000000009</v>
      </c>
      <c r="D1537">
        <f t="shared" si="50"/>
        <v>8.7771372376140278</v>
      </c>
      <c r="E1537">
        <v>9.8326740857319628E-3</v>
      </c>
      <c r="F1537">
        <v>1534</v>
      </c>
      <c r="G1537">
        <f t="shared" ca="1" si="51"/>
        <v>-5.5117716610101231E-2</v>
      </c>
    </row>
    <row r="1538" spans="2:7" x14ac:dyDescent="0.35">
      <c r="B1538" s="2">
        <v>44014</v>
      </c>
      <c r="C1538" s="4">
        <v>884.67</v>
      </c>
      <c r="D1538">
        <f t="shared" si="50"/>
        <v>10.465396578538103</v>
      </c>
      <c r="E1538">
        <v>9.8165671692900247E-3</v>
      </c>
      <c r="F1538">
        <v>1535</v>
      </c>
      <c r="G1538">
        <f t="shared" ca="1" si="51"/>
        <v>3.8673696668442961E-2</v>
      </c>
    </row>
    <row r="1539" spans="2:7" x14ac:dyDescent="0.35">
      <c r="B1539" s="2">
        <v>41494</v>
      </c>
      <c r="C1539" s="4">
        <v>77.16</v>
      </c>
      <c r="D1539">
        <f t="shared" si="50"/>
        <v>1.7735442127965491</v>
      </c>
      <c r="E1539">
        <v>9.8154691794267723E-3</v>
      </c>
      <c r="F1539">
        <v>1536</v>
      </c>
      <c r="G1539">
        <f t="shared" ca="1" si="51"/>
        <v>-4.6745306572906565E-3</v>
      </c>
    </row>
    <row r="1540" spans="2:7" x14ac:dyDescent="0.35">
      <c r="B1540" s="2">
        <v>37946</v>
      </c>
      <c r="C1540" s="4">
        <v>27.82</v>
      </c>
      <c r="D1540">
        <f t="shared" ref="D1540:D1603" si="52">C1540/C1541-1</f>
        <v>-0.96641840590031747</v>
      </c>
      <c r="E1540">
        <v>9.8003629764065181E-3</v>
      </c>
      <c r="F1540">
        <v>1537</v>
      </c>
      <c r="G1540">
        <f t="shared" ca="1" si="51"/>
        <v>-2.8216222370458666E-2</v>
      </c>
    </row>
    <row r="1541" spans="2:7" x14ac:dyDescent="0.35">
      <c r="B1541" s="2">
        <v>43619</v>
      </c>
      <c r="C1541" s="4">
        <v>828.43</v>
      </c>
      <c r="D1541">
        <f t="shared" si="52"/>
        <v>1.5743204306085001E-2</v>
      </c>
      <c r="E1541">
        <v>9.800216969977571E-3</v>
      </c>
      <c r="F1541">
        <v>1538</v>
      </c>
      <c r="G1541">
        <f t="shared" ref="G1541:G1604" ca="1" si="53">_xlfn.NORM.INV(RAND(),K$6,K$7)</f>
        <v>-1.4744291842690688E-2</v>
      </c>
    </row>
    <row r="1542" spans="2:7" x14ac:dyDescent="0.35">
      <c r="B1542" s="2">
        <v>43642</v>
      </c>
      <c r="C1542" s="4">
        <v>815.59</v>
      </c>
      <c r="D1542">
        <f t="shared" si="52"/>
        <v>11.553332307218717</v>
      </c>
      <c r="E1542">
        <v>9.793482567353573E-3</v>
      </c>
      <c r="F1542">
        <v>1539</v>
      </c>
      <c r="G1542">
        <f t="shared" ca="1" si="53"/>
        <v>-2.0872961628305344E-3</v>
      </c>
    </row>
    <row r="1543" spans="2:7" x14ac:dyDescent="0.35">
      <c r="B1543" s="2">
        <v>38789</v>
      </c>
      <c r="C1543" s="4">
        <v>64.97</v>
      </c>
      <c r="D1543">
        <f t="shared" si="52"/>
        <v>-0.98494486116228364</v>
      </c>
      <c r="E1543">
        <v>9.791731426795014E-3</v>
      </c>
      <c r="F1543">
        <v>1540</v>
      </c>
      <c r="G1543">
        <f t="shared" ca="1" si="53"/>
        <v>2.4997569793872989E-2</v>
      </c>
    </row>
    <row r="1544" spans="2:7" x14ac:dyDescent="0.35">
      <c r="B1544" s="2">
        <v>44389</v>
      </c>
      <c r="C1544" s="4">
        <v>4315.47</v>
      </c>
      <c r="D1544">
        <f t="shared" si="52"/>
        <v>3.996376140415876</v>
      </c>
      <c r="E1544">
        <v>9.7902719701987717E-3</v>
      </c>
      <c r="F1544">
        <v>1541</v>
      </c>
      <c r="G1544">
        <f t="shared" ca="1" si="53"/>
        <v>1.9123349958436873E-2</v>
      </c>
    </row>
    <row r="1545" spans="2:7" x14ac:dyDescent="0.35">
      <c r="B1545" s="2">
        <v>43084</v>
      </c>
      <c r="C1545" s="4">
        <v>863.72</v>
      </c>
      <c r="D1545">
        <f t="shared" si="52"/>
        <v>20.416315397966777</v>
      </c>
      <c r="E1545">
        <v>9.7736625514404096E-3</v>
      </c>
      <c r="F1545">
        <v>1542</v>
      </c>
      <c r="G1545">
        <f t="shared" ca="1" si="53"/>
        <v>1.4512265100240821E-2</v>
      </c>
    </row>
    <row r="1546" spans="2:7" x14ac:dyDescent="0.35">
      <c r="B1546" s="2">
        <v>38218</v>
      </c>
      <c r="C1546" s="4">
        <v>40.33</v>
      </c>
      <c r="D1546">
        <f t="shared" si="52"/>
        <v>-0.60312930525487118</v>
      </c>
      <c r="E1546">
        <v>9.7646469704557592E-3</v>
      </c>
      <c r="F1546">
        <v>1543</v>
      </c>
      <c r="G1546">
        <f t="shared" ca="1" si="53"/>
        <v>-1.0588841873409027E-2</v>
      </c>
    </row>
    <row r="1547" spans="2:7" x14ac:dyDescent="0.35">
      <c r="B1547" s="2">
        <v>40695</v>
      </c>
      <c r="C1547" s="4">
        <v>101.62</v>
      </c>
      <c r="D1547">
        <f t="shared" si="52"/>
        <v>-0.90298991904689174</v>
      </c>
      <c r="E1547">
        <v>9.7376788553260596E-3</v>
      </c>
      <c r="F1547">
        <v>1544</v>
      </c>
      <c r="G1547">
        <f t="shared" ca="1" si="53"/>
        <v>-1.4460380001777389E-2</v>
      </c>
    </row>
    <row r="1548" spans="2:7" x14ac:dyDescent="0.35">
      <c r="B1548" s="2">
        <v>42361</v>
      </c>
      <c r="C1548" s="4">
        <v>1047.52</v>
      </c>
      <c r="D1548">
        <f t="shared" si="52"/>
        <v>0.5800174967570666</v>
      </c>
      <c r="E1548">
        <v>9.7356904628789209E-3</v>
      </c>
      <c r="F1548">
        <v>1545</v>
      </c>
      <c r="G1548">
        <f t="shared" ca="1" si="53"/>
        <v>1.8728391476906397E-3</v>
      </c>
    </row>
    <row r="1549" spans="2:7" x14ac:dyDescent="0.35">
      <c r="B1549" s="2">
        <v>42740</v>
      </c>
      <c r="C1549" s="4">
        <v>662.98</v>
      </c>
      <c r="D1549">
        <f t="shared" si="52"/>
        <v>8.4594369100397637E-2</v>
      </c>
      <c r="E1549">
        <v>9.7167225098995225E-3</v>
      </c>
      <c r="F1549">
        <v>1546</v>
      </c>
      <c r="G1549">
        <f t="shared" ca="1" si="53"/>
        <v>4.3060619401742085E-2</v>
      </c>
    </row>
    <row r="1550" spans="2:7" x14ac:dyDescent="0.35">
      <c r="B1550" s="2">
        <v>43696</v>
      </c>
      <c r="C1550" s="4">
        <v>611.27</v>
      </c>
      <c r="D1550">
        <f t="shared" si="52"/>
        <v>1.2314010367233701</v>
      </c>
      <c r="E1550">
        <v>9.7127471547266975E-3</v>
      </c>
      <c r="F1550">
        <v>1547</v>
      </c>
      <c r="G1550">
        <f t="shared" ca="1" si="53"/>
        <v>1.4502647977868887E-2</v>
      </c>
    </row>
    <row r="1551" spans="2:7" x14ac:dyDescent="0.35">
      <c r="B1551" s="2">
        <v>41983</v>
      </c>
      <c r="C1551" s="4">
        <v>273.94</v>
      </c>
      <c r="D1551">
        <f t="shared" si="52"/>
        <v>7.7604732970898631</v>
      </c>
      <c r="E1551">
        <v>9.6937083041539474E-3</v>
      </c>
      <c r="F1551">
        <v>1548</v>
      </c>
      <c r="G1551">
        <f t="shared" ca="1" si="53"/>
        <v>-6.5018558190859249E-3</v>
      </c>
    </row>
    <row r="1552" spans="2:7" x14ac:dyDescent="0.35">
      <c r="B1552" s="2">
        <v>37603</v>
      </c>
      <c r="C1552" s="4">
        <v>31.27</v>
      </c>
      <c r="D1552">
        <f t="shared" si="52"/>
        <v>-0.625643481383934</v>
      </c>
      <c r="E1552">
        <v>9.6867936712947689E-3</v>
      </c>
      <c r="F1552">
        <v>1549</v>
      </c>
      <c r="G1552">
        <f t="shared" ca="1" si="53"/>
        <v>1.7433454940785791E-2</v>
      </c>
    </row>
    <row r="1553" spans="2:7" x14ac:dyDescent="0.35">
      <c r="B1553" s="2">
        <v>41551</v>
      </c>
      <c r="C1553" s="4">
        <v>83.53</v>
      </c>
      <c r="D1553">
        <f t="shared" si="52"/>
        <v>-2.3937761819270431E-4</v>
      </c>
      <c r="E1553">
        <v>9.6700108787621808E-3</v>
      </c>
      <c r="F1553">
        <v>1550</v>
      </c>
      <c r="G1553">
        <f t="shared" ca="1" si="53"/>
        <v>2.8535299499722989E-2</v>
      </c>
    </row>
    <row r="1554" spans="2:7" x14ac:dyDescent="0.35">
      <c r="B1554" s="2">
        <v>40882</v>
      </c>
      <c r="C1554" s="4">
        <v>83.55</v>
      </c>
      <c r="D1554">
        <f t="shared" si="52"/>
        <v>0.35545100584036327</v>
      </c>
      <c r="E1554">
        <v>9.6676737160119597E-3</v>
      </c>
      <c r="F1554">
        <v>1551</v>
      </c>
      <c r="G1554">
        <f t="shared" ca="1" si="53"/>
        <v>8.5893795788426573E-3</v>
      </c>
    </row>
    <row r="1555" spans="2:7" x14ac:dyDescent="0.35">
      <c r="B1555" s="2">
        <v>38532</v>
      </c>
      <c r="C1555" s="4">
        <v>61.64</v>
      </c>
      <c r="D1555">
        <f t="shared" si="52"/>
        <v>-9.2862398822663783E-2</v>
      </c>
      <c r="E1555">
        <v>9.6642096642096664E-3</v>
      </c>
      <c r="F1555">
        <v>1552</v>
      </c>
      <c r="G1555">
        <f t="shared" ca="1" si="53"/>
        <v>-4.6461994624077643E-2</v>
      </c>
    </row>
    <row r="1556" spans="2:7" x14ac:dyDescent="0.35">
      <c r="B1556" s="2">
        <v>38670</v>
      </c>
      <c r="C1556" s="4">
        <v>67.95</v>
      </c>
      <c r="D1556">
        <f t="shared" si="52"/>
        <v>-0.22669853192215772</v>
      </c>
      <c r="E1556">
        <v>9.6582466567609604E-3</v>
      </c>
      <c r="F1556">
        <v>1553</v>
      </c>
      <c r="G1556">
        <f t="shared" ca="1" si="53"/>
        <v>-8.5694229872083257E-3</v>
      </c>
    </row>
    <row r="1557" spans="2:7" x14ac:dyDescent="0.35">
      <c r="B1557" s="2">
        <v>41053</v>
      </c>
      <c r="C1557" s="4">
        <v>87.87</v>
      </c>
      <c r="D1557">
        <f t="shared" si="52"/>
        <v>2.4245250029140797E-2</v>
      </c>
      <c r="E1557">
        <v>9.6518441916579878E-3</v>
      </c>
      <c r="F1557">
        <v>1554</v>
      </c>
      <c r="G1557">
        <f t="shared" ca="1" si="53"/>
        <v>-1.7303159901916606E-2</v>
      </c>
    </row>
    <row r="1558" spans="2:7" x14ac:dyDescent="0.35">
      <c r="B1558" s="2">
        <v>40940</v>
      </c>
      <c r="C1558" s="4">
        <v>85.79</v>
      </c>
      <c r="D1558">
        <f t="shared" si="52"/>
        <v>2.0261022927689596</v>
      </c>
      <c r="E1558">
        <v>9.650464869954245E-3</v>
      </c>
      <c r="F1558">
        <v>1555</v>
      </c>
      <c r="G1558">
        <f t="shared" ca="1" si="53"/>
        <v>1.4116927083697446E-2</v>
      </c>
    </row>
    <row r="1559" spans="2:7" x14ac:dyDescent="0.35">
      <c r="B1559" s="2">
        <v>37950</v>
      </c>
      <c r="C1559" s="4">
        <v>28.35</v>
      </c>
      <c r="D1559">
        <f t="shared" si="52"/>
        <v>-0.67889908256880727</v>
      </c>
      <c r="E1559">
        <v>9.6153846153848033E-3</v>
      </c>
      <c r="F1559">
        <v>1556</v>
      </c>
      <c r="G1559">
        <f t="shared" ca="1" si="53"/>
        <v>-1.8908662795452892E-3</v>
      </c>
    </row>
    <row r="1560" spans="2:7" x14ac:dyDescent="0.35">
      <c r="B1560" s="2">
        <v>41079</v>
      </c>
      <c r="C1560" s="4">
        <v>88.29</v>
      </c>
      <c r="D1560">
        <f t="shared" si="52"/>
        <v>2.2822057460611722E-2</v>
      </c>
      <c r="E1560">
        <v>9.6054888507719483E-3</v>
      </c>
      <c r="F1560">
        <v>1557</v>
      </c>
      <c r="G1560">
        <f t="shared" ca="1" si="53"/>
        <v>2.0514497094274824E-2</v>
      </c>
    </row>
    <row r="1561" spans="2:7" x14ac:dyDescent="0.35">
      <c r="B1561" s="2">
        <v>41029</v>
      </c>
      <c r="C1561" s="4">
        <v>86.32</v>
      </c>
      <c r="D1561">
        <f t="shared" si="52"/>
        <v>-0.96974699204772064</v>
      </c>
      <c r="E1561">
        <v>9.5906432748538162E-3</v>
      </c>
      <c r="F1561">
        <v>1558</v>
      </c>
      <c r="G1561">
        <f t="shared" ca="1" si="53"/>
        <v>2.2098325747203227E-3</v>
      </c>
    </row>
    <row r="1562" spans="2:7" x14ac:dyDescent="0.35">
      <c r="B1562" s="2">
        <v>44243</v>
      </c>
      <c r="C1562" s="4">
        <v>2853.27</v>
      </c>
      <c r="D1562">
        <f t="shared" si="52"/>
        <v>41.195652173913039</v>
      </c>
      <c r="E1562">
        <v>9.5853767275970725E-3</v>
      </c>
      <c r="F1562">
        <v>1559</v>
      </c>
      <c r="G1562">
        <f t="shared" ca="1" si="53"/>
        <v>1.8746336469750057E-2</v>
      </c>
    </row>
    <row r="1563" spans="2:7" x14ac:dyDescent="0.35">
      <c r="B1563" s="2">
        <v>38779</v>
      </c>
      <c r="C1563" s="4">
        <v>67.62</v>
      </c>
      <c r="D1563">
        <f t="shared" si="52"/>
        <v>-0.32676224611708482</v>
      </c>
      <c r="E1563">
        <v>9.5550910719617299E-3</v>
      </c>
      <c r="F1563">
        <v>1560</v>
      </c>
      <c r="G1563">
        <f t="shared" ca="1" si="53"/>
        <v>-1.2441452589717331E-2</v>
      </c>
    </row>
    <row r="1564" spans="2:7" x14ac:dyDescent="0.35">
      <c r="B1564" s="2">
        <v>41197</v>
      </c>
      <c r="C1564" s="4">
        <v>100.44</v>
      </c>
      <c r="D1564">
        <f t="shared" si="52"/>
        <v>-0.88556845499185399</v>
      </c>
      <c r="E1564">
        <v>9.5486983616444032E-3</v>
      </c>
      <c r="F1564">
        <v>1561</v>
      </c>
      <c r="G1564">
        <f t="shared" ca="1" si="53"/>
        <v>3.3068437486190649E-2</v>
      </c>
    </row>
    <row r="1565" spans="2:7" x14ac:dyDescent="0.35">
      <c r="B1565" s="2">
        <v>42422</v>
      </c>
      <c r="C1565" s="4">
        <v>877.73</v>
      </c>
      <c r="D1565">
        <f t="shared" si="52"/>
        <v>8.7634037819799779</v>
      </c>
      <c r="E1565">
        <v>9.5464844783363922E-3</v>
      </c>
      <c r="F1565">
        <v>1562</v>
      </c>
      <c r="G1565">
        <f t="shared" ca="1" si="53"/>
        <v>9.8038414526035941E-3</v>
      </c>
    </row>
    <row r="1566" spans="2:7" x14ac:dyDescent="0.35">
      <c r="B1566" s="2">
        <v>39393</v>
      </c>
      <c r="C1566" s="4">
        <v>89.9</v>
      </c>
      <c r="D1566">
        <f t="shared" si="52"/>
        <v>-0.87072002761040568</v>
      </c>
      <c r="E1566">
        <v>9.5451993262212209E-3</v>
      </c>
      <c r="F1566">
        <v>1563</v>
      </c>
      <c r="G1566">
        <f t="shared" ca="1" si="53"/>
        <v>3.9197714410561031E-2</v>
      </c>
    </row>
    <row r="1567" spans="2:7" x14ac:dyDescent="0.35">
      <c r="B1567" s="2">
        <v>42759</v>
      </c>
      <c r="C1567" s="4">
        <v>695.39</v>
      </c>
      <c r="D1567">
        <f t="shared" si="52"/>
        <v>5.6316040434865533</v>
      </c>
      <c r="E1567">
        <v>9.5380505792512782E-3</v>
      </c>
      <c r="F1567">
        <v>1564</v>
      </c>
      <c r="G1567">
        <f t="shared" ca="1" si="53"/>
        <v>2.1036158475759563E-2</v>
      </c>
    </row>
    <row r="1568" spans="2:7" x14ac:dyDescent="0.35">
      <c r="B1568" s="2">
        <v>39104</v>
      </c>
      <c r="C1568" s="4">
        <v>104.86</v>
      </c>
      <c r="D1568">
        <f t="shared" si="52"/>
        <v>-0.9873581163762184</v>
      </c>
      <c r="E1568">
        <v>9.5311447001058536E-3</v>
      </c>
      <c r="F1568">
        <v>1565</v>
      </c>
      <c r="G1568">
        <f t="shared" ca="1" si="53"/>
        <v>9.4499099461868401E-3</v>
      </c>
    </row>
    <row r="1569" spans="2:7" x14ac:dyDescent="0.35">
      <c r="B1569" s="2">
        <v>44708</v>
      </c>
      <c r="C1569" s="4">
        <v>8294.65</v>
      </c>
      <c r="D1569">
        <f t="shared" si="52"/>
        <v>8.3030024337995307</v>
      </c>
      <c r="E1569">
        <v>9.52363565551817E-3</v>
      </c>
      <c r="F1569">
        <v>1566</v>
      </c>
      <c r="G1569">
        <f t="shared" ca="1" si="53"/>
        <v>6.1064060850917253E-3</v>
      </c>
    </row>
    <row r="1570" spans="2:7" x14ac:dyDescent="0.35">
      <c r="B1570" s="2">
        <v>42472</v>
      </c>
      <c r="C1570" s="4">
        <v>891.61</v>
      </c>
      <c r="D1570">
        <f t="shared" si="52"/>
        <v>16.49970559371933</v>
      </c>
      <c r="E1570">
        <v>9.5107618799605831E-3</v>
      </c>
      <c r="F1570">
        <v>1567</v>
      </c>
      <c r="G1570">
        <f t="shared" ca="1" si="53"/>
        <v>-3.9445788880325135E-2</v>
      </c>
    </row>
    <row r="1571" spans="2:7" x14ac:dyDescent="0.35">
      <c r="B1571" s="2">
        <v>38336</v>
      </c>
      <c r="C1571" s="4">
        <v>50.95</v>
      </c>
      <c r="D1571">
        <f t="shared" si="52"/>
        <v>-0.93497792184588679</v>
      </c>
      <c r="E1571">
        <v>9.510600356647636E-3</v>
      </c>
      <c r="F1571">
        <v>1568</v>
      </c>
      <c r="G1571">
        <f t="shared" ca="1" si="53"/>
        <v>1.8775650556355571E-2</v>
      </c>
    </row>
    <row r="1572" spans="2:7" x14ac:dyDescent="0.35">
      <c r="B1572" s="2">
        <v>43798</v>
      </c>
      <c r="C1572" s="4">
        <v>783.58</v>
      </c>
      <c r="D1572">
        <f t="shared" si="52"/>
        <v>23.594475831763969</v>
      </c>
      <c r="E1572">
        <v>9.5078587992785124E-3</v>
      </c>
      <c r="F1572">
        <v>1569</v>
      </c>
      <c r="G1572">
        <f t="shared" ca="1" si="53"/>
        <v>3.5333349297765541E-2</v>
      </c>
    </row>
    <row r="1573" spans="2:7" x14ac:dyDescent="0.35">
      <c r="B1573" s="2">
        <v>39850</v>
      </c>
      <c r="C1573" s="4">
        <v>31.86</v>
      </c>
      <c r="D1573">
        <f t="shared" si="52"/>
        <v>-0.60015060240963858</v>
      </c>
      <c r="E1573">
        <v>9.5057034220531467E-3</v>
      </c>
      <c r="F1573">
        <v>1570</v>
      </c>
      <c r="G1573">
        <f t="shared" ca="1" si="53"/>
        <v>2.6901447526710882E-2</v>
      </c>
    </row>
    <row r="1574" spans="2:7" x14ac:dyDescent="0.35">
      <c r="B1574" s="2">
        <v>41432</v>
      </c>
      <c r="C1574" s="4">
        <v>79.680000000000007</v>
      </c>
      <c r="D1574">
        <f t="shared" si="52"/>
        <v>-0.86890208789219958</v>
      </c>
      <c r="E1574">
        <v>9.5020904599012468E-3</v>
      </c>
      <c r="F1574">
        <v>1571</v>
      </c>
      <c r="G1574">
        <f t="shared" ca="1" si="53"/>
        <v>-7.0147513614102187E-4</v>
      </c>
    </row>
    <row r="1575" spans="2:7" x14ac:dyDescent="0.35">
      <c r="B1575" s="2">
        <v>42706</v>
      </c>
      <c r="C1575" s="4">
        <v>607.79</v>
      </c>
      <c r="D1575">
        <f t="shared" si="52"/>
        <v>5.0099871452585782</v>
      </c>
      <c r="E1575">
        <v>9.4837895296304708E-3</v>
      </c>
      <c r="F1575">
        <v>1572</v>
      </c>
      <c r="G1575">
        <f t="shared" ca="1" si="53"/>
        <v>-3.554632189833596E-2</v>
      </c>
    </row>
    <row r="1576" spans="2:7" x14ac:dyDescent="0.35">
      <c r="B1576" s="2">
        <v>41185</v>
      </c>
      <c r="C1576" s="4">
        <v>101.13</v>
      </c>
      <c r="D1576">
        <f t="shared" si="52"/>
        <v>0.50446295745313896</v>
      </c>
      <c r="E1576">
        <v>9.4829307246955263E-3</v>
      </c>
      <c r="F1576">
        <v>1573</v>
      </c>
      <c r="G1576">
        <f t="shared" ca="1" si="53"/>
        <v>-5.4705700191546316E-2</v>
      </c>
    </row>
    <row r="1577" spans="2:7" x14ac:dyDescent="0.35">
      <c r="B1577" s="2">
        <v>38540</v>
      </c>
      <c r="C1577" s="4">
        <v>67.22</v>
      </c>
      <c r="D1577">
        <f t="shared" si="52"/>
        <v>-0.96334727394668396</v>
      </c>
      <c r="E1577">
        <v>9.4608800120137282E-3</v>
      </c>
      <c r="F1577">
        <v>1574</v>
      </c>
      <c r="G1577">
        <f t="shared" ca="1" si="53"/>
        <v>2.2711376197428173E-2</v>
      </c>
    </row>
    <row r="1578" spans="2:7" x14ac:dyDescent="0.35">
      <c r="B1578" s="2">
        <v>44194</v>
      </c>
      <c r="C1578" s="4">
        <v>1833.97</v>
      </c>
      <c r="D1578">
        <f t="shared" si="52"/>
        <v>13.164118010503554</v>
      </c>
      <c r="E1578">
        <v>9.4451263478294578E-3</v>
      </c>
      <c r="F1578">
        <v>1575</v>
      </c>
      <c r="G1578">
        <f t="shared" ca="1" si="53"/>
        <v>2.0856713035714396E-2</v>
      </c>
    </row>
    <row r="1579" spans="2:7" x14ac:dyDescent="0.35">
      <c r="B1579" s="2">
        <v>40546</v>
      </c>
      <c r="C1579" s="4">
        <v>129.47999999999999</v>
      </c>
      <c r="D1579">
        <f t="shared" si="52"/>
        <v>-0.89941504113356174</v>
      </c>
      <c r="E1579">
        <v>9.4332267872454523E-3</v>
      </c>
      <c r="F1579">
        <v>1576</v>
      </c>
      <c r="G1579">
        <f t="shared" ca="1" si="53"/>
        <v>1.8956497184255457E-2</v>
      </c>
    </row>
    <row r="1580" spans="2:7" x14ac:dyDescent="0.35">
      <c r="B1580" s="2">
        <v>44088</v>
      </c>
      <c r="C1580" s="4">
        <v>1287.27</v>
      </c>
      <c r="D1580">
        <f t="shared" si="52"/>
        <v>17.76760460708558</v>
      </c>
      <c r="E1580">
        <v>9.425602822975776E-3</v>
      </c>
      <c r="F1580">
        <v>1577</v>
      </c>
      <c r="G1580">
        <f t="shared" ca="1" si="53"/>
        <v>-2.8028737434003269E-2</v>
      </c>
    </row>
    <row r="1581" spans="2:7" x14ac:dyDescent="0.35">
      <c r="B1581" s="2">
        <v>38672</v>
      </c>
      <c r="C1581" s="4">
        <v>68.59</v>
      </c>
      <c r="D1581">
        <f t="shared" si="52"/>
        <v>-0.92712107528024224</v>
      </c>
      <c r="E1581">
        <v>9.4186902133921446E-3</v>
      </c>
      <c r="F1581">
        <v>1578</v>
      </c>
      <c r="G1581">
        <f t="shared" ca="1" si="53"/>
        <v>3.5910067769298018E-2</v>
      </c>
    </row>
    <row r="1582" spans="2:7" x14ac:dyDescent="0.35">
      <c r="B1582" s="2">
        <v>43143</v>
      </c>
      <c r="C1582" s="4">
        <v>941.15</v>
      </c>
      <c r="D1582">
        <f t="shared" si="52"/>
        <v>-0.88460656620087519</v>
      </c>
      <c r="E1582">
        <v>9.4168624044101978E-3</v>
      </c>
      <c r="F1582">
        <v>1579</v>
      </c>
      <c r="G1582">
        <f t="shared" ca="1" si="53"/>
        <v>1.9228062280223938E-2</v>
      </c>
    </row>
    <row r="1583" spans="2:7" x14ac:dyDescent="0.35">
      <c r="B1583" s="2">
        <v>44698</v>
      </c>
      <c r="C1583" s="4">
        <v>8156.01</v>
      </c>
      <c r="D1583">
        <f t="shared" si="52"/>
        <v>9.408650042114397</v>
      </c>
      <c r="E1583">
        <v>9.4071782178217767E-3</v>
      </c>
      <c r="F1583">
        <v>1580</v>
      </c>
      <c r="G1583">
        <f t="shared" ca="1" si="53"/>
        <v>-2.147500237567513E-2</v>
      </c>
    </row>
    <row r="1584" spans="2:7" x14ac:dyDescent="0.35">
      <c r="B1584" s="2">
        <v>42942</v>
      </c>
      <c r="C1584" s="4">
        <v>783.58</v>
      </c>
      <c r="D1584">
        <f t="shared" si="52"/>
        <v>1.8791152263374484</v>
      </c>
      <c r="E1584">
        <v>9.351813685078314E-3</v>
      </c>
      <c r="F1584">
        <v>1581</v>
      </c>
      <c r="G1584">
        <f t="shared" ca="1" si="53"/>
        <v>-1.1662107094976389E-2</v>
      </c>
    </row>
    <row r="1585" spans="2:7" x14ac:dyDescent="0.35">
      <c r="B1585" s="2">
        <v>41876</v>
      </c>
      <c r="C1585" s="4">
        <v>272.16000000000003</v>
      </c>
      <c r="D1585">
        <f t="shared" si="52"/>
        <v>8.6923076923076934</v>
      </c>
      <c r="E1585">
        <v>9.3457943925234765E-3</v>
      </c>
      <c r="F1585">
        <v>1582</v>
      </c>
      <c r="G1585">
        <f t="shared" ca="1" si="53"/>
        <v>-9.8178005780468081E-3</v>
      </c>
    </row>
    <row r="1586" spans="2:7" x14ac:dyDescent="0.35">
      <c r="B1586" s="2">
        <v>37949</v>
      </c>
      <c r="C1586" s="4">
        <v>28.08</v>
      </c>
      <c r="D1586">
        <f t="shared" si="52"/>
        <v>-0.55987460815047019</v>
      </c>
      <c r="E1586">
        <v>9.3457943925232545E-3</v>
      </c>
      <c r="F1586">
        <v>1583</v>
      </c>
      <c r="G1586">
        <f t="shared" ca="1" si="53"/>
        <v>-2.5602414789299135E-3</v>
      </c>
    </row>
    <row r="1587" spans="2:7" x14ac:dyDescent="0.35">
      <c r="B1587" s="2">
        <v>39664</v>
      </c>
      <c r="C1587" s="4">
        <v>63.8</v>
      </c>
      <c r="D1587">
        <f t="shared" si="52"/>
        <v>-1.7857142857142794E-2</v>
      </c>
      <c r="E1587">
        <v>9.3339661445972499E-3</v>
      </c>
      <c r="F1587">
        <v>1584</v>
      </c>
      <c r="G1587">
        <f t="shared" ca="1" si="53"/>
        <v>1.0658967587276058E-2</v>
      </c>
    </row>
    <row r="1588" spans="2:7" x14ac:dyDescent="0.35">
      <c r="B1588" s="2">
        <v>38796</v>
      </c>
      <c r="C1588" s="4">
        <v>64.959999999999994</v>
      </c>
      <c r="D1588">
        <f t="shared" si="52"/>
        <v>-0.98966638457084322</v>
      </c>
      <c r="E1588">
        <v>9.3225605966438252E-3</v>
      </c>
      <c r="F1588">
        <v>1585</v>
      </c>
      <c r="G1588">
        <f t="shared" ca="1" si="53"/>
        <v>1.9450972392480989E-2</v>
      </c>
    </row>
    <row r="1589" spans="2:7" x14ac:dyDescent="0.35">
      <c r="B1589" s="2">
        <v>44487</v>
      </c>
      <c r="C1589" s="4">
        <v>6286.28</v>
      </c>
      <c r="D1589">
        <f t="shared" si="52"/>
        <v>70.630355515041018</v>
      </c>
      <c r="E1589">
        <v>9.3204650438407644E-3</v>
      </c>
      <c r="F1589">
        <v>1586</v>
      </c>
      <c r="G1589">
        <f t="shared" ca="1" si="53"/>
        <v>-6.7510615368459356E-2</v>
      </c>
    </row>
    <row r="1590" spans="2:7" x14ac:dyDescent="0.35">
      <c r="B1590" s="2">
        <v>39043</v>
      </c>
      <c r="C1590" s="4">
        <v>87.76</v>
      </c>
      <c r="D1590">
        <f t="shared" si="52"/>
        <v>-0.13134712461645048</v>
      </c>
      <c r="E1590">
        <v>9.3156986774007855E-3</v>
      </c>
      <c r="F1590">
        <v>1587</v>
      </c>
      <c r="G1590">
        <f t="shared" ca="1" si="53"/>
        <v>2.1218400951504767E-3</v>
      </c>
    </row>
    <row r="1591" spans="2:7" x14ac:dyDescent="0.35">
      <c r="B1591" s="2">
        <v>40190</v>
      </c>
      <c r="C1591" s="4">
        <v>101.03</v>
      </c>
      <c r="D1591">
        <f t="shared" si="52"/>
        <v>0.10584500875656744</v>
      </c>
      <c r="E1591">
        <v>9.2907092907092981E-3</v>
      </c>
      <c r="F1591">
        <v>1588</v>
      </c>
      <c r="G1591">
        <f t="shared" ca="1" si="53"/>
        <v>8.3274613195516989E-3</v>
      </c>
    </row>
    <row r="1592" spans="2:7" x14ac:dyDescent="0.35">
      <c r="B1592" s="2">
        <v>40794</v>
      </c>
      <c r="C1592" s="4">
        <v>91.36</v>
      </c>
      <c r="D1592">
        <f t="shared" si="52"/>
        <v>-0.98932710280373837</v>
      </c>
      <c r="E1592">
        <v>9.2797171895713237E-3</v>
      </c>
      <c r="F1592">
        <v>1589</v>
      </c>
      <c r="G1592">
        <f t="shared" ca="1" si="53"/>
        <v>-6.5272449907760287E-3</v>
      </c>
    </row>
    <row r="1593" spans="2:7" x14ac:dyDescent="0.35">
      <c r="B1593" s="2">
        <v>44770</v>
      </c>
      <c r="C1593" s="4">
        <v>8560</v>
      </c>
      <c r="D1593">
        <f t="shared" si="52"/>
        <v>237.17473567056206</v>
      </c>
      <c r="E1593">
        <v>9.2673379394911937E-3</v>
      </c>
      <c r="F1593">
        <v>1590</v>
      </c>
      <c r="G1593">
        <f t="shared" ca="1" si="53"/>
        <v>3.9422183513800321E-2</v>
      </c>
    </row>
    <row r="1594" spans="2:7" x14ac:dyDescent="0.35">
      <c r="B1594" s="2">
        <v>39918</v>
      </c>
      <c r="C1594" s="4">
        <v>35.94</v>
      </c>
      <c r="D1594">
        <f t="shared" si="52"/>
        <v>-0.99384405627704142</v>
      </c>
      <c r="E1594">
        <v>9.2670598146586958E-3</v>
      </c>
      <c r="F1594">
        <v>1591</v>
      </c>
      <c r="G1594">
        <f t="shared" ca="1" si="53"/>
        <v>4.9285344694491834E-2</v>
      </c>
    </row>
    <row r="1595" spans="2:7" x14ac:dyDescent="0.35">
      <c r="B1595" s="2">
        <v>44561</v>
      </c>
      <c r="C1595" s="4">
        <v>5838.26</v>
      </c>
      <c r="D1595">
        <f t="shared" si="52"/>
        <v>197.10858500169667</v>
      </c>
      <c r="E1595">
        <v>9.2606518240390123E-3</v>
      </c>
      <c r="F1595">
        <v>1592</v>
      </c>
      <c r="G1595">
        <f t="shared" ca="1" si="53"/>
        <v>-3.4877595304217961E-2</v>
      </c>
    </row>
    <row r="1596" spans="2:7" x14ac:dyDescent="0.35">
      <c r="B1596" s="2">
        <v>37873</v>
      </c>
      <c r="C1596" s="4">
        <v>29.47</v>
      </c>
      <c r="D1596">
        <f t="shared" si="52"/>
        <v>-0.69349973998959968</v>
      </c>
      <c r="E1596">
        <v>9.2465753424657571E-3</v>
      </c>
      <c r="F1596">
        <v>1593</v>
      </c>
      <c r="G1596">
        <f t="shared" ca="1" si="53"/>
        <v>-3.5276224095578637E-2</v>
      </c>
    </row>
    <row r="1597" spans="2:7" x14ac:dyDescent="0.35">
      <c r="B1597" s="2">
        <v>40960</v>
      </c>
      <c r="C1597" s="4">
        <v>96.15</v>
      </c>
      <c r="D1597">
        <f t="shared" si="52"/>
        <v>-2.6968156830203815E-3</v>
      </c>
      <c r="E1597">
        <v>9.2369056366119473E-3</v>
      </c>
      <c r="F1597">
        <v>1594</v>
      </c>
      <c r="G1597">
        <f t="shared" ca="1" si="53"/>
        <v>4.2639148195866379E-3</v>
      </c>
    </row>
    <row r="1598" spans="2:7" x14ac:dyDescent="0.35">
      <c r="B1598" s="2">
        <v>40688</v>
      </c>
      <c r="C1598" s="4">
        <v>96.41</v>
      </c>
      <c r="D1598">
        <f t="shared" si="52"/>
        <v>-0.97729750604591359</v>
      </c>
      <c r="E1598">
        <v>9.2117659374018057E-3</v>
      </c>
      <c r="F1598">
        <v>1595</v>
      </c>
      <c r="G1598">
        <f t="shared" ca="1" si="53"/>
        <v>-2.7289891313937921E-2</v>
      </c>
    </row>
    <row r="1599" spans="2:7" x14ac:dyDescent="0.35">
      <c r="B1599" s="2">
        <v>44417</v>
      </c>
      <c r="C1599" s="4">
        <v>4246.67</v>
      </c>
      <c r="D1599">
        <f t="shared" si="52"/>
        <v>54.950856389986825</v>
      </c>
      <c r="E1599">
        <v>9.1848422773654903E-3</v>
      </c>
      <c r="F1599">
        <v>1596</v>
      </c>
      <c r="G1599">
        <f t="shared" ca="1" si="53"/>
        <v>-3.2494878109252098E-2</v>
      </c>
    </row>
    <row r="1600" spans="2:7" x14ac:dyDescent="0.35">
      <c r="B1600" s="2">
        <v>41508</v>
      </c>
      <c r="C1600" s="4">
        <v>75.900000000000006</v>
      </c>
      <c r="D1600">
        <f t="shared" si="52"/>
        <v>1.7549909255898366</v>
      </c>
      <c r="E1600">
        <v>9.1743119266056716E-3</v>
      </c>
      <c r="F1600">
        <v>1597</v>
      </c>
      <c r="G1600">
        <f t="shared" ca="1" si="53"/>
        <v>4.3056689854095505E-2</v>
      </c>
    </row>
    <row r="1601" spans="2:7" x14ac:dyDescent="0.35">
      <c r="B1601" s="2">
        <v>37923</v>
      </c>
      <c r="C1601" s="4">
        <v>27.55</v>
      </c>
      <c r="D1601">
        <f t="shared" si="52"/>
        <v>-0.89925768822905616</v>
      </c>
      <c r="E1601">
        <v>9.157509157509125E-3</v>
      </c>
      <c r="F1601">
        <v>1598</v>
      </c>
      <c r="G1601">
        <f t="shared" ca="1" si="53"/>
        <v>-2.8272701060683501E-3</v>
      </c>
    </row>
    <row r="1602" spans="2:7" x14ac:dyDescent="0.35">
      <c r="B1602" s="2">
        <v>41836</v>
      </c>
      <c r="C1602" s="4">
        <v>273.47000000000003</v>
      </c>
      <c r="D1602">
        <f t="shared" si="52"/>
        <v>1.9173245146148927</v>
      </c>
      <c r="E1602">
        <v>9.1516292114099951E-3</v>
      </c>
      <c r="F1602">
        <v>1599</v>
      </c>
      <c r="G1602">
        <f t="shared" ca="1" si="53"/>
        <v>3.8022275465709569E-2</v>
      </c>
    </row>
    <row r="1603" spans="2:7" x14ac:dyDescent="0.35">
      <c r="B1603" s="2">
        <v>40163</v>
      </c>
      <c r="C1603" s="4">
        <v>93.74</v>
      </c>
      <c r="D1603">
        <f t="shared" si="52"/>
        <v>0.97222806648432547</v>
      </c>
      <c r="E1603">
        <v>9.1506082463128635E-3</v>
      </c>
      <c r="F1603">
        <v>1600</v>
      </c>
      <c r="G1603">
        <f t="shared" ca="1" si="53"/>
        <v>-1.9726952084641303E-2</v>
      </c>
    </row>
    <row r="1604" spans="2:7" x14ac:dyDescent="0.35">
      <c r="B1604" s="2">
        <v>38231</v>
      </c>
      <c r="C1604" s="4">
        <v>47.53</v>
      </c>
      <c r="D1604">
        <f t="shared" ref="D1604:D1667" si="54">C1604/C1605-1</f>
        <v>-0.2208196721311475</v>
      </c>
      <c r="E1604">
        <v>9.1295116772822649E-3</v>
      </c>
      <c r="F1604">
        <v>1601</v>
      </c>
      <c r="G1604">
        <f t="shared" ca="1" si="53"/>
        <v>-2.7256151792769443E-2</v>
      </c>
    </row>
    <row r="1605" spans="2:7" x14ac:dyDescent="0.35">
      <c r="B1605" s="2">
        <v>38503</v>
      </c>
      <c r="C1605" s="4">
        <v>61</v>
      </c>
      <c r="D1605">
        <f t="shared" si="54"/>
        <v>-0.98968423615996537</v>
      </c>
      <c r="E1605">
        <v>9.0984284532671378E-3</v>
      </c>
      <c r="F1605">
        <v>1602</v>
      </c>
      <c r="G1605">
        <f t="shared" ref="G1605:G1668" ca="1" si="55">_xlfn.NORM.INV(RAND(),K$6,K$7)</f>
        <v>-8.3275427810160368E-2</v>
      </c>
    </row>
    <row r="1606" spans="2:7" x14ac:dyDescent="0.35">
      <c r="B1606" s="2">
        <v>44539</v>
      </c>
      <c r="C1606" s="4">
        <v>5913.28</v>
      </c>
      <c r="D1606">
        <f t="shared" si="54"/>
        <v>63.895522388059689</v>
      </c>
      <c r="E1606">
        <v>9.0835402428306455E-3</v>
      </c>
      <c r="F1606">
        <v>1603</v>
      </c>
      <c r="G1606">
        <f t="shared" ca="1" si="55"/>
        <v>-2.4982155601088497E-2</v>
      </c>
    </row>
    <row r="1607" spans="2:7" x14ac:dyDescent="0.35">
      <c r="B1607" s="2">
        <v>41477</v>
      </c>
      <c r="C1607" s="4">
        <v>91.12</v>
      </c>
      <c r="D1607">
        <f t="shared" si="54"/>
        <v>-0.11986863711001638</v>
      </c>
      <c r="E1607">
        <v>9.0808416389811519E-3</v>
      </c>
      <c r="F1607">
        <v>1604</v>
      </c>
      <c r="G1607">
        <f t="shared" ca="1" si="55"/>
        <v>1.1913236925284025E-2</v>
      </c>
    </row>
    <row r="1608" spans="2:7" x14ac:dyDescent="0.35">
      <c r="B1608" s="2">
        <v>41108</v>
      </c>
      <c r="C1608" s="4">
        <v>103.53</v>
      </c>
      <c r="D1608">
        <f t="shared" si="54"/>
        <v>0.2565845369583688</v>
      </c>
      <c r="E1608">
        <v>9.0643274853801081E-3</v>
      </c>
      <c r="F1608">
        <v>1605</v>
      </c>
      <c r="G1608">
        <f t="shared" ca="1" si="55"/>
        <v>1.924937423466249E-2</v>
      </c>
    </row>
    <row r="1609" spans="2:7" x14ac:dyDescent="0.35">
      <c r="B1609" s="2">
        <v>40998</v>
      </c>
      <c r="C1609" s="4">
        <v>82.39</v>
      </c>
      <c r="D1609">
        <f t="shared" si="54"/>
        <v>-0.16878531073446335</v>
      </c>
      <c r="E1609">
        <v>9.0630740967543311E-3</v>
      </c>
      <c r="F1609">
        <v>1606</v>
      </c>
      <c r="G1609">
        <f t="shared" ca="1" si="55"/>
        <v>-2.779675188299191E-3</v>
      </c>
    </row>
    <row r="1610" spans="2:7" x14ac:dyDescent="0.35">
      <c r="B1610" s="2">
        <v>41191</v>
      </c>
      <c r="C1610" s="4">
        <v>99.12</v>
      </c>
      <c r="D1610">
        <f t="shared" si="54"/>
        <v>0.81505218824391146</v>
      </c>
      <c r="E1610">
        <v>9.0603685228545228E-3</v>
      </c>
      <c r="F1610">
        <v>1607</v>
      </c>
      <c r="G1610">
        <f t="shared" ca="1" si="55"/>
        <v>1.4626063715449276E-2</v>
      </c>
    </row>
    <row r="1611" spans="2:7" x14ac:dyDescent="0.35">
      <c r="B1611" s="2">
        <v>38918</v>
      </c>
      <c r="C1611" s="4">
        <v>54.61</v>
      </c>
      <c r="D1611">
        <f t="shared" si="54"/>
        <v>-0.12805364841130451</v>
      </c>
      <c r="E1611">
        <v>9.0539541759053765E-3</v>
      </c>
      <c r="F1611">
        <v>1608</v>
      </c>
      <c r="G1611">
        <f t="shared" ca="1" si="55"/>
        <v>5.6165239695724709E-3</v>
      </c>
    </row>
    <row r="1612" spans="2:7" x14ac:dyDescent="0.35">
      <c r="B1612" s="2">
        <v>39695</v>
      </c>
      <c r="C1612" s="4">
        <v>62.63</v>
      </c>
      <c r="D1612">
        <f t="shared" si="54"/>
        <v>-0.92627167527988041</v>
      </c>
      <c r="E1612">
        <v>9.0220718543581047E-3</v>
      </c>
      <c r="F1612">
        <v>1609</v>
      </c>
      <c r="G1612">
        <f t="shared" ca="1" si="55"/>
        <v>5.0789275670820458E-5</v>
      </c>
    </row>
    <row r="1613" spans="2:7" x14ac:dyDescent="0.35">
      <c r="B1613" s="2">
        <v>44000</v>
      </c>
      <c r="C1613" s="4">
        <v>849.47</v>
      </c>
      <c r="D1613">
        <f t="shared" si="54"/>
        <v>-0.12766612924757903</v>
      </c>
      <c r="E1613">
        <v>9.0035515328605875E-3</v>
      </c>
      <c r="F1613">
        <v>1610</v>
      </c>
      <c r="G1613">
        <f t="shared" ca="1" si="55"/>
        <v>-1.2379974808340521E-2</v>
      </c>
    </row>
    <row r="1614" spans="2:7" x14ac:dyDescent="0.35">
      <c r="B1614" s="2">
        <v>43201</v>
      </c>
      <c r="C1614" s="4">
        <v>973.79</v>
      </c>
      <c r="D1614">
        <f t="shared" si="54"/>
        <v>10.48879188296366</v>
      </c>
      <c r="E1614">
        <v>8.951976376728954E-3</v>
      </c>
      <c r="F1614">
        <v>1611</v>
      </c>
      <c r="G1614">
        <f t="shared" ca="1" si="55"/>
        <v>-1.5680199224613382E-2</v>
      </c>
    </row>
    <row r="1615" spans="2:7" x14ac:dyDescent="0.35">
      <c r="B1615" s="2">
        <v>41015</v>
      </c>
      <c r="C1615" s="4">
        <v>84.76</v>
      </c>
      <c r="D1615">
        <f t="shared" si="54"/>
        <v>-2.4714605154759761E-3</v>
      </c>
      <c r="E1615">
        <v>8.927508629924974E-3</v>
      </c>
      <c r="F1615">
        <v>1612</v>
      </c>
      <c r="G1615">
        <f t="shared" ca="1" si="55"/>
        <v>6.3672971789977884E-2</v>
      </c>
    </row>
    <row r="1616" spans="2:7" x14ac:dyDescent="0.35">
      <c r="B1616" s="2">
        <v>40939</v>
      </c>
      <c r="C1616" s="4">
        <v>84.97</v>
      </c>
      <c r="D1616">
        <f t="shared" si="54"/>
        <v>0.66054328708227472</v>
      </c>
      <c r="E1616">
        <v>8.9052481595821575E-3</v>
      </c>
      <c r="F1616">
        <v>1613</v>
      </c>
      <c r="G1616">
        <f t="shared" ca="1" si="55"/>
        <v>-4.162068180339702E-3</v>
      </c>
    </row>
    <row r="1617" spans="2:7" x14ac:dyDescent="0.35">
      <c r="B1617" s="2">
        <v>38288</v>
      </c>
      <c r="C1617" s="4">
        <v>51.17</v>
      </c>
      <c r="D1617">
        <f t="shared" si="54"/>
        <v>-0.98954555762814711</v>
      </c>
      <c r="E1617">
        <v>8.8722397476341808E-3</v>
      </c>
      <c r="F1617">
        <v>1614</v>
      </c>
      <c r="G1617">
        <f t="shared" ca="1" si="55"/>
        <v>-1.1948343641665672E-2</v>
      </c>
    </row>
    <row r="1618" spans="2:7" x14ac:dyDescent="0.35">
      <c r="B1618" s="2">
        <v>44446</v>
      </c>
      <c r="C1618" s="4">
        <v>4894.57</v>
      </c>
      <c r="D1618">
        <f t="shared" si="54"/>
        <v>3.2321167630757524</v>
      </c>
      <c r="E1618">
        <v>8.8589513953156729E-3</v>
      </c>
      <c r="F1618">
        <v>1615</v>
      </c>
      <c r="G1618">
        <f t="shared" ca="1" si="55"/>
        <v>1.8026693731371869E-2</v>
      </c>
    </row>
    <row r="1619" spans="2:7" x14ac:dyDescent="0.35">
      <c r="B1619" s="2">
        <v>43250</v>
      </c>
      <c r="C1619" s="4">
        <v>1156.53</v>
      </c>
      <c r="D1619">
        <f t="shared" si="54"/>
        <v>12.339446366782006</v>
      </c>
      <c r="E1619">
        <v>8.8451574071650718E-3</v>
      </c>
      <c r="F1619">
        <v>1616</v>
      </c>
      <c r="G1619">
        <f t="shared" ca="1" si="55"/>
        <v>1.5579208810659828E-2</v>
      </c>
    </row>
    <row r="1620" spans="2:7" x14ac:dyDescent="0.35">
      <c r="B1620" s="2">
        <v>40800</v>
      </c>
      <c r="C1620" s="4">
        <v>86.7</v>
      </c>
      <c r="D1620">
        <f t="shared" si="54"/>
        <v>-0.93156307721453047</v>
      </c>
      <c r="E1620">
        <v>8.8433791016988561E-3</v>
      </c>
      <c r="F1620">
        <v>1617</v>
      </c>
      <c r="G1620">
        <f t="shared" ca="1" si="55"/>
        <v>-7.0798240177198535E-3</v>
      </c>
    </row>
    <row r="1621" spans="2:7" x14ac:dyDescent="0.35">
      <c r="B1621" s="2">
        <v>43357</v>
      </c>
      <c r="C1621" s="4">
        <v>1266.8599999999999</v>
      </c>
      <c r="D1621">
        <f t="shared" si="54"/>
        <v>30.711138923654563</v>
      </c>
      <c r="E1621">
        <v>8.8392686500604611E-3</v>
      </c>
      <c r="F1621">
        <v>1618</v>
      </c>
      <c r="G1621">
        <f t="shared" ca="1" si="55"/>
        <v>3.9732902212204824E-2</v>
      </c>
    </row>
    <row r="1622" spans="2:7" x14ac:dyDescent="0.35">
      <c r="B1622" s="2">
        <v>39927</v>
      </c>
      <c r="C1622" s="4">
        <v>39.950000000000003</v>
      </c>
      <c r="D1622">
        <f t="shared" si="54"/>
        <v>-0.95696666128076691</v>
      </c>
      <c r="E1622">
        <v>8.8383838383838675E-3</v>
      </c>
      <c r="F1622">
        <v>1619</v>
      </c>
      <c r="G1622">
        <f t="shared" ca="1" si="55"/>
        <v>4.7068799508346915E-2</v>
      </c>
    </row>
    <row r="1623" spans="2:7" x14ac:dyDescent="0.35">
      <c r="B1623" s="2">
        <v>43180</v>
      </c>
      <c r="C1623" s="4">
        <v>928.35</v>
      </c>
      <c r="D1623">
        <f t="shared" si="54"/>
        <v>13.503202624589907</v>
      </c>
      <c r="E1623">
        <v>8.8348438416900876E-3</v>
      </c>
      <c r="F1623">
        <v>1620</v>
      </c>
      <c r="G1623">
        <f t="shared" ca="1" si="55"/>
        <v>-2.9586977098100958E-2</v>
      </c>
    </row>
    <row r="1624" spans="2:7" x14ac:dyDescent="0.35">
      <c r="B1624" s="2">
        <v>39521</v>
      </c>
      <c r="C1624" s="4">
        <v>64.010000000000005</v>
      </c>
      <c r="D1624">
        <f t="shared" si="54"/>
        <v>-0.98231782609536389</v>
      </c>
      <c r="E1624">
        <v>8.8258471237194769E-3</v>
      </c>
      <c r="F1624">
        <v>1621</v>
      </c>
      <c r="G1624">
        <f t="shared" ca="1" si="55"/>
        <v>3.0623633798653606E-2</v>
      </c>
    </row>
    <row r="1625" spans="2:7" x14ac:dyDescent="0.35">
      <c r="B1625" s="2">
        <v>44334</v>
      </c>
      <c r="C1625" s="4">
        <v>3620.03</v>
      </c>
      <c r="D1625">
        <f t="shared" si="54"/>
        <v>53.24078513635002</v>
      </c>
      <c r="E1625">
        <v>8.7723453762662551E-3</v>
      </c>
      <c r="F1625">
        <v>1622</v>
      </c>
      <c r="G1625">
        <f t="shared" ca="1" si="55"/>
        <v>-2.3782574263775787E-2</v>
      </c>
    </row>
    <row r="1626" spans="2:7" x14ac:dyDescent="0.35">
      <c r="B1626" s="2">
        <v>40143</v>
      </c>
      <c r="C1626" s="4">
        <v>66.739999999999995</v>
      </c>
      <c r="D1626">
        <f t="shared" si="54"/>
        <v>-0.98889757623143082</v>
      </c>
      <c r="E1626">
        <v>8.7666263603385364E-3</v>
      </c>
      <c r="F1626">
        <v>1623</v>
      </c>
      <c r="G1626">
        <f t="shared" ca="1" si="55"/>
        <v>1.3890207075497199E-2</v>
      </c>
    </row>
    <row r="1627" spans="2:7" x14ac:dyDescent="0.35">
      <c r="B1627" s="2">
        <v>45019</v>
      </c>
      <c r="C1627" s="4">
        <v>6011.3</v>
      </c>
      <c r="D1627">
        <f t="shared" si="54"/>
        <v>-0.1499437896389102</v>
      </c>
      <c r="E1627">
        <v>8.7597120370526138E-3</v>
      </c>
      <c r="F1627">
        <v>1624</v>
      </c>
      <c r="G1627">
        <f t="shared" ca="1" si="55"/>
        <v>2.6631098974616831E-2</v>
      </c>
    </row>
    <row r="1628" spans="2:7" x14ac:dyDescent="0.35">
      <c r="B1628" s="2">
        <v>44896</v>
      </c>
      <c r="C1628" s="4">
        <v>7071.65</v>
      </c>
      <c r="D1628">
        <f t="shared" si="54"/>
        <v>85.35547685920136</v>
      </c>
      <c r="E1628">
        <v>8.7586034734852269E-3</v>
      </c>
      <c r="F1628">
        <v>1625</v>
      </c>
      <c r="G1628">
        <f t="shared" ca="1" si="55"/>
        <v>3.4187454047663268E-2</v>
      </c>
    </row>
    <row r="1629" spans="2:7" x14ac:dyDescent="0.35">
      <c r="B1629" s="2">
        <v>38842</v>
      </c>
      <c r="C1629" s="4">
        <v>81.89</v>
      </c>
      <c r="D1629">
        <f t="shared" si="54"/>
        <v>-0.24684999540145314</v>
      </c>
      <c r="E1629">
        <v>8.7459965508744908E-3</v>
      </c>
      <c r="F1629">
        <v>1626</v>
      </c>
      <c r="G1629">
        <f t="shared" ca="1" si="55"/>
        <v>-1.5720664761073967E-2</v>
      </c>
    </row>
    <row r="1630" spans="2:7" x14ac:dyDescent="0.35">
      <c r="B1630" s="2">
        <v>39106</v>
      </c>
      <c r="C1630" s="4">
        <v>108.73</v>
      </c>
      <c r="D1630">
        <f t="shared" si="54"/>
        <v>0.3608260325406758</v>
      </c>
      <c r="E1630">
        <v>8.7206605436496165E-3</v>
      </c>
      <c r="F1630">
        <v>1627</v>
      </c>
      <c r="G1630">
        <f t="shared" ca="1" si="55"/>
        <v>1.4089104309964334E-2</v>
      </c>
    </row>
    <row r="1631" spans="2:7" x14ac:dyDescent="0.35">
      <c r="B1631" s="2">
        <v>41449</v>
      </c>
      <c r="C1631" s="4">
        <v>79.900000000000006</v>
      </c>
      <c r="D1631">
        <f t="shared" si="54"/>
        <v>1.6509621765096218</v>
      </c>
      <c r="E1631">
        <v>8.7110213356900168E-3</v>
      </c>
      <c r="F1631">
        <v>1628</v>
      </c>
      <c r="G1631">
        <f t="shared" ca="1" si="55"/>
        <v>3.2539112222075214E-2</v>
      </c>
    </row>
    <row r="1632" spans="2:7" x14ac:dyDescent="0.35">
      <c r="B1632" s="2">
        <v>38145</v>
      </c>
      <c r="C1632" s="4">
        <v>30.14</v>
      </c>
      <c r="D1632">
        <f t="shared" si="54"/>
        <v>-0.53573629081947005</v>
      </c>
      <c r="E1632">
        <v>8.7014725568943518E-3</v>
      </c>
      <c r="F1632">
        <v>1629</v>
      </c>
      <c r="G1632">
        <f t="shared" ca="1" si="55"/>
        <v>-1.7333367185502383E-2</v>
      </c>
    </row>
    <row r="1633" spans="2:7" x14ac:dyDescent="0.35">
      <c r="B1633" s="2">
        <v>39657</v>
      </c>
      <c r="C1633" s="4">
        <v>64.92</v>
      </c>
      <c r="D1633">
        <f t="shared" si="54"/>
        <v>-0.44446346055108676</v>
      </c>
      <c r="E1633">
        <v>8.7010565568677034E-3</v>
      </c>
      <c r="F1633">
        <v>1630</v>
      </c>
      <c r="G1633">
        <f t="shared" ca="1" si="55"/>
        <v>-1.8629131292727235E-2</v>
      </c>
    </row>
    <row r="1634" spans="2:7" x14ac:dyDescent="0.35">
      <c r="B1634" s="2">
        <v>40506</v>
      </c>
      <c r="C1634" s="4">
        <v>116.86</v>
      </c>
      <c r="D1634">
        <f t="shared" si="54"/>
        <v>0.81713574871715133</v>
      </c>
      <c r="E1634">
        <v>8.6311065078543692E-3</v>
      </c>
      <c r="F1634">
        <v>1631</v>
      </c>
      <c r="G1634">
        <f t="shared" ca="1" si="55"/>
        <v>-1.7610918037107872E-2</v>
      </c>
    </row>
    <row r="1635" spans="2:7" x14ac:dyDescent="0.35">
      <c r="B1635" s="2">
        <v>38770</v>
      </c>
      <c r="C1635" s="4">
        <v>64.31</v>
      </c>
      <c r="D1635">
        <f t="shared" si="54"/>
        <v>-0.92656412364541585</v>
      </c>
      <c r="E1635">
        <v>8.6260978670014143E-3</v>
      </c>
      <c r="F1635">
        <v>1632</v>
      </c>
      <c r="G1635">
        <f t="shared" ca="1" si="55"/>
        <v>-1.9844632239649322E-2</v>
      </c>
    </row>
    <row r="1636" spans="2:7" x14ac:dyDescent="0.35">
      <c r="B1636" s="2">
        <v>43585</v>
      </c>
      <c r="C1636" s="4">
        <v>875.73</v>
      </c>
      <c r="D1636">
        <f t="shared" si="54"/>
        <v>6.6210077451918901</v>
      </c>
      <c r="E1636">
        <v>8.6150302332277384E-3</v>
      </c>
      <c r="F1636">
        <v>1633</v>
      </c>
      <c r="G1636">
        <f t="shared" ca="1" si="55"/>
        <v>5.3576950173907643E-2</v>
      </c>
    </row>
    <row r="1637" spans="2:7" x14ac:dyDescent="0.35">
      <c r="B1637" s="2">
        <v>39336</v>
      </c>
      <c r="C1637" s="4">
        <v>114.91</v>
      </c>
      <c r="D1637">
        <f t="shared" si="54"/>
        <v>0.2876512774540565</v>
      </c>
      <c r="E1637">
        <v>8.6017730185199426E-3</v>
      </c>
      <c r="F1637">
        <v>1634</v>
      </c>
      <c r="G1637">
        <f t="shared" ca="1" si="55"/>
        <v>-2.7457928805640845E-2</v>
      </c>
    </row>
    <row r="1638" spans="2:7" x14ac:dyDescent="0.35">
      <c r="B1638" s="2">
        <v>40970</v>
      </c>
      <c r="C1638" s="4">
        <v>89.24</v>
      </c>
      <c r="D1638">
        <f t="shared" si="54"/>
        <v>-0.84854039375424306</v>
      </c>
      <c r="E1638">
        <v>8.589511754068635E-3</v>
      </c>
      <c r="F1638">
        <v>1635</v>
      </c>
      <c r="G1638">
        <f t="shared" ca="1" si="55"/>
        <v>1.5605473478848631E-2</v>
      </c>
    </row>
    <row r="1639" spans="2:7" x14ac:dyDescent="0.35">
      <c r="B1639" s="2">
        <v>42101</v>
      </c>
      <c r="C1639" s="4">
        <v>589.20000000000005</v>
      </c>
      <c r="D1639">
        <f t="shared" si="54"/>
        <v>-0.90324646534312036</v>
      </c>
      <c r="E1639">
        <v>8.5759769937863162E-3</v>
      </c>
      <c r="F1639">
        <v>1636</v>
      </c>
      <c r="G1639">
        <f t="shared" ca="1" si="55"/>
        <v>7.6577048622293847E-3</v>
      </c>
    </row>
    <row r="1640" spans="2:7" x14ac:dyDescent="0.35">
      <c r="B1640" s="2">
        <v>45006</v>
      </c>
      <c r="C1640" s="4">
        <v>6089.7</v>
      </c>
      <c r="D1640">
        <f t="shared" si="54"/>
        <v>1.167523277997665</v>
      </c>
      <c r="E1640">
        <v>8.570789754800856E-3</v>
      </c>
      <c r="F1640">
        <v>1637</v>
      </c>
      <c r="G1640">
        <f t="shared" ca="1" si="55"/>
        <v>2.1474569178972381E-2</v>
      </c>
    </row>
    <row r="1641" spans="2:7" x14ac:dyDescent="0.35">
      <c r="B1641" s="2">
        <v>44235</v>
      </c>
      <c r="C1641" s="4">
        <v>2809.52</v>
      </c>
      <c r="D1641">
        <f t="shared" si="54"/>
        <v>1.2128825947921427</v>
      </c>
      <c r="E1641">
        <v>8.5689156929262822E-3</v>
      </c>
      <c r="F1641">
        <v>1638</v>
      </c>
      <c r="G1641">
        <f t="shared" ca="1" si="55"/>
        <v>-4.5382283726569259E-2</v>
      </c>
    </row>
    <row r="1642" spans="2:7" x14ac:dyDescent="0.35">
      <c r="B1642" s="2">
        <v>44095</v>
      </c>
      <c r="C1642" s="4">
        <v>1269.6199999999999</v>
      </c>
      <c r="D1642">
        <f t="shared" si="54"/>
        <v>10.655375011475257</v>
      </c>
      <c r="E1642">
        <v>8.5233817092833508E-3</v>
      </c>
      <c r="F1642">
        <v>1639</v>
      </c>
      <c r="G1642">
        <f t="shared" ca="1" si="55"/>
        <v>-1.3015472197663532E-4</v>
      </c>
    </row>
    <row r="1643" spans="2:7" x14ac:dyDescent="0.35">
      <c r="B1643" s="2">
        <v>40240</v>
      </c>
      <c r="C1643" s="4">
        <v>108.93</v>
      </c>
      <c r="D1643">
        <f t="shared" si="54"/>
        <v>4.104498594189316</v>
      </c>
      <c r="E1643">
        <v>8.5177298398295687E-3</v>
      </c>
      <c r="F1643">
        <v>1640</v>
      </c>
      <c r="G1643">
        <f t="shared" ca="1" si="55"/>
        <v>-5.2233343507398125E-2</v>
      </c>
    </row>
    <row r="1644" spans="2:7" x14ac:dyDescent="0.35">
      <c r="B1644" s="2">
        <v>37747</v>
      </c>
      <c r="C1644" s="4">
        <v>21.34</v>
      </c>
      <c r="D1644">
        <f t="shared" si="54"/>
        <v>-0.78052041550961637</v>
      </c>
      <c r="E1644">
        <v>8.5066162570888171E-3</v>
      </c>
      <c r="F1644">
        <v>1641</v>
      </c>
      <c r="G1644">
        <f t="shared" ca="1" si="55"/>
        <v>-2.4750535271798628E-3</v>
      </c>
    </row>
    <row r="1645" spans="2:7" x14ac:dyDescent="0.35">
      <c r="B1645" s="2">
        <v>40689</v>
      </c>
      <c r="C1645" s="4">
        <v>97.23</v>
      </c>
      <c r="D1645">
        <f t="shared" si="54"/>
        <v>-0.8571722365038561</v>
      </c>
      <c r="E1645">
        <v>8.5053417695259981E-3</v>
      </c>
      <c r="F1645">
        <v>1642</v>
      </c>
      <c r="G1645">
        <f t="shared" ca="1" si="55"/>
        <v>-2.379091540587721E-2</v>
      </c>
    </row>
    <row r="1646" spans="2:7" x14ac:dyDescent="0.35">
      <c r="B1646" s="2">
        <v>42786</v>
      </c>
      <c r="C1646" s="4">
        <v>680.75</v>
      </c>
      <c r="D1646">
        <f t="shared" si="54"/>
        <v>8.8903094580851381</v>
      </c>
      <c r="E1646">
        <v>8.5035777247743916E-3</v>
      </c>
      <c r="F1646">
        <v>1643</v>
      </c>
      <c r="G1646">
        <f t="shared" ca="1" si="55"/>
        <v>1.7059652745932095E-3</v>
      </c>
    </row>
    <row r="1647" spans="2:7" x14ac:dyDescent="0.35">
      <c r="B1647" s="2">
        <v>38623</v>
      </c>
      <c r="C1647" s="4">
        <v>68.83</v>
      </c>
      <c r="D1647">
        <f t="shared" si="54"/>
        <v>-0.92945939021265689</v>
      </c>
      <c r="E1647">
        <v>8.4981684981684236E-3</v>
      </c>
      <c r="F1647">
        <v>1644</v>
      </c>
      <c r="G1647">
        <f t="shared" ca="1" si="55"/>
        <v>-5.5874807693352575E-3</v>
      </c>
    </row>
    <row r="1648" spans="2:7" x14ac:dyDescent="0.35">
      <c r="B1648" s="2">
        <v>43885</v>
      </c>
      <c r="C1648" s="4">
        <v>975.75</v>
      </c>
      <c r="D1648">
        <f t="shared" si="54"/>
        <v>-0.20900954944146299</v>
      </c>
      <c r="E1648">
        <v>8.4854372945821765E-3</v>
      </c>
      <c r="F1648">
        <v>1645</v>
      </c>
      <c r="G1648">
        <f t="shared" ca="1" si="55"/>
        <v>2.3860438238598333E-2</v>
      </c>
    </row>
    <row r="1649" spans="2:7" x14ac:dyDescent="0.35">
      <c r="B1649" s="2">
        <v>43271</v>
      </c>
      <c r="C1649" s="4">
        <v>1233.58</v>
      </c>
      <c r="D1649">
        <f t="shared" si="54"/>
        <v>0.36725668621083307</v>
      </c>
      <c r="E1649">
        <v>8.4776939364459292E-3</v>
      </c>
      <c r="F1649">
        <v>1646</v>
      </c>
      <c r="G1649">
        <f t="shared" ca="1" si="55"/>
        <v>-6.2806609337329308E-3</v>
      </c>
    </row>
    <row r="1650" spans="2:7" x14ac:dyDescent="0.35">
      <c r="B1650" s="2">
        <v>43552</v>
      </c>
      <c r="C1650" s="4">
        <v>902.23</v>
      </c>
      <c r="D1650">
        <f t="shared" si="54"/>
        <v>-0.84870492908384176</v>
      </c>
      <c r="E1650">
        <v>8.4725870452133645E-3</v>
      </c>
      <c r="F1650">
        <v>1647</v>
      </c>
      <c r="G1650">
        <f t="shared" ca="1" si="55"/>
        <v>3.4391745419952907E-2</v>
      </c>
    </row>
    <row r="1651" spans="2:7" x14ac:dyDescent="0.35">
      <c r="B1651" s="2">
        <v>44540</v>
      </c>
      <c r="C1651" s="4">
        <v>5963.38</v>
      </c>
      <c r="D1651">
        <f t="shared" si="54"/>
        <v>20.402505114309299</v>
      </c>
      <c r="E1651">
        <v>8.4724552194384017E-3</v>
      </c>
      <c r="F1651">
        <v>1648</v>
      </c>
      <c r="G1651">
        <f t="shared" ca="1" si="55"/>
        <v>-5.0294289506166857E-2</v>
      </c>
    </row>
    <row r="1652" spans="2:7" x14ac:dyDescent="0.35">
      <c r="B1652" s="2">
        <v>41974</v>
      </c>
      <c r="C1652" s="4">
        <v>278.63</v>
      </c>
      <c r="D1652">
        <f t="shared" si="54"/>
        <v>9.6063951275218873</v>
      </c>
      <c r="E1652">
        <v>8.4693619023488154E-3</v>
      </c>
      <c r="F1652">
        <v>1649</v>
      </c>
      <c r="G1652">
        <f t="shared" ca="1" si="55"/>
        <v>4.2892969179926504E-3</v>
      </c>
    </row>
    <row r="1653" spans="2:7" x14ac:dyDescent="0.35">
      <c r="B1653" s="2">
        <v>37846</v>
      </c>
      <c r="C1653" s="4">
        <v>26.27</v>
      </c>
      <c r="D1653">
        <f t="shared" si="54"/>
        <v>-4.4379774463441213E-2</v>
      </c>
      <c r="E1653">
        <v>8.445297504798388E-3</v>
      </c>
      <c r="F1653">
        <v>1650</v>
      </c>
      <c r="G1653">
        <f t="shared" ca="1" si="55"/>
        <v>2.8296652241544335E-2</v>
      </c>
    </row>
    <row r="1654" spans="2:7" x14ac:dyDescent="0.35">
      <c r="B1654" s="2">
        <v>38058</v>
      </c>
      <c r="C1654" s="4">
        <v>27.49</v>
      </c>
      <c r="D1654">
        <f t="shared" si="54"/>
        <v>4.3263757115749479E-2</v>
      </c>
      <c r="E1654">
        <v>8.4372707263389302E-3</v>
      </c>
      <c r="F1654">
        <v>1651</v>
      </c>
      <c r="G1654">
        <f t="shared" ca="1" si="55"/>
        <v>3.7190495128790468E-3</v>
      </c>
    </row>
    <row r="1655" spans="2:7" x14ac:dyDescent="0.35">
      <c r="B1655" s="2">
        <v>37854</v>
      </c>
      <c r="C1655" s="4">
        <v>26.35</v>
      </c>
      <c r="D1655">
        <f t="shared" si="54"/>
        <v>-0.70403234864652364</v>
      </c>
      <c r="E1655">
        <v>8.4194412552622833E-3</v>
      </c>
      <c r="F1655">
        <v>1652</v>
      </c>
      <c r="G1655">
        <f t="shared" ca="1" si="55"/>
        <v>1.1885963900373752E-2</v>
      </c>
    </row>
    <row r="1656" spans="2:7" x14ac:dyDescent="0.35">
      <c r="B1656" s="2">
        <v>41080</v>
      </c>
      <c r="C1656" s="4">
        <v>89.03</v>
      </c>
      <c r="D1656">
        <f t="shared" si="54"/>
        <v>-0.89849156851790624</v>
      </c>
      <c r="E1656">
        <v>8.381470155170323E-3</v>
      </c>
      <c r="F1656">
        <v>1653</v>
      </c>
      <c r="G1656">
        <f t="shared" ca="1" si="55"/>
        <v>4.6302626086810302E-2</v>
      </c>
    </row>
    <row r="1657" spans="2:7" x14ac:dyDescent="0.35">
      <c r="B1657" s="2">
        <v>43088</v>
      </c>
      <c r="C1657" s="4">
        <v>877.07</v>
      </c>
      <c r="D1657">
        <f t="shared" si="54"/>
        <v>5.9153197193093119</v>
      </c>
      <c r="E1657">
        <v>8.3698363972914969E-3</v>
      </c>
      <c r="F1657">
        <v>1654</v>
      </c>
      <c r="G1657">
        <f t="shared" ca="1" si="55"/>
        <v>4.1038601916847266E-2</v>
      </c>
    </row>
    <row r="1658" spans="2:7" x14ac:dyDescent="0.35">
      <c r="B1658" s="2">
        <v>40290</v>
      </c>
      <c r="C1658" s="4">
        <v>126.83</v>
      </c>
      <c r="D1658">
        <f t="shared" si="54"/>
        <v>-0.98145128384376545</v>
      </c>
      <c r="E1658">
        <v>8.3479090475433448E-3</v>
      </c>
      <c r="F1658">
        <v>1655</v>
      </c>
      <c r="G1658">
        <f t="shared" ca="1" si="55"/>
        <v>-4.3970651325760061E-3</v>
      </c>
    </row>
    <row r="1659" spans="2:7" x14ac:dyDescent="0.35">
      <c r="B1659" s="2">
        <v>44692</v>
      </c>
      <c r="C1659" s="4">
        <v>6837.67</v>
      </c>
      <c r="D1659">
        <f t="shared" si="54"/>
        <v>6.3572381587725149</v>
      </c>
      <c r="E1659">
        <v>8.3333824891316244E-3</v>
      </c>
      <c r="F1659">
        <v>1656</v>
      </c>
      <c r="G1659">
        <f t="shared" ca="1" si="55"/>
        <v>-1.3631329403064543E-2</v>
      </c>
    </row>
    <row r="1660" spans="2:7" x14ac:dyDescent="0.35">
      <c r="B1660" s="2">
        <v>43864</v>
      </c>
      <c r="C1660" s="4">
        <v>929.38</v>
      </c>
      <c r="D1660">
        <f t="shared" si="54"/>
        <v>0.69233570661179611</v>
      </c>
      <c r="E1660">
        <v>8.321489405561433E-3</v>
      </c>
      <c r="F1660">
        <v>1657</v>
      </c>
      <c r="G1660">
        <f t="shared" ca="1" si="55"/>
        <v>4.5182640658857021E-2</v>
      </c>
    </row>
    <row r="1661" spans="2:7" x14ac:dyDescent="0.35">
      <c r="B1661" s="2">
        <v>42198</v>
      </c>
      <c r="C1661" s="4">
        <v>549.16999999999996</v>
      </c>
      <c r="D1661">
        <f t="shared" si="54"/>
        <v>3.8168581703359346</v>
      </c>
      <c r="E1661">
        <v>8.3174206815510576E-3</v>
      </c>
      <c r="F1661">
        <v>1658</v>
      </c>
      <c r="G1661">
        <f t="shared" ca="1" si="55"/>
        <v>1.6089454042989455E-2</v>
      </c>
    </row>
    <row r="1662" spans="2:7" x14ac:dyDescent="0.35">
      <c r="B1662" s="2">
        <v>39329</v>
      </c>
      <c r="C1662" s="4">
        <v>114.01</v>
      </c>
      <c r="D1662">
        <f t="shared" si="54"/>
        <v>-0.88537791808256083</v>
      </c>
      <c r="E1662">
        <v>8.3134341558328551E-3</v>
      </c>
      <c r="F1662">
        <v>1659</v>
      </c>
      <c r="G1662">
        <f t="shared" ca="1" si="55"/>
        <v>3.1902962534423379E-3</v>
      </c>
    </row>
    <row r="1663" spans="2:7" x14ac:dyDescent="0.35">
      <c r="B1663" s="2">
        <v>43411</v>
      </c>
      <c r="C1663" s="4">
        <v>994.66</v>
      </c>
      <c r="D1663">
        <f t="shared" si="54"/>
        <v>8.9805338149709009</v>
      </c>
      <c r="E1663">
        <v>8.302330532099278E-3</v>
      </c>
      <c r="F1663">
        <v>1660</v>
      </c>
      <c r="G1663">
        <f t="shared" ca="1" si="55"/>
        <v>2.4605239596732949E-2</v>
      </c>
    </row>
    <row r="1664" spans="2:7" x14ac:dyDescent="0.35">
      <c r="B1664" s="2">
        <v>40703</v>
      </c>
      <c r="C1664" s="4">
        <v>99.66</v>
      </c>
      <c r="D1664">
        <f t="shared" si="54"/>
        <v>-0.7163431433938634</v>
      </c>
      <c r="E1664">
        <v>8.2962363415619578E-3</v>
      </c>
      <c r="F1664">
        <v>1661</v>
      </c>
      <c r="G1664">
        <f t="shared" ca="1" si="55"/>
        <v>3.4640730701500429E-2</v>
      </c>
    </row>
    <row r="1665" spans="2:7" x14ac:dyDescent="0.35">
      <c r="B1665" s="2">
        <v>42045</v>
      </c>
      <c r="C1665" s="4">
        <v>351.34</v>
      </c>
      <c r="D1665">
        <f t="shared" si="54"/>
        <v>-0.94702911333242867</v>
      </c>
      <c r="E1665">
        <v>8.2938728655472804E-3</v>
      </c>
      <c r="F1665">
        <v>1662</v>
      </c>
      <c r="G1665">
        <f t="shared" ca="1" si="55"/>
        <v>2.101842215111192E-2</v>
      </c>
    </row>
    <row r="1666" spans="2:7" x14ac:dyDescent="0.35">
      <c r="B1666" s="2">
        <v>44957</v>
      </c>
      <c r="C1666" s="4">
        <v>6632.7</v>
      </c>
      <c r="D1666">
        <f t="shared" si="54"/>
        <v>-0.10062036001220387</v>
      </c>
      <c r="E1666">
        <v>8.2926050637337489E-3</v>
      </c>
      <c r="F1666">
        <v>1663</v>
      </c>
      <c r="G1666">
        <f t="shared" ca="1" si="55"/>
        <v>-8.7650983981167087E-3</v>
      </c>
    </row>
    <row r="1667" spans="2:7" x14ac:dyDescent="0.35">
      <c r="B1667" s="2">
        <v>44854</v>
      </c>
      <c r="C1667" s="4">
        <v>7374.75</v>
      </c>
      <c r="D1667">
        <f t="shared" si="54"/>
        <v>7.5643363140169555</v>
      </c>
      <c r="E1667">
        <v>8.2784173252030691E-3</v>
      </c>
      <c r="F1667">
        <v>1664</v>
      </c>
      <c r="G1667">
        <f t="shared" ca="1" si="55"/>
        <v>-8.9745798041833899E-3</v>
      </c>
    </row>
    <row r="1668" spans="2:7" x14ac:dyDescent="0.35">
      <c r="B1668" s="2">
        <v>42265</v>
      </c>
      <c r="C1668" s="4">
        <v>861.1</v>
      </c>
      <c r="D1668">
        <f t="shared" ref="D1668:D1731" si="56">C1668/C1669-1</f>
        <v>-0.80007708095357499</v>
      </c>
      <c r="E1668">
        <v>8.2783977143661147E-3</v>
      </c>
      <c r="F1668">
        <v>1665</v>
      </c>
      <c r="G1668">
        <f t="shared" ca="1" si="55"/>
        <v>-9.3173090298926432E-3</v>
      </c>
    </row>
    <row r="1669" spans="2:7" x14ac:dyDescent="0.35">
      <c r="B1669" s="2">
        <v>44421</v>
      </c>
      <c r="C1669" s="4">
        <v>4307.16</v>
      </c>
      <c r="D1669">
        <f t="shared" si="56"/>
        <v>39.092711533091311</v>
      </c>
      <c r="E1669">
        <v>8.2680999288362589E-3</v>
      </c>
      <c r="F1669">
        <v>1666</v>
      </c>
      <c r="G1669">
        <f t="shared" ref="G1669:G1732" ca="1" si="57">_xlfn.NORM.INV(RAND(),K$6,K$7)</f>
        <v>-3.3480273547077093E-3</v>
      </c>
    </row>
    <row r="1670" spans="2:7" x14ac:dyDescent="0.35">
      <c r="B1670" s="2">
        <v>40346</v>
      </c>
      <c r="C1670" s="4">
        <v>107.43</v>
      </c>
      <c r="D1670">
        <f t="shared" si="56"/>
        <v>-4.6520282843320881E-4</v>
      </c>
      <c r="E1670">
        <v>8.2590333176912889E-3</v>
      </c>
      <c r="F1670">
        <v>1667</v>
      </c>
      <c r="G1670">
        <f t="shared" ca="1" si="57"/>
        <v>-4.207150605151283E-2</v>
      </c>
    </row>
    <row r="1671" spans="2:7" x14ac:dyDescent="0.35">
      <c r="B1671" s="2">
        <v>39364</v>
      </c>
      <c r="C1671" s="4">
        <v>107.48</v>
      </c>
      <c r="D1671">
        <f t="shared" si="56"/>
        <v>-0.80762484338643281</v>
      </c>
      <c r="E1671">
        <v>8.2551594746718138E-3</v>
      </c>
      <c r="F1671">
        <v>1668</v>
      </c>
      <c r="G1671">
        <f t="shared" ca="1" si="57"/>
        <v>-4.436148994862401E-2</v>
      </c>
    </row>
    <row r="1672" spans="2:7" x14ac:dyDescent="0.35">
      <c r="B1672" s="2">
        <v>42180</v>
      </c>
      <c r="C1672" s="4">
        <v>558.70000000000005</v>
      </c>
      <c r="D1672">
        <f t="shared" si="56"/>
        <v>-0.30916375057188428</v>
      </c>
      <c r="E1672">
        <v>8.2471622182520576E-3</v>
      </c>
      <c r="F1672">
        <v>1669</v>
      </c>
      <c r="G1672">
        <f t="shared" ca="1" si="57"/>
        <v>-7.9473664719865236E-3</v>
      </c>
    </row>
    <row r="1673" spans="2:7" x14ac:dyDescent="0.35">
      <c r="B1673" s="2">
        <v>43829</v>
      </c>
      <c r="C1673" s="4">
        <v>808.73</v>
      </c>
      <c r="D1673">
        <f t="shared" si="56"/>
        <v>-2.8120606155288219E-2</v>
      </c>
      <c r="E1673">
        <v>8.228092703177925E-3</v>
      </c>
      <c r="F1673">
        <v>1670</v>
      </c>
      <c r="G1673">
        <f t="shared" ca="1" si="57"/>
        <v>3.0320326377447707E-2</v>
      </c>
    </row>
    <row r="1674" spans="2:7" x14ac:dyDescent="0.35">
      <c r="B1674" s="2">
        <v>43808</v>
      </c>
      <c r="C1674" s="4">
        <v>832.13</v>
      </c>
      <c r="D1674">
        <f t="shared" si="56"/>
        <v>8.5614156038147762</v>
      </c>
      <c r="E1674">
        <v>8.2269125451328584E-3</v>
      </c>
      <c r="F1674">
        <v>1671</v>
      </c>
      <c r="G1674">
        <f t="shared" ca="1" si="57"/>
        <v>-5.2186685947397072E-3</v>
      </c>
    </row>
    <row r="1675" spans="2:7" x14ac:dyDescent="0.35">
      <c r="B1675" s="2">
        <v>41052</v>
      </c>
      <c r="C1675" s="4">
        <v>87.03</v>
      </c>
      <c r="D1675">
        <f t="shared" si="56"/>
        <v>-0.99018565276178638</v>
      </c>
      <c r="E1675">
        <v>8.2252085264133967E-3</v>
      </c>
      <c r="F1675">
        <v>1672</v>
      </c>
      <c r="G1675">
        <f t="shared" ca="1" si="57"/>
        <v>-1.5752970052747308E-3</v>
      </c>
    </row>
    <row r="1676" spans="2:7" x14ac:dyDescent="0.35">
      <c r="B1676" s="2">
        <v>44652</v>
      </c>
      <c r="C1676" s="4">
        <v>8867.6299999999992</v>
      </c>
      <c r="D1676">
        <f t="shared" si="56"/>
        <v>146.40076462765958</v>
      </c>
      <c r="E1676">
        <v>8.2179788183527336E-3</v>
      </c>
      <c r="F1676">
        <v>1673</v>
      </c>
      <c r="G1676">
        <f t="shared" ca="1" si="57"/>
        <v>-2.995630985250709E-2</v>
      </c>
    </row>
    <row r="1677" spans="2:7" x14ac:dyDescent="0.35">
      <c r="B1677" s="2">
        <v>38895</v>
      </c>
      <c r="C1677" s="4">
        <v>60.16</v>
      </c>
      <c r="D1677">
        <f t="shared" si="56"/>
        <v>-0.46812837061267798</v>
      </c>
      <c r="E1677">
        <v>8.2118317412434028E-3</v>
      </c>
      <c r="F1677">
        <v>1674</v>
      </c>
      <c r="G1677">
        <f t="shared" ca="1" si="57"/>
        <v>8.2255389132984292E-3</v>
      </c>
    </row>
    <row r="1678" spans="2:7" x14ac:dyDescent="0.35">
      <c r="B1678" s="2">
        <v>39218</v>
      </c>
      <c r="C1678" s="4">
        <v>113.11</v>
      </c>
      <c r="D1678">
        <f t="shared" si="56"/>
        <v>6.788141993957697E-2</v>
      </c>
      <c r="E1678">
        <v>8.2003743649166072E-3</v>
      </c>
      <c r="F1678">
        <v>1675</v>
      </c>
      <c r="G1678">
        <f t="shared" ca="1" si="57"/>
        <v>6.5190137402713942E-3</v>
      </c>
    </row>
    <row r="1679" spans="2:7" x14ac:dyDescent="0.35">
      <c r="B1679" s="2">
        <v>40653</v>
      </c>
      <c r="C1679" s="4">
        <v>105.92</v>
      </c>
      <c r="D1679">
        <f t="shared" si="56"/>
        <v>3.7776274244474513</v>
      </c>
      <c r="E1679">
        <v>8.1857985912812126E-3</v>
      </c>
      <c r="F1679">
        <v>1676</v>
      </c>
      <c r="G1679">
        <f t="shared" ca="1" si="57"/>
        <v>-1.3808383307322175E-2</v>
      </c>
    </row>
    <row r="1680" spans="2:7" x14ac:dyDescent="0.35">
      <c r="B1680" s="2">
        <v>37726</v>
      </c>
      <c r="C1680" s="4">
        <v>22.17</v>
      </c>
      <c r="D1680">
        <f t="shared" si="56"/>
        <v>-0.38003355704697983</v>
      </c>
      <c r="E1680">
        <v>8.1855388813099061E-3</v>
      </c>
      <c r="F1680">
        <v>1677</v>
      </c>
      <c r="G1680">
        <f t="shared" ca="1" si="57"/>
        <v>8.7327145126531412E-3</v>
      </c>
    </row>
    <row r="1681" spans="2:7" x14ac:dyDescent="0.35">
      <c r="B1681" s="2">
        <v>37973</v>
      </c>
      <c r="C1681" s="4">
        <v>35.76</v>
      </c>
      <c r="D1681">
        <f t="shared" si="56"/>
        <v>-0.65890881342998853</v>
      </c>
      <c r="E1681">
        <v>8.1759233154778954E-3</v>
      </c>
      <c r="F1681">
        <v>1678</v>
      </c>
      <c r="G1681">
        <f t="shared" ca="1" si="57"/>
        <v>-1.3868551062983668E-2</v>
      </c>
    </row>
    <row r="1682" spans="2:7" x14ac:dyDescent="0.35">
      <c r="B1682" s="2">
        <v>40235</v>
      </c>
      <c r="C1682" s="4">
        <v>104.84</v>
      </c>
      <c r="D1682">
        <f t="shared" si="56"/>
        <v>-0.78541457723560593</v>
      </c>
      <c r="E1682">
        <v>8.173862871430071E-3</v>
      </c>
      <c r="F1682">
        <v>1679</v>
      </c>
      <c r="G1682">
        <f t="shared" ca="1" si="57"/>
        <v>1.7570418743018568E-2</v>
      </c>
    </row>
    <row r="1683" spans="2:7" x14ac:dyDescent="0.35">
      <c r="B1683" s="2">
        <v>42167</v>
      </c>
      <c r="C1683" s="4">
        <v>488.57</v>
      </c>
      <c r="D1683">
        <f t="shared" si="56"/>
        <v>-0.31521038320298267</v>
      </c>
      <c r="E1683">
        <v>8.1507160249267852E-3</v>
      </c>
      <c r="F1683">
        <v>1680</v>
      </c>
      <c r="G1683">
        <f t="shared" ca="1" si="57"/>
        <v>-3.2827260898023224E-3</v>
      </c>
    </row>
    <row r="1684" spans="2:7" x14ac:dyDescent="0.35">
      <c r="B1684" s="2">
        <v>42864</v>
      </c>
      <c r="C1684" s="4">
        <v>713.46</v>
      </c>
      <c r="D1684">
        <f t="shared" si="56"/>
        <v>9.4674295774647899</v>
      </c>
      <c r="E1684">
        <v>8.1390419669351566E-3</v>
      </c>
      <c r="F1684">
        <v>1681</v>
      </c>
      <c r="G1684">
        <f t="shared" ca="1" si="57"/>
        <v>-1.1995030305774831E-2</v>
      </c>
    </row>
    <row r="1685" spans="2:7" x14ac:dyDescent="0.35">
      <c r="B1685" s="2">
        <v>40095</v>
      </c>
      <c r="C1685" s="4">
        <v>68.16</v>
      </c>
      <c r="D1685">
        <f t="shared" si="56"/>
        <v>-0.12827727330860728</v>
      </c>
      <c r="E1685">
        <v>8.1348912882708291E-3</v>
      </c>
      <c r="F1685">
        <v>1682</v>
      </c>
      <c r="G1685">
        <f t="shared" ca="1" si="57"/>
        <v>4.747410695134871E-2</v>
      </c>
    </row>
    <row r="1686" spans="2:7" x14ac:dyDescent="0.35">
      <c r="B1686" s="2">
        <v>38957</v>
      </c>
      <c r="C1686" s="4">
        <v>78.19</v>
      </c>
      <c r="D1686">
        <f t="shared" si="56"/>
        <v>0.30818136188723422</v>
      </c>
      <c r="E1686">
        <v>8.1227436823103627E-3</v>
      </c>
      <c r="F1686">
        <v>1683</v>
      </c>
      <c r="G1686">
        <f t="shared" ca="1" si="57"/>
        <v>-3.8814500871189046E-2</v>
      </c>
    </row>
    <row r="1687" spans="2:7" x14ac:dyDescent="0.35">
      <c r="B1687" s="2">
        <v>38911</v>
      </c>
      <c r="C1687" s="4">
        <v>59.77</v>
      </c>
      <c r="D1687">
        <f t="shared" si="56"/>
        <v>-0.12808169219547771</v>
      </c>
      <c r="E1687">
        <v>8.0958003035924708E-3</v>
      </c>
      <c r="F1687">
        <v>1684</v>
      </c>
      <c r="G1687">
        <f t="shared" ca="1" si="57"/>
        <v>-3.2085106175672542E-4</v>
      </c>
    </row>
    <row r="1688" spans="2:7" x14ac:dyDescent="0.35">
      <c r="B1688" s="2">
        <v>40071</v>
      </c>
      <c r="C1688" s="4">
        <v>68.55</v>
      </c>
      <c r="D1688">
        <f t="shared" si="56"/>
        <v>-0.15401703072935957</v>
      </c>
      <c r="E1688">
        <v>8.0882352941176183E-3</v>
      </c>
      <c r="F1688">
        <v>1685</v>
      </c>
      <c r="G1688">
        <f t="shared" ca="1" si="57"/>
        <v>5.8915995180475453E-2</v>
      </c>
    </row>
    <row r="1689" spans="2:7" x14ac:dyDescent="0.35">
      <c r="B1689" s="2">
        <v>41422</v>
      </c>
      <c r="C1689" s="4">
        <v>81.03</v>
      </c>
      <c r="D1689">
        <f t="shared" si="56"/>
        <v>0.24795934082858451</v>
      </c>
      <c r="E1689">
        <v>8.0865887036576378E-3</v>
      </c>
      <c r="F1689">
        <v>1686</v>
      </c>
      <c r="G1689">
        <f t="shared" ca="1" si="57"/>
        <v>-1.9475588526224667E-2</v>
      </c>
    </row>
    <row r="1690" spans="2:7" x14ac:dyDescent="0.35">
      <c r="B1690" s="2">
        <v>40049</v>
      </c>
      <c r="C1690" s="4">
        <v>64.930000000000007</v>
      </c>
      <c r="D1690">
        <f t="shared" si="56"/>
        <v>0.20889964624837098</v>
      </c>
      <c r="E1690">
        <v>8.0732805464991397E-3</v>
      </c>
      <c r="F1690">
        <v>1687</v>
      </c>
      <c r="G1690">
        <f t="shared" ca="1" si="57"/>
        <v>3.0143357935463244E-2</v>
      </c>
    </row>
    <row r="1691" spans="2:7" x14ac:dyDescent="0.35">
      <c r="B1691" s="2">
        <v>39993</v>
      </c>
      <c r="C1691" s="4">
        <v>53.71</v>
      </c>
      <c r="D1691">
        <f t="shared" si="56"/>
        <v>-0.37684186100475692</v>
      </c>
      <c r="E1691">
        <v>8.0705705705705899E-3</v>
      </c>
      <c r="F1691">
        <v>1688</v>
      </c>
      <c r="G1691">
        <f t="shared" ca="1" si="57"/>
        <v>3.6212670419700506E-2</v>
      </c>
    </row>
    <row r="1692" spans="2:7" x14ac:dyDescent="0.35">
      <c r="B1692" s="2">
        <v>39405</v>
      </c>
      <c r="C1692" s="4">
        <v>86.19</v>
      </c>
      <c r="D1692">
        <f t="shared" si="56"/>
        <v>-0.87979414800145039</v>
      </c>
      <c r="E1692">
        <v>8.0701754385965607E-3</v>
      </c>
      <c r="F1692">
        <v>1689</v>
      </c>
      <c r="G1692">
        <f t="shared" ca="1" si="57"/>
        <v>-5.6301796658427189E-2</v>
      </c>
    </row>
    <row r="1693" spans="2:7" x14ac:dyDescent="0.35">
      <c r="B1693" s="2">
        <v>42867</v>
      </c>
      <c r="C1693" s="4">
        <v>717.02</v>
      </c>
      <c r="D1693">
        <f t="shared" si="56"/>
        <v>-5.6229762813594153E-2</v>
      </c>
      <c r="E1693">
        <v>8.0699583848835577E-3</v>
      </c>
      <c r="F1693">
        <v>1690</v>
      </c>
      <c r="G1693">
        <f t="shared" ca="1" si="57"/>
        <v>-2.1441914077639315E-2</v>
      </c>
    </row>
    <row r="1694" spans="2:7" x14ac:dyDescent="0.35">
      <c r="B1694" s="2">
        <v>42587</v>
      </c>
      <c r="C1694" s="4">
        <v>759.74</v>
      </c>
      <c r="D1694">
        <f t="shared" si="56"/>
        <v>19.265137369965323</v>
      </c>
      <c r="E1694">
        <v>8.0672982512008939E-3</v>
      </c>
      <c r="F1694">
        <v>1691</v>
      </c>
      <c r="G1694">
        <f t="shared" ca="1" si="57"/>
        <v>-2.71580394043048E-2</v>
      </c>
    </row>
    <row r="1695" spans="2:7" x14ac:dyDescent="0.35">
      <c r="B1695" s="2">
        <v>39752</v>
      </c>
      <c r="C1695" s="4">
        <v>37.49</v>
      </c>
      <c r="D1695">
        <f t="shared" si="56"/>
        <v>-0.96183913193949633</v>
      </c>
      <c r="E1695">
        <v>8.0666845926324893E-3</v>
      </c>
      <c r="F1695">
        <v>1692</v>
      </c>
      <c r="G1695">
        <f t="shared" ca="1" si="57"/>
        <v>-4.0444182242911256E-2</v>
      </c>
    </row>
    <row r="1696" spans="2:7" x14ac:dyDescent="0.35">
      <c r="B1696" s="2">
        <v>43439</v>
      </c>
      <c r="C1696" s="4">
        <v>982.42</v>
      </c>
      <c r="D1696">
        <f t="shared" si="56"/>
        <v>13.550059241706162</v>
      </c>
      <c r="E1696">
        <v>8.0651781316696258E-3</v>
      </c>
      <c r="F1696">
        <v>1693</v>
      </c>
      <c r="G1696">
        <f t="shared" ca="1" si="57"/>
        <v>-1.6332138320134314E-2</v>
      </c>
    </row>
    <row r="1697" spans="2:7" x14ac:dyDescent="0.35">
      <c r="B1697" s="2">
        <v>38666</v>
      </c>
      <c r="C1697" s="4">
        <v>67.52</v>
      </c>
      <c r="D1697">
        <f t="shared" si="56"/>
        <v>-0.98984654019955043</v>
      </c>
      <c r="E1697">
        <v>8.0621080919676125E-3</v>
      </c>
      <c r="F1697">
        <v>1694</v>
      </c>
      <c r="G1697">
        <f t="shared" ca="1" si="57"/>
        <v>-2.1267889441009404E-2</v>
      </c>
    </row>
    <row r="1698" spans="2:7" x14ac:dyDescent="0.35">
      <c r="B1698" s="2">
        <v>44972</v>
      </c>
      <c r="C1698" s="4">
        <v>6649.95</v>
      </c>
      <c r="D1698">
        <f t="shared" si="56"/>
        <v>28.169006053162558</v>
      </c>
      <c r="E1698">
        <v>8.0569366965801414E-3</v>
      </c>
      <c r="F1698">
        <v>1695</v>
      </c>
      <c r="G1698">
        <f t="shared" ca="1" si="57"/>
        <v>-3.147938522767655E-2</v>
      </c>
    </row>
    <row r="1699" spans="2:7" x14ac:dyDescent="0.35">
      <c r="B1699" s="2">
        <v>41792</v>
      </c>
      <c r="C1699" s="4">
        <v>227.98</v>
      </c>
      <c r="D1699">
        <f t="shared" si="56"/>
        <v>-0.75829604970208431</v>
      </c>
      <c r="E1699">
        <v>8.0474000707464466E-3</v>
      </c>
      <c r="F1699">
        <v>1696</v>
      </c>
      <c r="G1699">
        <f t="shared" ca="1" si="57"/>
        <v>-1.4201447197319625E-2</v>
      </c>
    </row>
    <row r="1700" spans="2:7" x14ac:dyDescent="0.35">
      <c r="B1700" s="2">
        <v>43431</v>
      </c>
      <c r="C1700" s="4">
        <v>943.22</v>
      </c>
      <c r="D1700">
        <f t="shared" si="56"/>
        <v>7.4997747138866355</v>
      </c>
      <c r="E1700">
        <v>7.9936734563019751E-3</v>
      </c>
      <c r="F1700">
        <v>1697</v>
      </c>
      <c r="G1700">
        <f t="shared" ca="1" si="57"/>
        <v>4.9727161332942084E-3</v>
      </c>
    </row>
    <row r="1701" spans="2:7" x14ac:dyDescent="0.35">
      <c r="B1701" s="2">
        <v>40364</v>
      </c>
      <c r="C1701" s="4">
        <v>110.97</v>
      </c>
      <c r="D1701">
        <f t="shared" si="56"/>
        <v>-0.91622439812473111</v>
      </c>
      <c r="E1701">
        <v>7.9934598964483961E-3</v>
      </c>
      <c r="F1701">
        <v>1698</v>
      </c>
      <c r="G1701">
        <f t="shared" ca="1" si="57"/>
        <v>2.445865647383464E-2</v>
      </c>
    </row>
    <row r="1702" spans="2:7" x14ac:dyDescent="0.35">
      <c r="B1702" s="2">
        <v>43342</v>
      </c>
      <c r="C1702" s="4">
        <v>1324.61</v>
      </c>
      <c r="D1702">
        <f t="shared" si="56"/>
        <v>0.7437797846291565</v>
      </c>
      <c r="E1702">
        <v>7.9901986896073751E-3</v>
      </c>
      <c r="F1702">
        <v>1699</v>
      </c>
      <c r="G1702">
        <f t="shared" ca="1" si="57"/>
        <v>-4.7688500117170497E-2</v>
      </c>
    </row>
    <row r="1703" spans="2:7" x14ac:dyDescent="0.35">
      <c r="B1703" s="2">
        <v>43007</v>
      </c>
      <c r="C1703" s="4">
        <v>759.62</v>
      </c>
      <c r="D1703">
        <f t="shared" si="56"/>
        <v>8.179697885196374</v>
      </c>
      <c r="E1703">
        <v>7.9214489484509265E-3</v>
      </c>
      <c r="F1703">
        <v>1700</v>
      </c>
      <c r="G1703">
        <f t="shared" ca="1" si="57"/>
        <v>-2.2641842031602879E-2</v>
      </c>
    </row>
    <row r="1704" spans="2:7" x14ac:dyDescent="0.35">
      <c r="B1704" s="2">
        <v>40879</v>
      </c>
      <c r="C1704" s="4">
        <v>82.75</v>
      </c>
      <c r="D1704">
        <f t="shared" si="56"/>
        <v>-0.9447847439079724</v>
      </c>
      <c r="E1704">
        <v>7.9171741778318871E-3</v>
      </c>
      <c r="F1704">
        <v>1701</v>
      </c>
      <c r="G1704">
        <f t="shared" ca="1" si="57"/>
        <v>-6.4343162341863407E-4</v>
      </c>
    </row>
    <row r="1705" spans="2:7" x14ac:dyDescent="0.35">
      <c r="B1705" s="2">
        <v>44152</v>
      </c>
      <c r="C1705" s="4">
        <v>1498.68</v>
      </c>
      <c r="D1705">
        <f t="shared" si="56"/>
        <v>8.3276902968818085</v>
      </c>
      <c r="E1705">
        <v>7.9089661851343696E-3</v>
      </c>
      <c r="F1705">
        <v>1702</v>
      </c>
      <c r="G1705">
        <f t="shared" ca="1" si="57"/>
        <v>1.7755866928485211E-2</v>
      </c>
    </row>
    <row r="1706" spans="2:7" x14ac:dyDescent="0.35">
      <c r="B1706" s="2">
        <v>41628</v>
      </c>
      <c r="C1706" s="4">
        <v>160.66999999999999</v>
      </c>
      <c r="D1706">
        <f t="shared" si="56"/>
        <v>0.57257511989820875</v>
      </c>
      <c r="E1706">
        <v>7.9041465403675293E-3</v>
      </c>
      <c r="F1706">
        <v>1703</v>
      </c>
      <c r="G1706">
        <f t="shared" ca="1" si="57"/>
        <v>9.9814867003960635E-3</v>
      </c>
    </row>
    <row r="1707" spans="2:7" x14ac:dyDescent="0.35">
      <c r="B1707" s="2">
        <v>41255</v>
      </c>
      <c r="C1707" s="4">
        <v>102.17</v>
      </c>
      <c r="D1707">
        <f t="shared" si="56"/>
        <v>-0.92144092883779938</v>
      </c>
      <c r="E1707">
        <v>7.891881227187536E-3</v>
      </c>
      <c r="F1707">
        <v>1704</v>
      </c>
      <c r="G1707">
        <f t="shared" ca="1" si="57"/>
        <v>3.4955230386253047E-2</v>
      </c>
    </row>
    <row r="1708" spans="2:7" x14ac:dyDescent="0.35">
      <c r="B1708" s="2">
        <v>43291</v>
      </c>
      <c r="C1708" s="4">
        <v>1300.55</v>
      </c>
      <c r="D1708">
        <f t="shared" si="56"/>
        <v>17.823997684180053</v>
      </c>
      <c r="E1708">
        <v>7.889210071529984E-3</v>
      </c>
      <c r="F1708">
        <v>1705</v>
      </c>
      <c r="G1708">
        <f t="shared" ca="1" si="57"/>
        <v>4.0248136703512336E-2</v>
      </c>
    </row>
    <row r="1709" spans="2:7" x14ac:dyDescent="0.35">
      <c r="B1709" s="2">
        <v>40072</v>
      </c>
      <c r="C1709" s="4">
        <v>69.09</v>
      </c>
      <c r="D1709">
        <f t="shared" si="56"/>
        <v>-0.38641207815275302</v>
      </c>
      <c r="E1709">
        <v>7.8774617067833841E-3</v>
      </c>
      <c r="F1709">
        <v>1706</v>
      </c>
      <c r="G1709">
        <f t="shared" ca="1" si="57"/>
        <v>-1.6869745550423403E-2</v>
      </c>
    </row>
    <row r="1710" spans="2:7" x14ac:dyDescent="0.35">
      <c r="B1710" s="2">
        <v>39213</v>
      </c>
      <c r="C1710" s="4">
        <v>112.6</v>
      </c>
      <c r="D1710">
        <f t="shared" si="56"/>
        <v>-0.49797137634312716</v>
      </c>
      <c r="E1710">
        <v>7.8768349445039743E-3</v>
      </c>
      <c r="F1710">
        <v>1707</v>
      </c>
      <c r="G1710">
        <f t="shared" ca="1" si="57"/>
        <v>7.7359859375792763E-3</v>
      </c>
    </row>
    <row r="1711" spans="2:7" x14ac:dyDescent="0.35">
      <c r="B1711" s="2">
        <v>41780</v>
      </c>
      <c r="C1711" s="4">
        <v>224.29</v>
      </c>
      <c r="D1711">
        <f t="shared" si="56"/>
        <v>-0.70451221922139518</v>
      </c>
      <c r="E1711">
        <v>7.8637548305922067E-3</v>
      </c>
      <c r="F1711">
        <v>1708</v>
      </c>
      <c r="G1711">
        <f t="shared" ca="1" si="57"/>
        <v>4.2120250324567961E-2</v>
      </c>
    </row>
    <row r="1712" spans="2:7" x14ac:dyDescent="0.35">
      <c r="B1712" s="2">
        <v>42599</v>
      </c>
      <c r="C1712" s="4">
        <v>759.05</v>
      </c>
      <c r="D1712">
        <f t="shared" si="56"/>
        <v>-0.85196431775453052</v>
      </c>
      <c r="E1712">
        <v>7.8605287267801138E-3</v>
      </c>
      <c r="F1712">
        <v>1709</v>
      </c>
      <c r="G1712">
        <f t="shared" ca="1" si="57"/>
        <v>-1.1484072867447986E-2</v>
      </c>
    </row>
    <row r="1713" spans="2:7" x14ac:dyDescent="0.35">
      <c r="B1713" s="2">
        <v>44455</v>
      </c>
      <c r="C1713" s="4">
        <v>5127.4799999999996</v>
      </c>
      <c r="D1713">
        <f t="shared" si="56"/>
        <v>2.1449022025134776</v>
      </c>
      <c r="E1713">
        <v>7.8604577109733231E-3</v>
      </c>
      <c r="F1713">
        <v>1710</v>
      </c>
      <c r="G1713">
        <f t="shared" ca="1" si="57"/>
        <v>1.5783245593101979E-2</v>
      </c>
    </row>
    <row r="1714" spans="2:7" x14ac:dyDescent="0.35">
      <c r="B1714" s="2">
        <v>44181</v>
      </c>
      <c r="C1714" s="4">
        <v>1630.41</v>
      </c>
      <c r="D1714">
        <f t="shared" si="56"/>
        <v>0.27081904346199415</v>
      </c>
      <c r="E1714">
        <v>7.8194540599347828E-3</v>
      </c>
      <c r="F1714">
        <v>1711</v>
      </c>
      <c r="G1714">
        <f t="shared" ca="1" si="57"/>
        <v>1.9144770429044253E-2</v>
      </c>
    </row>
    <row r="1715" spans="2:7" x14ac:dyDescent="0.35">
      <c r="B1715" s="2">
        <v>43350</v>
      </c>
      <c r="C1715" s="4">
        <v>1282.96</v>
      </c>
      <c r="D1715">
        <f t="shared" si="56"/>
        <v>0.45559337417744494</v>
      </c>
      <c r="E1715">
        <v>7.8002875030440677E-3</v>
      </c>
      <c r="F1715">
        <v>1712</v>
      </c>
      <c r="G1715">
        <f t="shared" ca="1" si="57"/>
        <v>4.0553655096096389E-2</v>
      </c>
    </row>
    <row r="1716" spans="2:7" x14ac:dyDescent="0.35">
      <c r="B1716" s="2">
        <v>42418</v>
      </c>
      <c r="C1716" s="4">
        <v>881.4</v>
      </c>
      <c r="D1716">
        <f t="shared" si="56"/>
        <v>28.606986899563317</v>
      </c>
      <c r="E1716">
        <v>7.7865056769457208E-3</v>
      </c>
      <c r="F1716">
        <v>1713</v>
      </c>
      <c r="G1716">
        <f t="shared" ca="1" si="57"/>
        <v>-7.5068393098173189E-3</v>
      </c>
    </row>
    <row r="1717" spans="2:7" x14ac:dyDescent="0.35">
      <c r="B1717" s="2">
        <v>39888</v>
      </c>
      <c r="C1717" s="4">
        <v>29.77</v>
      </c>
      <c r="D1717">
        <f t="shared" si="56"/>
        <v>-0.73869920126393396</v>
      </c>
      <c r="E1717">
        <v>7.786052809749533E-3</v>
      </c>
      <c r="F1717">
        <v>1714</v>
      </c>
      <c r="G1717">
        <f t="shared" ca="1" si="57"/>
        <v>-1.1071706148089363E-2</v>
      </c>
    </row>
    <row r="1718" spans="2:7" x14ac:dyDescent="0.35">
      <c r="B1718" s="2">
        <v>40514</v>
      </c>
      <c r="C1718" s="4">
        <v>113.93</v>
      </c>
      <c r="D1718">
        <f t="shared" si="56"/>
        <v>0.37496982862659922</v>
      </c>
      <c r="E1718">
        <v>7.784166298098194E-3</v>
      </c>
      <c r="F1718">
        <v>1715</v>
      </c>
      <c r="G1718">
        <f t="shared" ca="1" si="57"/>
        <v>2.0951242582276482E-2</v>
      </c>
    </row>
    <row r="1719" spans="2:7" x14ac:dyDescent="0.35">
      <c r="B1719" s="2">
        <v>41338</v>
      </c>
      <c r="C1719" s="4">
        <v>82.86</v>
      </c>
      <c r="D1719">
        <f t="shared" si="56"/>
        <v>-0.99067458977648726</v>
      </c>
      <c r="E1719">
        <v>7.7839941620043707E-3</v>
      </c>
      <c r="F1719">
        <v>1716</v>
      </c>
      <c r="G1719">
        <f t="shared" ca="1" si="57"/>
        <v>1.9726978521415375E-2</v>
      </c>
    </row>
    <row r="1720" spans="2:7" x14ac:dyDescent="0.35">
      <c r="B1720" s="2">
        <v>44816</v>
      </c>
      <c r="C1720" s="4">
        <v>8885.4</v>
      </c>
      <c r="D1720">
        <f t="shared" si="56"/>
        <v>9.2249738201820506</v>
      </c>
      <c r="E1720">
        <v>7.7806006714453702E-3</v>
      </c>
      <c r="F1720">
        <v>1717</v>
      </c>
      <c r="G1720">
        <f t="shared" ca="1" si="57"/>
        <v>-2.4249252472191781E-2</v>
      </c>
    </row>
    <row r="1721" spans="2:7" x14ac:dyDescent="0.35">
      <c r="B1721" s="2">
        <v>42270</v>
      </c>
      <c r="C1721" s="4">
        <v>868.99</v>
      </c>
      <c r="D1721">
        <f t="shared" si="56"/>
        <v>0.37847398477157368</v>
      </c>
      <c r="E1721">
        <v>7.770007770007803E-3</v>
      </c>
      <c r="F1721">
        <v>1718</v>
      </c>
      <c r="G1721">
        <f t="shared" ca="1" si="57"/>
        <v>-8.8849299790509152E-4</v>
      </c>
    </row>
    <row r="1722" spans="2:7" x14ac:dyDescent="0.35">
      <c r="B1722" s="2">
        <v>43731</v>
      </c>
      <c r="C1722" s="4">
        <v>630.4</v>
      </c>
      <c r="D1722">
        <f t="shared" si="56"/>
        <v>7.0913874983955854</v>
      </c>
      <c r="E1722">
        <v>7.7692873357420034E-3</v>
      </c>
      <c r="F1722">
        <v>1719</v>
      </c>
      <c r="G1722">
        <f t="shared" ca="1" si="57"/>
        <v>1.7994278203741616E-2</v>
      </c>
    </row>
    <row r="1723" spans="2:7" x14ac:dyDescent="0.35">
      <c r="B1723" s="2">
        <v>38989</v>
      </c>
      <c r="C1723" s="4">
        <v>77.91</v>
      </c>
      <c r="D1723">
        <f t="shared" si="56"/>
        <v>-0.86426356319035502</v>
      </c>
      <c r="E1723">
        <v>7.7609623593324351E-3</v>
      </c>
      <c r="F1723">
        <v>1720</v>
      </c>
      <c r="G1723">
        <f t="shared" ca="1" si="57"/>
        <v>6.9656549564737404E-3</v>
      </c>
    </row>
    <row r="1724" spans="2:7" x14ac:dyDescent="0.35">
      <c r="B1724" s="2">
        <v>42682</v>
      </c>
      <c r="C1724" s="4">
        <v>573.98</v>
      </c>
      <c r="D1724">
        <f t="shared" si="56"/>
        <v>-0.38955182609065575</v>
      </c>
      <c r="E1724">
        <v>7.7603764309293055E-3</v>
      </c>
      <c r="F1724">
        <v>1721</v>
      </c>
      <c r="G1724">
        <f t="shared" ca="1" si="57"/>
        <v>-1.8202535721841585E-2</v>
      </c>
    </row>
    <row r="1725" spans="2:7" x14ac:dyDescent="0.35">
      <c r="B1725" s="2">
        <v>43853</v>
      </c>
      <c r="C1725" s="4">
        <v>940.26</v>
      </c>
      <c r="D1725">
        <f t="shared" si="56"/>
        <v>-0.82744040081484338</v>
      </c>
      <c r="E1725">
        <v>7.7597479153717064E-3</v>
      </c>
      <c r="F1725">
        <v>1722</v>
      </c>
      <c r="G1725">
        <f t="shared" ca="1" si="57"/>
        <v>1.9022175639585911E-2</v>
      </c>
    </row>
    <row r="1726" spans="2:7" x14ac:dyDescent="0.35">
      <c r="B1726" s="2">
        <v>44552</v>
      </c>
      <c r="C1726" s="4">
        <v>5448.9</v>
      </c>
      <c r="D1726">
        <f t="shared" si="56"/>
        <v>5.7925304478988755</v>
      </c>
      <c r="E1726">
        <v>7.7566691819432876E-3</v>
      </c>
      <c r="F1726">
        <v>1723</v>
      </c>
      <c r="G1726">
        <f t="shared" ca="1" si="57"/>
        <v>-3.538919434989427E-3</v>
      </c>
    </row>
    <row r="1727" spans="2:7" x14ac:dyDescent="0.35">
      <c r="B1727" s="2">
        <v>42929</v>
      </c>
      <c r="C1727" s="4">
        <v>802.19</v>
      </c>
      <c r="D1727">
        <f t="shared" si="56"/>
        <v>-0.7161574988146544</v>
      </c>
      <c r="E1727">
        <v>7.7384018190269632E-3</v>
      </c>
      <c r="F1727">
        <v>1724</v>
      </c>
      <c r="G1727">
        <f t="shared" ca="1" si="57"/>
        <v>1.5478926264630252E-2</v>
      </c>
    </row>
    <row r="1728" spans="2:7" x14ac:dyDescent="0.35">
      <c r="B1728" s="2">
        <v>44242</v>
      </c>
      <c r="C1728" s="4">
        <v>2826.18</v>
      </c>
      <c r="D1728">
        <f t="shared" si="56"/>
        <v>1.8108328526246691</v>
      </c>
      <c r="E1728">
        <v>7.7376198083065617E-3</v>
      </c>
      <c r="F1728">
        <v>1725</v>
      </c>
      <c r="G1728">
        <f t="shared" ca="1" si="57"/>
        <v>1.3169696994702515E-2</v>
      </c>
    </row>
    <row r="1729" spans="2:7" x14ac:dyDescent="0.35">
      <c r="B1729" s="2">
        <v>43867</v>
      </c>
      <c r="C1729" s="4">
        <v>1005.46</v>
      </c>
      <c r="D1729">
        <f t="shared" si="56"/>
        <v>8.8777876019255331</v>
      </c>
      <c r="E1729">
        <v>7.7374867199873076E-3</v>
      </c>
      <c r="F1729">
        <v>1726</v>
      </c>
      <c r="G1729">
        <f t="shared" ca="1" si="57"/>
        <v>7.2456361395671466E-3</v>
      </c>
    </row>
    <row r="1730" spans="2:7" x14ac:dyDescent="0.35">
      <c r="B1730" s="2">
        <v>40674</v>
      </c>
      <c r="C1730" s="4">
        <v>101.79</v>
      </c>
      <c r="D1730">
        <f t="shared" si="56"/>
        <v>-0.10459183673469385</v>
      </c>
      <c r="E1730">
        <v>7.7220077220077066E-3</v>
      </c>
      <c r="F1730">
        <v>1727</v>
      </c>
      <c r="G1730">
        <f t="shared" ca="1" si="57"/>
        <v>1.0853482049045605E-2</v>
      </c>
    </row>
    <row r="1731" spans="2:7" x14ac:dyDescent="0.35">
      <c r="B1731" s="2">
        <v>39196</v>
      </c>
      <c r="C1731" s="4">
        <v>113.68</v>
      </c>
      <c r="D1731">
        <f t="shared" si="56"/>
        <v>0.14262739973866734</v>
      </c>
      <c r="E1731">
        <v>7.7120822622107621E-3</v>
      </c>
      <c r="F1731">
        <v>1728</v>
      </c>
      <c r="G1731">
        <f t="shared" ca="1" si="57"/>
        <v>-2.334806285185136E-3</v>
      </c>
    </row>
    <row r="1732" spans="2:7" x14ac:dyDescent="0.35">
      <c r="B1732" s="2">
        <v>41194</v>
      </c>
      <c r="C1732" s="4">
        <v>99.49</v>
      </c>
      <c r="D1732">
        <f t="shared" ref="D1732:D1795" si="58">C1732/C1733-1</f>
        <v>-0.91301268656063927</v>
      </c>
      <c r="E1732">
        <v>7.6977615719637793E-3</v>
      </c>
      <c r="F1732">
        <v>1729</v>
      </c>
      <c r="G1732">
        <f t="shared" ca="1" si="57"/>
        <v>-3.6366273619015455E-2</v>
      </c>
    </row>
    <row r="1733" spans="2:7" x14ac:dyDescent="0.35">
      <c r="B1733" s="2">
        <v>43223</v>
      </c>
      <c r="C1733" s="4">
        <v>1143.73</v>
      </c>
      <c r="D1733">
        <f t="shared" si="58"/>
        <v>0.41382763053797467</v>
      </c>
      <c r="E1733">
        <v>7.6916299559470769E-3</v>
      </c>
      <c r="F1733">
        <v>1730</v>
      </c>
      <c r="G1733">
        <f t="shared" ref="G1733:G1796" ca="1" si="59">_xlfn.NORM.INV(RAND(),K$6,K$7)</f>
        <v>2.3307096912155312E-2</v>
      </c>
    </row>
    <row r="1734" spans="2:7" x14ac:dyDescent="0.35">
      <c r="B1734" s="2">
        <v>42555</v>
      </c>
      <c r="C1734" s="4">
        <v>808.96</v>
      </c>
      <c r="D1734">
        <f t="shared" si="58"/>
        <v>-0.86714599390056646</v>
      </c>
      <c r="E1734">
        <v>7.6605921700030333E-3</v>
      </c>
      <c r="F1734">
        <v>1731</v>
      </c>
      <c r="G1734">
        <f t="shared" ca="1" si="59"/>
        <v>3.2502966957871478E-2</v>
      </c>
    </row>
    <row r="1735" spans="2:7" x14ac:dyDescent="0.35">
      <c r="B1735" s="2">
        <v>44482</v>
      </c>
      <c r="C1735" s="4">
        <v>6089.09</v>
      </c>
      <c r="D1735">
        <f t="shared" si="58"/>
        <v>6.381609892108135</v>
      </c>
      <c r="E1735">
        <v>7.6486834897988576E-3</v>
      </c>
      <c r="F1735">
        <v>1732</v>
      </c>
      <c r="G1735">
        <f t="shared" ca="1" si="59"/>
        <v>1.0407588755479773E-2</v>
      </c>
    </row>
    <row r="1736" spans="2:7" x14ac:dyDescent="0.35">
      <c r="B1736" s="2">
        <v>43658</v>
      </c>
      <c r="C1736" s="4">
        <v>824.9</v>
      </c>
      <c r="D1736">
        <f t="shared" si="58"/>
        <v>9.2119896202933704E-2</v>
      </c>
      <c r="E1736">
        <v>7.6468288869344647E-3</v>
      </c>
      <c r="F1736">
        <v>1733</v>
      </c>
      <c r="G1736">
        <f t="shared" ca="1" si="59"/>
        <v>-5.2072622583008363E-2</v>
      </c>
    </row>
    <row r="1737" spans="2:7" x14ac:dyDescent="0.35">
      <c r="B1737" s="2">
        <v>43966</v>
      </c>
      <c r="C1737" s="4">
        <v>755.32</v>
      </c>
      <c r="D1737">
        <f t="shared" si="58"/>
        <v>8.8747548699176377</v>
      </c>
      <c r="E1737">
        <v>7.6441788177536996E-3</v>
      </c>
      <c r="F1737">
        <v>1734</v>
      </c>
      <c r="G1737">
        <f t="shared" ca="1" si="59"/>
        <v>-1.8480913446054254E-2</v>
      </c>
    </row>
    <row r="1738" spans="2:7" x14ac:dyDescent="0.35">
      <c r="B1738" s="2">
        <v>39639</v>
      </c>
      <c r="C1738" s="4">
        <v>76.489999999999995</v>
      </c>
      <c r="D1738">
        <f t="shared" si="58"/>
        <v>-0.9052966521394612</v>
      </c>
      <c r="E1738">
        <v>7.6406270583586622E-3</v>
      </c>
      <c r="F1738">
        <v>1735</v>
      </c>
      <c r="G1738">
        <f t="shared" ca="1" si="59"/>
        <v>4.5744030024795022E-3</v>
      </c>
    </row>
    <row r="1739" spans="2:7" x14ac:dyDescent="0.35">
      <c r="B1739" s="2">
        <v>43641</v>
      </c>
      <c r="C1739" s="4">
        <v>807.68</v>
      </c>
      <c r="D1739">
        <f t="shared" si="58"/>
        <v>4.9303002351473779E-2</v>
      </c>
      <c r="E1739">
        <v>7.6351115325115071E-3</v>
      </c>
      <c r="F1739">
        <v>1736</v>
      </c>
      <c r="G1739">
        <f t="shared" ca="1" si="59"/>
        <v>4.401278212662803E-3</v>
      </c>
    </row>
    <row r="1740" spans="2:7" x14ac:dyDescent="0.35">
      <c r="B1740" s="2">
        <v>42570</v>
      </c>
      <c r="C1740" s="4">
        <v>769.73</v>
      </c>
      <c r="D1740">
        <f t="shared" si="58"/>
        <v>3.1571073666018581</v>
      </c>
      <c r="E1740">
        <v>7.6318889907056597E-3</v>
      </c>
      <c r="F1740">
        <v>1737</v>
      </c>
      <c r="G1740">
        <f t="shared" ca="1" si="59"/>
        <v>6.7230069660924709E-3</v>
      </c>
    </row>
    <row r="1741" spans="2:7" x14ac:dyDescent="0.35">
      <c r="B1741" s="2">
        <v>41639</v>
      </c>
      <c r="C1741" s="4">
        <v>185.16</v>
      </c>
      <c r="D1741">
        <f t="shared" si="58"/>
        <v>-0.95061807416890032</v>
      </c>
      <c r="E1741">
        <v>7.6186329995646673E-3</v>
      </c>
      <c r="F1741">
        <v>1738</v>
      </c>
      <c r="G1741">
        <f t="shared" ca="1" si="59"/>
        <v>2.1023242091907358E-2</v>
      </c>
    </row>
    <row r="1742" spans="2:7" x14ac:dyDescent="0.35">
      <c r="B1742" s="2">
        <v>44372</v>
      </c>
      <c r="C1742" s="4">
        <v>3749.55</v>
      </c>
      <c r="D1742">
        <f t="shared" si="58"/>
        <v>2.9039919203698306</v>
      </c>
      <c r="E1742">
        <v>7.618510158013736E-3</v>
      </c>
      <c r="F1742">
        <v>1739</v>
      </c>
      <c r="G1742">
        <f t="shared" ca="1" si="59"/>
        <v>-4.6687896156831126E-3</v>
      </c>
    </row>
    <row r="1743" spans="2:7" x14ac:dyDescent="0.35">
      <c r="B1743" s="2">
        <v>43465</v>
      </c>
      <c r="C1743" s="4">
        <v>960.44</v>
      </c>
      <c r="D1743">
        <f t="shared" si="58"/>
        <v>0.35143805932346495</v>
      </c>
      <c r="E1743">
        <v>7.5954678976080103E-3</v>
      </c>
      <c r="F1743">
        <v>1740</v>
      </c>
      <c r="G1743">
        <f t="shared" ca="1" si="59"/>
        <v>-2.2653383514792319E-2</v>
      </c>
    </row>
    <row r="1744" spans="2:7" x14ac:dyDescent="0.35">
      <c r="B1744" s="2">
        <v>42844</v>
      </c>
      <c r="C1744" s="4">
        <v>710.68</v>
      </c>
      <c r="D1744">
        <f t="shared" si="58"/>
        <v>5.2073543540920602</v>
      </c>
      <c r="E1744">
        <v>7.57081691099315E-3</v>
      </c>
      <c r="F1744">
        <v>1741</v>
      </c>
      <c r="G1744">
        <f t="shared" ca="1" si="59"/>
        <v>1.7626789264951735E-2</v>
      </c>
    </row>
    <row r="1745" spans="2:7" x14ac:dyDescent="0.35">
      <c r="B1745" s="2">
        <v>40247</v>
      </c>
      <c r="C1745" s="4">
        <v>114.49</v>
      </c>
      <c r="D1745">
        <f t="shared" si="58"/>
        <v>0.28021916582802175</v>
      </c>
      <c r="E1745">
        <v>7.5684238317346164E-3</v>
      </c>
      <c r="F1745">
        <v>1742</v>
      </c>
      <c r="G1745">
        <f t="shared" ca="1" si="59"/>
        <v>4.7723354436330093E-2</v>
      </c>
    </row>
    <row r="1746" spans="2:7" x14ac:dyDescent="0.35">
      <c r="B1746" s="2">
        <v>39415</v>
      </c>
      <c r="C1746" s="4">
        <v>89.43</v>
      </c>
      <c r="D1746">
        <f t="shared" si="58"/>
        <v>0.36326219512195146</v>
      </c>
      <c r="E1746">
        <v>7.5484452456060502E-3</v>
      </c>
      <c r="F1746">
        <v>1743</v>
      </c>
      <c r="G1746">
        <f t="shared" ca="1" si="59"/>
        <v>1.4571169087447494E-2</v>
      </c>
    </row>
    <row r="1747" spans="2:7" x14ac:dyDescent="0.35">
      <c r="B1747" s="2">
        <v>38804</v>
      </c>
      <c r="C1747" s="4">
        <v>65.599999999999994</v>
      </c>
      <c r="D1747">
        <f t="shared" si="58"/>
        <v>-0.92633269323630807</v>
      </c>
      <c r="E1747">
        <v>7.5257256949776696E-3</v>
      </c>
      <c r="F1747">
        <v>1744</v>
      </c>
      <c r="G1747">
        <f t="shared" ca="1" si="59"/>
        <v>5.0333238792504273E-2</v>
      </c>
    </row>
    <row r="1748" spans="2:7" x14ac:dyDescent="0.35">
      <c r="B1748" s="2">
        <v>44018</v>
      </c>
      <c r="C1748" s="4">
        <v>890.49</v>
      </c>
      <c r="D1748">
        <f t="shared" si="58"/>
        <v>-0.87084239839874689</v>
      </c>
      <c r="E1748">
        <v>7.5239862418536863E-3</v>
      </c>
      <c r="F1748">
        <v>1745</v>
      </c>
      <c r="G1748">
        <f t="shared" ca="1" si="59"/>
        <v>-1.4896784076586702E-2</v>
      </c>
    </row>
    <row r="1749" spans="2:7" x14ac:dyDescent="0.35">
      <c r="B1749" s="2">
        <v>44883</v>
      </c>
      <c r="C1749" s="4">
        <v>6894.6</v>
      </c>
      <c r="D1749">
        <f t="shared" si="58"/>
        <v>6.3388968130628234</v>
      </c>
      <c r="E1749">
        <v>7.5111059153614157E-3</v>
      </c>
      <c r="F1749">
        <v>1746</v>
      </c>
      <c r="G1749">
        <f t="shared" ca="1" si="59"/>
        <v>-1.5818583399956232E-2</v>
      </c>
    </row>
    <row r="1750" spans="2:7" x14ac:dyDescent="0.35">
      <c r="B1750" s="2">
        <v>43105</v>
      </c>
      <c r="C1750" s="4">
        <v>939.46</v>
      </c>
      <c r="D1750">
        <f t="shared" si="58"/>
        <v>8.9963822089806342</v>
      </c>
      <c r="E1750">
        <v>7.5070244300023958E-3</v>
      </c>
      <c r="F1750">
        <v>1747</v>
      </c>
      <c r="G1750">
        <f t="shared" ca="1" si="59"/>
        <v>-1.318804919142392E-2</v>
      </c>
    </row>
    <row r="1751" spans="2:7" x14ac:dyDescent="0.35">
      <c r="B1751" s="2">
        <v>40165</v>
      </c>
      <c r="C1751" s="4">
        <v>93.98</v>
      </c>
      <c r="D1751">
        <f t="shared" si="58"/>
        <v>1.9086969978334878</v>
      </c>
      <c r="E1751">
        <v>7.5042881646656401E-3</v>
      </c>
      <c r="F1751">
        <v>1748</v>
      </c>
      <c r="G1751">
        <f t="shared" ca="1" si="59"/>
        <v>8.2112290285964401E-4</v>
      </c>
    </row>
    <row r="1752" spans="2:7" x14ac:dyDescent="0.35">
      <c r="B1752" s="2">
        <v>38155</v>
      </c>
      <c r="C1752" s="4">
        <v>32.31</v>
      </c>
      <c r="D1752">
        <f t="shared" si="58"/>
        <v>-0.95052900736476242</v>
      </c>
      <c r="E1752">
        <v>7.4836295603368796E-3</v>
      </c>
      <c r="F1752">
        <v>1749</v>
      </c>
      <c r="G1752">
        <f t="shared" ca="1" si="59"/>
        <v>3.0277335867919183E-2</v>
      </c>
    </row>
    <row r="1753" spans="2:7" x14ac:dyDescent="0.35">
      <c r="B1753" s="2">
        <v>42647</v>
      </c>
      <c r="C1753" s="4">
        <v>653.11</v>
      </c>
      <c r="D1753">
        <f t="shared" si="58"/>
        <v>8.303561253561254</v>
      </c>
      <c r="E1753">
        <v>7.4660249587363836E-3</v>
      </c>
      <c r="F1753">
        <v>1750</v>
      </c>
      <c r="G1753">
        <f t="shared" ca="1" si="59"/>
        <v>7.6615185497318408E-3</v>
      </c>
    </row>
    <row r="1754" spans="2:7" x14ac:dyDescent="0.35">
      <c r="B1754" s="2">
        <v>39647</v>
      </c>
      <c r="C1754" s="4">
        <v>70.2</v>
      </c>
      <c r="D1754">
        <f t="shared" si="58"/>
        <v>0.3325740318906607</v>
      </c>
      <c r="E1754">
        <v>7.4626865671640896E-3</v>
      </c>
      <c r="F1754">
        <v>1751</v>
      </c>
      <c r="G1754">
        <f t="shared" ca="1" si="59"/>
        <v>-7.3266764023396176E-4</v>
      </c>
    </row>
    <row r="1755" spans="2:7" x14ac:dyDescent="0.35">
      <c r="B1755" s="2">
        <v>40010</v>
      </c>
      <c r="C1755" s="4">
        <v>52.68</v>
      </c>
      <c r="D1755">
        <f t="shared" si="58"/>
        <v>-0.81072147168726649</v>
      </c>
      <c r="E1755">
        <v>7.4584050487664921E-3</v>
      </c>
      <c r="F1755">
        <v>1752</v>
      </c>
      <c r="G1755">
        <f t="shared" ca="1" si="59"/>
        <v>-6.6410178705922362E-3</v>
      </c>
    </row>
    <row r="1756" spans="2:7" x14ac:dyDescent="0.35">
      <c r="B1756" s="2">
        <v>41940</v>
      </c>
      <c r="C1756" s="4">
        <v>278.32</v>
      </c>
      <c r="D1756">
        <f t="shared" si="58"/>
        <v>2.2697368421052628</v>
      </c>
      <c r="E1756">
        <v>7.456743647288766E-3</v>
      </c>
      <c r="F1756">
        <v>1753</v>
      </c>
      <c r="G1756">
        <f t="shared" ca="1" si="59"/>
        <v>1.0206932232000416E-2</v>
      </c>
    </row>
    <row r="1757" spans="2:7" x14ac:dyDescent="0.35">
      <c r="B1757" s="2">
        <v>41401</v>
      </c>
      <c r="C1757" s="4">
        <v>85.12</v>
      </c>
      <c r="D1757">
        <f t="shared" si="58"/>
        <v>-0.17278911564625854</v>
      </c>
      <c r="E1757">
        <v>7.4565037282519064E-3</v>
      </c>
      <c r="F1757">
        <v>1754</v>
      </c>
      <c r="G1757">
        <f t="shared" ca="1" si="59"/>
        <v>3.3478648560800656E-2</v>
      </c>
    </row>
    <row r="1758" spans="2:7" x14ac:dyDescent="0.35">
      <c r="B1758" s="2">
        <v>40737</v>
      </c>
      <c r="C1758" s="4">
        <v>102.9</v>
      </c>
      <c r="D1758">
        <f t="shared" si="58"/>
        <v>0.85105234754452241</v>
      </c>
      <c r="E1758">
        <v>7.4407675739180945E-3</v>
      </c>
      <c r="F1758">
        <v>1755</v>
      </c>
      <c r="G1758">
        <f t="shared" ca="1" si="59"/>
        <v>-2.1164884283594282E-2</v>
      </c>
    </row>
    <row r="1759" spans="2:7" x14ac:dyDescent="0.35">
      <c r="B1759" s="2">
        <v>40025</v>
      </c>
      <c r="C1759" s="4">
        <v>55.59</v>
      </c>
      <c r="D1759">
        <f t="shared" si="58"/>
        <v>-4.6810699588477278E-2</v>
      </c>
      <c r="E1759">
        <v>7.4302283436027405E-3</v>
      </c>
      <c r="F1759">
        <v>1756</v>
      </c>
      <c r="G1759">
        <f t="shared" ca="1" si="59"/>
        <v>1.3613323163535029E-2</v>
      </c>
    </row>
    <row r="1760" spans="2:7" x14ac:dyDescent="0.35">
      <c r="B1760" s="2">
        <v>39966</v>
      </c>
      <c r="C1760" s="4">
        <v>58.32</v>
      </c>
      <c r="D1760">
        <f t="shared" si="58"/>
        <v>-0.31940716536351965</v>
      </c>
      <c r="E1760">
        <v>7.4278804629470674E-3</v>
      </c>
      <c r="F1760">
        <v>1757</v>
      </c>
      <c r="G1760">
        <f t="shared" ca="1" si="59"/>
        <v>-3.4708701596265615E-2</v>
      </c>
    </row>
    <row r="1761" spans="2:7" x14ac:dyDescent="0.35">
      <c r="B1761" s="2">
        <v>40833</v>
      </c>
      <c r="C1761" s="4">
        <v>85.69</v>
      </c>
      <c r="D1761">
        <f t="shared" si="58"/>
        <v>4.9736616440034354E-2</v>
      </c>
      <c r="E1761">
        <v>7.4065365624265134E-3</v>
      </c>
      <c r="F1761">
        <v>1758</v>
      </c>
      <c r="G1761">
        <f t="shared" ca="1" si="59"/>
        <v>7.3013196108128633E-2</v>
      </c>
    </row>
    <row r="1762" spans="2:7" x14ac:dyDescent="0.35">
      <c r="B1762" s="2">
        <v>41423</v>
      </c>
      <c r="C1762" s="4">
        <v>81.63</v>
      </c>
      <c r="D1762">
        <f t="shared" si="58"/>
        <v>-0.18921334922526822</v>
      </c>
      <c r="E1762">
        <v>7.4046649389114538E-3</v>
      </c>
      <c r="F1762">
        <v>1759</v>
      </c>
      <c r="G1762">
        <f t="shared" ca="1" si="59"/>
        <v>5.1175231492242733E-3</v>
      </c>
    </row>
    <row r="1763" spans="2:7" x14ac:dyDescent="0.35">
      <c r="B1763" s="2">
        <v>40178</v>
      </c>
      <c r="C1763" s="4">
        <v>100.68</v>
      </c>
      <c r="D1763">
        <f t="shared" si="58"/>
        <v>-0.87402560028027676</v>
      </c>
      <c r="E1763">
        <v>7.4044426655994755E-3</v>
      </c>
      <c r="F1763">
        <v>1760</v>
      </c>
      <c r="G1763">
        <f t="shared" ca="1" si="59"/>
        <v>-2.3356429704718872E-2</v>
      </c>
    </row>
    <row r="1764" spans="2:7" x14ac:dyDescent="0.35">
      <c r="B1764" s="2">
        <v>43986</v>
      </c>
      <c r="C1764" s="4">
        <v>799.21</v>
      </c>
      <c r="D1764">
        <f t="shared" si="58"/>
        <v>23.410812461820402</v>
      </c>
      <c r="E1764">
        <v>7.3990974865758563E-3</v>
      </c>
      <c r="F1764">
        <v>1761</v>
      </c>
      <c r="G1764">
        <f t="shared" ca="1" si="59"/>
        <v>7.463966249918531E-3</v>
      </c>
    </row>
    <row r="1765" spans="2:7" x14ac:dyDescent="0.35">
      <c r="B1765" s="2">
        <v>38159</v>
      </c>
      <c r="C1765" s="4">
        <v>32.74</v>
      </c>
      <c r="D1765">
        <f t="shared" si="58"/>
        <v>-0.46738246299007646</v>
      </c>
      <c r="E1765">
        <v>7.3846153846155449E-3</v>
      </c>
      <c r="F1765">
        <v>1762</v>
      </c>
      <c r="G1765">
        <f t="shared" ca="1" si="59"/>
        <v>-1.0273295966704758E-3</v>
      </c>
    </row>
    <row r="1766" spans="2:7" x14ac:dyDescent="0.35">
      <c r="B1766" s="2">
        <v>38929</v>
      </c>
      <c r="C1766" s="4">
        <v>61.47</v>
      </c>
      <c r="D1766">
        <f t="shared" si="58"/>
        <v>1.0428713858424725</v>
      </c>
      <c r="E1766">
        <v>7.3746312684364046E-3</v>
      </c>
      <c r="F1766">
        <v>1763</v>
      </c>
      <c r="G1766">
        <f t="shared" ca="1" si="59"/>
        <v>-4.5836670776723716E-3</v>
      </c>
    </row>
    <row r="1767" spans="2:7" x14ac:dyDescent="0.35">
      <c r="B1767" s="2">
        <v>37524</v>
      </c>
      <c r="C1767" s="4">
        <v>30.09</v>
      </c>
      <c r="D1767">
        <f t="shared" si="58"/>
        <v>-0.99517962273218796</v>
      </c>
      <c r="E1767">
        <v>7.3652494141278613E-3</v>
      </c>
      <c r="F1767">
        <v>1764</v>
      </c>
      <c r="G1767">
        <f t="shared" ca="1" si="59"/>
        <v>1.1096613885605589E-2</v>
      </c>
    </row>
    <row r="1768" spans="2:7" x14ac:dyDescent="0.35">
      <c r="B1768" s="2">
        <v>44939</v>
      </c>
      <c r="C1768" s="4">
        <v>6242.25</v>
      </c>
      <c r="D1768">
        <f t="shared" si="58"/>
        <v>6.0294024909348893</v>
      </c>
      <c r="E1768">
        <v>7.3588148435042022E-3</v>
      </c>
      <c r="F1768">
        <v>1765</v>
      </c>
      <c r="G1768">
        <f t="shared" ca="1" si="59"/>
        <v>5.2109633741039225E-2</v>
      </c>
    </row>
    <row r="1769" spans="2:7" x14ac:dyDescent="0.35">
      <c r="B1769" s="2">
        <v>44027</v>
      </c>
      <c r="C1769" s="4">
        <v>888.02</v>
      </c>
      <c r="D1769">
        <f t="shared" si="58"/>
        <v>0.32702710780358046</v>
      </c>
      <c r="E1769">
        <v>7.3507725117407663E-3</v>
      </c>
      <c r="F1769">
        <v>1766</v>
      </c>
      <c r="G1769">
        <f t="shared" ca="1" si="59"/>
        <v>-2.3917908591900874E-2</v>
      </c>
    </row>
    <row r="1770" spans="2:7" x14ac:dyDescent="0.35">
      <c r="B1770" s="2">
        <v>42810</v>
      </c>
      <c r="C1770" s="4">
        <v>669.18</v>
      </c>
      <c r="D1770">
        <f t="shared" si="58"/>
        <v>-0.76470298665954051</v>
      </c>
      <c r="E1770">
        <v>7.3460785789551952E-3</v>
      </c>
      <c r="F1770">
        <v>1767</v>
      </c>
      <c r="G1770">
        <f t="shared" ca="1" si="59"/>
        <v>-2.2121998877319232E-2</v>
      </c>
    </row>
    <row r="1771" spans="2:7" x14ac:dyDescent="0.35">
      <c r="B1771" s="2">
        <v>44292</v>
      </c>
      <c r="C1771" s="4">
        <v>2843.98</v>
      </c>
      <c r="D1771">
        <f t="shared" si="58"/>
        <v>25.81229376826624</v>
      </c>
      <c r="E1771">
        <v>7.3354656125699247E-3</v>
      </c>
      <c r="F1771">
        <v>1768</v>
      </c>
      <c r="G1771">
        <f t="shared" ca="1" si="59"/>
        <v>7.3282417627366985E-3</v>
      </c>
    </row>
    <row r="1772" spans="2:7" x14ac:dyDescent="0.35">
      <c r="B1772" s="2">
        <v>39350</v>
      </c>
      <c r="C1772" s="4">
        <v>106.07</v>
      </c>
      <c r="D1772">
        <f t="shared" si="58"/>
        <v>-5.1082483449633287E-2</v>
      </c>
      <c r="E1772">
        <v>7.3124406457738544E-3</v>
      </c>
      <c r="F1772">
        <v>1769</v>
      </c>
      <c r="G1772">
        <f t="shared" ca="1" si="59"/>
        <v>-3.1367014632890267E-2</v>
      </c>
    </row>
    <row r="1773" spans="2:7" x14ac:dyDescent="0.35">
      <c r="B1773" s="2">
        <v>40365</v>
      </c>
      <c r="C1773" s="4">
        <v>111.78</v>
      </c>
      <c r="D1773">
        <f t="shared" si="58"/>
        <v>2.3729631864815932</v>
      </c>
      <c r="E1773">
        <v>7.2992700729928028E-3</v>
      </c>
      <c r="F1773">
        <v>1770</v>
      </c>
      <c r="G1773">
        <f t="shared" ca="1" si="59"/>
        <v>-3.6565781866070311E-2</v>
      </c>
    </row>
    <row r="1774" spans="2:7" x14ac:dyDescent="0.35">
      <c r="B1774" s="2">
        <v>39780</v>
      </c>
      <c r="C1774" s="4">
        <v>33.14</v>
      </c>
      <c r="D1774">
        <f t="shared" si="58"/>
        <v>8.8699080157687238E-2</v>
      </c>
      <c r="E1774">
        <v>7.2948328267476992E-3</v>
      </c>
      <c r="F1774">
        <v>1771</v>
      </c>
      <c r="G1774">
        <f t="shared" ca="1" si="59"/>
        <v>-4.8285623581439181E-2</v>
      </c>
    </row>
    <row r="1775" spans="2:7" x14ac:dyDescent="0.35">
      <c r="B1775" s="2">
        <v>38028</v>
      </c>
      <c r="C1775" s="4">
        <v>30.44</v>
      </c>
      <c r="D1775">
        <f t="shared" si="58"/>
        <v>-0.96662353895747899</v>
      </c>
      <c r="E1775">
        <v>7.2799470549305134E-3</v>
      </c>
      <c r="F1775">
        <v>1772</v>
      </c>
      <c r="G1775">
        <f t="shared" ca="1" si="59"/>
        <v>3.5250193358719629E-2</v>
      </c>
    </row>
    <row r="1776" spans="2:7" x14ac:dyDescent="0.35">
      <c r="B1776" s="2">
        <v>43479</v>
      </c>
      <c r="C1776" s="4">
        <v>912.02</v>
      </c>
      <c r="D1776">
        <f t="shared" si="58"/>
        <v>6.9257843052055277</v>
      </c>
      <c r="E1776">
        <v>7.2783097533768437E-3</v>
      </c>
      <c r="F1776">
        <v>1773</v>
      </c>
      <c r="G1776">
        <f t="shared" ca="1" si="59"/>
        <v>-2.8074634760034283E-2</v>
      </c>
    </row>
    <row r="1777" spans="2:7" x14ac:dyDescent="0.35">
      <c r="B1777" s="2">
        <v>39220</v>
      </c>
      <c r="C1777" s="4">
        <v>115.07</v>
      </c>
      <c r="D1777">
        <f t="shared" si="58"/>
        <v>2.4524452445244522</v>
      </c>
      <c r="E1777">
        <v>7.2654061624650712E-3</v>
      </c>
      <c r="F1777">
        <v>1774</v>
      </c>
      <c r="G1777">
        <f t="shared" ca="1" si="59"/>
        <v>5.8355443519487939E-2</v>
      </c>
    </row>
    <row r="1778" spans="2:7" x14ac:dyDescent="0.35">
      <c r="B1778" s="2">
        <v>39832</v>
      </c>
      <c r="C1778" s="4">
        <v>33.33</v>
      </c>
      <c r="D1778">
        <f t="shared" si="58"/>
        <v>-0.47856695869837296</v>
      </c>
      <c r="E1778">
        <v>7.2529465095192425E-3</v>
      </c>
      <c r="F1778">
        <v>1775</v>
      </c>
      <c r="G1778">
        <f t="shared" ca="1" si="59"/>
        <v>2.347252170251771E-2</v>
      </c>
    </row>
    <row r="1779" spans="2:7" x14ac:dyDescent="0.35">
      <c r="B1779" s="2">
        <v>38447</v>
      </c>
      <c r="C1779" s="4">
        <v>63.92</v>
      </c>
      <c r="D1779">
        <f t="shared" si="58"/>
        <v>-0.91868201768335345</v>
      </c>
      <c r="E1779">
        <v>7.2486605735897491E-3</v>
      </c>
      <c r="F1779">
        <v>1776</v>
      </c>
      <c r="G1779">
        <f t="shared" ca="1" si="59"/>
        <v>2.9707833488855969E-2</v>
      </c>
    </row>
    <row r="1780" spans="2:7" x14ac:dyDescent="0.35">
      <c r="B1780" s="2">
        <v>42390</v>
      </c>
      <c r="C1780" s="4">
        <v>786.05</v>
      </c>
      <c r="D1780">
        <f t="shared" si="58"/>
        <v>2.1732671268822412</v>
      </c>
      <c r="E1780">
        <v>7.2398769861610202E-3</v>
      </c>
      <c r="F1780">
        <v>1777</v>
      </c>
      <c r="G1780">
        <f t="shared" ca="1" si="59"/>
        <v>-4.7711785510228264E-3</v>
      </c>
    </row>
    <row r="1781" spans="2:7" x14ac:dyDescent="0.35">
      <c r="B1781" s="2">
        <v>41796</v>
      </c>
      <c r="C1781" s="4">
        <v>247.71</v>
      </c>
      <c r="D1781">
        <f t="shared" si="58"/>
        <v>0.53068034357041327</v>
      </c>
      <c r="E1781">
        <v>7.2378319033872263E-3</v>
      </c>
      <c r="F1781">
        <v>1778</v>
      </c>
      <c r="G1781">
        <f t="shared" ca="1" si="59"/>
        <v>-4.1805648919952518E-2</v>
      </c>
    </row>
    <row r="1782" spans="2:7" x14ac:dyDescent="0.35">
      <c r="B1782" s="2">
        <v>41631</v>
      </c>
      <c r="C1782" s="4">
        <v>161.83000000000001</v>
      </c>
      <c r="D1782">
        <f t="shared" si="58"/>
        <v>0.27324940991345414</v>
      </c>
      <c r="E1782">
        <v>7.2197672247464872E-3</v>
      </c>
      <c r="F1782">
        <v>1779</v>
      </c>
      <c r="G1782">
        <f t="shared" ca="1" si="59"/>
        <v>1.6501244480265964E-2</v>
      </c>
    </row>
    <row r="1783" spans="2:7" x14ac:dyDescent="0.35">
      <c r="B1783" s="2">
        <v>40280</v>
      </c>
      <c r="C1783" s="4">
        <v>127.1</v>
      </c>
      <c r="D1783">
        <f t="shared" si="58"/>
        <v>-0.84311159937294011</v>
      </c>
      <c r="E1783">
        <v>7.2113479673507896E-3</v>
      </c>
      <c r="F1783">
        <v>1780</v>
      </c>
      <c r="G1783">
        <f t="shared" ca="1" si="59"/>
        <v>2.9665002973404516E-2</v>
      </c>
    </row>
    <row r="1784" spans="2:7" x14ac:dyDescent="0.35">
      <c r="B1784" s="2">
        <v>43637</v>
      </c>
      <c r="C1784" s="4">
        <v>810.13</v>
      </c>
      <c r="D1784">
        <f t="shared" si="58"/>
        <v>35.18267083519428</v>
      </c>
      <c r="E1784">
        <v>7.1984484173359675E-3</v>
      </c>
      <c r="F1784">
        <v>1781</v>
      </c>
      <c r="G1784">
        <f t="shared" ca="1" si="59"/>
        <v>-7.2934480268067592E-3</v>
      </c>
    </row>
    <row r="1785" spans="2:7" x14ac:dyDescent="0.35">
      <c r="B1785" s="2">
        <v>37777</v>
      </c>
      <c r="C1785" s="4">
        <v>22.39</v>
      </c>
      <c r="D1785">
        <f t="shared" si="58"/>
        <v>-0.74228821362799269</v>
      </c>
      <c r="E1785">
        <v>7.1974808816914759E-3</v>
      </c>
      <c r="F1785">
        <v>1782</v>
      </c>
      <c r="G1785">
        <f t="shared" ca="1" si="59"/>
        <v>-8.2125309610195693E-2</v>
      </c>
    </row>
    <row r="1786" spans="2:7" x14ac:dyDescent="0.35">
      <c r="B1786" s="2">
        <v>41467</v>
      </c>
      <c r="C1786" s="4">
        <v>86.88</v>
      </c>
      <c r="D1786">
        <f t="shared" si="58"/>
        <v>1.6140350877192899E-2</v>
      </c>
      <c r="E1786">
        <v>7.1875724553673859E-3</v>
      </c>
      <c r="F1786">
        <v>1783</v>
      </c>
      <c r="G1786">
        <f t="shared" ca="1" si="59"/>
        <v>3.7235657060290771E-2</v>
      </c>
    </row>
    <row r="1787" spans="2:7" x14ac:dyDescent="0.35">
      <c r="B1787" s="2">
        <v>41026</v>
      </c>
      <c r="C1787" s="4">
        <v>85.5</v>
      </c>
      <c r="D1787">
        <f t="shared" si="58"/>
        <v>-0.98611787627861669</v>
      </c>
      <c r="E1787">
        <v>7.1857698197668185E-3</v>
      </c>
      <c r="F1787">
        <v>1784</v>
      </c>
      <c r="G1787">
        <f t="shared" ca="1" si="59"/>
        <v>2.2450222816024958E-2</v>
      </c>
    </row>
    <row r="1788" spans="2:7" x14ac:dyDescent="0.35">
      <c r="B1788" s="2">
        <v>45002</v>
      </c>
      <c r="C1788" s="4">
        <v>6159</v>
      </c>
      <c r="D1788">
        <f t="shared" si="58"/>
        <v>33.804475587703436</v>
      </c>
      <c r="E1788">
        <v>7.1789504668771098E-3</v>
      </c>
      <c r="F1788">
        <v>1785</v>
      </c>
      <c r="G1788">
        <f t="shared" ca="1" si="59"/>
        <v>-1.8560388410188172E-2</v>
      </c>
    </row>
    <row r="1789" spans="2:7" x14ac:dyDescent="0.35">
      <c r="B1789" s="2">
        <v>41681</v>
      </c>
      <c r="C1789" s="4">
        <v>176.96</v>
      </c>
      <c r="D1789">
        <f t="shared" si="58"/>
        <v>-0.72525578723470319</v>
      </c>
      <c r="E1789">
        <v>7.171314741035939E-3</v>
      </c>
      <c r="F1789">
        <v>1786</v>
      </c>
      <c r="G1789">
        <f t="shared" ca="1" si="59"/>
        <v>-2.7980243509303062E-4</v>
      </c>
    </row>
    <row r="1790" spans="2:7" x14ac:dyDescent="0.35">
      <c r="B1790" s="2">
        <v>42643</v>
      </c>
      <c r="C1790" s="4">
        <v>644.09</v>
      </c>
      <c r="D1790">
        <f t="shared" si="58"/>
        <v>-0.10072183516468169</v>
      </c>
      <c r="E1790">
        <v>7.1617332019828783E-3</v>
      </c>
      <c r="F1790">
        <v>1787</v>
      </c>
      <c r="G1790">
        <f t="shared" ca="1" si="59"/>
        <v>-1.9288560847817934E-2</v>
      </c>
    </row>
    <row r="1791" spans="2:7" x14ac:dyDescent="0.35">
      <c r="B1791" s="2">
        <v>42900</v>
      </c>
      <c r="C1791" s="4">
        <v>716.23</v>
      </c>
      <c r="D1791">
        <f t="shared" si="58"/>
        <v>8.594507702612189</v>
      </c>
      <c r="E1791">
        <v>7.1575217256798496E-3</v>
      </c>
      <c r="F1791">
        <v>1788</v>
      </c>
      <c r="G1791">
        <f t="shared" ca="1" si="59"/>
        <v>4.0642089355456559E-2</v>
      </c>
    </row>
    <row r="1792" spans="2:7" x14ac:dyDescent="0.35">
      <c r="B1792" s="2">
        <v>39637</v>
      </c>
      <c r="C1792" s="4">
        <v>74.650000000000006</v>
      </c>
      <c r="D1792">
        <f t="shared" si="58"/>
        <v>0.39064828614008951</v>
      </c>
      <c r="E1792">
        <v>7.1505666486777475E-3</v>
      </c>
      <c r="F1792">
        <v>1789</v>
      </c>
      <c r="G1792">
        <f t="shared" ca="1" si="59"/>
        <v>-2.4468822940373613E-3</v>
      </c>
    </row>
    <row r="1793" spans="2:7" x14ac:dyDescent="0.35">
      <c r="B1793" s="2">
        <v>38380</v>
      </c>
      <c r="C1793" s="4">
        <v>53.68</v>
      </c>
      <c r="D1793">
        <f t="shared" si="58"/>
        <v>-0.80927340557825544</v>
      </c>
      <c r="E1793">
        <v>7.1294559099437382E-3</v>
      </c>
      <c r="F1793">
        <v>1790</v>
      </c>
      <c r="G1793">
        <f t="shared" ca="1" si="59"/>
        <v>1.1736612675310884E-2</v>
      </c>
    </row>
    <row r="1794" spans="2:7" x14ac:dyDescent="0.35">
      <c r="B1794" s="2">
        <v>41921</v>
      </c>
      <c r="C1794" s="4">
        <v>281.45</v>
      </c>
      <c r="D1794">
        <f t="shared" si="58"/>
        <v>3.6245481432796582</v>
      </c>
      <c r="E1794">
        <v>7.1208759750949202E-3</v>
      </c>
      <c r="F1794">
        <v>1791</v>
      </c>
      <c r="G1794">
        <f t="shared" ca="1" si="59"/>
        <v>3.8832435441997293E-3</v>
      </c>
    </row>
    <row r="1795" spans="2:7" x14ac:dyDescent="0.35">
      <c r="B1795" s="2">
        <v>39687</v>
      </c>
      <c r="C1795" s="4">
        <v>60.86</v>
      </c>
      <c r="D1795">
        <f t="shared" si="58"/>
        <v>-0.9173625538039567</v>
      </c>
      <c r="E1795">
        <v>7.1156710243256427E-3</v>
      </c>
      <c r="F1795">
        <v>1792</v>
      </c>
      <c r="G1795">
        <f t="shared" ca="1" si="59"/>
        <v>3.7678727016568082E-2</v>
      </c>
    </row>
    <row r="1796" spans="2:7" x14ac:dyDescent="0.35">
      <c r="B1796" s="2">
        <v>42850</v>
      </c>
      <c r="C1796" s="4">
        <v>736.47</v>
      </c>
      <c r="D1796">
        <f t="shared" ref="D1796:D1859" si="60">C1796/C1797-1</f>
        <v>7.772721858248957</v>
      </c>
      <c r="E1796">
        <v>7.0833732171915464E-3</v>
      </c>
      <c r="F1796">
        <v>1793</v>
      </c>
      <c r="G1796">
        <f t="shared" ca="1" si="59"/>
        <v>-2.4261629984787234E-2</v>
      </c>
    </row>
    <row r="1797" spans="2:7" x14ac:dyDescent="0.35">
      <c r="B1797" s="2">
        <v>40988</v>
      </c>
      <c r="C1797" s="4">
        <v>83.95</v>
      </c>
      <c r="D1797">
        <f t="shared" si="60"/>
        <v>-0.97660517222160292</v>
      </c>
      <c r="E1797">
        <v>7.0777351247601761E-3</v>
      </c>
      <c r="F1797">
        <v>1794</v>
      </c>
      <c r="G1797">
        <f t="shared" ref="G1797:G1860" ca="1" si="61">_xlfn.NORM.INV(RAND(),K$6,K$7)</f>
        <v>1.4426409749716361E-2</v>
      </c>
    </row>
    <row r="1798" spans="2:7" x14ac:dyDescent="0.35">
      <c r="B1798" s="2">
        <v>44344</v>
      </c>
      <c r="C1798" s="4">
        <v>3588.4</v>
      </c>
      <c r="D1798">
        <f t="shared" si="60"/>
        <v>3.6167305663484548</v>
      </c>
      <c r="E1798">
        <v>7.0751208888664152E-3</v>
      </c>
      <c r="F1798">
        <v>1795</v>
      </c>
      <c r="G1798">
        <f t="shared" ca="1" si="61"/>
        <v>5.7197463922199494E-2</v>
      </c>
    </row>
    <row r="1799" spans="2:7" x14ac:dyDescent="0.35">
      <c r="B1799" s="2">
        <v>42429</v>
      </c>
      <c r="C1799" s="4">
        <v>777.26</v>
      </c>
      <c r="D1799">
        <f t="shared" si="60"/>
        <v>-8.4704247577102931E-2</v>
      </c>
      <c r="E1799">
        <v>7.0743715988599298E-3</v>
      </c>
      <c r="F1799">
        <v>1796</v>
      </c>
      <c r="G1799">
        <f t="shared" ca="1" si="61"/>
        <v>-2.8554870821360778E-2</v>
      </c>
    </row>
    <row r="1800" spans="2:7" x14ac:dyDescent="0.35">
      <c r="B1800" s="2">
        <v>42304</v>
      </c>
      <c r="C1800" s="4">
        <v>849.19</v>
      </c>
      <c r="D1800">
        <f t="shared" si="60"/>
        <v>-0.85555438376855775</v>
      </c>
      <c r="E1800">
        <v>7.0680597227328334E-3</v>
      </c>
      <c r="F1800">
        <v>1797</v>
      </c>
      <c r="G1800">
        <f t="shared" ca="1" si="61"/>
        <v>3.1573364563148319E-2</v>
      </c>
    </row>
    <row r="1801" spans="2:7" x14ac:dyDescent="0.35">
      <c r="B1801" s="2">
        <v>44546</v>
      </c>
      <c r="C1801" s="4">
        <v>5878.96</v>
      </c>
      <c r="D1801">
        <f t="shared" si="60"/>
        <v>66.512172714745063</v>
      </c>
      <c r="E1801">
        <v>7.0644018555188204E-3</v>
      </c>
      <c r="F1801">
        <v>1798</v>
      </c>
      <c r="G1801">
        <f t="shared" ca="1" si="61"/>
        <v>-1.0823351653779274E-2</v>
      </c>
    </row>
    <row r="1802" spans="2:7" x14ac:dyDescent="0.35">
      <c r="B1802" s="2">
        <v>41050</v>
      </c>
      <c r="C1802" s="4">
        <v>87.08</v>
      </c>
      <c r="D1802">
        <f t="shared" si="60"/>
        <v>-0.8622369878183832</v>
      </c>
      <c r="E1802">
        <v>7.0544697582977101E-3</v>
      </c>
      <c r="F1802">
        <v>1799</v>
      </c>
      <c r="G1802">
        <f t="shared" ca="1" si="61"/>
        <v>-3.906032258609228E-2</v>
      </c>
    </row>
    <row r="1803" spans="2:7" x14ac:dyDescent="0.35">
      <c r="B1803" s="2">
        <v>43753</v>
      </c>
      <c r="C1803" s="4">
        <v>632.1</v>
      </c>
      <c r="D1803">
        <f t="shared" si="60"/>
        <v>-0.66010098565874586</v>
      </c>
      <c r="E1803">
        <v>7.0418047412694751E-3</v>
      </c>
      <c r="F1803">
        <v>1800</v>
      </c>
      <c r="G1803">
        <f t="shared" ca="1" si="61"/>
        <v>1.5247919845967935E-2</v>
      </c>
    </row>
    <row r="1804" spans="2:7" x14ac:dyDescent="0.35">
      <c r="B1804" s="2">
        <v>44200</v>
      </c>
      <c r="C1804" s="4">
        <v>1859.67</v>
      </c>
      <c r="D1804">
        <f t="shared" si="60"/>
        <v>1.9384243458475541</v>
      </c>
      <c r="E1804">
        <v>7.0396984842988619E-3</v>
      </c>
      <c r="F1804">
        <v>1801</v>
      </c>
      <c r="G1804">
        <f t="shared" ca="1" si="61"/>
        <v>5.7852237517039641E-2</v>
      </c>
    </row>
    <row r="1805" spans="2:7" x14ac:dyDescent="0.35">
      <c r="B1805" s="2">
        <v>43704</v>
      </c>
      <c r="C1805" s="4">
        <v>632.88</v>
      </c>
      <c r="D1805">
        <f t="shared" si="60"/>
        <v>5.5938737236924352</v>
      </c>
      <c r="E1805">
        <v>7.0330649524232847E-3</v>
      </c>
      <c r="F1805">
        <v>1802</v>
      </c>
      <c r="G1805">
        <f t="shared" ca="1" si="61"/>
        <v>5.6381822359466958E-4</v>
      </c>
    </row>
    <row r="1806" spans="2:7" x14ac:dyDescent="0.35">
      <c r="B1806" s="2">
        <v>41305</v>
      </c>
      <c r="C1806" s="4">
        <v>95.98</v>
      </c>
      <c r="D1806">
        <f t="shared" si="60"/>
        <v>-0.65107063656523789</v>
      </c>
      <c r="E1806">
        <v>7.0296925821005107E-3</v>
      </c>
      <c r="F1806">
        <v>1803</v>
      </c>
      <c r="G1806">
        <f t="shared" ca="1" si="61"/>
        <v>-1.4579683166544417E-2</v>
      </c>
    </row>
    <row r="1807" spans="2:7" x14ac:dyDescent="0.35">
      <c r="B1807" s="2">
        <v>41961</v>
      </c>
      <c r="C1807" s="4">
        <v>275.07</v>
      </c>
      <c r="D1807">
        <f t="shared" si="60"/>
        <v>-0.68375125030179695</v>
      </c>
      <c r="E1807">
        <v>7.0291048874244755E-3</v>
      </c>
      <c r="F1807">
        <v>1804</v>
      </c>
      <c r="G1807">
        <f t="shared" ca="1" si="61"/>
        <v>2.0902072050863252E-2</v>
      </c>
    </row>
    <row r="1808" spans="2:7" x14ac:dyDescent="0.35">
      <c r="B1808" s="2">
        <v>43087</v>
      </c>
      <c r="C1808" s="4">
        <v>869.79</v>
      </c>
      <c r="D1808">
        <f t="shared" si="60"/>
        <v>13.071994822844198</v>
      </c>
      <c r="E1808">
        <v>7.02774047144894E-3</v>
      </c>
      <c r="F1808">
        <v>1805</v>
      </c>
      <c r="G1808">
        <f t="shared" ca="1" si="61"/>
        <v>4.0327637939849004E-2</v>
      </c>
    </row>
    <row r="1809" spans="2:7" x14ac:dyDescent="0.35">
      <c r="B1809" s="2">
        <v>39699</v>
      </c>
      <c r="C1809" s="4">
        <v>61.81</v>
      </c>
      <c r="D1809">
        <f t="shared" si="60"/>
        <v>-0.92175949367088605</v>
      </c>
      <c r="E1809">
        <v>7.0055392636036995E-3</v>
      </c>
      <c r="F1809">
        <v>1806</v>
      </c>
      <c r="G1809">
        <f t="shared" ca="1" si="61"/>
        <v>-3.6026928731629687E-2</v>
      </c>
    </row>
    <row r="1810" spans="2:7" x14ac:dyDescent="0.35">
      <c r="B1810" s="2">
        <v>42926</v>
      </c>
      <c r="C1810" s="4">
        <v>790</v>
      </c>
      <c r="D1810">
        <f t="shared" si="60"/>
        <v>0.19894978069842617</v>
      </c>
      <c r="E1810">
        <v>6.9979987508126396E-3</v>
      </c>
      <c r="F1810">
        <v>1807</v>
      </c>
      <c r="G1810">
        <f t="shared" ca="1" si="61"/>
        <v>4.8621778198595991E-3</v>
      </c>
    </row>
    <row r="1811" spans="2:7" x14ac:dyDescent="0.35">
      <c r="B1811" s="2">
        <v>42724</v>
      </c>
      <c r="C1811" s="4">
        <v>658.91</v>
      </c>
      <c r="D1811">
        <f t="shared" si="60"/>
        <v>6.5641143381930886</v>
      </c>
      <c r="E1811">
        <v>6.953359007274118E-3</v>
      </c>
      <c r="F1811">
        <v>1808</v>
      </c>
      <c r="G1811">
        <f t="shared" ca="1" si="61"/>
        <v>1.5382970684206321E-2</v>
      </c>
    </row>
    <row r="1812" spans="2:7" x14ac:dyDescent="0.35">
      <c r="B1812" s="2">
        <v>41565</v>
      </c>
      <c r="C1812" s="4">
        <v>87.11</v>
      </c>
      <c r="D1812">
        <f t="shared" si="60"/>
        <v>-0.84005948883666282</v>
      </c>
      <c r="E1812">
        <v>6.9356143798404712E-3</v>
      </c>
      <c r="F1812">
        <v>1809</v>
      </c>
      <c r="G1812">
        <f t="shared" ca="1" si="61"/>
        <v>-5.1239897042378975E-2</v>
      </c>
    </row>
    <row r="1813" spans="2:7" x14ac:dyDescent="0.35">
      <c r="B1813" s="2">
        <v>42195</v>
      </c>
      <c r="C1813" s="4">
        <v>544.64</v>
      </c>
      <c r="D1813">
        <f t="shared" si="60"/>
        <v>-7.937795807978365E-2</v>
      </c>
      <c r="E1813">
        <v>6.9144019227214137E-3</v>
      </c>
      <c r="F1813">
        <v>1810</v>
      </c>
      <c r="G1813">
        <f t="shared" ca="1" si="61"/>
        <v>-6.615614704117815E-3</v>
      </c>
    </row>
    <row r="1814" spans="2:7" x14ac:dyDescent="0.35">
      <c r="B1814" s="2">
        <v>42200</v>
      </c>
      <c r="C1814" s="4">
        <v>591.6</v>
      </c>
      <c r="D1814">
        <f t="shared" si="60"/>
        <v>-0.22542126556424047</v>
      </c>
      <c r="E1814">
        <v>6.9101678183614013E-3</v>
      </c>
      <c r="F1814">
        <v>1811</v>
      </c>
      <c r="G1814">
        <f t="shared" ca="1" si="61"/>
        <v>-1.1668097664785552E-2</v>
      </c>
    </row>
    <row r="1815" spans="2:7" x14ac:dyDescent="0.35">
      <c r="B1815" s="2">
        <v>42580</v>
      </c>
      <c r="C1815" s="4">
        <v>763.77</v>
      </c>
      <c r="D1815">
        <f t="shared" si="60"/>
        <v>26.483627204030228</v>
      </c>
      <c r="E1815">
        <v>6.8948242676720728E-3</v>
      </c>
      <c r="F1815">
        <v>1812</v>
      </c>
      <c r="G1815">
        <f t="shared" ca="1" si="61"/>
        <v>-2.5156494244617789E-2</v>
      </c>
    </row>
    <row r="1816" spans="2:7" x14ac:dyDescent="0.35">
      <c r="B1816" s="2">
        <v>37881</v>
      </c>
      <c r="C1816" s="4">
        <v>27.79</v>
      </c>
      <c r="D1816">
        <f t="shared" si="60"/>
        <v>0.11115553778488585</v>
      </c>
      <c r="E1816">
        <v>6.8840579710143235E-3</v>
      </c>
      <c r="F1816">
        <v>1813</v>
      </c>
      <c r="G1816">
        <f t="shared" ca="1" si="61"/>
        <v>-2.804980515014488E-2</v>
      </c>
    </row>
    <row r="1817" spans="2:7" x14ac:dyDescent="0.35">
      <c r="B1817" s="2">
        <v>37658</v>
      </c>
      <c r="C1817" s="4">
        <v>25.01</v>
      </c>
      <c r="D1817">
        <f t="shared" si="60"/>
        <v>-0.99672165099805476</v>
      </c>
      <c r="E1817">
        <v>6.843800322061222E-3</v>
      </c>
      <c r="F1817">
        <v>1814</v>
      </c>
      <c r="G1817">
        <f t="shared" ca="1" si="61"/>
        <v>6.9407279689075747E-3</v>
      </c>
    </row>
    <row r="1818" spans="2:7" x14ac:dyDescent="0.35">
      <c r="B1818" s="2">
        <v>44601</v>
      </c>
      <c r="C1818" s="4">
        <v>7628.84</v>
      </c>
      <c r="D1818">
        <f t="shared" si="60"/>
        <v>9.1143372311934883</v>
      </c>
      <c r="E1818">
        <v>6.8404291402546225E-3</v>
      </c>
      <c r="F1818">
        <v>1815</v>
      </c>
      <c r="G1818">
        <f t="shared" ca="1" si="61"/>
        <v>-1.7984612496031741E-2</v>
      </c>
    </row>
    <row r="1819" spans="2:7" x14ac:dyDescent="0.35">
      <c r="B1819" s="2">
        <v>43962</v>
      </c>
      <c r="C1819" s="4">
        <v>754.26</v>
      </c>
      <c r="D1819">
        <f t="shared" si="60"/>
        <v>-0.89426241918209193</v>
      </c>
      <c r="E1819">
        <v>6.8076245394843582E-3</v>
      </c>
      <c r="F1819">
        <v>1816</v>
      </c>
      <c r="G1819">
        <f t="shared" ca="1" si="61"/>
        <v>-3.2593833513888367E-5</v>
      </c>
    </row>
    <row r="1820" spans="2:7" x14ac:dyDescent="0.35">
      <c r="B1820" s="2">
        <v>44634</v>
      </c>
      <c r="C1820" s="4">
        <v>7133.32</v>
      </c>
      <c r="D1820">
        <f t="shared" si="60"/>
        <v>10.098297912063975</v>
      </c>
      <c r="E1820">
        <v>6.8044109406910636E-3</v>
      </c>
      <c r="F1820">
        <v>1817</v>
      </c>
      <c r="G1820">
        <f t="shared" ca="1" si="61"/>
        <v>-6.4057950870654006E-3</v>
      </c>
    </row>
    <row r="1821" spans="2:7" x14ac:dyDescent="0.35">
      <c r="B1821" s="2">
        <v>42712</v>
      </c>
      <c r="C1821" s="4">
        <v>642.74</v>
      </c>
      <c r="D1821">
        <f t="shared" si="60"/>
        <v>23.108777194298575</v>
      </c>
      <c r="E1821">
        <v>6.7982456140351921E-3</v>
      </c>
      <c r="F1821">
        <v>1818</v>
      </c>
      <c r="G1821">
        <f t="shared" ca="1" si="61"/>
        <v>2.4165851882056314E-3</v>
      </c>
    </row>
    <row r="1822" spans="2:7" x14ac:dyDescent="0.35">
      <c r="B1822" s="2">
        <v>37818</v>
      </c>
      <c r="C1822" s="4">
        <v>26.66</v>
      </c>
      <c r="D1822">
        <f t="shared" si="60"/>
        <v>-0.18270999386879205</v>
      </c>
      <c r="E1822">
        <v>6.7975830815709681E-3</v>
      </c>
      <c r="F1822">
        <v>1819</v>
      </c>
      <c r="G1822">
        <f t="shared" ca="1" si="61"/>
        <v>2.5932025952763949E-2</v>
      </c>
    </row>
    <row r="1823" spans="2:7" x14ac:dyDescent="0.35">
      <c r="B1823" s="2">
        <v>39843</v>
      </c>
      <c r="C1823" s="4">
        <v>32.619999999999997</v>
      </c>
      <c r="D1823">
        <f t="shared" si="60"/>
        <v>-0.97554154263734449</v>
      </c>
      <c r="E1823">
        <v>6.790123456790198E-3</v>
      </c>
      <c r="F1823">
        <v>1820</v>
      </c>
      <c r="G1823">
        <f t="shared" ca="1" si="61"/>
        <v>2.312523531401894E-2</v>
      </c>
    </row>
    <row r="1824" spans="2:7" x14ac:dyDescent="0.35">
      <c r="B1824" s="2">
        <v>43315</v>
      </c>
      <c r="C1824" s="4">
        <v>1333.69</v>
      </c>
      <c r="D1824">
        <f t="shared" si="60"/>
        <v>6.2650391216356294E-2</v>
      </c>
      <c r="E1824">
        <v>6.7864422133312452E-3</v>
      </c>
      <c r="F1824">
        <v>1821</v>
      </c>
      <c r="G1824">
        <f t="shared" ca="1" si="61"/>
        <v>-7.1340117099888412E-2</v>
      </c>
    </row>
    <row r="1825" spans="2:7" x14ac:dyDescent="0.35">
      <c r="B1825" s="2">
        <v>43283</v>
      </c>
      <c r="C1825" s="4">
        <v>1255.06</v>
      </c>
      <c r="D1825">
        <f t="shared" si="60"/>
        <v>0.62156644874544553</v>
      </c>
      <c r="E1825">
        <v>6.778382974627295E-3</v>
      </c>
      <c r="F1825">
        <v>1822</v>
      </c>
      <c r="G1825">
        <f t="shared" ca="1" si="61"/>
        <v>3.4345895146891316E-3</v>
      </c>
    </row>
    <row r="1826" spans="2:7" x14ac:dyDescent="0.35">
      <c r="B1826" s="2">
        <v>42977</v>
      </c>
      <c r="C1826" s="4">
        <v>773.98</v>
      </c>
      <c r="D1826">
        <f t="shared" si="60"/>
        <v>-0.2023867184682131</v>
      </c>
      <c r="E1826">
        <v>6.7639636827181437E-3</v>
      </c>
      <c r="F1826">
        <v>1823</v>
      </c>
      <c r="G1826">
        <f t="shared" ca="1" si="61"/>
        <v>-3.8557443313672994E-2</v>
      </c>
    </row>
    <row r="1827" spans="2:7" x14ac:dyDescent="0.35">
      <c r="B1827" s="2">
        <v>43437</v>
      </c>
      <c r="C1827" s="4">
        <v>970.37</v>
      </c>
      <c r="D1827">
        <f t="shared" si="60"/>
        <v>0.86897149460708767</v>
      </c>
      <c r="E1827">
        <v>6.7332033033158378E-3</v>
      </c>
      <c r="F1827">
        <v>1824</v>
      </c>
      <c r="G1827">
        <f t="shared" ca="1" si="61"/>
        <v>-1.7244125279161999E-3</v>
      </c>
    </row>
    <row r="1828" spans="2:7" x14ac:dyDescent="0.35">
      <c r="B1828" s="2">
        <v>42142</v>
      </c>
      <c r="C1828" s="4">
        <v>519.20000000000005</v>
      </c>
      <c r="D1828">
        <f t="shared" si="60"/>
        <v>14.766778013969027</v>
      </c>
      <c r="E1828">
        <v>6.7283268376865379E-3</v>
      </c>
      <c r="F1828">
        <v>1825</v>
      </c>
      <c r="G1828">
        <f t="shared" ca="1" si="61"/>
        <v>-1.623570809138646E-3</v>
      </c>
    </row>
    <row r="1829" spans="2:7" x14ac:dyDescent="0.35">
      <c r="B1829" s="2">
        <v>38035</v>
      </c>
      <c r="C1829" s="4">
        <v>32.93</v>
      </c>
      <c r="D1829">
        <f t="shared" si="60"/>
        <v>-0.95905960166098914</v>
      </c>
      <c r="E1829">
        <v>6.7257719351880851E-3</v>
      </c>
      <c r="F1829">
        <v>1826</v>
      </c>
      <c r="G1829">
        <f t="shared" ca="1" si="61"/>
        <v>5.9516283099240834E-2</v>
      </c>
    </row>
    <row r="1830" spans="2:7" x14ac:dyDescent="0.35">
      <c r="B1830" s="2">
        <v>43636</v>
      </c>
      <c r="C1830" s="4">
        <v>804.34</v>
      </c>
      <c r="D1830">
        <f t="shared" si="60"/>
        <v>-4.9782629241092557E-2</v>
      </c>
      <c r="E1830">
        <v>6.7211534851121524E-3</v>
      </c>
      <c r="F1830">
        <v>1827</v>
      </c>
      <c r="G1830">
        <f t="shared" ca="1" si="61"/>
        <v>1.8201719515611382E-2</v>
      </c>
    </row>
    <row r="1831" spans="2:7" x14ac:dyDescent="0.35">
      <c r="B1831" s="2">
        <v>43052</v>
      </c>
      <c r="C1831" s="4">
        <v>846.48</v>
      </c>
      <c r="D1831">
        <f t="shared" si="60"/>
        <v>7.0288342976382427</v>
      </c>
      <c r="E1831">
        <v>6.7195509199242665E-3</v>
      </c>
      <c r="F1831">
        <v>1828</v>
      </c>
      <c r="G1831">
        <f t="shared" ca="1" si="61"/>
        <v>1.8847405461612395E-2</v>
      </c>
    </row>
    <row r="1832" spans="2:7" x14ac:dyDescent="0.35">
      <c r="B1832" s="2">
        <v>40389</v>
      </c>
      <c r="C1832" s="4">
        <v>105.43</v>
      </c>
      <c r="D1832">
        <f t="shared" si="60"/>
        <v>3.3620190318576748</v>
      </c>
      <c r="E1832">
        <v>6.6838537190871961E-3</v>
      </c>
      <c r="F1832">
        <v>1829</v>
      </c>
      <c r="G1832">
        <f t="shared" ca="1" si="61"/>
        <v>-2.3968254536181673E-3</v>
      </c>
    </row>
    <row r="1833" spans="2:7" x14ac:dyDescent="0.35">
      <c r="B1833" s="2">
        <v>37670</v>
      </c>
      <c r="C1833" s="4">
        <v>24.17</v>
      </c>
      <c r="D1833">
        <f t="shared" si="60"/>
        <v>-0.97813263367411563</v>
      </c>
      <c r="E1833">
        <v>6.6638900458142469E-3</v>
      </c>
      <c r="F1833">
        <v>1830</v>
      </c>
      <c r="G1833">
        <f t="shared" ca="1" si="61"/>
        <v>-1.7138379776941751E-3</v>
      </c>
    </row>
    <row r="1834" spans="2:7" x14ac:dyDescent="0.35">
      <c r="B1834" s="2">
        <v>43231</v>
      </c>
      <c r="C1834" s="4">
        <v>1105.3</v>
      </c>
      <c r="D1834">
        <f t="shared" si="60"/>
        <v>0.43238514870731537</v>
      </c>
      <c r="E1834">
        <v>6.6392837952296002E-3</v>
      </c>
      <c r="F1834">
        <v>1831</v>
      </c>
      <c r="G1834">
        <f t="shared" ca="1" si="61"/>
        <v>-1.5812311211163558E-2</v>
      </c>
    </row>
    <row r="1835" spans="2:7" x14ac:dyDescent="0.35">
      <c r="B1835" s="2">
        <v>42578</v>
      </c>
      <c r="C1835" s="4">
        <v>771.65</v>
      </c>
      <c r="D1835">
        <f t="shared" si="60"/>
        <v>-0.29063899026484408</v>
      </c>
      <c r="E1835">
        <v>6.6269225250139563E-3</v>
      </c>
      <c r="F1835">
        <v>1832</v>
      </c>
      <c r="G1835">
        <f t="shared" ca="1" si="61"/>
        <v>-1.5614880244903335E-2</v>
      </c>
    </row>
    <row r="1836" spans="2:7" x14ac:dyDescent="0.35">
      <c r="B1836" s="2">
        <v>44069</v>
      </c>
      <c r="C1836" s="4">
        <v>1087.81</v>
      </c>
      <c r="D1836">
        <f t="shared" si="60"/>
        <v>0.47110690377983611</v>
      </c>
      <c r="E1836">
        <v>6.6256419747372508E-3</v>
      </c>
      <c r="F1836">
        <v>1833</v>
      </c>
      <c r="G1836">
        <f t="shared" ca="1" si="61"/>
        <v>-4.3793259911528798E-2</v>
      </c>
    </row>
    <row r="1837" spans="2:7" x14ac:dyDescent="0.35">
      <c r="B1837" s="2">
        <v>43763</v>
      </c>
      <c r="C1837" s="4">
        <v>739.45</v>
      </c>
      <c r="D1837">
        <f t="shared" si="60"/>
        <v>-0.90809719115088239</v>
      </c>
      <c r="E1837">
        <v>6.6159354197579123E-3</v>
      </c>
      <c r="F1837">
        <v>1834</v>
      </c>
      <c r="G1837">
        <f t="shared" ca="1" si="61"/>
        <v>9.181429406825389E-3</v>
      </c>
    </row>
    <row r="1838" spans="2:7" x14ac:dyDescent="0.35">
      <c r="B1838" s="2">
        <v>44753</v>
      </c>
      <c r="C1838" s="4">
        <v>8046</v>
      </c>
      <c r="D1838">
        <f t="shared" si="60"/>
        <v>0.10078940527820723</v>
      </c>
      <c r="E1838">
        <v>6.611911449178498E-3</v>
      </c>
      <c r="F1838">
        <v>1835</v>
      </c>
      <c r="G1838">
        <f t="shared" ca="1" si="61"/>
        <v>5.2511890085836831E-3</v>
      </c>
    </row>
    <row r="1839" spans="2:7" x14ac:dyDescent="0.35">
      <c r="B1839" s="2">
        <v>44858</v>
      </c>
      <c r="C1839" s="4">
        <v>7309.3</v>
      </c>
      <c r="D1839">
        <f t="shared" si="60"/>
        <v>113.10084295972526</v>
      </c>
      <c r="E1839">
        <v>6.6103865698978748E-3</v>
      </c>
      <c r="F1839">
        <v>1836</v>
      </c>
      <c r="G1839">
        <f t="shared" ca="1" si="61"/>
        <v>9.2727047879612844E-3</v>
      </c>
    </row>
    <row r="1840" spans="2:7" x14ac:dyDescent="0.35">
      <c r="B1840" s="2">
        <v>38511</v>
      </c>
      <c r="C1840" s="4">
        <v>64.06</v>
      </c>
      <c r="D1840">
        <f t="shared" si="60"/>
        <v>-0.23765321908842074</v>
      </c>
      <c r="E1840">
        <v>6.5996228786926459E-3</v>
      </c>
      <c r="F1840">
        <v>1837</v>
      </c>
      <c r="G1840">
        <f t="shared" ca="1" si="61"/>
        <v>5.8437328319486108E-2</v>
      </c>
    </row>
    <row r="1841" spans="2:7" x14ac:dyDescent="0.35">
      <c r="B1841" s="2">
        <v>41044</v>
      </c>
      <c r="C1841" s="4">
        <v>84.03</v>
      </c>
      <c r="D1841">
        <f t="shared" si="60"/>
        <v>-0.98721061018615619</v>
      </c>
      <c r="E1841">
        <v>6.5884044082413773E-3</v>
      </c>
      <c r="F1841">
        <v>1838</v>
      </c>
      <c r="G1841">
        <f t="shared" ca="1" si="61"/>
        <v>1.5949714615272927E-2</v>
      </c>
    </row>
    <row r="1842" spans="2:7" x14ac:dyDescent="0.35">
      <c r="B1842" s="2">
        <v>44615</v>
      </c>
      <c r="C1842" s="4">
        <v>6570.29</v>
      </c>
      <c r="D1842">
        <f t="shared" si="60"/>
        <v>10.747975038889981</v>
      </c>
      <c r="E1842">
        <v>6.5399227893865319E-3</v>
      </c>
      <c r="F1842">
        <v>1839</v>
      </c>
      <c r="G1842">
        <f t="shared" ca="1" si="61"/>
        <v>-7.0244574532142192E-3</v>
      </c>
    </row>
    <row r="1843" spans="2:7" x14ac:dyDescent="0.35">
      <c r="B1843" s="2">
        <v>42150</v>
      </c>
      <c r="C1843" s="4">
        <v>559.27</v>
      </c>
      <c r="D1843">
        <f t="shared" si="60"/>
        <v>-0.91651253573374536</v>
      </c>
      <c r="E1843">
        <v>6.5330069829385717E-3</v>
      </c>
      <c r="F1843">
        <v>1840</v>
      </c>
      <c r="G1843">
        <f t="shared" ca="1" si="61"/>
        <v>8.0554857080933854E-3</v>
      </c>
    </row>
    <row r="1844" spans="2:7" x14ac:dyDescent="0.35">
      <c r="B1844" s="2">
        <v>44950</v>
      </c>
      <c r="C1844" s="4">
        <v>6698.85</v>
      </c>
      <c r="D1844">
        <f t="shared" si="60"/>
        <v>3.9246111094774605</v>
      </c>
      <c r="E1844">
        <v>6.5209715346070674E-3</v>
      </c>
      <c r="F1844">
        <v>1841</v>
      </c>
      <c r="G1844">
        <f t="shared" ca="1" si="61"/>
        <v>2.9254589078774252E-2</v>
      </c>
    </row>
    <row r="1845" spans="2:7" x14ac:dyDescent="0.35">
      <c r="B1845" s="2">
        <v>43346</v>
      </c>
      <c r="C1845" s="4">
        <v>1360.28</v>
      </c>
      <c r="D1845">
        <f t="shared" si="60"/>
        <v>0.46112698446797995</v>
      </c>
      <c r="E1845">
        <v>6.511380116612786E-3</v>
      </c>
      <c r="F1845">
        <v>1842</v>
      </c>
      <c r="G1845">
        <f t="shared" ca="1" si="61"/>
        <v>2.7479859678612327E-4</v>
      </c>
    </row>
    <row r="1846" spans="2:7" x14ac:dyDescent="0.35">
      <c r="B1846" s="2">
        <v>43424</v>
      </c>
      <c r="C1846" s="4">
        <v>930.98</v>
      </c>
      <c r="D1846">
        <f t="shared" si="60"/>
        <v>2.3248098282204208</v>
      </c>
      <c r="E1846">
        <v>6.5083895519806312E-3</v>
      </c>
      <c r="F1846">
        <v>1843</v>
      </c>
      <c r="G1846">
        <f t="shared" ca="1" si="61"/>
        <v>-1.9616346811279949E-2</v>
      </c>
    </row>
    <row r="1847" spans="2:7" x14ac:dyDescent="0.35">
      <c r="B1847" s="2">
        <v>41893</v>
      </c>
      <c r="C1847" s="4">
        <v>280.01</v>
      </c>
      <c r="D1847">
        <f t="shared" si="60"/>
        <v>-0.5680657750628596</v>
      </c>
      <c r="E1847">
        <v>6.5061107117181383E-3</v>
      </c>
      <c r="F1847">
        <v>1844</v>
      </c>
      <c r="G1847">
        <f t="shared" ca="1" si="61"/>
        <v>2.7054554488240071E-2</v>
      </c>
    </row>
    <row r="1848" spans="2:7" x14ac:dyDescent="0.35">
      <c r="B1848" s="2">
        <v>42646</v>
      </c>
      <c r="C1848" s="4">
        <v>648.27</v>
      </c>
      <c r="D1848">
        <f t="shared" si="60"/>
        <v>-0.30727062896710911</v>
      </c>
      <c r="E1848">
        <v>6.4897762735021125E-3</v>
      </c>
      <c r="F1848">
        <v>1845</v>
      </c>
      <c r="G1848">
        <f t="shared" ca="1" si="61"/>
        <v>1.7398509287070534E-2</v>
      </c>
    </row>
    <row r="1849" spans="2:7" x14ac:dyDescent="0.35">
      <c r="B1849" s="2">
        <v>43167</v>
      </c>
      <c r="C1849" s="4">
        <v>935.82</v>
      </c>
      <c r="D1849">
        <f t="shared" si="60"/>
        <v>3.0010074810831178E-3</v>
      </c>
      <c r="E1849">
        <v>6.4745106474510816E-3</v>
      </c>
      <c r="F1849">
        <v>1846</v>
      </c>
      <c r="G1849">
        <f t="shared" ca="1" si="61"/>
        <v>-2.0798663263528923E-2</v>
      </c>
    </row>
    <row r="1850" spans="2:7" x14ac:dyDescent="0.35">
      <c r="B1850" s="2">
        <v>43852</v>
      </c>
      <c r="C1850" s="4">
        <v>933.02</v>
      </c>
      <c r="D1850">
        <f t="shared" si="60"/>
        <v>14.667842149454241</v>
      </c>
      <c r="E1850">
        <v>6.4397821045252268E-3</v>
      </c>
      <c r="F1850">
        <v>1847</v>
      </c>
      <c r="G1850">
        <f t="shared" ca="1" si="61"/>
        <v>9.2004004700145057E-3</v>
      </c>
    </row>
    <row r="1851" spans="2:7" x14ac:dyDescent="0.35">
      <c r="B1851" s="2">
        <v>38908</v>
      </c>
      <c r="C1851" s="4">
        <v>59.55</v>
      </c>
      <c r="D1851">
        <f t="shared" si="60"/>
        <v>-0.38740870280835304</v>
      </c>
      <c r="E1851">
        <v>6.4221733986817853E-3</v>
      </c>
      <c r="F1851">
        <v>1848</v>
      </c>
      <c r="G1851">
        <f t="shared" ca="1" si="61"/>
        <v>-1.4643794789265623E-2</v>
      </c>
    </row>
    <row r="1852" spans="2:7" x14ac:dyDescent="0.35">
      <c r="B1852" s="2">
        <v>41207</v>
      </c>
      <c r="C1852" s="4">
        <v>97.21</v>
      </c>
      <c r="D1852">
        <f t="shared" si="60"/>
        <v>-0.98553702408760213</v>
      </c>
      <c r="E1852">
        <v>6.4188839424370592E-3</v>
      </c>
      <c r="F1852">
        <v>1849</v>
      </c>
      <c r="G1852">
        <f t="shared" ca="1" si="61"/>
        <v>6.4962305023691061E-2</v>
      </c>
    </row>
    <row r="1853" spans="2:7" x14ac:dyDescent="0.35">
      <c r="B1853" s="2">
        <v>45050</v>
      </c>
      <c r="C1853" s="4">
        <v>6721.3</v>
      </c>
      <c r="D1853">
        <f t="shared" si="60"/>
        <v>7.1571154639675729</v>
      </c>
      <c r="E1853">
        <v>6.4161594381930698E-3</v>
      </c>
      <c r="F1853">
        <v>1850</v>
      </c>
      <c r="G1853">
        <f t="shared" ca="1" si="61"/>
        <v>7.2878913063650441E-4</v>
      </c>
    </row>
    <row r="1854" spans="2:7" x14ac:dyDescent="0.35">
      <c r="B1854" s="2">
        <v>43840</v>
      </c>
      <c r="C1854" s="4">
        <v>823.98</v>
      </c>
      <c r="D1854">
        <f t="shared" si="60"/>
        <v>8.1962053571428584</v>
      </c>
      <c r="E1854">
        <v>6.4123703785130548E-3</v>
      </c>
      <c r="F1854">
        <v>1851</v>
      </c>
      <c r="G1854">
        <f t="shared" ca="1" si="61"/>
        <v>-6.5747388410094566E-3</v>
      </c>
    </row>
    <row r="1855" spans="2:7" x14ac:dyDescent="0.35">
      <c r="B1855" s="2">
        <v>41081</v>
      </c>
      <c r="C1855" s="4">
        <v>89.6</v>
      </c>
      <c r="D1855">
        <f t="shared" si="60"/>
        <v>-0.89527449536566261</v>
      </c>
      <c r="E1855">
        <v>6.4023362911378445E-3</v>
      </c>
      <c r="F1855">
        <v>1852</v>
      </c>
      <c r="G1855">
        <f t="shared" ca="1" si="61"/>
        <v>-3.0577671058357309E-2</v>
      </c>
    </row>
    <row r="1856" spans="2:7" x14ac:dyDescent="0.35">
      <c r="B1856" s="2">
        <v>42244</v>
      </c>
      <c r="C1856" s="4">
        <v>855.57</v>
      </c>
      <c r="D1856">
        <f t="shared" si="60"/>
        <v>7.4796176023516736E-2</v>
      </c>
      <c r="E1856">
        <v>6.3990213261502227E-3</v>
      </c>
      <c r="F1856">
        <v>1853</v>
      </c>
      <c r="G1856">
        <f t="shared" ca="1" si="61"/>
        <v>-2.1977429796164741E-2</v>
      </c>
    </row>
    <row r="1857" spans="2:7" x14ac:dyDescent="0.35">
      <c r="B1857" s="2">
        <v>42928</v>
      </c>
      <c r="C1857" s="4">
        <v>796.03</v>
      </c>
      <c r="D1857">
        <f t="shared" si="60"/>
        <v>5.5700726312314295</v>
      </c>
      <c r="E1857">
        <v>6.3972084908403559E-3</v>
      </c>
      <c r="F1857">
        <v>1854</v>
      </c>
      <c r="G1857">
        <f t="shared" ca="1" si="61"/>
        <v>1.6403080147029972E-2</v>
      </c>
    </row>
    <row r="1858" spans="2:7" x14ac:dyDescent="0.35">
      <c r="B1858" s="2">
        <v>39275</v>
      </c>
      <c r="C1858" s="4">
        <v>121.16</v>
      </c>
      <c r="D1858">
        <f t="shared" si="60"/>
        <v>3.052173913043478</v>
      </c>
      <c r="E1858">
        <v>6.3958800564831719E-3</v>
      </c>
      <c r="F1858">
        <v>1855</v>
      </c>
      <c r="G1858">
        <f t="shared" ca="1" si="61"/>
        <v>-5.0217674165605485E-2</v>
      </c>
    </row>
    <row r="1859" spans="2:7" x14ac:dyDescent="0.35">
      <c r="B1859" s="2">
        <v>38139</v>
      </c>
      <c r="C1859" s="4">
        <v>29.9</v>
      </c>
      <c r="D1859">
        <f t="shared" si="60"/>
        <v>-0.99616004027462779</v>
      </c>
      <c r="E1859">
        <v>6.3951531470884948E-3</v>
      </c>
      <c r="F1859">
        <v>1856</v>
      </c>
      <c r="G1859">
        <f t="shared" ca="1" si="61"/>
        <v>2.2367991776932147E-2</v>
      </c>
    </row>
    <row r="1860" spans="2:7" x14ac:dyDescent="0.35">
      <c r="B1860" s="2">
        <v>44686</v>
      </c>
      <c r="C1860" s="4">
        <v>7786.54</v>
      </c>
      <c r="D1860">
        <f t="shared" ref="D1860:D1923" si="62">C1860/C1861-1</f>
        <v>9.609666035344933</v>
      </c>
      <c r="E1860">
        <v>6.3912918164321653E-3</v>
      </c>
      <c r="F1860">
        <v>1857</v>
      </c>
      <c r="G1860">
        <f t="shared" ca="1" si="61"/>
        <v>5.073990035938776E-2</v>
      </c>
    </row>
    <row r="1861" spans="2:7" x14ac:dyDescent="0.35">
      <c r="B1861" s="2">
        <v>43979</v>
      </c>
      <c r="C1861" s="4">
        <v>733.91</v>
      </c>
      <c r="D1861">
        <f t="shared" si="62"/>
        <v>23.520882058135648</v>
      </c>
      <c r="E1861">
        <v>6.3901268426465041E-3</v>
      </c>
      <c r="F1861">
        <v>1858</v>
      </c>
      <c r="G1861">
        <f t="shared" ref="G1861:G1924" ca="1" si="63">_xlfn.NORM.INV(RAND(),K$6,K$7)</f>
        <v>2.7812180749924382E-2</v>
      </c>
    </row>
    <row r="1862" spans="2:7" x14ac:dyDescent="0.35">
      <c r="B1862" s="2">
        <v>37539</v>
      </c>
      <c r="C1862" s="4">
        <v>29.93</v>
      </c>
      <c r="D1862">
        <f t="shared" si="62"/>
        <v>-0.99569358714263101</v>
      </c>
      <c r="E1862">
        <v>6.38870208473441E-3</v>
      </c>
      <c r="F1862">
        <v>1859</v>
      </c>
      <c r="G1862">
        <f t="shared" ca="1" si="63"/>
        <v>-4.0288111542069141E-2</v>
      </c>
    </row>
    <row r="1863" spans="2:7" x14ac:dyDescent="0.35">
      <c r="B1863" s="2">
        <v>44610</v>
      </c>
      <c r="C1863" s="4">
        <v>6950.1</v>
      </c>
      <c r="D1863">
        <f t="shared" si="62"/>
        <v>68.556645316253011</v>
      </c>
      <c r="E1863">
        <v>6.3740935523481923E-3</v>
      </c>
      <c r="F1863">
        <v>1860</v>
      </c>
      <c r="G1863">
        <f t="shared" ca="1" si="63"/>
        <v>1.7260705040567474E-2</v>
      </c>
    </row>
    <row r="1864" spans="2:7" x14ac:dyDescent="0.35">
      <c r="B1864" s="2">
        <v>41261</v>
      </c>
      <c r="C1864" s="4">
        <v>99.92</v>
      </c>
      <c r="D1864">
        <f t="shared" si="62"/>
        <v>2.9369582348305756</v>
      </c>
      <c r="E1864">
        <v>6.3450498539630029E-3</v>
      </c>
      <c r="F1864">
        <v>1861</v>
      </c>
      <c r="G1864">
        <f t="shared" ca="1" si="63"/>
        <v>3.4576160959580014E-2</v>
      </c>
    </row>
    <row r="1865" spans="2:7" x14ac:dyDescent="0.35">
      <c r="B1865" s="2">
        <v>37832</v>
      </c>
      <c r="C1865" s="4">
        <v>25.38</v>
      </c>
      <c r="D1865">
        <f t="shared" si="62"/>
        <v>-0.96889400921658986</v>
      </c>
      <c r="E1865">
        <v>6.3441712926248783E-3</v>
      </c>
      <c r="F1865">
        <v>1862</v>
      </c>
      <c r="G1865">
        <f t="shared" ca="1" si="63"/>
        <v>1.1060827238135184E-2</v>
      </c>
    </row>
    <row r="1866" spans="2:7" x14ac:dyDescent="0.35">
      <c r="B1866" s="2">
        <v>43633</v>
      </c>
      <c r="C1866" s="4">
        <v>815.92</v>
      </c>
      <c r="D1866">
        <f t="shared" si="62"/>
        <v>9.2245614035087726</v>
      </c>
      <c r="E1866">
        <v>6.327162397168129E-3</v>
      </c>
      <c r="F1866">
        <v>1863</v>
      </c>
      <c r="G1866">
        <f t="shared" ca="1" si="63"/>
        <v>5.2505951141313796E-2</v>
      </c>
    </row>
    <row r="1867" spans="2:7" x14ac:dyDescent="0.35">
      <c r="B1867" s="2">
        <v>39002</v>
      </c>
      <c r="C1867" s="4">
        <v>79.8</v>
      </c>
      <c r="D1867">
        <f t="shared" si="62"/>
        <v>-3.9248735853599892E-2</v>
      </c>
      <c r="E1867">
        <v>6.3051702395964249E-3</v>
      </c>
      <c r="F1867">
        <v>1864</v>
      </c>
      <c r="G1867">
        <f t="shared" ca="1" si="63"/>
        <v>2.4143055704384273E-2</v>
      </c>
    </row>
    <row r="1868" spans="2:7" x14ac:dyDescent="0.35">
      <c r="B1868" s="2">
        <v>40886</v>
      </c>
      <c r="C1868" s="4">
        <v>83.06</v>
      </c>
      <c r="D1868">
        <f t="shared" si="62"/>
        <v>-0.9716631925135697</v>
      </c>
      <c r="E1868">
        <v>6.2999757693238401E-3</v>
      </c>
      <c r="F1868">
        <v>1865</v>
      </c>
      <c r="G1868">
        <f t="shared" ca="1" si="63"/>
        <v>-4.3516528240090304E-3</v>
      </c>
    </row>
    <row r="1869" spans="2:7" x14ac:dyDescent="0.35">
      <c r="B1869" s="2">
        <v>44294</v>
      </c>
      <c r="C1869" s="4">
        <v>2931.17</v>
      </c>
      <c r="D1869">
        <f t="shared" si="62"/>
        <v>100.67082899757199</v>
      </c>
      <c r="E1869">
        <v>6.2962823096439635E-3</v>
      </c>
      <c r="F1869">
        <v>1866</v>
      </c>
      <c r="G1869">
        <f t="shared" ca="1" si="63"/>
        <v>-3.7308264932408915E-2</v>
      </c>
    </row>
    <row r="1870" spans="2:7" x14ac:dyDescent="0.35">
      <c r="B1870" s="2">
        <v>37930</v>
      </c>
      <c r="C1870" s="4">
        <v>28.83</v>
      </c>
      <c r="D1870">
        <f t="shared" si="62"/>
        <v>-0.966623832181433</v>
      </c>
      <c r="E1870">
        <v>6.2827225130890341E-3</v>
      </c>
      <c r="F1870">
        <v>1867</v>
      </c>
      <c r="G1870">
        <f t="shared" ca="1" si="63"/>
        <v>-1.4995119798490306E-2</v>
      </c>
    </row>
    <row r="1871" spans="2:7" x14ac:dyDescent="0.35">
      <c r="B1871" s="2">
        <v>43993</v>
      </c>
      <c r="C1871" s="4">
        <v>863.79</v>
      </c>
      <c r="D1871">
        <f t="shared" si="62"/>
        <v>7.5396935244686105</v>
      </c>
      <c r="E1871">
        <v>6.279123951537624E-3</v>
      </c>
      <c r="F1871">
        <v>1868</v>
      </c>
      <c r="G1871">
        <f t="shared" ca="1" si="63"/>
        <v>5.7164667964038143E-2</v>
      </c>
    </row>
    <row r="1872" spans="2:7" x14ac:dyDescent="0.35">
      <c r="B1872" s="2">
        <v>40416</v>
      </c>
      <c r="C1872" s="4">
        <v>101.15</v>
      </c>
      <c r="D1872">
        <f t="shared" si="62"/>
        <v>-0.89146879258361145</v>
      </c>
      <c r="E1872">
        <v>6.2674094707522165E-3</v>
      </c>
      <c r="F1872">
        <v>1869</v>
      </c>
      <c r="G1872">
        <f t="shared" ca="1" si="63"/>
        <v>2.6558218581541086E-3</v>
      </c>
    </row>
    <row r="1873" spans="2:7" x14ac:dyDescent="0.35">
      <c r="B1873" s="2">
        <v>43153</v>
      </c>
      <c r="C1873" s="4">
        <v>931.99</v>
      </c>
      <c r="D1873">
        <f t="shared" si="62"/>
        <v>22.126302729528536</v>
      </c>
      <c r="E1873">
        <v>6.2513496005180968E-3</v>
      </c>
      <c r="F1873">
        <v>1870</v>
      </c>
      <c r="G1873">
        <f t="shared" ca="1" si="63"/>
        <v>1.1837752104514591E-2</v>
      </c>
    </row>
    <row r="1874" spans="2:7" x14ac:dyDescent="0.35">
      <c r="B1874" s="2">
        <v>38191</v>
      </c>
      <c r="C1874" s="4">
        <v>40.299999999999997</v>
      </c>
      <c r="D1874">
        <f t="shared" si="62"/>
        <v>-0.95829970406241594</v>
      </c>
      <c r="E1874">
        <v>6.2421972534332237E-3</v>
      </c>
      <c r="F1874">
        <v>1871</v>
      </c>
      <c r="G1874">
        <f t="shared" ca="1" si="63"/>
        <v>9.6884468508350139E-4</v>
      </c>
    </row>
    <row r="1875" spans="2:7" x14ac:dyDescent="0.35">
      <c r="B1875" s="2">
        <v>43466</v>
      </c>
      <c r="C1875" s="4">
        <v>966.42</v>
      </c>
      <c r="D1875">
        <f t="shared" si="62"/>
        <v>12.875376884422108</v>
      </c>
      <c r="E1875">
        <v>6.2263129399025008E-3</v>
      </c>
      <c r="F1875">
        <v>1872</v>
      </c>
      <c r="G1875">
        <f t="shared" ca="1" si="63"/>
        <v>3.8981844721443039E-2</v>
      </c>
    </row>
    <row r="1876" spans="2:7" x14ac:dyDescent="0.35">
      <c r="B1876" s="2">
        <v>38716</v>
      </c>
      <c r="C1876" s="4">
        <v>69.650000000000006</v>
      </c>
      <c r="D1876">
        <f t="shared" si="62"/>
        <v>-6.5226144141725895E-2</v>
      </c>
      <c r="E1876">
        <v>6.2120774342675489E-3</v>
      </c>
      <c r="F1876">
        <v>1873</v>
      </c>
      <c r="G1876">
        <f t="shared" ca="1" si="63"/>
        <v>4.0642868182678371E-2</v>
      </c>
    </row>
    <row r="1877" spans="2:7" x14ac:dyDescent="0.35">
      <c r="B1877" s="2">
        <v>38610</v>
      </c>
      <c r="C1877" s="4">
        <v>74.510000000000005</v>
      </c>
      <c r="D1877">
        <f t="shared" si="62"/>
        <v>0.53281217856408158</v>
      </c>
      <c r="E1877">
        <v>6.2120189061445341E-3</v>
      </c>
      <c r="F1877">
        <v>1874</v>
      </c>
      <c r="G1877">
        <f t="shared" ca="1" si="63"/>
        <v>-1.2278528110009502E-2</v>
      </c>
    </row>
    <row r="1878" spans="2:7" x14ac:dyDescent="0.35">
      <c r="B1878" s="2">
        <v>38376</v>
      </c>
      <c r="C1878" s="4">
        <v>48.61</v>
      </c>
      <c r="D1878">
        <f t="shared" si="62"/>
        <v>-0.38824565819280132</v>
      </c>
      <c r="E1878">
        <v>6.2098944317945381E-3</v>
      </c>
      <c r="F1878">
        <v>1875</v>
      </c>
      <c r="G1878">
        <f t="shared" ca="1" si="63"/>
        <v>7.5526383277497323E-3</v>
      </c>
    </row>
    <row r="1879" spans="2:7" x14ac:dyDescent="0.35">
      <c r="B1879" s="2">
        <v>39007</v>
      </c>
      <c r="C1879" s="4">
        <v>79.459999999999994</v>
      </c>
      <c r="D1879">
        <f t="shared" si="62"/>
        <v>-0.32015742642026013</v>
      </c>
      <c r="E1879">
        <v>6.2048879321261463E-3</v>
      </c>
      <c r="F1879">
        <v>1876</v>
      </c>
      <c r="G1879">
        <f t="shared" ca="1" si="63"/>
        <v>-3.3803593867368309E-2</v>
      </c>
    </row>
    <row r="1880" spans="2:7" x14ac:dyDescent="0.35">
      <c r="B1880" s="2">
        <v>40560</v>
      </c>
      <c r="C1880" s="4">
        <v>116.88</v>
      </c>
      <c r="D1880">
        <f t="shared" si="62"/>
        <v>2.7862001943634596</v>
      </c>
      <c r="E1880">
        <v>6.1983471074380514E-3</v>
      </c>
      <c r="F1880">
        <v>1877</v>
      </c>
      <c r="G1880">
        <f t="shared" ca="1" si="63"/>
        <v>8.8087591196365032E-3</v>
      </c>
    </row>
    <row r="1881" spans="2:7" x14ac:dyDescent="0.35">
      <c r="B1881" s="2">
        <v>39904</v>
      </c>
      <c r="C1881" s="4">
        <v>30.87</v>
      </c>
      <c r="D1881">
        <f t="shared" si="62"/>
        <v>-0.99510128299731027</v>
      </c>
      <c r="E1881">
        <v>6.1929595827900918E-3</v>
      </c>
      <c r="F1881">
        <v>1878</v>
      </c>
      <c r="G1881">
        <f t="shared" ca="1" si="63"/>
        <v>-4.1328755558523288E-3</v>
      </c>
    </row>
    <row r="1882" spans="2:7" x14ac:dyDescent="0.35">
      <c r="B1882" s="2">
        <v>44945</v>
      </c>
      <c r="C1882" s="4">
        <v>6301.65</v>
      </c>
      <c r="D1882">
        <f t="shared" si="62"/>
        <v>6.3158456876835736</v>
      </c>
      <c r="E1882">
        <v>6.1872295581919534E-3</v>
      </c>
      <c r="F1882">
        <v>1879</v>
      </c>
      <c r="G1882">
        <f t="shared" ca="1" si="63"/>
        <v>1.5686483713966998E-2</v>
      </c>
    </row>
    <row r="1883" spans="2:7" x14ac:dyDescent="0.35">
      <c r="B1883" s="2">
        <v>42334</v>
      </c>
      <c r="C1883" s="4">
        <v>861.37</v>
      </c>
      <c r="D1883">
        <f t="shared" si="62"/>
        <v>-6.3952098411249492E-2</v>
      </c>
      <c r="E1883">
        <v>6.1793290346696672E-3</v>
      </c>
      <c r="F1883">
        <v>1880</v>
      </c>
      <c r="G1883">
        <f t="shared" ca="1" si="63"/>
        <v>2.853041297960044E-2</v>
      </c>
    </row>
    <row r="1884" spans="2:7" x14ac:dyDescent="0.35">
      <c r="B1884" s="2">
        <v>43179</v>
      </c>
      <c r="C1884" s="4">
        <v>920.22</v>
      </c>
      <c r="D1884">
        <f t="shared" si="62"/>
        <v>-0.85233953786906291</v>
      </c>
      <c r="E1884">
        <v>6.1777666006974652E-3</v>
      </c>
      <c r="F1884">
        <v>1881</v>
      </c>
      <c r="G1884">
        <f t="shared" ca="1" si="63"/>
        <v>9.2916949424518749E-3</v>
      </c>
    </row>
    <row r="1885" spans="2:7" x14ac:dyDescent="0.35">
      <c r="B1885" s="2">
        <v>44935</v>
      </c>
      <c r="C1885" s="4">
        <v>6232</v>
      </c>
      <c r="D1885">
        <f t="shared" si="62"/>
        <v>114.38603962229217</v>
      </c>
      <c r="E1885">
        <v>6.1512132904955052E-3</v>
      </c>
      <c r="F1885">
        <v>1882</v>
      </c>
      <c r="G1885">
        <f t="shared" ca="1" si="63"/>
        <v>7.4626280091430143E-3</v>
      </c>
    </row>
    <row r="1886" spans="2:7" x14ac:dyDescent="0.35">
      <c r="B1886" s="2">
        <v>38383</v>
      </c>
      <c r="C1886" s="4">
        <v>54.01</v>
      </c>
      <c r="D1886">
        <f t="shared" si="62"/>
        <v>-0.10977418823141594</v>
      </c>
      <c r="E1886">
        <v>6.1475409836064809E-3</v>
      </c>
      <c r="F1886">
        <v>1883</v>
      </c>
      <c r="G1886">
        <f t="shared" ca="1" si="63"/>
        <v>4.4026882369355411E-2</v>
      </c>
    </row>
    <row r="1887" spans="2:7" x14ac:dyDescent="0.35">
      <c r="B1887" s="2">
        <v>39701</v>
      </c>
      <c r="C1887" s="4">
        <v>60.67</v>
      </c>
      <c r="D1887">
        <f t="shared" si="62"/>
        <v>-0.53168660748745666</v>
      </c>
      <c r="E1887">
        <v>6.1359867330017526E-3</v>
      </c>
      <c r="F1887">
        <v>1884</v>
      </c>
      <c r="G1887">
        <f t="shared" ca="1" si="63"/>
        <v>-2.2343529358766462E-2</v>
      </c>
    </row>
    <row r="1888" spans="2:7" x14ac:dyDescent="0.35">
      <c r="B1888" s="2">
        <v>40263</v>
      </c>
      <c r="C1888" s="4">
        <v>129.55000000000001</v>
      </c>
      <c r="D1888">
        <f t="shared" si="62"/>
        <v>0.7953159645232819</v>
      </c>
      <c r="E1888">
        <v>6.1354457906184212E-3</v>
      </c>
      <c r="F1888">
        <v>1885</v>
      </c>
      <c r="G1888">
        <f t="shared" ca="1" si="63"/>
        <v>7.8067166869440641E-3</v>
      </c>
    </row>
    <row r="1889" spans="2:7" x14ac:dyDescent="0.35">
      <c r="B1889" s="2">
        <v>38708</v>
      </c>
      <c r="C1889" s="4">
        <v>72.16</v>
      </c>
      <c r="D1889">
        <f t="shared" si="62"/>
        <v>-0.98089251243866726</v>
      </c>
      <c r="E1889">
        <v>6.1349693251533388E-3</v>
      </c>
      <c r="F1889">
        <v>1886</v>
      </c>
      <c r="G1889">
        <f t="shared" ca="1" si="63"/>
        <v>-1.432809927632149E-3</v>
      </c>
    </row>
    <row r="1890" spans="2:7" x14ac:dyDescent="0.35">
      <c r="B1890" s="2">
        <v>44358</v>
      </c>
      <c r="C1890" s="4">
        <v>3776.53</v>
      </c>
      <c r="D1890">
        <f t="shared" si="62"/>
        <v>4.3714086590430679</v>
      </c>
      <c r="E1890">
        <v>6.122204313250057E-3</v>
      </c>
      <c r="F1890">
        <v>1887</v>
      </c>
      <c r="G1890">
        <f t="shared" ca="1" si="63"/>
        <v>-2.2294331464093473E-2</v>
      </c>
    </row>
    <row r="1891" spans="2:7" x14ac:dyDescent="0.35">
      <c r="B1891" s="2">
        <v>43944</v>
      </c>
      <c r="C1891" s="4">
        <v>703.08</v>
      </c>
      <c r="D1891">
        <f t="shared" si="62"/>
        <v>12.341176470588236</v>
      </c>
      <c r="E1891">
        <v>6.1103876590204997E-3</v>
      </c>
      <c r="F1891">
        <v>1888</v>
      </c>
      <c r="G1891">
        <f t="shared" ca="1" si="63"/>
        <v>-2.4340908022650955E-2</v>
      </c>
    </row>
    <row r="1892" spans="2:7" x14ac:dyDescent="0.35">
      <c r="B1892" s="2">
        <v>39710</v>
      </c>
      <c r="C1892" s="4">
        <v>52.7</v>
      </c>
      <c r="D1892">
        <f t="shared" si="62"/>
        <v>-0.93342092629557571</v>
      </c>
      <c r="E1892">
        <v>6.1092019854906976E-3</v>
      </c>
      <c r="F1892">
        <v>1889</v>
      </c>
      <c r="G1892">
        <f t="shared" ca="1" si="63"/>
        <v>-4.6034804097973774E-2</v>
      </c>
    </row>
    <row r="1893" spans="2:7" x14ac:dyDescent="0.35">
      <c r="B1893" s="2">
        <v>43776</v>
      </c>
      <c r="C1893" s="4">
        <v>791.54</v>
      </c>
      <c r="D1893">
        <f t="shared" si="62"/>
        <v>11.298632691112491</v>
      </c>
      <c r="E1893">
        <v>6.1011261662047289E-3</v>
      </c>
      <c r="F1893">
        <v>1890</v>
      </c>
      <c r="G1893">
        <f t="shared" ca="1" si="63"/>
        <v>1.7638594179310779E-2</v>
      </c>
    </row>
    <row r="1894" spans="2:7" x14ac:dyDescent="0.35">
      <c r="B1894" s="2">
        <v>38793</v>
      </c>
      <c r="C1894" s="4">
        <v>64.36</v>
      </c>
      <c r="D1894">
        <f t="shared" si="62"/>
        <v>-0.73687653311529022</v>
      </c>
      <c r="E1894">
        <v>6.0966077848991773E-3</v>
      </c>
      <c r="F1894">
        <v>1891</v>
      </c>
      <c r="G1894">
        <f t="shared" ca="1" si="63"/>
        <v>2.0341008076932163E-2</v>
      </c>
    </row>
    <row r="1895" spans="2:7" x14ac:dyDescent="0.35">
      <c r="B1895" s="2">
        <v>41744</v>
      </c>
      <c r="C1895" s="4">
        <v>244.6</v>
      </c>
      <c r="D1895">
        <f t="shared" si="62"/>
        <v>1.9448591379725499</v>
      </c>
      <c r="E1895">
        <v>6.0875287923658483E-3</v>
      </c>
      <c r="F1895">
        <v>1892</v>
      </c>
      <c r="G1895">
        <f t="shared" ca="1" si="63"/>
        <v>-4.3987901070871869E-3</v>
      </c>
    </row>
    <row r="1896" spans="2:7" x14ac:dyDescent="0.35">
      <c r="B1896" s="2">
        <v>40927</v>
      </c>
      <c r="C1896" s="4">
        <v>83.06</v>
      </c>
      <c r="D1896">
        <f t="shared" si="62"/>
        <v>-0.86599119084880849</v>
      </c>
      <c r="E1896">
        <v>6.0562015503875521E-3</v>
      </c>
      <c r="F1896">
        <v>1893</v>
      </c>
      <c r="G1896">
        <f t="shared" ca="1" si="63"/>
        <v>1.1247409683399441E-2</v>
      </c>
    </row>
    <row r="1897" spans="2:7" x14ac:dyDescent="0.35">
      <c r="B1897" s="2">
        <v>43726</v>
      </c>
      <c r="C1897" s="4">
        <v>619.80999999999995</v>
      </c>
      <c r="D1897">
        <f t="shared" si="62"/>
        <v>6.4469542232368129</v>
      </c>
      <c r="E1897">
        <v>6.0544085183740215E-3</v>
      </c>
      <c r="F1897">
        <v>1894</v>
      </c>
      <c r="G1897">
        <f t="shared" ca="1" si="63"/>
        <v>3.8228788728627366E-2</v>
      </c>
    </row>
    <row r="1898" spans="2:7" x14ac:dyDescent="0.35">
      <c r="B1898" s="2">
        <v>41376</v>
      </c>
      <c r="C1898" s="4">
        <v>83.23</v>
      </c>
      <c r="D1898">
        <f t="shared" si="62"/>
        <v>1.4919161676646708</v>
      </c>
      <c r="E1898">
        <v>6.0437567992264185E-3</v>
      </c>
      <c r="F1898">
        <v>1895</v>
      </c>
      <c r="G1898">
        <f t="shared" ca="1" si="63"/>
        <v>-1.948052075864436E-2</v>
      </c>
    </row>
    <row r="1899" spans="2:7" x14ac:dyDescent="0.35">
      <c r="B1899" s="2">
        <v>39784</v>
      </c>
      <c r="C1899" s="4">
        <v>33.4</v>
      </c>
      <c r="D1899">
        <f t="shared" si="62"/>
        <v>-0.60830303741057823</v>
      </c>
      <c r="E1899">
        <v>6.0240963855420215E-3</v>
      </c>
      <c r="F1899">
        <v>1896</v>
      </c>
      <c r="G1899">
        <f t="shared" ca="1" si="63"/>
        <v>8.6511531438710123E-3</v>
      </c>
    </row>
    <row r="1900" spans="2:7" x14ac:dyDescent="0.35">
      <c r="B1900" s="2">
        <v>41023</v>
      </c>
      <c r="C1900" s="4">
        <v>85.27</v>
      </c>
      <c r="D1900">
        <f t="shared" si="62"/>
        <v>-3.9644104065773234E-2</v>
      </c>
      <c r="E1900">
        <v>6.0169891458234925E-3</v>
      </c>
      <c r="F1900">
        <v>1897</v>
      </c>
      <c r="G1900">
        <f t="shared" ca="1" si="63"/>
        <v>-2.0106253944591611E-2</v>
      </c>
    </row>
    <row r="1901" spans="2:7" x14ac:dyDescent="0.35">
      <c r="B1901" s="2">
        <v>39051</v>
      </c>
      <c r="C1901" s="4">
        <v>88.79</v>
      </c>
      <c r="D1901">
        <f t="shared" si="62"/>
        <v>0.28867924528301891</v>
      </c>
      <c r="E1901">
        <v>6.0049852707908524E-3</v>
      </c>
      <c r="F1901">
        <v>1898</v>
      </c>
      <c r="G1901">
        <f t="shared" ca="1" si="63"/>
        <v>-1.4885323446979432E-2</v>
      </c>
    </row>
    <row r="1902" spans="2:7" x14ac:dyDescent="0.35">
      <c r="B1902" s="2">
        <v>38817</v>
      </c>
      <c r="C1902" s="4">
        <v>68.900000000000006</v>
      </c>
      <c r="D1902">
        <f t="shared" si="62"/>
        <v>-0.25577878591488434</v>
      </c>
      <c r="E1902">
        <v>5.9862753686670267E-3</v>
      </c>
      <c r="F1902">
        <v>1899</v>
      </c>
      <c r="G1902">
        <f t="shared" ca="1" si="63"/>
        <v>-3.2107945892033286E-2</v>
      </c>
    </row>
    <row r="1903" spans="2:7" x14ac:dyDescent="0.35">
      <c r="B1903" s="2">
        <v>41089</v>
      </c>
      <c r="C1903" s="4">
        <v>92.58</v>
      </c>
      <c r="D1903">
        <f t="shared" si="62"/>
        <v>0.96144067796610155</v>
      </c>
      <c r="E1903">
        <v>5.9763120721503249E-3</v>
      </c>
      <c r="F1903">
        <v>1900</v>
      </c>
      <c r="G1903">
        <f t="shared" ca="1" si="63"/>
        <v>1.6635372039156118E-2</v>
      </c>
    </row>
    <row r="1904" spans="2:7" x14ac:dyDescent="0.35">
      <c r="B1904" s="2">
        <v>38233</v>
      </c>
      <c r="C1904" s="4">
        <v>47.2</v>
      </c>
      <c r="D1904">
        <f t="shared" si="62"/>
        <v>-0.52553277040611179</v>
      </c>
      <c r="E1904">
        <v>5.9676044330776445E-3</v>
      </c>
      <c r="F1904">
        <v>1901</v>
      </c>
      <c r="G1904">
        <f t="shared" ca="1" si="63"/>
        <v>3.282713989650729E-2</v>
      </c>
    </row>
    <row r="1905" spans="2:7" x14ac:dyDescent="0.35">
      <c r="B1905" s="2">
        <v>39162</v>
      </c>
      <c r="C1905" s="4">
        <v>99.48</v>
      </c>
      <c r="D1905">
        <f t="shared" si="62"/>
        <v>-0.90186542502293554</v>
      </c>
      <c r="E1905">
        <v>5.9662250985943466E-3</v>
      </c>
      <c r="F1905">
        <v>1902</v>
      </c>
      <c r="G1905">
        <f t="shared" ca="1" si="63"/>
        <v>-1.5043969825570692E-2</v>
      </c>
    </row>
    <row r="1906" spans="2:7" x14ac:dyDescent="0.35">
      <c r="B1906" s="2">
        <v>42359</v>
      </c>
      <c r="C1906" s="4">
        <v>1013.71</v>
      </c>
      <c r="D1906">
        <f t="shared" si="62"/>
        <v>11.000828696578667</v>
      </c>
      <c r="E1906">
        <v>5.9640766101021203E-3</v>
      </c>
      <c r="F1906">
        <v>1903</v>
      </c>
      <c r="G1906">
        <f t="shared" ca="1" si="63"/>
        <v>-2.4584371604413841E-3</v>
      </c>
    </row>
    <row r="1907" spans="2:7" x14ac:dyDescent="0.35">
      <c r="B1907" s="2">
        <v>41409</v>
      </c>
      <c r="C1907" s="4">
        <v>84.47</v>
      </c>
      <c r="D1907">
        <f t="shared" si="62"/>
        <v>7.7835906596912086E-2</v>
      </c>
      <c r="E1907">
        <v>5.954507562224709E-3</v>
      </c>
      <c r="F1907">
        <v>1904</v>
      </c>
      <c r="G1907">
        <f t="shared" ca="1" si="63"/>
        <v>3.5720935363052712E-3</v>
      </c>
    </row>
    <row r="1908" spans="2:7" x14ac:dyDescent="0.35">
      <c r="B1908" s="2">
        <v>38967</v>
      </c>
      <c r="C1908" s="4">
        <v>78.37</v>
      </c>
      <c r="D1908">
        <f t="shared" si="62"/>
        <v>-0.1484298598283168</v>
      </c>
      <c r="E1908">
        <v>5.9042484918496729E-3</v>
      </c>
      <c r="F1908">
        <v>1905</v>
      </c>
      <c r="G1908">
        <f t="shared" ca="1" si="63"/>
        <v>1.3155250740871292E-2</v>
      </c>
    </row>
    <row r="1909" spans="2:7" x14ac:dyDescent="0.35">
      <c r="B1909" s="2">
        <v>41088</v>
      </c>
      <c r="C1909" s="4">
        <v>92.03</v>
      </c>
      <c r="D1909">
        <f t="shared" si="62"/>
        <v>-8.5734154579773403E-2</v>
      </c>
      <c r="E1909">
        <v>5.9022844026670462E-3</v>
      </c>
      <c r="F1909">
        <v>1906</v>
      </c>
      <c r="G1909">
        <f t="shared" ca="1" si="63"/>
        <v>-4.8699937911508465E-2</v>
      </c>
    </row>
    <row r="1910" spans="2:7" x14ac:dyDescent="0.35">
      <c r="B1910" s="2">
        <v>40626</v>
      </c>
      <c r="C1910" s="4">
        <v>100.66</v>
      </c>
      <c r="D1910">
        <f t="shared" si="62"/>
        <v>2.097230769230769</v>
      </c>
      <c r="E1910">
        <v>5.895872888977749E-3</v>
      </c>
      <c r="F1910">
        <v>1907</v>
      </c>
      <c r="G1910">
        <f t="shared" ca="1" si="63"/>
        <v>2.5471250436610388E-2</v>
      </c>
    </row>
    <row r="1911" spans="2:7" x14ac:dyDescent="0.35">
      <c r="B1911" s="2">
        <v>38156</v>
      </c>
      <c r="C1911" s="4">
        <v>32.5</v>
      </c>
      <c r="D1911">
        <f t="shared" si="62"/>
        <v>-0.95692169026032559</v>
      </c>
      <c r="E1911">
        <v>5.8805323429278467E-3</v>
      </c>
      <c r="F1911">
        <v>1908</v>
      </c>
      <c r="G1911">
        <f t="shared" ca="1" si="63"/>
        <v>-1.7766152117660527E-2</v>
      </c>
    </row>
    <row r="1912" spans="2:7" x14ac:dyDescent="0.35">
      <c r="B1912" s="2">
        <v>42606</v>
      </c>
      <c r="C1912" s="4">
        <v>754.44</v>
      </c>
      <c r="D1912">
        <f t="shared" si="62"/>
        <v>8.5571319989865735</v>
      </c>
      <c r="E1912">
        <v>5.8797648094077726E-3</v>
      </c>
      <c r="F1912">
        <v>1909</v>
      </c>
      <c r="G1912">
        <f t="shared" ca="1" si="63"/>
        <v>-2.2607474056299221E-2</v>
      </c>
    </row>
    <row r="1913" spans="2:7" x14ac:dyDescent="0.35">
      <c r="B1913" s="2">
        <v>40914</v>
      </c>
      <c r="C1913" s="4">
        <v>78.94</v>
      </c>
      <c r="D1913">
        <f t="shared" si="62"/>
        <v>-0.22049965438925645</v>
      </c>
      <c r="E1913">
        <v>5.8613659531090434E-3</v>
      </c>
      <c r="F1913">
        <v>1910</v>
      </c>
      <c r="G1913">
        <f t="shared" ca="1" si="63"/>
        <v>-8.0846457414574819E-3</v>
      </c>
    </row>
    <row r="1914" spans="2:7" x14ac:dyDescent="0.35">
      <c r="B1914" s="2">
        <v>40182</v>
      </c>
      <c r="C1914" s="4">
        <v>101.27</v>
      </c>
      <c r="D1914">
        <f t="shared" si="62"/>
        <v>-0.98485965240142026</v>
      </c>
      <c r="E1914">
        <v>5.8601509733808843E-3</v>
      </c>
      <c r="F1914">
        <v>1911</v>
      </c>
      <c r="G1914">
        <f t="shared" ca="1" si="63"/>
        <v>1.7026850866380484E-2</v>
      </c>
    </row>
    <row r="1915" spans="2:7" x14ac:dyDescent="0.35">
      <c r="B1915" s="2">
        <v>44973</v>
      </c>
      <c r="C1915" s="4">
        <v>6688.75</v>
      </c>
      <c r="D1915">
        <f t="shared" si="62"/>
        <v>106.76139842113743</v>
      </c>
      <c r="E1915">
        <v>5.8346303355665263E-3</v>
      </c>
      <c r="F1915">
        <v>1912</v>
      </c>
      <c r="G1915">
        <f t="shared" ca="1" si="63"/>
        <v>1.2833983444685408E-2</v>
      </c>
    </row>
    <row r="1916" spans="2:7" x14ac:dyDescent="0.35">
      <c r="B1916" s="2">
        <v>39693</v>
      </c>
      <c r="C1916" s="4">
        <v>62.07</v>
      </c>
      <c r="D1916">
        <f t="shared" si="62"/>
        <v>1.7660427807486632</v>
      </c>
      <c r="E1916">
        <v>5.8337384540592119E-3</v>
      </c>
      <c r="F1916">
        <v>1913</v>
      </c>
      <c r="G1916">
        <f t="shared" ca="1" si="63"/>
        <v>-4.6663089439186465E-3</v>
      </c>
    </row>
    <row r="1917" spans="2:7" x14ac:dyDescent="0.35">
      <c r="B1917" s="2">
        <v>37740</v>
      </c>
      <c r="C1917" s="4">
        <v>22.44</v>
      </c>
      <c r="D1917">
        <f t="shared" si="62"/>
        <v>-0.91979985704074341</v>
      </c>
      <c r="E1917">
        <v>5.8269834155089129E-3</v>
      </c>
      <c r="F1917">
        <v>1914</v>
      </c>
      <c r="G1917">
        <f t="shared" ca="1" si="63"/>
        <v>-1.7625370999153529E-2</v>
      </c>
    </row>
    <row r="1918" spans="2:7" x14ac:dyDescent="0.35">
      <c r="B1918" s="2">
        <v>42010</v>
      </c>
      <c r="C1918" s="4">
        <v>279.8</v>
      </c>
      <c r="D1918">
        <f t="shared" si="62"/>
        <v>3.498392282958199</v>
      </c>
      <c r="E1918">
        <v>5.8235674742972421E-3</v>
      </c>
      <c r="F1918">
        <v>1915</v>
      </c>
      <c r="G1918">
        <f t="shared" ca="1" si="63"/>
        <v>3.4310110433951477E-2</v>
      </c>
    </row>
    <row r="1919" spans="2:7" x14ac:dyDescent="0.35">
      <c r="B1919" s="2">
        <v>38534</v>
      </c>
      <c r="C1919" s="4">
        <v>62.2</v>
      </c>
      <c r="D1919">
        <f t="shared" si="62"/>
        <v>-8.1376458425638676E-2</v>
      </c>
      <c r="E1919">
        <v>5.8214747736093919E-3</v>
      </c>
      <c r="F1919">
        <v>1916</v>
      </c>
      <c r="G1919">
        <f t="shared" ca="1" si="63"/>
        <v>8.0070952298681164E-3</v>
      </c>
    </row>
    <row r="1920" spans="2:7" x14ac:dyDescent="0.35">
      <c r="B1920" s="2">
        <v>38680</v>
      </c>
      <c r="C1920" s="4">
        <v>67.709999999999994</v>
      </c>
      <c r="D1920">
        <f t="shared" si="62"/>
        <v>-0.90610960119806983</v>
      </c>
      <c r="E1920">
        <v>5.7932263814617357E-3</v>
      </c>
      <c r="F1920">
        <v>1917</v>
      </c>
      <c r="G1920">
        <f t="shared" ca="1" si="63"/>
        <v>-4.5184621952682219E-2</v>
      </c>
    </row>
    <row r="1921" spans="2:7" x14ac:dyDescent="0.35">
      <c r="B1921" s="2">
        <v>42870</v>
      </c>
      <c r="C1921" s="4">
        <v>721.16</v>
      </c>
      <c r="D1921">
        <f t="shared" si="62"/>
        <v>9.5388541223646595E-2</v>
      </c>
      <c r="E1921">
        <v>5.773897520292337E-3</v>
      </c>
      <c r="F1921">
        <v>1918</v>
      </c>
      <c r="G1921">
        <f t="shared" ca="1" si="63"/>
        <v>1.2756606539544662E-4</v>
      </c>
    </row>
    <row r="1922" spans="2:7" x14ac:dyDescent="0.35">
      <c r="B1922" s="2">
        <v>42752</v>
      </c>
      <c r="C1922" s="4">
        <v>658.36</v>
      </c>
      <c r="D1922">
        <f t="shared" si="62"/>
        <v>-0.92532891752109614</v>
      </c>
      <c r="E1922">
        <v>5.7593302678011771E-3</v>
      </c>
      <c r="F1922">
        <v>1919</v>
      </c>
      <c r="G1922">
        <f t="shared" ca="1" si="63"/>
        <v>6.4026080226337627E-3</v>
      </c>
    </row>
    <row r="1923" spans="2:7" x14ac:dyDescent="0.35">
      <c r="B1923" s="2">
        <v>44813</v>
      </c>
      <c r="C1923" s="4">
        <v>8816.7999999999993</v>
      </c>
      <c r="D1923">
        <f t="shared" si="62"/>
        <v>106.11699671971813</v>
      </c>
      <c r="E1923">
        <v>5.7492243110055519E-3</v>
      </c>
      <c r="F1923">
        <v>1920</v>
      </c>
      <c r="G1923">
        <f t="shared" ca="1" si="63"/>
        <v>2.8296496487444766E-2</v>
      </c>
    </row>
    <row r="1924" spans="2:7" x14ac:dyDescent="0.35">
      <c r="B1924" s="2">
        <v>40931</v>
      </c>
      <c r="C1924" s="4">
        <v>82.31</v>
      </c>
      <c r="D1924">
        <f t="shared" ref="D1924:D1987" si="64">C1924/C1925-1</f>
        <v>-0.17607607607607612</v>
      </c>
      <c r="E1924">
        <v>5.742913000977401E-3</v>
      </c>
      <c r="F1924">
        <v>1921</v>
      </c>
      <c r="G1924">
        <f t="shared" ca="1" si="63"/>
        <v>-8.5378271145200631E-3</v>
      </c>
    </row>
    <row r="1925" spans="2:7" x14ac:dyDescent="0.35">
      <c r="B1925" s="2">
        <v>41166</v>
      </c>
      <c r="C1925" s="4">
        <v>99.9</v>
      </c>
      <c r="D1925">
        <f t="shared" si="64"/>
        <v>-0.87751649052254721</v>
      </c>
      <c r="E1925">
        <v>5.7384475989128436E-3</v>
      </c>
      <c r="F1925">
        <v>1922</v>
      </c>
      <c r="G1925">
        <f t="shared" ref="G1925:G1988" ca="1" si="65">_xlfn.NORM.INV(RAND(),K$6,K$7)</f>
        <v>2.2287498823748916E-2</v>
      </c>
    </row>
    <row r="1926" spans="2:7" x14ac:dyDescent="0.35">
      <c r="B1926" s="2">
        <v>42944</v>
      </c>
      <c r="C1926" s="4">
        <v>815.62</v>
      </c>
      <c r="D1926">
        <f t="shared" si="64"/>
        <v>6.8811479369987438</v>
      </c>
      <c r="E1926">
        <v>5.7338742493557859E-3</v>
      </c>
      <c r="F1926">
        <v>1923</v>
      </c>
      <c r="G1926">
        <f t="shared" ca="1" si="65"/>
        <v>2.4000763657943576E-2</v>
      </c>
    </row>
    <row r="1927" spans="2:7" x14ac:dyDescent="0.35">
      <c r="B1927" s="2">
        <v>40738</v>
      </c>
      <c r="C1927" s="4">
        <v>103.49</v>
      </c>
      <c r="D1927">
        <f t="shared" si="64"/>
        <v>-0.89389232362379911</v>
      </c>
      <c r="E1927">
        <v>5.7337220602524663E-3</v>
      </c>
      <c r="F1927">
        <v>1924</v>
      </c>
      <c r="G1927">
        <f t="shared" ca="1" si="65"/>
        <v>-2.1389578847735059E-2</v>
      </c>
    </row>
    <row r="1928" spans="2:7" x14ac:dyDescent="0.35">
      <c r="B1928" s="2">
        <v>43115</v>
      </c>
      <c r="C1928" s="4">
        <v>975.33</v>
      </c>
      <c r="D1928">
        <f t="shared" si="64"/>
        <v>8.0149736574544796</v>
      </c>
      <c r="E1928">
        <v>5.6814666639171119E-3</v>
      </c>
      <c r="F1928">
        <v>1925</v>
      </c>
      <c r="G1928">
        <f t="shared" ca="1" si="65"/>
        <v>7.1836579647550445E-3</v>
      </c>
    </row>
    <row r="1929" spans="2:7" x14ac:dyDescent="0.35">
      <c r="B1929" s="2">
        <v>40220</v>
      </c>
      <c r="C1929" s="4">
        <v>108.19</v>
      </c>
      <c r="D1929">
        <f t="shared" si="64"/>
        <v>0.26879324498651336</v>
      </c>
      <c r="E1929">
        <v>5.6701989217327053E-3</v>
      </c>
      <c r="F1929">
        <v>1926</v>
      </c>
      <c r="G1929">
        <f t="shared" ca="1" si="65"/>
        <v>-2.2464392453206309E-2</v>
      </c>
    </row>
    <row r="1930" spans="2:7" x14ac:dyDescent="0.35">
      <c r="B1930" s="2">
        <v>41019</v>
      </c>
      <c r="C1930" s="4">
        <v>85.27</v>
      </c>
      <c r="D1930">
        <f t="shared" si="64"/>
        <v>-0.12900919305413694</v>
      </c>
      <c r="E1930">
        <v>5.6610449345440017E-3</v>
      </c>
      <c r="F1930">
        <v>1927</v>
      </c>
      <c r="G1930">
        <f t="shared" ca="1" si="65"/>
        <v>7.0853915217035518E-3</v>
      </c>
    </row>
    <row r="1931" spans="2:7" x14ac:dyDescent="0.35">
      <c r="B1931" s="2">
        <v>40693</v>
      </c>
      <c r="C1931" s="4">
        <v>97.9</v>
      </c>
      <c r="D1931">
        <f t="shared" si="64"/>
        <v>-0.98781838316722037</v>
      </c>
      <c r="E1931">
        <v>5.6497175141243527E-3</v>
      </c>
      <c r="F1931">
        <v>1928</v>
      </c>
      <c r="G1931">
        <f t="shared" ca="1" si="65"/>
        <v>-7.6612622646709969E-2</v>
      </c>
    </row>
    <row r="1932" spans="2:7" x14ac:dyDescent="0.35">
      <c r="B1932" s="2">
        <v>44740</v>
      </c>
      <c r="C1932" s="4">
        <v>8036.7</v>
      </c>
      <c r="D1932">
        <f t="shared" si="64"/>
        <v>299.54973821989529</v>
      </c>
      <c r="E1932">
        <v>5.6434255968766944E-3</v>
      </c>
      <c r="F1932">
        <v>1929</v>
      </c>
      <c r="G1932">
        <f t="shared" ca="1" si="65"/>
        <v>1.5270258296259649E-2</v>
      </c>
    </row>
    <row r="1933" spans="2:7" x14ac:dyDescent="0.35">
      <c r="B1933" s="2">
        <v>37837</v>
      </c>
      <c r="C1933" s="4">
        <v>26.74</v>
      </c>
      <c r="D1933">
        <f t="shared" si="64"/>
        <v>-0.77699941622883828</v>
      </c>
      <c r="E1933">
        <v>5.6412185031966544E-3</v>
      </c>
      <c r="F1933">
        <v>1930</v>
      </c>
      <c r="G1933">
        <f t="shared" ca="1" si="65"/>
        <v>1.5099113005868046E-2</v>
      </c>
    </row>
    <row r="1934" spans="2:7" x14ac:dyDescent="0.35">
      <c r="B1934" s="2">
        <v>39260</v>
      </c>
      <c r="C1934" s="4">
        <v>119.91</v>
      </c>
      <c r="D1934">
        <f t="shared" si="64"/>
        <v>-0.8329269482102799</v>
      </c>
      <c r="E1934">
        <v>5.6189198255618411E-3</v>
      </c>
      <c r="F1934">
        <v>1931</v>
      </c>
      <c r="G1934">
        <f t="shared" ca="1" si="65"/>
        <v>-2.38237355960093E-2</v>
      </c>
    </row>
    <row r="1935" spans="2:7" x14ac:dyDescent="0.35">
      <c r="B1935" s="2">
        <v>42629</v>
      </c>
      <c r="C1935" s="4">
        <v>717.71</v>
      </c>
      <c r="D1935">
        <f t="shared" si="64"/>
        <v>5.7721268163804496</v>
      </c>
      <c r="E1935">
        <v>5.6045172408960564E-3</v>
      </c>
      <c r="F1935">
        <v>1932</v>
      </c>
      <c r="G1935">
        <f t="shared" ca="1" si="65"/>
        <v>4.3367418505705191E-2</v>
      </c>
    </row>
    <row r="1936" spans="2:7" x14ac:dyDescent="0.35">
      <c r="B1936" s="2">
        <v>41110</v>
      </c>
      <c r="C1936" s="4">
        <v>105.98</v>
      </c>
      <c r="D1936">
        <f t="shared" si="64"/>
        <v>7.1695823642430989E-2</v>
      </c>
      <c r="E1936">
        <v>5.5982541038048783E-3</v>
      </c>
      <c r="F1936">
        <v>1933</v>
      </c>
      <c r="G1936">
        <f t="shared" ca="1" si="65"/>
        <v>-2.6770527976973456E-2</v>
      </c>
    </row>
    <row r="1937" spans="2:7" x14ac:dyDescent="0.35">
      <c r="B1937" s="2">
        <v>39161</v>
      </c>
      <c r="C1937" s="4">
        <v>98.89</v>
      </c>
      <c r="D1937">
        <f t="shared" si="64"/>
        <v>-0.8688183168842194</v>
      </c>
      <c r="E1937">
        <v>5.5928411633108244E-3</v>
      </c>
      <c r="F1937">
        <v>1934</v>
      </c>
      <c r="G1937">
        <f t="shared" ca="1" si="65"/>
        <v>-1.7084720042439709E-2</v>
      </c>
    </row>
    <row r="1938" spans="2:7" x14ac:dyDescent="0.35">
      <c r="B1938" s="2">
        <v>42908</v>
      </c>
      <c r="C1938" s="4">
        <v>753.84</v>
      </c>
      <c r="D1938">
        <f t="shared" si="64"/>
        <v>-0.37302260591845893</v>
      </c>
      <c r="E1938">
        <v>5.5490342546153926E-3</v>
      </c>
      <c r="F1938">
        <v>1935</v>
      </c>
      <c r="G1938">
        <f t="shared" ca="1" si="65"/>
        <v>8.6870964118439236E-3</v>
      </c>
    </row>
    <row r="1939" spans="2:7" x14ac:dyDescent="0.35">
      <c r="B1939" s="2">
        <v>43265</v>
      </c>
      <c r="C1939" s="4">
        <v>1202.3399999999999</v>
      </c>
      <c r="D1939">
        <f t="shared" si="64"/>
        <v>16.417644502390264</v>
      </c>
      <c r="E1939">
        <v>5.5448227412999707E-3</v>
      </c>
      <c r="F1939">
        <v>1936</v>
      </c>
      <c r="G1939">
        <f t="shared" ca="1" si="65"/>
        <v>4.3239416348032189E-2</v>
      </c>
    </row>
    <row r="1940" spans="2:7" x14ac:dyDescent="0.35">
      <c r="B1940" s="2">
        <v>40078</v>
      </c>
      <c r="C1940" s="4">
        <v>69.03</v>
      </c>
      <c r="D1940">
        <f t="shared" si="64"/>
        <v>-0.35827833038951373</v>
      </c>
      <c r="E1940">
        <v>5.5353241077931159E-3</v>
      </c>
      <c r="F1940">
        <v>1937</v>
      </c>
      <c r="G1940">
        <f t="shared" ca="1" si="65"/>
        <v>-2.3398977132225798E-2</v>
      </c>
    </row>
    <row r="1941" spans="2:7" x14ac:dyDescent="0.35">
      <c r="B1941" s="2">
        <v>40312</v>
      </c>
      <c r="C1941" s="4">
        <v>107.57</v>
      </c>
      <c r="D1941">
        <f t="shared" si="64"/>
        <v>1.183275827075299</v>
      </c>
      <c r="E1941">
        <v>5.5150495419704626E-3</v>
      </c>
      <c r="F1941">
        <v>1938</v>
      </c>
      <c r="G1941">
        <f t="shared" ca="1" si="65"/>
        <v>2.8221211416055703E-2</v>
      </c>
    </row>
    <row r="1942" spans="2:7" x14ac:dyDescent="0.35">
      <c r="B1942" s="2">
        <v>38370</v>
      </c>
      <c r="C1942" s="4">
        <v>49.27</v>
      </c>
      <c r="D1942">
        <f t="shared" si="64"/>
        <v>-0.42609202096680254</v>
      </c>
      <c r="E1942">
        <v>5.5102040816326081E-3</v>
      </c>
      <c r="F1942">
        <v>1939</v>
      </c>
      <c r="G1942">
        <f t="shared" ca="1" si="65"/>
        <v>-4.2830443757935474E-2</v>
      </c>
    </row>
    <row r="1943" spans="2:7" x14ac:dyDescent="0.35">
      <c r="B1943" s="2">
        <v>41366</v>
      </c>
      <c r="C1943" s="4">
        <v>85.85</v>
      </c>
      <c r="D1943">
        <f t="shared" si="64"/>
        <v>9.2795315682280943E-2</v>
      </c>
      <c r="E1943">
        <v>5.5048020613726045E-3</v>
      </c>
      <c r="F1943">
        <v>1940</v>
      </c>
      <c r="G1943">
        <f t="shared" ca="1" si="65"/>
        <v>1.2609361726475199E-2</v>
      </c>
    </row>
    <row r="1944" spans="2:7" x14ac:dyDescent="0.35">
      <c r="B1944" s="2">
        <v>41437</v>
      </c>
      <c r="C1944" s="4">
        <v>78.56</v>
      </c>
      <c r="D1944">
        <f t="shared" si="64"/>
        <v>-8.576748516234145E-2</v>
      </c>
      <c r="E1944">
        <v>5.5036477665431072E-3</v>
      </c>
      <c r="F1944">
        <v>1941</v>
      </c>
      <c r="G1944">
        <f t="shared" ca="1" si="65"/>
        <v>6.1723208657412628E-3</v>
      </c>
    </row>
    <row r="1945" spans="2:7" x14ac:dyDescent="0.35">
      <c r="B1945" s="2">
        <v>39399</v>
      </c>
      <c r="C1945" s="4">
        <v>85.93</v>
      </c>
      <c r="D1945">
        <f t="shared" si="64"/>
        <v>-0.86003518259113265</v>
      </c>
      <c r="E1945">
        <v>5.4996489585772412E-3</v>
      </c>
      <c r="F1945">
        <v>1942</v>
      </c>
      <c r="G1945">
        <f t="shared" ca="1" si="65"/>
        <v>1.7535548307705179E-2</v>
      </c>
    </row>
    <row r="1946" spans="2:7" x14ac:dyDescent="0.35">
      <c r="B1946" s="2">
        <v>43707</v>
      </c>
      <c r="C1946" s="4">
        <v>613.94000000000005</v>
      </c>
      <c r="D1946">
        <f t="shared" si="64"/>
        <v>6.1231001276250154</v>
      </c>
      <c r="E1946">
        <v>5.4864966671579474E-3</v>
      </c>
      <c r="F1946">
        <v>1943</v>
      </c>
      <c r="G1946">
        <f t="shared" ca="1" si="65"/>
        <v>-2.5500438546610903E-2</v>
      </c>
    </row>
    <row r="1947" spans="2:7" x14ac:dyDescent="0.35">
      <c r="B1947" s="2">
        <v>39408</v>
      </c>
      <c r="C1947" s="4">
        <v>86.19</v>
      </c>
      <c r="D1947">
        <f t="shared" si="64"/>
        <v>-0.9035528450735747</v>
      </c>
      <c r="E1947">
        <v>5.4829678021464101E-3</v>
      </c>
      <c r="F1947">
        <v>1944</v>
      </c>
      <c r="G1947">
        <f t="shared" ca="1" si="65"/>
        <v>3.600584076310083E-2</v>
      </c>
    </row>
    <row r="1948" spans="2:7" x14ac:dyDescent="0.35">
      <c r="B1948" s="2">
        <v>43091</v>
      </c>
      <c r="C1948" s="4">
        <v>893.65</v>
      </c>
      <c r="D1948">
        <f t="shared" si="64"/>
        <v>7.8296611006817507</v>
      </c>
      <c r="E1948">
        <v>5.4681083270513575E-3</v>
      </c>
      <c r="F1948">
        <v>1945</v>
      </c>
      <c r="G1948">
        <f t="shared" ca="1" si="65"/>
        <v>1.4405460484441995E-2</v>
      </c>
    </row>
    <row r="1949" spans="2:7" x14ac:dyDescent="0.35">
      <c r="B1949" s="2">
        <v>40627</v>
      </c>
      <c r="C1949" s="4">
        <v>101.21</v>
      </c>
      <c r="D1949">
        <f t="shared" si="64"/>
        <v>-0.88447270195304029</v>
      </c>
      <c r="E1949">
        <v>5.4639380091396905E-3</v>
      </c>
      <c r="F1949">
        <v>1946</v>
      </c>
      <c r="G1949">
        <f t="shared" ca="1" si="65"/>
        <v>-3.0598329031663252E-2</v>
      </c>
    </row>
    <row r="1950" spans="2:7" x14ac:dyDescent="0.35">
      <c r="B1950" s="2">
        <v>44013</v>
      </c>
      <c r="C1950" s="4">
        <v>876.07</v>
      </c>
      <c r="D1950">
        <f t="shared" si="64"/>
        <v>-0.13108120170992732</v>
      </c>
      <c r="E1950">
        <v>5.4630384134235488E-3</v>
      </c>
      <c r="F1950">
        <v>1947</v>
      </c>
      <c r="G1950">
        <f t="shared" ca="1" si="65"/>
        <v>-3.1737321168221005E-2</v>
      </c>
    </row>
    <row r="1951" spans="2:7" x14ac:dyDescent="0.35">
      <c r="B1951" s="2">
        <v>44056</v>
      </c>
      <c r="C1951" s="4">
        <v>1008.23</v>
      </c>
      <c r="D1951">
        <f t="shared" si="64"/>
        <v>9.4382441246505842</v>
      </c>
      <c r="E1951">
        <v>5.4248646276888746E-3</v>
      </c>
      <c r="F1951">
        <v>1948</v>
      </c>
      <c r="G1951">
        <f t="shared" ca="1" si="65"/>
        <v>-3.1825798175410737E-2</v>
      </c>
    </row>
    <row r="1952" spans="2:7" x14ac:dyDescent="0.35">
      <c r="B1952" s="2">
        <v>41205</v>
      </c>
      <c r="C1952" s="4">
        <v>96.59</v>
      </c>
      <c r="D1952">
        <f t="shared" si="64"/>
        <v>1.5993003229278799</v>
      </c>
      <c r="E1952">
        <v>5.4127198917457431E-3</v>
      </c>
      <c r="F1952">
        <v>1949</v>
      </c>
      <c r="G1952">
        <f t="shared" ca="1" si="65"/>
        <v>-5.9044962024821504E-3</v>
      </c>
    </row>
    <row r="1953" spans="2:7" x14ac:dyDescent="0.35">
      <c r="B1953" s="2">
        <v>38182</v>
      </c>
      <c r="C1953" s="4">
        <v>37.159999999999997</v>
      </c>
      <c r="D1953">
        <f t="shared" si="64"/>
        <v>-0.93393190505822743</v>
      </c>
      <c r="E1953">
        <v>5.4112554112553113E-3</v>
      </c>
      <c r="F1953">
        <v>1950</v>
      </c>
      <c r="G1953">
        <f t="shared" ca="1" si="65"/>
        <v>-2.3604515789983739E-3</v>
      </c>
    </row>
    <row r="1954" spans="2:7" x14ac:dyDescent="0.35">
      <c r="B1954" s="2">
        <v>42152</v>
      </c>
      <c r="C1954" s="4">
        <v>562.45000000000005</v>
      </c>
      <c r="D1954">
        <f t="shared" si="64"/>
        <v>-0.82236700817342312</v>
      </c>
      <c r="E1954">
        <v>5.3983518938922614E-3</v>
      </c>
      <c r="F1954">
        <v>1951</v>
      </c>
      <c r="G1954">
        <f t="shared" ca="1" si="65"/>
        <v>2.7889040312618768E-2</v>
      </c>
    </row>
    <row r="1955" spans="2:7" x14ac:dyDescent="0.35">
      <c r="B1955" s="2">
        <v>44312</v>
      </c>
      <c r="C1955" s="4">
        <v>3166.36</v>
      </c>
      <c r="D1955">
        <f t="shared" si="64"/>
        <v>-0.60928671466735773</v>
      </c>
      <c r="E1955">
        <v>5.3979221175095571E-3</v>
      </c>
      <c r="F1955">
        <v>1952</v>
      </c>
      <c r="G1955">
        <f t="shared" ca="1" si="65"/>
        <v>-2.492487468445408E-2</v>
      </c>
    </row>
    <row r="1956" spans="2:7" x14ac:dyDescent="0.35">
      <c r="B1956" s="2">
        <v>44760</v>
      </c>
      <c r="C1956" s="4">
        <v>8104.05</v>
      </c>
      <c r="D1956">
        <f t="shared" si="64"/>
        <v>7.4364459712679576</v>
      </c>
      <c r="E1956">
        <v>5.3904175867800497E-3</v>
      </c>
      <c r="F1956">
        <v>1953</v>
      </c>
      <c r="G1956">
        <f t="shared" ca="1" si="65"/>
        <v>-4.0119131113795095E-3</v>
      </c>
    </row>
    <row r="1957" spans="2:7" x14ac:dyDescent="0.35">
      <c r="B1957" s="2">
        <v>43895</v>
      </c>
      <c r="C1957" s="4">
        <v>960.6</v>
      </c>
      <c r="D1957">
        <f t="shared" si="64"/>
        <v>0.46977370442339761</v>
      </c>
      <c r="E1957">
        <v>5.3901303050918337E-3</v>
      </c>
      <c r="F1957">
        <v>1954</v>
      </c>
      <c r="G1957">
        <f t="shared" ca="1" si="65"/>
        <v>3.5885330106178774E-2</v>
      </c>
    </row>
    <row r="1958" spans="2:7" x14ac:dyDescent="0.35">
      <c r="B1958" s="2">
        <v>42737</v>
      </c>
      <c r="C1958" s="4">
        <v>653.57000000000005</v>
      </c>
      <c r="D1958">
        <f t="shared" si="64"/>
        <v>-6.8962078691700568E-2</v>
      </c>
      <c r="E1958">
        <v>5.3685700221510757E-3</v>
      </c>
      <c r="F1958">
        <v>1955</v>
      </c>
      <c r="G1958">
        <f t="shared" ca="1" si="65"/>
        <v>2.7530550001698274E-2</v>
      </c>
    </row>
    <row r="1959" spans="2:7" x14ac:dyDescent="0.35">
      <c r="B1959" s="2">
        <v>42627</v>
      </c>
      <c r="C1959" s="4">
        <v>701.98</v>
      </c>
      <c r="D1959">
        <f t="shared" si="64"/>
        <v>7.9038559107052251</v>
      </c>
      <c r="E1959">
        <v>5.3563244729606385E-3</v>
      </c>
      <c r="F1959">
        <v>1956</v>
      </c>
      <c r="G1959">
        <f t="shared" ca="1" si="65"/>
        <v>-5.2739587781041646E-2</v>
      </c>
    </row>
    <row r="1960" spans="2:7" x14ac:dyDescent="0.35">
      <c r="B1960" s="2">
        <v>40871</v>
      </c>
      <c r="C1960" s="4">
        <v>78.84</v>
      </c>
      <c r="D1960">
        <f t="shared" si="64"/>
        <v>-8.8870911822489296E-2</v>
      </c>
      <c r="E1960">
        <v>5.355776587605332E-3</v>
      </c>
      <c r="F1960">
        <v>1957</v>
      </c>
      <c r="G1960">
        <f t="shared" ca="1" si="65"/>
        <v>2.6492064251286182E-2</v>
      </c>
    </row>
    <row r="1961" spans="2:7" x14ac:dyDescent="0.35">
      <c r="B1961" s="2">
        <v>40814</v>
      </c>
      <c r="C1961" s="4">
        <v>86.53</v>
      </c>
      <c r="D1961">
        <f t="shared" si="64"/>
        <v>1.8680808750414317</v>
      </c>
      <c r="E1961">
        <v>5.3444870454282256E-3</v>
      </c>
      <c r="F1961">
        <v>1958</v>
      </c>
      <c r="G1961">
        <f t="shared" ca="1" si="65"/>
        <v>-5.1871790934009551E-2</v>
      </c>
    </row>
    <row r="1962" spans="2:7" x14ac:dyDescent="0.35">
      <c r="B1962" s="2">
        <v>37610</v>
      </c>
      <c r="C1962" s="4">
        <v>30.17</v>
      </c>
      <c r="D1962">
        <f t="shared" si="64"/>
        <v>-0.99566678635547579</v>
      </c>
      <c r="E1962">
        <v>5.3315561479507778E-3</v>
      </c>
      <c r="F1962">
        <v>1959</v>
      </c>
      <c r="G1962">
        <f t="shared" ca="1" si="65"/>
        <v>4.7566304720855719E-2</v>
      </c>
    </row>
    <row r="1963" spans="2:7" x14ac:dyDescent="0.35">
      <c r="B1963" s="2">
        <v>44876</v>
      </c>
      <c r="C1963" s="4">
        <v>6962.5</v>
      </c>
      <c r="D1963">
        <f t="shared" si="64"/>
        <v>66.959980478282091</v>
      </c>
      <c r="E1963">
        <v>5.3135423134123005E-3</v>
      </c>
      <c r="F1963">
        <v>1960</v>
      </c>
      <c r="G1963">
        <f t="shared" ca="1" si="65"/>
        <v>-2.1418026063984631E-4</v>
      </c>
    </row>
    <row r="1964" spans="2:7" x14ac:dyDescent="0.35">
      <c r="B1964" s="2">
        <v>41247</v>
      </c>
      <c r="C1964" s="4">
        <v>102.45</v>
      </c>
      <c r="D1964">
        <f t="shared" si="64"/>
        <v>-0.98465961413202163</v>
      </c>
      <c r="E1964">
        <v>5.2987930526935401E-3</v>
      </c>
      <c r="F1964">
        <v>1961</v>
      </c>
      <c r="G1964">
        <f t="shared" ca="1" si="65"/>
        <v>1.6604314039406303E-2</v>
      </c>
    </row>
    <row r="1965" spans="2:7" x14ac:dyDescent="0.35">
      <c r="B1965" s="2">
        <v>45049</v>
      </c>
      <c r="C1965" s="4">
        <v>6678.45</v>
      </c>
      <c r="D1965">
        <f t="shared" si="64"/>
        <v>1.348647631640953</v>
      </c>
      <c r="E1965">
        <v>5.298611372445583E-3</v>
      </c>
      <c r="F1965">
        <v>1962</v>
      </c>
      <c r="G1965">
        <f t="shared" ca="1" si="65"/>
        <v>-1.8880947859241937E-2</v>
      </c>
    </row>
    <row r="1966" spans="2:7" x14ac:dyDescent="0.35">
      <c r="B1966" s="2">
        <v>44230</v>
      </c>
      <c r="C1966" s="4">
        <v>2843.53</v>
      </c>
      <c r="D1966">
        <f t="shared" si="64"/>
        <v>26.609767938634821</v>
      </c>
      <c r="E1966">
        <v>5.278229512833299E-3</v>
      </c>
      <c r="F1966">
        <v>1963</v>
      </c>
      <c r="G1966">
        <f t="shared" ca="1" si="65"/>
        <v>9.9956464820564177E-3</v>
      </c>
    </row>
    <row r="1967" spans="2:7" x14ac:dyDescent="0.35">
      <c r="B1967" s="2">
        <v>41248</v>
      </c>
      <c r="C1967" s="4">
        <v>102.99</v>
      </c>
      <c r="D1967">
        <f t="shared" si="64"/>
        <v>-0.88698562493141664</v>
      </c>
      <c r="E1967">
        <v>5.270863836017492E-3</v>
      </c>
      <c r="F1967">
        <v>1964</v>
      </c>
      <c r="G1967">
        <f t="shared" ca="1" si="65"/>
        <v>3.8203289075826971E-2</v>
      </c>
    </row>
    <row r="1968" spans="2:7" x14ac:dyDescent="0.35">
      <c r="B1968" s="2">
        <v>44032</v>
      </c>
      <c r="C1968" s="4">
        <v>911.3</v>
      </c>
      <c r="D1968">
        <f t="shared" si="64"/>
        <v>9.7528023598820059</v>
      </c>
      <c r="E1968">
        <v>5.2396448072362656E-3</v>
      </c>
      <c r="F1968">
        <v>1965</v>
      </c>
      <c r="G1968">
        <f t="shared" ca="1" si="65"/>
        <v>-1.3989245433431583E-2</v>
      </c>
    </row>
    <row r="1969" spans="2:7" x14ac:dyDescent="0.35">
      <c r="B1969" s="2">
        <v>41389</v>
      </c>
      <c r="C1969" s="4">
        <v>84.75</v>
      </c>
      <c r="D1969">
        <f t="shared" si="64"/>
        <v>0.46246764452113887</v>
      </c>
      <c r="E1969">
        <v>5.2188352508599767E-3</v>
      </c>
      <c r="F1969">
        <v>1966</v>
      </c>
      <c r="G1969">
        <f t="shared" ca="1" si="65"/>
        <v>3.7873232723504922E-2</v>
      </c>
    </row>
    <row r="1970" spans="2:7" x14ac:dyDescent="0.35">
      <c r="B1970" s="2">
        <v>38435</v>
      </c>
      <c r="C1970" s="4">
        <v>57.95</v>
      </c>
      <c r="D1970">
        <f t="shared" si="64"/>
        <v>-0.95380740197524172</v>
      </c>
      <c r="E1970">
        <v>5.2038161318301857E-3</v>
      </c>
      <c r="F1970">
        <v>1967</v>
      </c>
      <c r="G1970">
        <f t="shared" ca="1" si="65"/>
        <v>-2.7235011198813514E-2</v>
      </c>
    </row>
    <row r="1971" spans="2:7" x14ac:dyDescent="0.35">
      <c r="B1971" s="2">
        <v>43362</v>
      </c>
      <c r="C1971" s="4">
        <v>1254.53</v>
      </c>
      <c r="D1971">
        <f t="shared" si="64"/>
        <v>42.259655172413794</v>
      </c>
      <c r="E1971">
        <v>5.2001538412229653E-3</v>
      </c>
      <c r="F1971">
        <v>1968</v>
      </c>
      <c r="G1971">
        <f t="shared" ca="1" si="65"/>
        <v>3.7891191758865968E-2</v>
      </c>
    </row>
    <row r="1972" spans="2:7" x14ac:dyDescent="0.35">
      <c r="B1972" s="2">
        <v>39897</v>
      </c>
      <c r="C1972" s="4">
        <v>29</v>
      </c>
      <c r="D1972">
        <f t="shared" si="64"/>
        <v>-0.94683483967954241</v>
      </c>
      <c r="E1972">
        <v>5.199306759098743E-3</v>
      </c>
      <c r="F1972">
        <v>1969</v>
      </c>
      <c r="G1972">
        <f t="shared" ca="1" si="65"/>
        <v>4.6726463591689346E-2</v>
      </c>
    </row>
    <row r="1973" spans="2:7" x14ac:dyDescent="0.35">
      <c r="B1973" s="2">
        <v>42081</v>
      </c>
      <c r="C1973" s="4">
        <v>545.47</v>
      </c>
      <c r="D1973">
        <f t="shared" si="64"/>
        <v>0.13750964486059281</v>
      </c>
      <c r="E1973">
        <v>5.1781962923378444E-3</v>
      </c>
      <c r="F1973">
        <v>1970</v>
      </c>
      <c r="G1973">
        <f t="shared" ca="1" si="65"/>
        <v>-2.6991970601409718E-2</v>
      </c>
    </row>
    <row r="1974" spans="2:7" x14ac:dyDescent="0.35">
      <c r="B1974" s="2">
        <v>42696</v>
      </c>
      <c r="C1974" s="4">
        <v>479.53</v>
      </c>
      <c r="D1974">
        <f t="shared" si="64"/>
        <v>-0.91827507281499621</v>
      </c>
      <c r="E1974">
        <v>5.1775458013665343E-3</v>
      </c>
      <c r="F1974">
        <v>1971</v>
      </c>
      <c r="G1974">
        <f t="shared" ca="1" si="65"/>
        <v>3.1254377980761472E-2</v>
      </c>
    </row>
    <row r="1975" spans="2:7" x14ac:dyDescent="0.35">
      <c r="B1975" s="2">
        <v>44497</v>
      </c>
      <c r="C1975" s="4">
        <v>5867.61</v>
      </c>
      <c r="D1975">
        <f t="shared" si="64"/>
        <v>20.548329048843186</v>
      </c>
      <c r="E1975">
        <v>5.1718053523646113E-3</v>
      </c>
      <c r="F1975">
        <v>1972</v>
      </c>
      <c r="G1975">
        <f t="shared" ca="1" si="65"/>
        <v>-3.7009938024750106E-3</v>
      </c>
    </row>
    <row r="1976" spans="2:7" x14ac:dyDescent="0.35">
      <c r="B1976" s="2">
        <v>41934</v>
      </c>
      <c r="C1976" s="4">
        <v>272.3</v>
      </c>
      <c r="D1976">
        <f t="shared" si="64"/>
        <v>8.3125854993160058</v>
      </c>
      <c r="E1976">
        <v>5.1679586563309066E-3</v>
      </c>
      <c r="F1976">
        <v>1973</v>
      </c>
      <c r="G1976">
        <f t="shared" ca="1" si="65"/>
        <v>-2.8544169348686466E-2</v>
      </c>
    </row>
    <row r="1977" spans="2:7" x14ac:dyDescent="0.35">
      <c r="B1977" s="2">
        <v>39891</v>
      </c>
      <c r="C1977" s="4">
        <v>29.24</v>
      </c>
      <c r="D1977">
        <f t="shared" si="64"/>
        <v>-0.75023490219526778</v>
      </c>
      <c r="E1977">
        <v>5.1564111378479272E-3</v>
      </c>
      <c r="F1977">
        <v>1974</v>
      </c>
      <c r="G1977">
        <f t="shared" ca="1" si="65"/>
        <v>-2.843828004724077E-2</v>
      </c>
    </row>
    <row r="1978" spans="2:7" x14ac:dyDescent="0.35">
      <c r="B1978" s="2">
        <v>39192</v>
      </c>
      <c r="C1978" s="4">
        <v>117.07</v>
      </c>
      <c r="D1978">
        <f t="shared" si="64"/>
        <v>-0.86425879761145574</v>
      </c>
      <c r="E1978">
        <v>5.1515411693998647E-3</v>
      </c>
      <c r="F1978">
        <v>1975</v>
      </c>
      <c r="G1978">
        <f t="shared" ca="1" si="65"/>
        <v>-1.3740884908340885E-2</v>
      </c>
    </row>
    <row r="1979" spans="2:7" x14ac:dyDescent="0.35">
      <c r="B1979" s="2">
        <v>42277</v>
      </c>
      <c r="C1979" s="4">
        <v>862.45</v>
      </c>
      <c r="D1979">
        <f t="shared" si="64"/>
        <v>0.22427107287851689</v>
      </c>
      <c r="E1979">
        <v>5.1513350349057241E-3</v>
      </c>
      <c r="F1979">
        <v>1976</v>
      </c>
      <c r="G1979">
        <f t="shared" ca="1" si="65"/>
        <v>4.5906966597780933E-3</v>
      </c>
    </row>
    <row r="1980" spans="2:7" x14ac:dyDescent="0.35">
      <c r="B1980" s="2">
        <v>42754</v>
      </c>
      <c r="C1980" s="4">
        <v>704.46</v>
      </c>
      <c r="D1980">
        <f t="shared" si="64"/>
        <v>-1.3817143337113147E-2</v>
      </c>
      <c r="E1980">
        <v>5.1508882071771289E-3</v>
      </c>
      <c r="F1980">
        <v>1977</v>
      </c>
      <c r="G1980">
        <f t="shared" ca="1" si="65"/>
        <v>2.4756717856360945E-2</v>
      </c>
    </row>
    <row r="1981" spans="2:7" x14ac:dyDescent="0.35">
      <c r="B1981" s="2">
        <v>42845</v>
      </c>
      <c r="C1981" s="4">
        <v>714.33</v>
      </c>
      <c r="D1981">
        <f t="shared" si="64"/>
        <v>-0.11367950865438303</v>
      </c>
      <c r="E1981">
        <v>5.1359261552317292E-3</v>
      </c>
      <c r="F1981">
        <v>1978</v>
      </c>
      <c r="G1981">
        <f t="shared" ca="1" si="65"/>
        <v>2.5986782795135817E-3</v>
      </c>
    </row>
    <row r="1982" spans="2:7" x14ac:dyDescent="0.35">
      <c r="B1982" s="2">
        <v>43045</v>
      </c>
      <c r="C1982" s="4">
        <v>805.95</v>
      </c>
      <c r="D1982">
        <f t="shared" si="64"/>
        <v>-0.26213298909610261</v>
      </c>
      <c r="E1982">
        <v>5.1257108650104577E-3</v>
      </c>
      <c r="F1982">
        <v>1979</v>
      </c>
      <c r="G1982">
        <f t="shared" ca="1" si="65"/>
        <v>2.1928031647166838E-2</v>
      </c>
    </row>
    <row r="1983" spans="2:7" x14ac:dyDescent="0.35">
      <c r="B1983" s="2">
        <v>43242</v>
      </c>
      <c r="C1983" s="4">
        <v>1092.27</v>
      </c>
      <c r="D1983">
        <f t="shared" si="64"/>
        <v>9.8954613466334163</v>
      </c>
      <c r="E1983">
        <v>5.116360390536423E-3</v>
      </c>
      <c r="F1983">
        <v>1980</v>
      </c>
      <c r="G1983">
        <f t="shared" ca="1" si="65"/>
        <v>-2.5764900319202233E-3</v>
      </c>
    </row>
    <row r="1984" spans="2:7" x14ac:dyDescent="0.35">
      <c r="B1984" s="2">
        <v>40624</v>
      </c>
      <c r="C1984" s="4">
        <v>100.25</v>
      </c>
      <c r="D1984">
        <f t="shared" si="64"/>
        <v>1.984519202143495</v>
      </c>
      <c r="E1984">
        <v>5.1132945658713957E-3</v>
      </c>
      <c r="F1984">
        <v>1981</v>
      </c>
      <c r="G1984">
        <f t="shared" ca="1" si="65"/>
        <v>4.6470784089700817E-2</v>
      </c>
    </row>
    <row r="1985" spans="2:7" x14ac:dyDescent="0.35">
      <c r="B1985" s="2">
        <v>39787</v>
      </c>
      <c r="C1985" s="4">
        <v>33.590000000000003</v>
      </c>
      <c r="D1985">
        <f t="shared" si="64"/>
        <v>-0.97442807658635</v>
      </c>
      <c r="E1985">
        <v>5.0867743865949944E-3</v>
      </c>
      <c r="F1985">
        <v>1982</v>
      </c>
      <c r="G1985">
        <f t="shared" ca="1" si="65"/>
        <v>9.2730933136691684E-3</v>
      </c>
    </row>
    <row r="1986" spans="2:7" x14ac:dyDescent="0.35">
      <c r="B1986" s="2">
        <v>43322</v>
      </c>
      <c r="C1986" s="4">
        <v>1313.55</v>
      </c>
      <c r="D1986">
        <f t="shared" si="64"/>
        <v>11.517152658662093</v>
      </c>
      <c r="E1986">
        <v>5.0806865048089733E-3</v>
      </c>
      <c r="F1986">
        <v>1983</v>
      </c>
      <c r="G1986">
        <f t="shared" ca="1" si="65"/>
        <v>2.2173004276234685E-3</v>
      </c>
    </row>
    <row r="1987" spans="2:7" x14ac:dyDescent="0.35">
      <c r="B1987" s="2">
        <v>40743</v>
      </c>
      <c r="C1987" s="4">
        <v>104.94</v>
      </c>
      <c r="D1987">
        <f t="shared" si="64"/>
        <v>0.10277427490542257</v>
      </c>
      <c r="E1987">
        <v>5.0761421319795996E-3</v>
      </c>
      <c r="F1987">
        <v>1984</v>
      </c>
      <c r="G1987">
        <f t="shared" ca="1" si="65"/>
        <v>1.9222772760070315E-2</v>
      </c>
    </row>
    <row r="1988" spans="2:7" x14ac:dyDescent="0.35">
      <c r="B1988" s="2">
        <v>41148</v>
      </c>
      <c r="C1988" s="4">
        <v>95.16</v>
      </c>
      <c r="D1988">
        <f t="shared" ref="D1988:D2051" si="66">C1988/C1989-1</f>
        <v>-0.88907927404972553</v>
      </c>
      <c r="E1988">
        <v>5.069708491761693E-3</v>
      </c>
      <c r="F1988">
        <v>1985</v>
      </c>
      <c r="G1988">
        <f t="shared" ca="1" si="65"/>
        <v>-3.7211143127646217E-3</v>
      </c>
    </row>
    <row r="1989" spans="2:7" x14ac:dyDescent="0.35">
      <c r="B1989" s="2">
        <v>42500</v>
      </c>
      <c r="C1989" s="4">
        <v>857.91</v>
      </c>
      <c r="D1989">
        <f t="shared" si="66"/>
        <v>2.145984598459846</v>
      </c>
      <c r="E1989">
        <v>5.0492033739455433E-3</v>
      </c>
      <c r="F1989">
        <v>1986</v>
      </c>
      <c r="G1989">
        <f t="shared" ref="G1989:G2052" ca="1" si="67">_xlfn.NORM.INV(RAND(),K$6,K$7)</f>
        <v>1.6776041329959645E-2</v>
      </c>
    </row>
    <row r="1990" spans="2:7" x14ac:dyDescent="0.35">
      <c r="B1990" s="2">
        <v>41985</v>
      </c>
      <c r="C1990" s="4">
        <v>272.7</v>
      </c>
      <c r="D1990">
        <f t="shared" si="66"/>
        <v>-0.67993333411579671</v>
      </c>
      <c r="E1990">
        <v>5.0492020786496727E-3</v>
      </c>
      <c r="F1990">
        <v>1987</v>
      </c>
      <c r="G1990">
        <f t="shared" ca="1" si="67"/>
        <v>3.8813969187454216E-2</v>
      </c>
    </row>
    <row r="1991" spans="2:7" x14ac:dyDescent="0.35">
      <c r="B1991" s="2">
        <v>43518</v>
      </c>
      <c r="C1991" s="4">
        <v>852.01</v>
      </c>
      <c r="D1991">
        <f t="shared" si="66"/>
        <v>-0.8569504957144416</v>
      </c>
      <c r="E1991">
        <v>5.0487773229683786E-3</v>
      </c>
      <c r="F1991">
        <v>1988</v>
      </c>
      <c r="G1991">
        <f t="shared" ca="1" si="67"/>
        <v>-2.9599383736485425E-2</v>
      </c>
    </row>
    <row r="1992" spans="2:7" x14ac:dyDescent="0.35">
      <c r="B1992" s="2">
        <v>45014</v>
      </c>
      <c r="C1992" s="4">
        <v>5956.05</v>
      </c>
      <c r="D1992">
        <f t="shared" si="66"/>
        <v>134.64222272830793</v>
      </c>
      <c r="E1992">
        <v>5.0454342195187518E-3</v>
      </c>
      <c r="F1992">
        <v>1989</v>
      </c>
      <c r="G1992">
        <f t="shared" ca="1" si="67"/>
        <v>-5.9924650913366524E-3</v>
      </c>
    </row>
    <row r="1993" spans="2:7" x14ac:dyDescent="0.35">
      <c r="B1993" s="2">
        <v>39939</v>
      </c>
      <c r="C1993" s="4">
        <v>43.91</v>
      </c>
      <c r="D1993">
        <f t="shared" si="66"/>
        <v>-0.94813922450956079</v>
      </c>
      <c r="E1993">
        <v>5.0354772259098013E-3</v>
      </c>
      <c r="F1993">
        <v>1990</v>
      </c>
      <c r="G1993">
        <f t="shared" ca="1" si="67"/>
        <v>6.1683073717080181E-3</v>
      </c>
    </row>
    <row r="1994" spans="2:7" x14ac:dyDescent="0.35">
      <c r="B1994" s="2">
        <v>42990</v>
      </c>
      <c r="C1994" s="4">
        <v>846.69</v>
      </c>
      <c r="D1994">
        <f t="shared" si="66"/>
        <v>-0.10829682365826931</v>
      </c>
      <c r="E1994">
        <v>5.0329396403347992E-3</v>
      </c>
      <c r="F1994">
        <v>1991</v>
      </c>
      <c r="G1994">
        <f t="shared" ca="1" si="67"/>
        <v>-9.4924268184840115E-3</v>
      </c>
    </row>
    <row r="1995" spans="2:7" x14ac:dyDescent="0.35">
      <c r="B1995" s="2">
        <v>43454</v>
      </c>
      <c r="C1995" s="4">
        <v>949.52</v>
      </c>
      <c r="D1995">
        <f t="shared" si="66"/>
        <v>15.35975189524466</v>
      </c>
      <c r="E1995">
        <v>5.0276786942853313E-3</v>
      </c>
      <c r="F1995">
        <v>1992</v>
      </c>
      <c r="G1995">
        <f t="shared" ca="1" si="67"/>
        <v>-1.049850144580193E-2</v>
      </c>
    </row>
    <row r="1996" spans="2:7" x14ac:dyDescent="0.35">
      <c r="B1996" s="2">
        <v>38495</v>
      </c>
      <c r="C1996" s="4">
        <v>58.04</v>
      </c>
      <c r="D1996">
        <f t="shared" si="66"/>
        <v>-0.41046216353478926</v>
      </c>
      <c r="E1996">
        <v>5.0216450216449271E-3</v>
      </c>
      <c r="F1996">
        <v>1993</v>
      </c>
      <c r="G1996">
        <f t="shared" ca="1" si="67"/>
        <v>4.6741714104195468E-2</v>
      </c>
    </row>
    <row r="1997" spans="2:7" x14ac:dyDescent="0.35">
      <c r="B1997" s="2">
        <v>40606</v>
      </c>
      <c r="C1997" s="4">
        <v>98.45</v>
      </c>
      <c r="D1997">
        <f t="shared" si="66"/>
        <v>-4.0613260229460657E-4</v>
      </c>
      <c r="E1997">
        <v>5.0020416496530107E-3</v>
      </c>
      <c r="F1997">
        <v>1994</v>
      </c>
      <c r="G1997">
        <f t="shared" ca="1" si="67"/>
        <v>-2.030105396004549E-2</v>
      </c>
    </row>
    <row r="1998" spans="2:7" x14ac:dyDescent="0.35">
      <c r="B1998" s="2">
        <v>40618</v>
      </c>
      <c r="C1998" s="4">
        <v>98.49</v>
      </c>
      <c r="D1998">
        <f t="shared" si="66"/>
        <v>0.81281060187741572</v>
      </c>
      <c r="E1998">
        <v>4.9999999999998934E-3</v>
      </c>
      <c r="F1998">
        <v>1995</v>
      </c>
      <c r="G1998">
        <f t="shared" ca="1" si="67"/>
        <v>2.2883434126485264E-2</v>
      </c>
    </row>
    <row r="1999" spans="2:7" x14ac:dyDescent="0.35">
      <c r="B1999" s="2">
        <v>38271</v>
      </c>
      <c r="C1999" s="4">
        <v>54.33</v>
      </c>
      <c r="D1999">
        <f t="shared" si="66"/>
        <v>-0.35855962219598592</v>
      </c>
      <c r="E1999">
        <v>4.994450610432688E-3</v>
      </c>
      <c r="F1999">
        <v>1996</v>
      </c>
      <c r="G1999">
        <f t="shared" ca="1" si="67"/>
        <v>-3.4939012930391124E-2</v>
      </c>
    </row>
    <row r="2000" spans="2:7" x14ac:dyDescent="0.35">
      <c r="B2000" s="2">
        <v>41039</v>
      </c>
      <c r="C2000" s="4">
        <v>84.7</v>
      </c>
      <c r="D2000">
        <f t="shared" si="66"/>
        <v>0.1660242290748899</v>
      </c>
      <c r="E2000">
        <v>4.983388704318914E-3</v>
      </c>
      <c r="F2000">
        <v>1997</v>
      </c>
      <c r="G2000">
        <f t="shared" ca="1" si="67"/>
        <v>1.0367844777991895E-3</v>
      </c>
    </row>
    <row r="2001" spans="2:7" x14ac:dyDescent="0.35">
      <c r="B2001" s="2">
        <v>39492</v>
      </c>
      <c r="C2001" s="4">
        <v>72.64</v>
      </c>
      <c r="D2001">
        <f t="shared" si="66"/>
        <v>-0.14430439392154548</v>
      </c>
      <c r="E2001">
        <v>4.9806308799114074E-3</v>
      </c>
      <c r="F2001">
        <v>1998</v>
      </c>
      <c r="G2001">
        <f t="shared" ca="1" si="67"/>
        <v>-9.5799873334710111E-3</v>
      </c>
    </row>
    <row r="2002" spans="2:7" x14ac:dyDescent="0.35">
      <c r="B2002" s="2">
        <v>41025</v>
      </c>
      <c r="C2002" s="4">
        <v>84.89</v>
      </c>
      <c r="D2002">
        <f t="shared" si="66"/>
        <v>-0.92236783143878776</v>
      </c>
      <c r="E2002">
        <v>4.972179472001903E-3</v>
      </c>
      <c r="F2002">
        <v>1999</v>
      </c>
      <c r="G2002">
        <f t="shared" ca="1" si="67"/>
        <v>-1.0779543618042151E-2</v>
      </c>
    </row>
    <row r="2003" spans="2:7" x14ac:dyDescent="0.35">
      <c r="B2003" s="2">
        <v>43374</v>
      </c>
      <c r="C2003" s="4">
        <v>1093.49</v>
      </c>
      <c r="D2003">
        <f t="shared" si="66"/>
        <v>0.21757284904630936</v>
      </c>
      <c r="E2003">
        <v>4.9720608778767161E-3</v>
      </c>
      <c r="F2003">
        <v>2000</v>
      </c>
      <c r="G2003">
        <f t="shared" ca="1" si="67"/>
        <v>-2.4807576625074462E-2</v>
      </c>
    </row>
    <row r="2004" spans="2:7" x14ac:dyDescent="0.35">
      <c r="B2004" s="2">
        <v>43095</v>
      </c>
      <c r="C2004" s="4">
        <v>898.09</v>
      </c>
      <c r="D2004">
        <f t="shared" si="66"/>
        <v>3.9874493252623981</v>
      </c>
      <c r="E2004">
        <v>4.9683880713926598E-3</v>
      </c>
      <c r="F2004">
        <v>2001</v>
      </c>
      <c r="G2004">
        <f t="shared" ca="1" si="67"/>
        <v>4.9327065206531344E-2</v>
      </c>
    </row>
    <row r="2005" spans="2:7" x14ac:dyDescent="0.35">
      <c r="B2005" s="2">
        <v>41677</v>
      </c>
      <c r="C2005" s="4">
        <v>180.07</v>
      </c>
      <c r="D2005">
        <f t="shared" si="66"/>
        <v>1.4646865589926086</v>
      </c>
      <c r="E2005">
        <v>4.9670722178813964E-3</v>
      </c>
      <c r="F2005">
        <v>2002</v>
      </c>
      <c r="G2005">
        <f t="shared" ca="1" si="67"/>
        <v>4.9486074373343826E-2</v>
      </c>
    </row>
    <row r="2006" spans="2:7" x14ac:dyDescent="0.35">
      <c r="B2006" s="2">
        <v>39504</v>
      </c>
      <c r="C2006" s="4">
        <v>73.06</v>
      </c>
      <c r="D2006">
        <f t="shared" si="66"/>
        <v>0.16041931385006358</v>
      </c>
      <c r="E2006">
        <v>4.9518569463549156E-3</v>
      </c>
      <c r="F2006">
        <v>2003</v>
      </c>
      <c r="G2006">
        <f t="shared" ca="1" si="67"/>
        <v>8.3377731836348158E-4</v>
      </c>
    </row>
    <row r="2007" spans="2:7" x14ac:dyDescent="0.35">
      <c r="B2007" s="2">
        <v>39667</v>
      </c>
      <c r="C2007" s="4">
        <v>62.96</v>
      </c>
      <c r="D2007">
        <f t="shared" si="66"/>
        <v>-0.90754500866398424</v>
      </c>
      <c r="E2007">
        <v>4.948124501197082E-3</v>
      </c>
      <c r="F2007">
        <v>2004</v>
      </c>
      <c r="G2007">
        <f t="shared" ca="1" si="67"/>
        <v>-5.6130635474644611E-4</v>
      </c>
    </row>
    <row r="2008" spans="2:7" x14ac:dyDescent="0.35">
      <c r="B2008" s="2">
        <v>42762</v>
      </c>
      <c r="C2008" s="4">
        <v>680.98</v>
      </c>
      <c r="D2008">
        <f t="shared" si="66"/>
        <v>8.8450195171317052</v>
      </c>
      <c r="E2008">
        <v>4.9437008396913118E-3</v>
      </c>
      <c r="F2008">
        <v>2005</v>
      </c>
      <c r="G2008">
        <f t="shared" ca="1" si="67"/>
        <v>-3.3920408181051399E-3</v>
      </c>
    </row>
    <row r="2009" spans="2:7" x14ac:dyDescent="0.35">
      <c r="B2009" s="2">
        <v>38624</v>
      </c>
      <c r="C2009" s="4">
        <v>69.17</v>
      </c>
      <c r="D2009">
        <f t="shared" si="66"/>
        <v>-0.59547341949821631</v>
      </c>
      <c r="E2009">
        <v>4.9397065233183213E-3</v>
      </c>
      <c r="F2009">
        <v>2006</v>
      </c>
      <c r="G2009">
        <f t="shared" ca="1" si="67"/>
        <v>6.5797449520054244E-4</v>
      </c>
    </row>
    <row r="2010" spans="2:7" x14ac:dyDescent="0.35">
      <c r="B2010" s="2">
        <v>41661</v>
      </c>
      <c r="C2010" s="4">
        <v>170.99</v>
      </c>
      <c r="D2010">
        <f t="shared" si="66"/>
        <v>-0.66406019764631918</v>
      </c>
      <c r="E2010">
        <v>4.9368204525419568E-3</v>
      </c>
      <c r="F2010">
        <v>2007</v>
      </c>
      <c r="G2010">
        <f t="shared" ca="1" si="67"/>
        <v>2.5721955185244935E-2</v>
      </c>
    </row>
    <row r="2011" spans="2:7" x14ac:dyDescent="0.35">
      <c r="B2011" s="2">
        <v>42159</v>
      </c>
      <c r="C2011" s="4">
        <v>508.99</v>
      </c>
      <c r="D2011">
        <f t="shared" si="66"/>
        <v>14.45672638931066</v>
      </c>
      <c r="E2011">
        <v>4.9359316077315363E-3</v>
      </c>
      <c r="F2011">
        <v>2008</v>
      </c>
      <c r="G2011">
        <f t="shared" ca="1" si="67"/>
        <v>8.7662084086708742E-3</v>
      </c>
    </row>
    <row r="2012" spans="2:7" x14ac:dyDescent="0.35">
      <c r="B2012" s="2">
        <v>37511</v>
      </c>
      <c r="C2012" s="4">
        <v>32.93</v>
      </c>
      <c r="D2012">
        <f t="shared" si="66"/>
        <v>-0.96323710005135421</v>
      </c>
      <c r="E2012">
        <v>4.8825144949649069E-3</v>
      </c>
      <c r="F2012">
        <v>2009</v>
      </c>
      <c r="G2012">
        <f t="shared" ca="1" si="67"/>
        <v>3.2331590924610909E-2</v>
      </c>
    </row>
    <row r="2013" spans="2:7" x14ac:dyDescent="0.35">
      <c r="B2013" s="2">
        <v>42283</v>
      </c>
      <c r="C2013" s="4">
        <v>895.74</v>
      </c>
      <c r="D2013">
        <f t="shared" si="66"/>
        <v>9.8298875589408787</v>
      </c>
      <c r="E2013">
        <v>4.8687457931344547E-3</v>
      </c>
      <c r="F2013">
        <v>2010</v>
      </c>
      <c r="G2013">
        <f t="shared" ca="1" si="67"/>
        <v>4.2672762200907426E-2</v>
      </c>
    </row>
    <row r="2014" spans="2:7" x14ac:dyDescent="0.35">
      <c r="B2014" s="2">
        <v>40932</v>
      </c>
      <c r="C2014" s="4">
        <v>82.71</v>
      </c>
      <c r="D2014">
        <f t="shared" si="66"/>
        <v>-0.2731347218560507</v>
      </c>
      <c r="E2014">
        <v>4.8596768314905781E-3</v>
      </c>
      <c r="F2014">
        <v>2011</v>
      </c>
      <c r="G2014">
        <f t="shared" ca="1" si="67"/>
        <v>-4.0560272654430837E-2</v>
      </c>
    </row>
    <row r="2015" spans="2:7" x14ac:dyDescent="0.35">
      <c r="B2015" s="2">
        <v>40470</v>
      </c>
      <c r="C2015" s="4">
        <v>113.79</v>
      </c>
      <c r="D2015">
        <f t="shared" si="66"/>
        <v>-0.98161290635331533</v>
      </c>
      <c r="E2015">
        <v>4.8569410102439203E-3</v>
      </c>
      <c r="F2015">
        <v>2012</v>
      </c>
      <c r="G2015">
        <f t="shared" ca="1" si="67"/>
        <v>1.8934835137829831E-2</v>
      </c>
    </row>
    <row r="2016" spans="2:7" x14ac:dyDescent="0.35">
      <c r="B2016" s="2">
        <v>44504</v>
      </c>
      <c r="C2016" s="4">
        <v>6188.58</v>
      </c>
      <c r="D2016">
        <f t="shared" si="66"/>
        <v>63.403996253512332</v>
      </c>
      <c r="E2016">
        <v>4.8467784754324672E-3</v>
      </c>
      <c r="F2016">
        <v>2013</v>
      </c>
      <c r="G2016">
        <f t="shared" ca="1" si="67"/>
        <v>9.1443702210066945E-3</v>
      </c>
    </row>
    <row r="2017" spans="2:7" x14ac:dyDescent="0.35">
      <c r="B2017" s="2">
        <v>41215</v>
      </c>
      <c r="C2017" s="4">
        <v>96.09</v>
      </c>
      <c r="D2017">
        <f t="shared" si="66"/>
        <v>-4.5210651828298865E-2</v>
      </c>
      <c r="E2017">
        <v>4.8102060023005322E-3</v>
      </c>
      <c r="F2017">
        <v>2014</v>
      </c>
      <c r="G2017">
        <f t="shared" ca="1" si="67"/>
        <v>-1.1322049738808446E-2</v>
      </c>
    </row>
    <row r="2018" spans="2:7" x14ac:dyDescent="0.35">
      <c r="B2018" s="2">
        <v>39154</v>
      </c>
      <c r="C2018" s="4">
        <v>100.64</v>
      </c>
      <c r="D2018">
        <f t="shared" si="66"/>
        <v>2.1207508878741788E-2</v>
      </c>
      <c r="E2018">
        <v>4.7923322683707248E-3</v>
      </c>
      <c r="F2018">
        <v>2015</v>
      </c>
      <c r="G2018">
        <f t="shared" ca="1" si="67"/>
        <v>8.163174297443862E-2</v>
      </c>
    </row>
    <row r="2019" spans="2:7" x14ac:dyDescent="0.35">
      <c r="B2019" s="2">
        <v>40701</v>
      </c>
      <c r="C2019" s="4">
        <v>98.55</v>
      </c>
      <c r="D2019">
        <f t="shared" si="66"/>
        <v>-0.8983182005777961</v>
      </c>
      <c r="E2019">
        <v>4.7920065252855526E-3</v>
      </c>
      <c r="F2019">
        <v>2016</v>
      </c>
      <c r="G2019">
        <f t="shared" ca="1" si="67"/>
        <v>-2.3515512386554329E-2</v>
      </c>
    </row>
    <row r="2020" spans="2:7" x14ac:dyDescent="0.35">
      <c r="B2020" s="2">
        <v>43468</v>
      </c>
      <c r="C2020" s="4">
        <v>969.2</v>
      </c>
      <c r="D2020">
        <f t="shared" si="66"/>
        <v>0.37428393171119057</v>
      </c>
      <c r="E2020">
        <v>4.7896493810777319E-3</v>
      </c>
      <c r="F2020">
        <v>2017</v>
      </c>
      <c r="G2020">
        <f t="shared" ca="1" si="67"/>
        <v>1.8599206272360308E-2</v>
      </c>
    </row>
    <row r="2021" spans="2:7" x14ac:dyDescent="0.35">
      <c r="B2021" s="2">
        <v>42814</v>
      </c>
      <c r="C2021" s="4">
        <v>705.24</v>
      </c>
      <c r="D2021">
        <f t="shared" si="66"/>
        <v>9.8033088235294112</v>
      </c>
      <c r="E2021">
        <v>4.772827651056355E-3</v>
      </c>
      <c r="F2021">
        <v>2018</v>
      </c>
      <c r="G2021">
        <f t="shared" ca="1" si="67"/>
        <v>-2.5189280393284177E-2</v>
      </c>
    </row>
    <row r="2022" spans="2:7" x14ac:dyDescent="0.35">
      <c r="B2022" s="2">
        <v>40147</v>
      </c>
      <c r="C2022" s="4">
        <v>65.28</v>
      </c>
      <c r="D2022">
        <f t="shared" si="66"/>
        <v>-0.76734737517374096</v>
      </c>
      <c r="E2022">
        <v>4.7714329690626833E-3</v>
      </c>
      <c r="F2022">
        <v>2019</v>
      </c>
      <c r="G2022">
        <f t="shared" ca="1" si="67"/>
        <v>-4.6456800697748858E-2</v>
      </c>
    </row>
    <row r="2023" spans="2:7" x14ac:dyDescent="0.35">
      <c r="B2023" s="2">
        <v>41925</v>
      </c>
      <c r="C2023" s="4">
        <v>280.58999999999997</v>
      </c>
      <c r="D2023">
        <f t="shared" si="66"/>
        <v>2.088837516512549</v>
      </c>
      <c r="E2023">
        <v>4.7625868366396595E-3</v>
      </c>
      <c r="F2023">
        <v>2020</v>
      </c>
      <c r="G2023">
        <f t="shared" ca="1" si="67"/>
        <v>3.2135927000574348E-2</v>
      </c>
    </row>
    <row r="2024" spans="2:7" x14ac:dyDescent="0.35">
      <c r="B2024" s="2">
        <v>39055</v>
      </c>
      <c r="C2024" s="4">
        <v>90.84</v>
      </c>
      <c r="D2024">
        <f t="shared" si="66"/>
        <v>2.2742625534789562E-2</v>
      </c>
      <c r="E2024">
        <v>4.7561110496627812E-3</v>
      </c>
      <c r="F2024">
        <v>2021</v>
      </c>
      <c r="G2024">
        <f t="shared" ca="1" si="67"/>
        <v>-4.7355125896009646E-2</v>
      </c>
    </row>
    <row r="2025" spans="2:7" x14ac:dyDescent="0.35">
      <c r="B2025" s="2">
        <v>40968</v>
      </c>
      <c r="C2025" s="4">
        <v>88.82</v>
      </c>
      <c r="D2025">
        <f t="shared" si="66"/>
        <v>-0.91422666872682323</v>
      </c>
      <c r="E2025">
        <v>4.7511312217192181E-3</v>
      </c>
      <c r="F2025">
        <v>2022</v>
      </c>
      <c r="G2025">
        <f t="shared" ca="1" si="67"/>
        <v>-6.1697827003900823E-3</v>
      </c>
    </row>
    <row r="2026" spans="2:7" x14ac:dyDescent="0.35">
      <c r="B2026" s="2">
        <v>42367</v>
      </c>
      <c r="C2026" s="4">
        <v>1035.52</v>
      </c>
      <c r="D2026">
        <f t="shared" si="66"/>
        <v>9.8454126518642635</v>
      </c>
      <c r="E2026">
        <v>4.7446707353753226E-3</v>
      </c>
      <c r="F2026">
        <v>2023</v>
      </c>
      <c r="G2026">
        <f t="shared" ca="1" si="67"/>
        <v>1.076002972515654E-2</v>
      </c>
    </row>
    <row r="2027" spans="2:7" x14ac:dyDescent="0.35">
      <c r="B2027" s="2">
        <v>41225</v>
      </c>
      <c r="C2027" s="4">
        <v>95.48</v>
      </c>
      <c r="D2027">
        <f t="shared" si="66"/>
        <v>-0.1964992005385845</v>
      </c>
      <c r="E2027">
        <v>4.735346732610779E-3</v>
      </c>
      <c r="F2027">
        <v>2024</v>
      </c>
      <c r="G2027">
        <f t="shared" ca="1" si="67"/>
        <v>-4.6633307670000103E-2</v>
      </c>
    </row>
    <row r="2028" spans="2:7" x14ac:dyDescent="0.35">
      <c r="B2028" s="2">
        <v>39251</v>
      </c>
      <c r="C2028" s="4">
        <v>118.83</v>
      </c>
      <c r="D2028">
        <f t="shared" si="66"/>
        <v>-0.87080465768616067</v>
      </c>
      <c r="E2028">
        <v>4.7349285533102581E-3</v>
      </c>
      <c r="F2028">
        <v>2025</v>
      </c>
      <c r="G2028">
        <f t="shared" ca="1" si="67"/>
        <v>-1.8396019381645417E-3</v>
      </c>
    </row>
    <row r="2029" spans="2:7" x14ac:dyDescent="0.35">
      <c r="B2029" s="2">
        <v>43858</v>
      </c>
      <c r="C2029" s="4">
        <v>919.77</v>
      </c>
      <c r="D2029">
        <f t="shared" si="66"/>
        <v>-0.31038283323586313</v>
      </c>
      <c r="E2029">
        <v>4.7189906603308795E-3</v>
      </c>
      <c r="F2029">
        <v>2026</v>
      </c>
      <c r="G2029">
        <f t="shared" ca="1" si="67"/>
        <v>-6.7605881655561804E-5</v>
      </c>
    </row>
    <row r="2030" spans="2:7" x14ac:dyDescent="0.35">
      <c r="B2030" s="2">
        <v>43299</v>
      </c>
      <c r="C2030" s="4">
        <v>1333.74</v>
      </c>
      <c r="D2030">
        <f t="shared" si="66"/>
        <v>-0.78782035985300436</v>
      </c>
      <c r="E2030">
        <v>4.7157019314791881E-3</v>
      </c>
      <c r="F2030">
        <v>2027</v>
      </c>
      <c r="G2030">
        <f t="shared" ca="1" si="67"/>
        <v>4.4843038129860017E-3</v>
      </c>
    </row>
    <row r="2031" spans="2:7" x14ac:dyDescent="0.35">
      <c r="B2031" s="2">
        <v>44925</v>
      </c>
      <c r="C2031" s="4">
        <v>6285.9</v>
      </c>
      <c r="D2031">
        <f t="shared" si="66"/>
        <v>72.519298245614024</v>
      </c>
      <c r="E2031">
        <v>4.715171664215756E-3</v>
      </c>
      <c r="F2031">
        <v>2028</v>
      </c>
      <c r="G2031">
        <f t="shared" ca="1" si="67"/>
        <v>1.2463927945078012E-2</v>
      </c>
    </row>
    <row r="2032" spans="2:7" x14ac:dyDescent="0.35">
      <c r="B2032" s="2">
        <v>39402</v>
      </c>
      <c r="C2032" s="4">
        <v>85.5</v>
      </c>
      <c r="D2032">
        <f t="shared" si="66"/>
        <v>0.10995715954822805</v>
      </c>
      <c r="E2032">
        <v>4.7003525264395218E-3</v>
      </c>
      <c r="F2032">
        <v>2029</v>
      </c>
      <c r="G2032">
        <f t="shared" ca="1" si="67"/>
        <v>-1.0373373745010081E-2</v>
      </c>
    </row>
    <row r="2033" spans="2:7" x14ac:dyDescent="0.35">
      <c r="B2033" s="2">
        <v>38981</v>
      </c>
      <c r="C2033" s="4">
        <v>77.03</v>
      </c>
      <c r="D2033">
        <f t="shared" si="66"/>
        <v>-0.98773602929469828</v>
      </c>
      <c r="E2033">
        <v>4.6954480239989049E-3</v>
      </c>
      <c r="F2033">
        <v>2030</v>
      </c>
      <c r="G2033">
        <f t="shared" ca="1" si="67"/>
        <v>-2.2301776487495716E-2</v>
      </c>
    </row>
    <row r="2034" spans="2:7" x14ac:dyDescent="0.35">
      <c r="B2034" s="2">
        <v>45037</v>
      </c>
      <c r="C2034" s="4">
        <v>6281</v>
      </c>
      <c r="D2034">
        <f t="shared" si="66"/>
        <v>6.0030103690489467</v>
      </c>
      <c r="E2034">
        <v>4.6947605832061701E-3</v>
      </c>
      <c r="F2034">
        <v>2031</v>
      </c>
      <c r="G2034">
        <f t="shared" ca="1" si="67"/>
        <v>1.0587625642136741E-2</v>
      </c>
    </row>
    <row r="2035" spans="2:7" x14ac:dyDescent="0.35">
      <c r="B2035" s="2">
        <v>44020</v>
      </c>
      <c r="C2035" s="4">
        <v>896.9</v>
      </c>
      <c r="D2035">
        <f t="shared" si="66"/>
        <v>28.777556440903052</v>
      </c>
      <c r="E2035">
        <v>4.6710651596786334E-3</v>
      </c>
      <c r="F2035">
        <v>2032</v>
      </c>
      <c r="G2035">
        <f t="shared" ca="1" si="67"/>
        <v>6.0569815214536775E-3</v>
      </c>
    </row>
    <row r="2036" spans="2:7" x14ac:dyDescent="0.35">
      <c r="B2036" s="2">
        <v>37616</v>
      </c>
      <c r="C2036" s="4">
        <v>30.12</v>
      </c>
      <c r="D2036">
        <f t="shared" si="66"/>
        <v>-0.97632708238363963</v>
      </c>
      <c r="E2036">
        <v>4.6697798532355783E-3</v>
      </c>
      <c r="F2036">
        <v>2033</v>
      </c>
      <c r="G2036">
        <f t="shared" ca="1" si="67"/>
        <v>3.3107848681467006E-3</v>
      </c>
    </row>
    <row r="2037" spans="2:7" x14ac:dyDescent="0.35">
      <c r="B2037" s="2">
        <v>44104</v>
      </c>
      <c r="C2037" s="4">
        <v>1272.3399999999999</v>
      </c>
      <c r="D2037">
        <f t="shared" si="66"/>
        <v>13.654918221607925</v>
      </c>
      <c r="E2037">
        <v>4.6428627828749569E-3</v>
      </c>
      <c r="F2037">
        <v>2034</v>
      </c>
      <c r="G2037">
        <f t="shared" ca="1" si="67"/>
        <v>-2.2772181566311115E-2</v>
      </c>
    </row>
    <row r="2038" spans="2:7" x14ac:dyDescent="0.35">
      <c r="B2038" s="2">
        <v>40981</v>
      </c>
      <c r="C2038" s="4">
        <v>86.82</v>
      </c>
      <c r="D2038">
        <f t="shared" si="66"/>
        <v>-0.93571222297092171</v>
      </c>
      <c r="E2038">
        <v>4.6285582041192264E-3</v>
      </c>
      <c r="F2038">
        <v>2035</v>
      </c>
      <c r="G2038">
        <f t="shared" ca="1" si="67"/>
        <v>9.916058021750376E-3</v>
      </c>
    </row>
    <row r="2039" spans="2:7" x14ac:dyDescent="0.35">
      <c r="B2039" s="2">
        <v>43313</v>
      </c>
      <c r="C2039" s="4">
        <v>1350.49</v>
      </c>
      <c r="D2039">
        <f t="shared" si="66"/>
        <v>12.756646633391057</v>
      </c>
      <c r="E2039">
        <v>4.6195733031808572E-3</v>
      </c>
      <c r="F2039">
        <v>2036</v>
      </c>
      <c r="G2039">
        <f t="shared" ca="1" si="67"/>
        <v>-1.9644453628307208E-2</v>
      </c>
    </row>
    <row r="2040" spans="2:7" x14ac:dyDescent="0.35">
      <c r="B2040" s="2">
        <v>40721</v>
      </c>
      <c r="C2040" s="4">
        <v>98.17</v>
      </c>
      <c r="D2040">
        <f t="shared" si="66"/>
        <v>0.15358401880141015</v>
      </c>
      <c r="E2040">
        <v>4.6049938600081219E-3</v>
      </c>
      <c r="F2040">
        <v>2037</v>
      </c>
      <c r="G2040">
        <f t="shared" ca="1" si="67"/>
        <v>-1.1028523414803614E-4</v>
      </c>
    </row>
    <row r="2041" spans="2:7" x14ac:dyDescent="0.35">
      <c r="B2041" s="2">
        <v>39401</v>
      </c>
      <c r="C2041" s="4">
        <v>85.1</v>
      </c>
      <c r="D2041">
        <f t="shared" si="66"/>
        <v>-0.13366588618548314</v>
      </c>
      <c r="E2041">
        <v>4.6039428638886548E-3</v>
      </c>
      <c r="F2041">
        <v>2038</v>
      </c>
      <c r="G2041">
        <f t="shared" ca="1" si="67"/>
        <v>3.4877113216570266E-3</v>
      </c>
    </row>
    <row r="2042" spans="2:7" x14ac:dyDescent="0.35">
      <c r="B2042" s="2">
        <v>41190</v>
      </c>
      <c r="C2042" s="4">
        <v>98.23</v>
      </c>
      <c r="D2042">
        <f t="shared" si="66"/>
        <v>0.18406460945033776</v>
      </c>
      <c r="E2042">
        <v>4.6021681325425501E-3</v>
      </c>
      <c r="F2042">
        <v>2039</v>
      </c>
      <c r="G2042">
        <f t="shared" ca="1" si="67"/>
        <v>2.1325088829323244E-2</v>
      </c>
    </row>
    <row r="2043" spans="2:7" x14ac:dyDescent="0.35">
      <c r="B2043" s="2">
        <v>40995</v>
      </c>
      <c r="C2043" s="4">
        <v>82.96</v>
      </c>
      <c r="D2043">
        <f t="shared" si="66"/>
        <v>-0.90258909176304825</v>
      </c>
      <c r="E2043">
        <v>4.6015984499878648E-3</v>
      </c>
      <c r="F2043">
        <v>2040</v>
      </c>
      <c r="G2043">
        <f t="shared" ca="1" si="67"/>
        <v>1.8424505372125546E-3</v>
      </c>
    </row>
    <row r="2044" spans="2:7" x14ac:dyDescent="0.35">
      <c r="B2044" s="2">
        <v>42992</v>
      </c>
      <c r="C2044" s="4">
        <v>851.65</v>
      </c>
      <c r="D2044">
        <f t="shared" si="66"/>
        <v>2.0902790377009328</v>
      </c>
      <c r="E2044">
        <v>4.6004128575640735E-3</v>
      </c>
      <c r="F2044">
        <v>2041</v>
      </c>
      <c r="G2044">
        <f t="shared" ca="1" si="67"/>
        <v>-1.2141868415833821E-2</v>
      </c>
    </row>
    <row r="2045" spans="2:7" x14ac:dyDescent="0.35">
      <c r="B2045" s="2">
        <v>41821</v>
      </c>
      <c r="C2045" s="4">
        <v>275.58999999999997</v>
      </c>
      <c r="D2045">
        <f t="shared" si="66"/>
        <v>-0.67695084926561089</v>
      </c>
      <c r="E2045">
        <v>4.5930084205154653E-3</v>
      </c>
      <c r="F2045">
        <v>2042</v>
      </c>
      <c r="G2045">
        <f t="shared" ca="1" si="67"/>
        <v>1.9363327348806161E-2</v>
      </c>
    </row>
    <row r="2046" spans="2:7" x14ac:dyDescent="0.35">
      <c r="B2046" s="2">
        <v>42305</v>
      </c>
      <c r="C2046" s="4">
        <v>853.09</v>
      </c>
      <c r="D2046">
        <f t="shared" si="66"/>
        <v>6.6339149888143183</v>
      </c>
      <c r="E2046">
        <v>4.5926117829930835E-3</v>
      </c>
      <c r="F2046">
        <v>2043</v>
      </c>
      <c r="G2046">
        <f t="shared" ca="1" si="67"/>
        <v>4.5401457199964416E-3</v>
      </c>
    </row>
    <row r="2047" spans="2:7" x14ac:dyDescent="0.35">
      <c r="B2047" s="2">
        <v>40354</v>
      </c>
      <c r="C2047" s="4">
        <v>111.75</v>
      </c>
      <c r="D2047">
        <f t="shared" si="66"/>
        <v>-0.87732990845024039</v>
      </c>
      <c r="E2047">
        <v>4.5846817691477249E-3</v>
      </c>
      <c r="F2047">
        <v>2044</v>
      </c>
      <c r="G2047">
        <f t="shared" ca="1" si="67"/>
        <v>-1.4274057054254032E-2</v>
      </c>
    </row>
    <row r="2048" spans="2:7" x14ac:dyDescent="0.35">
      <c r="B2048" s="2">
        <v>43487</v>
      </c>
      <c r="C2048" s="4">
        <v>910.98</v>
      </c>
      <c r="D2048">
        <f t="shared" si="66"/>
        <v>0.14800952705001702</v>
      </c>
      <c r="E2048">
        <v>4.5653036919413026E-3</v>
      </c>
      <c r="F2048">
        <v>2045</v>
      </c>
      <c r="G2048">
        <f t="shared" ca="1" si="67"/>
        <v>1.9442854004426264E-2</v>
      </c>
    </row>
    <row r="2049" spans="2:7" x14ac:dyDescent="0.35">
      <c r="B2049" s="2">
        <v>42951</v>
      </c>
      <c r="C2049" s="4">
        <v>793.53</v>
      </c>
      <c r="D2049">
        <f t="shared" si="66"/>
        <v>8.9804158540939927E-2</v>
      </c>
      <c r="E2049">
        <v>4.5573658425430708E-3</v>
      </c>
      <c r="F2049">
        <v>2046</v>
      </c>
      <c r="G2049">
        <f t="shared" ca="1" si="67"/>
        <v>-1.7544043457466824E-2</v>
      </c>
    </row>
    <row r="2050" spans="2:7" x14ac:dyDescent="0.35">
      <c r="B2050" s="2">
        <v>42836</v>
      </c>
      <c r="C2050" s="4">
        <v>728.14</v>
      </c>
      <c r="D2050">
        <f t="shared" si="66"/>
        <v>7.4412242058891724</v>
      </c>
      <c r="E2050">
        <v>4.5527288780971009E-3</v>
      </c>
      <c r="F2050">
        <v>2047</v>
      </c>
      <c r="G2050">
        <f t="shared" ca="1" si="67"/>
        <v>-3.1054400648048434E-2</v>
      </c>
    </row>
    <row r="2051" spans="2:7" x14ac:dyDescent="0.35">
      <c r="B2051" s="2">
        <v>41466</v>
      </c>
      <c r="C2051" s="4">
        <v>86.26</v>
      </c>
      <c r="D2051">
        <f t="shared" si="66"/>
        <v>-0.9315402258712232</v>
      </c>
      <c r="E2051">
        <v>4.5417491557004919E-3</v>
      </c>
      <c r="F2051">
        <v>2048</v>
      </c>
      <c r="G2051">
        <f t="shared" ca="1" si="67"/>
        <v>-9.9311668949818711E-4</v>
      </c>
    </row>
    <row r="2052" spans="2:7" x14ac:dyDescent="0.35">
      <c r="B2052" s="2">
        <v>43277</v>
      </c>
      <c r="C2052" s="4">
        <v>1260.01</v>
      </c>
      <c r="D2052">
        <f t="shared" ref="D2052:D2115" si="68">C2052/C2053-1</f>
        <v>15.222608471739409</v>
      </c>
      <c r="E2052">
        <v>4.5363224695453841E-3</v>
      </c>
      <c r="F2052">
        <v>2049</v>
      </c>
      <c r="G2052">
        <f t="shared" ca="1" si="67"/>
        <v>2.0552854029194798E-2</v>
      </c>
    </row>
    <row r="2053" spans="2:7" x14ac:dyDescent="0.35">
      <c r="B2053" s="2">
        <v>41527</v>
      </c>
      <c r="C2053" s="4">
        <v>77.67</v>
      </c>
      <c r="D2053">
        <f t="shared" si="68"/>
        <v>0.45777027027027017</v>
      </c>
      <c r="E2053">
        <v>4.5266425245733544E-3</v>
      </c>
      <c r="F2053">
        <v>2050</v>
      </c>
      <c r="G2053">
        <f t="shared" ref="G2053:G2116" ca="1" si="69">_xlfn.NORM.INV(RAND(),K$6,K$7)</f>
        <v>1.4006042181829837E-2</v>
      </c>
    </row>
    <row r="2054" spans="2:7" x14ac:dyDescent="0.35">
      <c r="B2054" s="2">
        <v>39990</v>
      </c>
      <c r="C2054" s="4">
        <v>53.28</v>
      </c>
      <c r="D2054">
        <f t="shared" si="68"/>
        <v>0.84105044920525218</v>
      </c>
      <c r="E2054">
        <v>4.5248868778280382E-3</v>
      </c>
      <c r="F2054">
        <v>2051</v>
      </c>
      <c r="G2054">
        <f t="shared" ca="1" si="69"/>
        <v>3.3778532249462277E-2</v>
      </c>
    </row>
    <row r="2055" spans="2:7" x14ac:dyDescent="0.35">
      <c r="B2055" s="2">
        <v>38044</v>
      </c>
      <c r="C2055" s="4">
        <v>28.94</v>
      </c>
      <c r="D2055">
        <f t="shared" si="68"/>
        <v>-0.97014802207437212</v>
      </c>
      <c r="E2055">
        <v>4.5123221103784417E-3</v>
      </c>
      <c r="F2055">
        <v>2052</v>
      </c>
      <c r="G2055">
        <f t="shared" ca="1" si="69"/>
        <v>-3.3264753157990053E-2</v>
      </c>
    </row>
    <row r="2056" spans="2:7" x14ac:dyDescent="0.35">
      <c r="B2056" s="2">
        <v>43119</v>
      </c>
      <c r="C2056" s="4">
        <v>969.45</v>
      </c>
      <c r="D2056">
        <f t="shared" si="68"/>
        <v>9.5858265996942578</v>
      </c>
      <c r="E2056">
        <v>4.5073049424930733E-3</v>
      </c>
      <c r="F2056">
        <v>2053</v>
      </c>
      <c r="G2056">
        <f t="shared" ca="1" si="69"/>
        <v>2.1320165837262265E-2</v>
      </c>
    </row>
    <row r="2057" spans="2:7" x14ac:dyDescent="0.35">
      <c r="B2057" s="2">
        <v>39057</v>
      </c>
      <c r="C2057" s="4">
        <v>91.58</v>
      </c>
      <c r="D2057">
        <f t="shared" si="68"/>
        <v>-0.87830870628255553</v>
      </c>
      <c r="E2057">
        <v>4.4970933421080161E-3</v>
      </c>
      <c r="F2057">
        <v>2054</v>
      </c>
      <c r="G2057">
        <f t="shared" ca="1" si="69"/>
        <v>3.2605000971935277E-2</v>
      </c>
    </row>
    <row r="2058" spans="2:7" x14ac:dyDescent="0.35">
      <c r="B2058" s="2">
        <v>43973</v>
      </c>
      <c r="C2058" s="4">
        <v>752.56</v>
      </c>
      <c r="D2058">
        <f t="shared" si="68"/>
        <v>-0.7874868690063368</v>
      </c>
      <c r="E2058">
        <v>4.4713765165973474E-3</v>
      </c>
      <c r="F2058">
        <v>2055</v>
      </c>
      <c r="G2058">
        <f t="shared" ca="1" si="69"/>
        <v>-9.2310632420069868E-3</v>
      </c>
    </row>
    <row r="2059" spans="2:7" x14ac:dyDescent="0.35">
      <c r="B2059" s="2">
        <v>44340</v>
      </c>
      <c r="C2059" s="4">
        <v>3541.24</v>
      </c>
      <c r="D2059">
        <f t="shared" si="68"/>
        <v>43.865577093627259</v>
      </c>
      <c r="E2059">
        <v>4.4589166988131534E-3</v>
      </c>
      <c r="F2059">
        <v>2056</v>
      </c>
      <c r="G2059">
        <f t="shared" ca="1" si="69"/>
        <v>-6.2267632269213278E-3</v>
      </c>
    </row>
    <row r="2060" spans="2:7" x14ac:dyDescent="0.35">
      <c r="B2060" s="2">
        <v>41431</v>
      </c>
      <c r="C2060" s="4">
        <v>78.930000000000007</v>
      </c>
      <c r="D2060">
        <f t="shared" si="68"/>
        <v>-0.98709260682572653</v>
      </c>
      <c r="E2060">
        <v>4.4540595571394004E-3</v>
      </c>
      <c r="F2060">
        <v>2057</v>
      </c>
      <c r="G2060">
        <f t="shared" ca="1" si="69"/>
        <v>-1.6264909997251404E-2</v>
      </c>
    </row>
    <row r="2061" spans="2:7" x14ac:dyDescent="0.35">
      <c r="B2061" s="2">
        <v>45001</v>
      </c>
      <c r="C2061" s="4">
        <v>6115.1</v>
      </c>
      <c r="D2061">
        <f t="shared" si="68"/>
        <v>22.097639282341834</v>
      </c>
      <c r="E2061">
        <v>4.4431303947898293E-3</v>
      </c>
      <c r="F2061">
        <v>2058</v>
      </c>
      <c r="G2061">
        <f t="shared" ca="1" si="69"/>
        <v>-3.8273938318337062E-3</v>
      </c>
    </row>
    <row r="2062" spans="2:7" x14ac:dyDescent="0.35">
      <c r="B2062" s="2">
        <v>41997</v>
      </c>
      <c r="C2062" s="4">
        <v>264.75</v>
      </c>
      <c r="D2062">
        <f t="shared" si="68"/>
        <v>7.9654588554012857</v>
      </c>
      <c r="E2062">
        <v>4.4388800364216774E-3</v>
      </c>
      <c r="F2062">
        <v>2059</v>
      </c>
      <c r="G2062">
        <f t="shared" ca="1" si="69"/>
        <v>2.186915079648544E-2</v>
      </c>
    </row>
    <row r="2063" spans="2:7" x14ac:dyDescent="0.35">
      <c r="B2063" s="2">
        <v>37909</v>
      </c>
      <c r="C2063" s="4">
        <v>29.53</v>
      </c>
      <c r="D2063">
        <f t="shared" si="68"/>
        <v>-0.5375822110867523</v>
      </c>
      <c r="E2063">
        <v>4.4217687074830092E-3</v>
      </c>
      <c r="F2063">
        <v>2060</v>
      </c>
      <c r="G2063">
        <f t="shared" ca="1" si="69"/>
        <v>1.5852257449445805E-2</v>
      </c>
    </row>
    <row r="2064" spans="2:7" x14ac:dyDescent="0.35">
      <c r="B2064" s="2">
        <v>40039</v>
      </c>
      <c r="C2064" s="4">
        <v>63.86</v>
      </c>
      <c r="D2064">
        <f t="shared" si="68"/>
        <v>0.64248971193415616</v>
      </c>
      <c r="E2064">
        <v>4.4039005976721501E-3</v>
      </c>
      <c r="F2064">
        <v>2061</v>
      </c>
      <c r="G2064">
        <f t="shared" ca="1" si="69"/>
        <v>-4.4392726887830053E-2</v>
      </c>
    </row>
    <row r="2065" spans="2:7" x14ac:dyDescent="0.35">
      <c r="B2065" s="2">
        <v>38196</v>
      </c>
      <c r="C2065" s="4">
        <v>38.880000000000003</v>
      </c>
      <c r="D2065">
        <f t="shared" si="68"/>
        <v>-0.94355564588716934</v>
      </c>
      <c r="E2065">
        <v>4.3916300697495192E-3</v>
      </c>
      <c r="F2065">
        <v>2062</v>
      </c>
      <c r="G2065">
        <f t="shared" ca="1" si="69"/>
        <v>-2.6284094144977194E-2</v>
      </c>
    </row>
    <row r="2066" spans="2:7" x14ac:dyDescent="0.35">
      <c r="B2066" s="2">
        <v>42758</v>
      </c>
      <c r="C2066" s="4">
        <v>688.82</v>
      </c>
      <c r="D2066">
        <f t="shared" si="68"/>
        <v>5.9413402236269341E-2</v>
      </c>
      <c r="E2066">
        <v>4.3889707061723904E-3</v>
      </c>
      <c r="F2066">
        <v>2063</v>
      </c>
      <c r="G2066">
        <f t="shared" ca="1" si="69"/>
        <v>-5.2434601613942965E-3</v>
      </c>
    </row>
    <row r="2067" spans="2:7" x14ac:dyDescent="0.35">
      <c r="B2067" s="2">
        <v>42747</v>
      </c>
      <c r="C2067" s="4">
        <v>650.19000000000005</v>
      </c>
      <c r="D2067">
        <f t="shared" si="68"/>
        <v>-0.90016812916004518</v>
      </c>
      <c r="E2067">
        <v>4.387116706572991E-3</v>
      </c>
      <c r="F2067">
        <v>2064</v>
      </c>
      <c r="G2067">
        <f t="shared" ca="1" si="69"/>
        <v>-3.5607789657400427E-2</v>
      </c>
    </row>
    <row r="2068" spans="2:7" x14ac:dyDescent="0.35">
      <c r="B2068" s="2">
        <v>44981</v>
      </c>
      <c r="C2068" s="4">
        <v>6512.85</v>
      </c>
      <c r="D2068">
        <f t="shared" si="68"/>
        <v>0.11069139701694142</v>
      </c>
      <c r="E2068">
        <v>4.3719639139487843E-3</v>
      </c>
      <c r="F2068">
        <v>2065</v>
      </c>
      <c r="G2068">
        <f t="shared" ca="1" si="69"/>
        <v>-3.1884825871507623E-3</v>
      </c>
    </row>
    <row r="2069" spans="2:7" x14ac:dyDescent="0.35">
      <c r="B2069" s="2">
        <v>44564</v>
      </c>
      <c r="C2069" s="4">
        <v>5863.78</v>
      </c>
      <c r="D2069">
        <f t="shared" si="68"/>
        <v>75.922209104027274</v>
      </c>
      <c r="E2069">
        <v>4.3711653814664242E-3</v>
      </c>
      <c r="F2069">
        <v>2066</v>
      </c>
      <c r="G2069">
        <f t="shared" ca="1" si="69"/>
        <v>1.5461110942277744E-2</v>
      </c>
    </row>
    <row r="2070" spans="2:7" x14ac:dyDescent="0.35">
      <c r="B2070" s="2">
        <v>41509</v>
      </c>
      <c r="C2070" s="4">
        <v>76.23</v>
      </c>
      <c r="D2070">
        <f t="shared" si="68"/>
        <v>-0.28456123885499762</v>
      </c>
      <c r="E2070">
        <v>4.3478260869564966E-3</v>
      </c>
      <c r="F2070">
        <v>2067</v>
      </c>
      <c r="G2070">
        <f t="shared" ca="1" si="69"/>
        <v>3.7113180901725468E-2</v>
      </c>
    </row>
    <row r="2071" spans="2:7" x14ac:dyDescent="0.35">
      <c r="B2071" s="2">
        <v>40345</v>
      </c>
      <c r="C2071" s="4">
        <v>106.55</v>
      </c>
      <c r="D2071">
        <f t="shared" si="68"/>
        <v>-0.88573236385474985</v>
      </c>
      <c r="E2071">
        <v>4.3359411820151905E-3</v>
      </c>
      <c r="F2071">
        <v>2068</v>
      </c>
      <c r="G2071">
        <f t="shared" ca="1" si="69"/>
        <v>-6.6167111856052455E-3</v>
      </c>
    </row>
    <row r="2072" spans="2:7" x14ac:dyDescent="0.35">
      <c r="B2072" s="2">
        <v>43104</v>
      </c>
      <c r="C2072" s="4">
        <v>932.46</v>
      </c>
      <c r="D2072">
        <f t="shared" si="68"/>
        <v>13.86702806122449</v>
      </c>
      <c r="E2072">
        <v>4.3298436086338654E-3</v>
      </c>
      <c r="F2072">
        <v>2069</v>
      </c>
      <c r="G2072">
        <f t="shared" ca="1" si="69"/>
        <v>-3.3234983134345496E-2</v>
      </c>
    </row>
    <row r="2073" spans="2:7" x14ac:dyDescent="0.35">
      <c r="B2073" s="2">
        <v>38527</v>
      </c>
      <c r="C2073" s="4">
        <v>62.72</v>
      </c>
      <c r="D2073">
        <f t="shared" si="68"/>
        <v>-0.18194861092995962</v>
      </c>
      <c r="E2073">
        <v>4.323458767013566E-3</v>
      </c>
      <c r="F2073">
        <v>2070</v>
      </c>
      <c r="G2073">
        <f t="shared" ca="1" si="69"/>
        <v>-4.2277406155002098E-2</v>
      </c>
    </row>
    <row r="2074" spans="2:7" x14ac:dyDescent="0.35">
      <c r="B2074" s="2">
        <v>38980</v>
      </c>
      <c r="C2074" s="4">
        <v>76.67</v>
      </c>
      <c r="D2074">
        <f t="shared" si="68"/>
        <v>-0.92132859957314073</v>
      </c>
      <c r="E2074">
        <v>4.3227665706051521E-3</v>
      </c>
      <c r="F2074">
        <v>2071</v>
      </c>
      <c r="G2074">
        <f t="shared" ca="1" si="69"/>
        <v>-8.1832952635307508E-4</v>
      </c>
    </row>
    <row r="2075" spans="2:7" x14ac:dyDescent="0.35">
      <c r="B2075" s="2">
        <v>43438</v>
      </c>
      <c r="C2075" s="4">
        <v>974.56</v>
      </c>
      <c r="D2075">
        <f t="shared" si="68"/>
        <v>9.623065184216264</v>
      </c>
      <c r="E2075">
        <v>4.3179405793665193E-3</v>
      </c>
      <c r="F2075">
        <v>2072</v>
      </c>
      <c r="G2075">
        <f t="shared" ca="1" si="69"/>
        <v>8.5791277285762867E-3</v>
      </c>
    </row>
    <row r="2076" spans="2:7" x14ac:dyDescent="0.35">
      <c r="B2076" s="2">
        <v>41318</v>
      </c>
      <c r="C2076" s="4">
        <v>91.74</v>
      </c>
      <c r="D2076">
        <f t="shared" si="68"/>
        <v>-0.17119884361730964</v>
      </c>
      <c r="E2076">
        <v>4.2692939244663997E-3</v>
      </c>
      <c r="F2076">
        <v>2073</v>
      </c>
      <c r="G2076">
        <f t="shared" ca="1" si="69"/>
        <v>3.1856010448550055E-2</v>
      </c>
    </row>
    <row r="2077" spans="2:7" x14ac:dyDescent="0.35">
      <c r="B2077" s="2">
        <v>39304</v>
      </c>
      <c r="C2077" s="4">
        <v>110.69</v>
      </c>
      <c r="D2077">
        <f t="shared" si="68"/>
        <v>-9.7145187601957561E-2</v>
      </c>
      <c r="E2077">
        <v>4.2641988749771986E-3</v>
      </c>
      <c r="F2077">
        <v>2074</v>
      </c>
      <c r="G2077">
        <f t="shared" ca="1" si="69"/>
        <v>-3.0101396023114426E-2</v>
      </c>
    </row>
    <row r="2078" spans="2:7" x14ac:dyDescent="0.35">
      <c r="B2078" s="2">
        <v>39238</v>
      </c>
      <c r="C2078" s="4">
        <v>122.6</v>
      </c>
      <c r="D2078">
        <f t="shared" si="68"/>
        <v>-0.98488994059503565</v>
      </c>
      <c r="E2078">
        <v>4.2595019659239508E-3</v>
      </c>
      <c r="F2078">
        <v>2075</v>
      </c>
      <c r="G2078">
        <f t="shared" ca="1" si="69"/>
        <v>1.5462414299554167E-2</v>
      </c>
    </row>
    <row r="2079" spans="2:7" x14ac:dyDescent="0.35">
      <c r="B2079" s="2">
        <v>44762</v>
      </c>
      <c r="C2079" s="4">
        <v>8113.8</v>
      </c>
      <c r="D2079">
        <f t="shared" si="68"/>
        <v>244.42649727767693</v>
      </c>
      <c r="E2079">
        <v>4.2577419115281678E-3</v>
      </c>
      <c r="F2079">
        <v>2076</v>
      </c>
      <c r="G2079">
        <f t="shared" ca="1" si="69"/>
        <v>-2.7065095026025852E-2</v>
      </c>
    </row>
    <row r="2080" spans="2:7" x14ac:dyDescent="0.35">
      <c r="B2080" s="2">
        <v>37503</v>
      </c>
      <c r="C2080" s="4">
        <v>33.06</v>
      </c>
      <c r="D2080">
        <f t="shared" si="68"/>
        <v>-0.86806082132737361</v>
      </c>
      <c r="E2080">
        <v>4.2527339003646247E-3</v>
      </c>
      <c r="F2080">
        <v>2077</v>
      </c>
      <c r="G2080">
        <f t="shared" ca="1" si="69"/>
        <v>4.0357658579532413E-2</v>
      </c>
    </row>
    <row r="2081" spans="2:7" x14ac:dyDescent="0.35">
      <c r="B2081" s="2">
        <v>41814</v>
      </c>
      <c r="C2081" s="4">
        <v>250.57</v>
      </c>
      <c r="D2081">
        <f t="shared" si="68"/>
        <v>10.708878504672898</v>
      </c>
      <c r="E2081">
        <v>4.2483267203718977E-3</v>
      </c>
      <c r="F2081">
        <v>2078</v>
      </c>
      <c r="G2081">
        <f t="shared" ca="1" si="69"/>
        <v>1.6878649391214324E-2</v>
      </c>
    </row>
    <row r="2082" spans="2:7" x14ac:dyDescent="0.35">
      <c r="B2082" s="2">
        <v>37767</v>
      </c>
      <c r="C2082" s="4">
        <v>21.4</v>
      </c>
      <c r="D2082">
        <f t="shared" si="68"/>
        <v>-0.97500350418165682</v>
      </c>
      <c r="E2082">
        <v>4.2233693101829672E-3</v>
      </c>
      <c r="F2082">
        <v>2079</v>
      </c>
      <c r="G2082">
        <f t="shared" ca="1" si="69"/>
        <v>5.1847719057921994E-2</v>
      </c>
    </row>
    <row r="2083" spans="2:7" x14ac:dyDescent="0.35">
      <c r="B2083" s="2">
        <v>44005</v>
      </c>
      <c r="C2083" s="4">
        <v>856.12</v>
      </c>
      <c r="D2083">
        <f t="shared" si="68"/>
        <v>-0.10539405212230146</v>
      </c>
      <c r="E2083">
        <v>4.2227748322620773E-3</v>
      </c>
      <c r="F2083">
        <v>2080</v>
      </c>
      <c r="G2083">
        <f t="shared" ca="1" si="69"/>
        <v>1.0354776045601692E-2</v>
      </c>
    </row>
    <row r="2084" spans="2:7" x14ac:dyDescent="0.35">
      <c r="B2084" s="2">
        <v>43196</v>
      </c>
      <c r="C2084" s="4">
        <v>956.98</v>
      </c>
      <c r="D2084">
        <f t="shared" si="68"/>
        <v>-0.42768803860943827</v>
      </c>
      <c r="E2084">
        <v>4.2184351914036355E-3</v>
      </c>
      <c r="F2084">
        <v>2081</v>
      </c>
      <c r="G2084">
        <f t="shared" ca="1" si="69"/>
        <v>-2.1890149396543452E-2</v>
      </c>
    </row>
    <row r="2085" spans="2:7" x14ac:dyDescent="0.35">
      <c r="B2085" s="2">
        <v>44168</v>
      </c>
      <c r="C2085" s="4">
        <v>1672.13</v>
      </c>
      <c r="D2085">
        <f t="shared" si="68"/>
        <v>-0.72534226887098496</v>
      </c>
      <c r="E2085">
        <v>4.215937685798643E-3</v>
      </c>
      <c r="F2085">
        <v>2082</v>
      </c>
      <c r="G2085">
        <f t="shared" ca="1" si="69"/>
        <v>2.1705686889886742E-2</v>
      </c>
    </row>
    <row r="2086" spans="2:7" x14ac:dyDescent="0.35">
      <c r="B2086" s="2">
        <v>45000</v>
      </c>
      <c r="C2086" s="4">
        <v>6088.05</v>
      </c>
      <c r="D2086">
        <f t="shared" si="68"/>
        <v>211.79447745543519</v>
      </c>
      <c r="E2086">
        <v>4.2144329896907085E-3</v>
      </c>
      <c r="F2086">
        <v>2083</v>
      </c>
      <c r="G2086">
        <f t="shared" ca="1" si="69"/>
        <v>3.1092411017944206E-3</v>
      </c>
    </row>
    <row r="2087" spans="2:7" x14ac:dyDescent="0.35">
      <c r="B2087" s="2">
        <v>37944</v>
      </c>
      <c r="C2087" s="4">
        <v>28.61</v>
      </c>
      <c r="D2087">
        <f t="shared" si="68"/>
        <v>-0.99536788932153586</v>
      </c>
      <c r="E2087">
        <v>4.2120042120041834E-3</v>
      </c>
      <c r="F2087">
        <v>2084</v>
      </c>
      <c r="G2087">
        <f t="shared" ca="1" si="69"/>
        <v>-2.9890181654704601E-2</v>
      </c>
    </row>
    <row r="2088" spans="2:7" x14ac:dyDescent="0.35">
      <c r="B2088" s="2">
        <v>44988</v>
      </c>
      <c r="C2088" s="4">
        <v>6176.45</v>
      </c>
      <c r="D2088">
        <f t="shared" si="68"/>
        <v>183.97903563941298</v>
      </c>
      <c r="E2088">
        <v>4.2110055198314456E-3</v>
      </c>
      <c r="F2088">
        <v>2085</v>
      </c>
      <c r="G2088">
        <f t="shared" ca="1" si="69"/>
        <v>2.5126736655370703E-3</v>
      </c>
    </row>
    <row r="2089" spans="2:7" x14ac:dyDescent="0.35">
      <c r="B2089" s="2">
        <v>39828</v>
      </c>
      <c r="C2089" s="4">
        <v>33.39</v>
      </c>
      <c r="D2089">
        <f t="shared" si="68"/>
        <v>-0.87834292793121038</v>
      </c>
      <c r="E2089">
        <v>4.2105263157894424E-3</v>
      </c>
      <c r="F2089">
        <v>2086</v>
      </c>
      <c r="G2089">
        <f t="shared" ca="1" si="69"/>
        <v>2.5962293956563878E-2</v>
      </c>
    </row>
    <row r="2090" spans="2:7" x14ac:dyDescent="0.35">
      <c r="B2090" s="2">
        <v>41856</v>
      </c>
      <c r="C2090" s="4">
        <v>274.45999999999998</v>
      </c>
      <c r="D2090">
        <f t="shared" si="68"/>
        <v>1.667249757045675</v>
      </c>
      <c r="E2090">
        <v>4.2076762650469224E-3</v>
      </c>
      <c r="F2090">
        <v>2087</v>
      </c>
      <c r="G2090">
        <f t="shared" ca="1" si="69"/>
        <v>3.524572354316473E-4</v>
      </c>
    </row>
    <row r="2091" spans="2:7" x14ac:dyDescent="0.35">
      <c r="B2091" s="2">
        <v>39372</v>
      </c>
      <c r="C2091" s="4">
        <v>102.9</v>
      </c>
      <c r="D2091">
        <f t="shared" si="68"/>
        <v>-0.87183958151700081</v>
      </c>
      <c r="E2091">
        <v>4.1963501512638501E-3</v>
      </c>
      <c r="F2091">
        <v>2088</v>
      </c>
      <c r="G2091">
        <f t="shared" ca="1" si="69"/>
        <v>-1.9296053151639785E-2</v>
      </c>
    </row>
    <row r="2092" spans="2:7" x14ac:dyDescent="0.35">
      <c r="B2092" s="2">
        <v>43837</v>
      </c>
      <c r="C2092" s="4">
        <v>802.9</v>
      </c>
      <c r="D2092">
        <f t="shared" si="68"/>
        <v>2.3806791374979319E-2</v>
      </c>
      <c r="E2092">
        <v>4.1898567944469445E-3</v>
      </c>
      <c r="F2092">
        <v>2089</v>
      </c>
      <c r="G2092">
        <f t="shared" ca="1" si="69"/>
        <v>2.0252210482579289E-2</v>
      </c>
    </row>
    <row r="2093" spans="2:7" x14ac:dyDescent="0.35">
      <c r="B2093" s="2">
        <v>43039</v>
      </c>
      <c r="C2093" s="4">
        <v>784.23</v>
      </c>
      <c r="D2093">
        <f t="shared" si="68"/>
        <v>1.7924440962825812</v>
      </c>
      <c r="E2093">
        <v>4.1871542716656052E-3</v>
      </c>
      <c r="F2093">
        <v>2090</v>
      </c>
      <c r="G2093">
        <f t="shared" ca="1" si="69"/>
        <v>3.559205078795763E-2</v>
      </c>
    </row>
    <row r="2094" spans="2:7" x14ac:dyDescent="0.35">
      <c r="B2094" s="2">
        <v>41886</v>
      </c>
      <c r="C2094" s="4">
        <v>280.83999999999997</v>
      </c>
      <c r="D2094">
        <f t="shared" si="68"/>
        <v>1.8476982356519973</v>
      </c>
      <c r="E2094">
        <v>4.1835019844815857E-3</v>
      </c>
      <c r="F2094">
        <v>2091</v>
      </c>
      <c r="G2094">
        <f t="shared" ca="1" si="69"/>
        <v>4.1195888595072387E-2</v>
      </c>
    </row>
    <row r="2095" spans="2:7" x14ac:dyDescent="0.35">
      <c r="B2095" s="2">
        <v>41177</v>
      </c>
      <c r="C2095" s="4">
        <v>98.62</v>
      </c>
      <c r="D2095">
        <f t="shared" si="68"/>
        <v>-0.92645951246429981</v>
      </c>
      <c r="E2095">
        <v>4.1747276244783471E-3</v>
      </c>
      <c r="F2095">
        <v>2092</v>
      </c>
      <c r="G2095">
        <f t="shared" ca="1" si="69"/>
        <v>-1.2852728996335347E-2</v>
      </c>
    </row>
    <row r="2096" spans="2:7" x14ac:dyDescent="0.35">
      <c r="B2096" s="2">
        <v>43339</v>
      </c>
      <c r="C2096" s="4">
        <v>1341.03</v>
      </c>
      <c r="D2096">
        <f t="shared" si="68"/>
        <v>9.6617109238352672</v>
      </c>
      <c r="E2096">
        <v>4.1558091472728709E-3</v>
      </c>
      <c r="F2096">
        <v>2093</v>
      </c>
      <c r="G2096">
        <f t="shared" ca="1" si="69"/>
        <v>-1.1837282117754344E-2</v>
      </c>
    </row>
    <row r="2097" spans="2:7" x14ac:dyDescent="0.35">
      <c r="B2097" s="2">
        <v>40289</v>
      </c>
      <c r="C2097" s="4">
        <v>125.78</v>
      </c>
      <c r="D2097">
        <f t="shared" si="68"/>
        <v>-0.95512184679059475</v>
      </c>
      <c r="E2097">
        <v>4.1513651604661028E-3</v>
      </c>
      <c r="F2097">
        <v>2094</v>
      </c>
      <c r="G2097">
        <f t="shared" ca="1" si="69"/>
        <v>4.0653990150245019E-2</v>
      </c>
    </row>
    <row r="2098" spans="2:7" x14ac:dyDescent="0.35">
      <c r="B2098" s="2">
        <v>44238</v>
      </c>
      <c r="C2098" s="4">
        <v>2802.7</v>
      </c>
      <c r="D2098">
        <f t="shared" si="68"/>
        <v>24.663400787473673</v>
      </c>
      <c r="E2098">
        <v>4.1416768775481838E-3</v>
      </c>
      <c r="F2098">
        <v>2095</v>
      </c>
      <c r="G2098">
        <f t="shared" ca="1" si="69"/>
        <v>-3.0543467108930796E-2</v>
      </c>
    </row>
    <row r="2099" spans="2:7" x14ac:dyDescent="0.35">
      <c r="B2099" s="2">
        <v>39297</v>
      </c>
      <c r="C2099" s="4">
        <v>109.21</v>
      </c>
      <c r="D2099">
        <f t="shared" si="68"/>
        <v>-0.86167194426852434</v>
      </c>
      <c r="E2099">
        <v>4.1375505700624871E-3</v>
      </c>
      <c r="F2099">
        <v>2096</v>
      </c>
      <c r="G2099">
        <f t="shared" ca="1" si="69"/>
        <v>3.6127001403068147E-2</v>
      </c>
    </row>
    <row r="2100" spans="2:7" x14ac:dyDescent="0.35">
      <c r="B2100" s="2">
        <v>43789</v>
      </c>
      <c r="C2100" s="4">
        <v>789.5</v>
      </c>
      <c r="D2100">
        <f t="shared" si="68"/>
        <v>13.674721189591079</v>
      </c>
      <c r="E2100">
        <v>4.1335453100159736E-3</v>
      </c>
      <c r="F2100">
        <v>2097</v>
      </c>
      <c r="G2100">
        <f t="shared" ca="1" si="69"/>
        <v>-2.8927712669202542E-2</v>
      </c>
    </row>
    <row r="2101" spans="2:7" x14ac:dyDescent="0.35">
      <c r="B2101" s="2">
        <v>39988</v>
      </c>
      <c r="C2101" s="4">
        <v>53.8</v>
      </c>
      <c r="D2101">
        <f t="shared" si="68"/>
        <v>-0.3147369761813783</v>
      </c>
      <c r="E2101">
        <v>4.1060097051137667E-3</v>
      </c>
      <c r="F2101">
        <v>2098</v>
      </c>
      <c r="G2101">
        <f t="shared" ca="1" si="69"/>
        <v>-1.9859902145559633E-2</v>
      </c>
    </row>
    <row r="2102" spans="2:7" x14ac:dyDescent="0.35">
      <c r="B2102" s="2">
        <v>38958</v>
      </c>
      <c r="C2102" s="4">
        <v>78.510000000000005</v>
      </c>
      <c r="D2102">
        <f t="shared" si="68"/>
        <v>-0.7046608734905766</v>
      </c>
      <c r="E2102">
        <v>4.0925949609924572E-3</v>
      </c>
      <c r="F2102">
        <v>2099</v>
      </c>
      <c r="G2102">
        <f t="shared" ca="1" si="69"/>
        <v>3.0538597983702006E-2</v>
      </c>
    </row>
    <row r="2103" spans="2:7" x14ac:dyDescent="0.35">
      <c r="B2103" s="2">
        <v>41999</v>
      </c>
      <c r="C2103" s="4">
        <v>265.83</v>
      </c>
      <c r="D2103">
        <f t="shared" si="68"/>
        <v>1.5035788284045957</v>
      </c>
      <c r="E2103">
        <v>4.0793201133144663E-3</v>
      </c>
      <c r="F2103">
        <v>2100</v>
      </c>
      <c r="G2103">
        <f t="shared" ca="1" si="69"/>
        <v>3.9167035811032987E-2</v>
      </c>
    </row>
    <row r="2104" spans="2:7" x14ac:dyDescent="0.35">
      <c r="B2104" s="2">
        <v>39324</v>
      </c>
      <c r="C2104" s="4">
        <v>106.18</v>
      </c>
      <c r="D2104">
        <f t="shared" si="68"/>
        <v>-0.61140389401258965</v>
      </c>
      <c r="E2104">
        <v>4.0661938534278796E-3</v>
      </c>
      <c r="F2104">
        <v>2101</v>
      </c>
      <c r="G2104">
        <f t="shared" ca="1" si="69"/>
        <v>-2.8661743913790578E-2</v>
      </c>
    </row>
    <row r="2105" spans="2:7" x14ac:dyDescent="0.35">
      <c r="B2105" s="2">
        <v>42006</v>
      </c>
      <c r="C2105" s="4">
        <v>273.24</v>
      </c>
      <c r="D2105">
        <f t="shared" si="68"/>
        <v>-0.62967581047381549</v>
      </c>
      <c r="E2105">
        <v>4.0420371867422311E-3</v>
      </c>
      <c r="F2105">
        <v>2102</v>
      </c>
      <c r="G2105">
        <f t="shared" ca="1" si="69"/>
        <v>-5.0066123478508719E-3</v>
      </c>
    </row>
    <row r="2106" spans="2:7" x14ac:dyDescent="0.35">
      <c r="B2106" s="2">
        <v>42914</v>
      </c>
      <c r="C2106" s="4">
        <v>737.84</v>
      </c>
      <c r="D2106">
        <f t="shared" si="68"/>
        <v>-0.91404673702849426</v>
      </c>
      <c r="E2106">
        <v>4.0278684955368238E-3</v>
      </c>
      <c r="F2106">
        <v>2103</v>
      </c>
      <c r="G2106">
        <f t="shared" ca="1" si="69"/>
        <v>1.1351707529341563E-2</v>
      </c>
    </row>
    <row r="2107" spans="2:7" x14ac:dyDescent="0.35">
      <c r="B2107" s="2">
        <v>44844</v>
      </c>
      <c r="C2107" s="4">
        <v>8584.2000000000007</v>
      </c>
      <c r="D2107">
        <f t="shared" si="68"/>
        <v>99.177383592017748</v>
      </c>
      <c r="E2107">
        <v>3.9941286893061534E-3</v>
      </c>
      <c r="F2107">
        <v>2104</v>
      </c>
      <c r="G2107">
        <f t="shared" ca="1" si="69"/>
        <v>8.4022522857139063E-3</v>
      </c>
    </row>
    <row r="2108" spans="2:7" x14ac:dyDescent="0.35">
      <c r="B2108" s="2">
        <v>40837</v>
      </c>
      <c r="C2108" s="4">
        <v>85.69</v>
      </c>
      <c r="D2108">
        <f t="shared" si="68"/>
        <v>-0.90569422433527025</v>
      </c>
      <c r="E2108">
        <v>3.983596953720081E-3</v>
      </c>
      <c r="F2108">
        <v>2105</v>
      </c>
      <c r="G2108">
        <f t="shared" ca="1" si="69"/>
        <v>1.2136490702617922E-2</v>
      </c>
    </row>
    <row r="2109" spans="2:7" x14ac:dyDescent="0.35">
      <c r="B2109" s="2">
        <v>43138</v>
      </c>
      <c r="C2109" s="4">
        <v>908.64</v>
      </c>
      <c r="D2109">
        <f t="shared" si="68"/>
        <v>28.899308983218162</v>
      </c>
      <c r="E2109">
        <v>3.9666316778079747E-3</v>
      </c>
      <c r="F2109">
        <v>2106</v>
      </c>
      <c r="G2109">
        <f t="shared" ca="1" si="69"/>
        <v>2.0144181155057582E-2</v>
      </c>
    </row>
    <row r="2110" spans="2:7" x14ac:dyDescent="0.35">
      <c r="B2110" s="2">
        <v>38119</v>
      </c>
      <c r="C2110" s="4">
        <v>30.39</v>
      </c>
      <c r="D2110">
        <f t="shared" si="68"/>
        <v>-0.63786939942802667</v>
      </c>
      <c r="E2110">
        <v>3.964321110009994E-3</v>
      </c>
      <c r="F2110">
        <v>2107</v>
      </c>
      <c r="G2110">
        <f t="shared" ca="1" si="69"/>
        <v>6.7157905889078245E-2</v>
      </c>
    </row>
    <row r="2111" spans="2:7" x14ac:dyDescent="0.35">
      <c r="B2111" s="2">
        <v>40935</v>
      </c>
      <c r="C2111" s="4">
        <v>83.92</v>
      </c>
      <c r="D2111">
        <f t="shared" si="68"/>
        <v>-0.9911650602980423</v>
      </c>
      <c r="E2111">
        <v>3.9478406507955643E-3</v>
      </c>
      <c r="F2111">
        <v>2108</v>
      </c>
      <c r="G2111">
        <f t="shared" ca="1" si="69"/>
        <v>-5.5592212077702298E-2</v>
      </c>
    </row>
    <row r="2112" spans="2:7" x14ac:dyDescent="0.35">
      <c r="B2112" s="2">
        <v>44784</v>
      </c>
      <c r="C2112" s="4">
        <v>9498.65</v>
      </c>
      <c r="D2112">
        <f t="shared" si="68"/>
        <v>12.089850478881003</v>
      </c>
      <c r="E2112">
        <v>3.9264387253605815E-3</v>
      </c>
      <c r="F2112">
        <v>2109</v>
      </c>
      <c r="G2112">
        <f t="shared" ca="1" si="69"/>
        <v>-2.7405320742197828E-2</v>
      </c>
    </row>
    <row r="2113" spans="2:7" x14ac:dyDescent="0.35">
      <c r="B2113" s="2">
        <v>42615</v>
      </c>
      <c r="C2113" s="4">
        <v>725.65</v>
      </c>
      <c r="D2113">
        <f t="shared" si="68"/>
        <v>13.12594899746934</v>
      </c>
      <c r="E2113">
        <v>3.9152209402062432E-3</v>
      </c>
      <c r="F2113">
        <v>2110</v>
      </c>
      <c r="G2113">
        <f t="shared" ca="1" si="69"/>
        <v>1.3332325381977001E-2</v>
      </c>
    </row>
    <row r="2114" spans="2:7" x14ac:dyDescent="0.35">
      <c r="B2114" s="2">
        <v>38289</v>
      </c>
      <c r="C2114" s="4">
        <v>51.37</v>
      </c>
      <c r="D2114">
        <f t="shared" si="68"/>
        <v>-0.46113500472044477</v>
      </c>
      <c r="E2114">
        <v>3.9085401602501069E-3</v>
      </c>
      <c r="F2114">
        <v>2111</v>
      </c>
      <c r="G2114">
        <f t="shared" ca="1" si="69"/>
        <v>1.1377840514725079E-2</v>
      </c>
    </row>
    <row r="2115" spans="2:7" x14ac:dyDescent="0.35">
      <c r="B2115" s="2">
        <v>41309</v>
      </c>
      <c r="C2115" s="4">
        <v>95.33</v>
      </c>
      <c r="D2115">
        <f t="shared" si="68"/>
        <v>0.84999029691441863</v>
      </c>
      <c r="E2115">
        <v>3.8963774220726055E-3</v>
      </c>
      <c r="F2115">
        <v>2112</v>
      </c>
      <c r="G2115">
        <f t="shared" ca="1" si="69"/>
        <v>1.2979646967640427E-2</v>
      </c>
    </row>
    <row r="2116" spans="2:7" x14ac:dyDescent="0.35">
      <c r="B2116" s="2">
        <v>38279</v>
      </c>
      <c r="C2116" s="4">
        <v>51.53</v>
      </c>
      <c r="D2116">
        <f t="shared" ref="D2116:D2179" si="70">C2116/C2117-1</f>
        <v>-0.70611383597581834</v>
      </c>
      <c r="E2116">
        <v>3.8963569062926418E-3</v>
      </c>
      <c r="F2116">
        <v>2113</v>
      </c>
      <c r="G2116">
        <f t="shared" ca="1" si="69"/>
        <v>-8.4079122684375934E-3</v>
      </c>
    </row>
    <row r="2117" spans="2:7" x14ac:dyDescent="0.35">
      <c r="B2117" s="2">
        <v>41649</v>
      </c>
      <c r="C2117" s="4">
        <v>175.34</v>
      </c>
      <c r="D2117">
        <f t="shared" si="70"/>
        <v>-0.61053730481330937</v>
      </c>
      <c r="E2117">
        <v>3.8932783694034523E-3</v>
      </c>
      <c r="F2117">
        <v>2114</v>
      </c>
      <c r="G2117">
        <f t="shared" ref="G2117:G2180" ca="1" si="71">_xlfn.NORM.INV(RAND(),K$6,K$7)</f>
        <v>-6.8957682180169361E-3</v>
      </c>
    </row>
    <row r="2118" spans="2:7" x14ac:dyDescent="0.35">
      <c r="B2118" s="2">
        <v>42054</v>
      </c>
      <c r="C2118" s="4">
        <v>450.21</v>
      </c>
      <c r="D2118">
        <f t="shared" si="70"/>
        <v>-0.50438688228624273</v>
      </c>
      <c r="E2118">
        <v>3.8798581844938784E-3</v>
      </c>
      <c r="F2118">
        <v>2115</v>
      </c>
      <c r="G2118">
        <f t="shared" ca="1" si="71"/>
        <v>-1.3447288260521057E-3</v>
      </c>
    </row>
    <row r="2119" spans="2:7" x14ac:dyDescent="0.35">
      <c r="B2119" s="2">
        <v>43560</v>
      </c>
      <c r="C2119" s="4">
        <v>908.39</v>
      </c>
      <c r="D2119">
        <f t="shared" si="70"/>
        <v>10.594001276324187</v>
      </c>
      <c r="E2119">
        <v>3.8456863113458528E-3</v>
      </c>
      <c r="F2119">
        <v>2116</v>
      </c>
      <c r="G2119">
        <f t="shared" ca="1" si="71"/>
        <v>2.6916369256258323E-2</v>
      </c>
    </row>
    <row r="2120" spans="2:7" x14ac:dyDescent="0.35">
      <c r="B2120" s="2">
        <v>38996</v>
      </c>
      <c r="C2120" s="4">
        <v>78.349999999999994</v>
      </c>
      <c r="D2120">
        <f t="shared" si="70"/>
        <v>-0.8953547387541404</v>
      </c>
      <c r="E2120">
        <v>3.8436899423446302E-3</v>
      </c>
      <c r="F2120">
        <v>2117</v>
      </c>
      <c r="G2120">
        <f t="shared" ca="1" si="71"/>
        <v>2.5371304652473451E-2</v>
      </c>
    </row>
    <row r="2121" spans="2:7" x14ac:dyDescent="0.35">
      <c r="B2121" s="2">
        <v>43956</v>
      </c>
      <c r="C2121" s="4">
        <v>748.72</v>
      </c>
      <c r="D2121">
        <f t="shared" si="70"/>
        <v>8.5075555555555553</v>
      </c>
      <c r="E2121">
        <v>3.8344997720751728E-3</v>
      </c>
      <c r="F2121">
        <v>2118</v>
      </c>
      <c r="G2121">
        <f t="shared" ca="1" si="71"/>
        <v>5.1093195559944113E-2</v>
      </c>
    </row>
    <row r="2122" spans="2:7" x14ac:dyDescent="0.35">
      <c r="B2122" s="2">
        <v>41459</v>
      </c>
      <c r="C2122" s="4">
        <v>78.75</v>
      </c>
      <c r="D2122">
        <f t="shared" si="70"/>
        <v>-0.91282062636304262</v>
      </c>
      <c r="E2122">
        <v>3.8240917782026429E-3</v>
      </c>
      <c r="F2122">
        <v>2119</v>
      </c>
      <c r="G2122">
        <f t="shared" ca="1" si="71"/>
        <v>-1.9293585671448923E-2</v>
      </c>
    </row>
    <row r="2123" spans="2:7" x14ac:dyDescent="0.35">
      <c r="B2123" s="2">
        <v>43536</v>
      </c>
      <c r="C2123" s="4">
        <v>903.31</v>
      </c>
      <c r="D2123">
        <f t="shared" si="70"/>
        <v>9.725599620042745</v>
      </c>
      <c r="E2123">
        <v>3.8227744007466313E-3</v>
      </c>
      <c r="F2123">
        <v>2120</v>
      </c>
      <c r="G2123">
        <f t="shared" ca="1" si="71"/>
        <v>-9.9871834977372106E-4</v>
      </c>
    </row>
    <row r="2124" spans="2:7" x14ac:dyDescent="0.35">
      <c r="B2124" s="2">
        <v>40863</v>
      </c>
      <c r="C2124" s="4">
        <v>84.22</v>
      </c>
      <c r="D2124">
        <f t="shared" si="70"/>
        <v>0.14011100582103686</v>
      </c>
      <c r="E2124">
        <v>3.8140643623361115E-3</v>
      </c>
      <c r="F2124">
        <v>2121</v>
      </c>
      <c r="G2124">
        <f t="shared" ca="1" si="71"/>
        <v>-2.0978839682252868E-2</v>
      </c>
    </row>
    <row r="2125" spans="2:7" x14ac:dyDescent="0.35">
      <c r="B2125" s="2">
        <v>38593</v>
      </c>
      <c r="C2125" s="4">
        <v>73.87</v>
      </c>
      <c r="D2125">
        <f t="shared" si="70"/>
        <v>-6.6826680141485517E-2</v>
      </c>
      <c r="E2125">
        <v>3.8048647914119549E-3</v>
      </c>
      <c r="F2125">
        <v>2122</v>
      </c>
      <c r="G2125">
        <f t="shared" ca="1" si="71"/>
        <v>1.3078559240425752E-2</v>
      </c>
    </row>
    <row r="2126" spans="2:7" x14ac:dyDescent="0.35">
      <c r="B2126" s="2">
        <v>41463</v>
      </c>
      <c r="C2126" s="4">
        <v>79.16</v>
      </c>
      <c r="D2126">
        <f t="shared" si="70"/>
        <v>-0.97802356442460381</v>
      </c>
      <c r="E2126">
        <v>3.8042099923916162E-3</v>
      </c>
      <c r="F2126">
        <v>2123</v>
      </c>
      <c r="G2126">
        <f t="shared" ca="1" si="71"/>
        <v>-3.8952267840159066E-2</v>
      </c>
    </row>
    <row r="2127" spans="2:7" x14ac:dyDescent="0.35">
      <c r="B2127" s="2">
        <v>44347</v>
      </c>
      <c r="C2127" s="4">
        <v>3602.04</v>
      </c>
      <c r="D2127">
        <f t="shared" si="70"/>
        <v>3.3995993746335742</v>
      </c>
      <c r="E2127">
        <v>3.8011369969903619E-3</v>
      </c>
      <c r="F2127">
        <v>2124</v>
      </c>
      <c r="G2127">
        <f t="shared" ca="1" si="71"/>
        <v>-3.3398892193815088E-2</v>
      </c>
    </row>
    <row r="2128" spans="2:7" x14ac:dyDescent="0.35">
      <c r="B2128" s="2">
        <v>42947</v>
      </c>
      <c r="C2128" s="4">
        <v>818.72</v>
      </c>
      <c r="D2128">
        <f t="shared" si="70"/>
        <v>-0.8758913412563667</v>
      </c>
      <c r="E2128">
        <v>3.8007895833844785E-3</v>
      </c>
      <c r="F2128">
        <v>2125</v>
      </c>
      <c r="G2128">
        <f t="shared" ca="1" si="71"/>
        <v>-7.9391978625221876E-2</v>
      </c>
    </row>
    <row r="2129" spans="2:7" x14ac:dyDescent="0.35">
      <c r="B2129" s="2">
        <v>44971</v>
      </c>
      <c r="C2129" s="4">
        <v>6596.8</v>
      </c>
      <c r="D2129">
        <f t="shared" si="70"/>
        <v>223</v>
      </c>
      <c r="E2129">
        <v>3.7812217074080223E-3</v>
      </c>
      <c r="F2129">
        <v>2126</v>
      </c>
      <c r="G2129">
        <f t="shared" ca="1" si="71"/>
        <v>2.2380201736889663E-2</v>
      </c>
    </row>
    <row r="2130" spans="2:7" x14ac:dyDescent="0.35">
      <c r="B2130" s="2">
        <v>37536</v>
      </c>
      <c r="C2130" s="4">
        <v>29.45</v>
      </c>
      <c r="D2130">
        <f t="shared" si="70"/>
        <v>-0.63388861263053209</v>
      </c>
      <c r="E2130">
        <v>3.7491479209270651E-3</v>
      </c>
      <c r="F2130">
        <v>2127</v>
      </c>
      <c r="G2130">
        <f t="shared" ca="1" si="71"/>
        <v>4.4903319595227904E-3</v>
      </c>
    </row>
    <row r="2131" spans="2:7" x14ac:dyDescent="0.35">
      <c r="B2131" s="2">
        <v>41442</v>
      </c>
      <c r="C2131" s="4">
        <v>80.44</v>
      </c>
      <c r="D2131">
        <f t="shared" si="70"/>
        <v>-0.16909410184898255</v>
      </c>
      <c r="E2131">
        <v>3.7434489643124458E-3</v>
      </c>
      <c r="F2131">
        <v>2128</v>
      </c>
      <c r="G2131">
        <f t="shared" ca="1" si="71"/>
        <v>-1.5614263331321737E-2</v>
      </c>
    </row>
    <row r="2132" spans="2:7" x14ac:dyDescent="0.35">
      <c r="B2132" s="2">
        <v>39094</v>
      </c>
      <c r="C2132" s="4">
        <v>96.81</v>
      </c>
      <c r="D2132">
        <f t="shared" si="70"/>
        <v>-0.88425256160403642</v>
      </c>
      <c r="E2132">
        <v>3.7325038880249295E-3</v>
      </c>
      <c r="F2132">
        <v>2129</v>
      </c>
      <c r="G2132">
        <f t="shared" ca="1" si="71"/>
        <v>6.880203634529662E-3</v>
      </c>
    </row>
    <row r="2133" spans="2:7" x14ac:dyDescent="0.35">
      <c r="B2133" s="2">
        <v>43614</v>
      </c>
      <c r="C2133" s="4">
        <v>836.39</v>
      </c>
      <c r="D2133">
        <f t="shared" si="70"/>
        <v>0.17166071303495123</v>
      </c>
      <c r="E2133">
        <v>3.7322388632872183E-3</v>
      </c>
      <c r="F2133">
        <v>2130</v>
      </c>
      <c r="G2133">
        <f t="shared" ca="1" si="71"/>
        <v>-1.5742497884186656E-2</v>
      </c>
    </row>
    <row r="2134" spans="2:7" x14ac:dyDescent="0.35">
      <c r="B2134" s="2">
        <v>42620</v>
      </c>
      <c r="C2134" s="4">
        <v>713.85</v>
      </c>
      <c r="D2134">
        <f t="shared" si="70"/>
        <v>-0.73577453945152449</v>
      </c>
      <c r="E2134">
        <v>3.711983802252572E-3</v>
      </c>
      <c r="F2134">
        <v>2131</v>
      </c>
      <c r="G2134">
        <f t="shared" ca="1" si="71"/>
        <v>1.3554662799542852E-2</v>
      </c>
    </row>
    <row r="2135" spans="2:7" x14ac:dyDescent="0.35">
      <c r="B2135" s="2">
        <v>44278</v>
      </c>
      <c r="C2135" s="4">
        <v>2701.67</v>
      </c>
      <c r="D2135">
        <f t="shared" si="70"/>
        <v>38.912394740729802</v>
      </c>
      <c r="E2135">
        <v>3.7114367235333567E-3</v>
      </c>
      <c r="F2135">
        <v>2132</v>
      </c>
      <c r="G2135">
        <f t="shared" ca="1" si="71"/>
        <v>1.260371742490517E-2</v>
      </c>
    </row>
    <row r="2136" spans="2:7" x14ac:dyDescent="0.35">
      <c r="B2136" s="2">
        <v>38664</v>
      </c>
      <c r="C2136" s="4">
        <v>67.69</v>
      </c>
      <c r="D2136">
        <f t="shared" si="70"/>
        <v>-0.21962185842748438</v>
      </c>
      <c r="E2136">
        <v>3.7069988137603538E-3</v>
      </c>
      <c r="F2136">
        <v>2133</v>
      </c>
      <c r="G2136">
        <f t="shared" ca="1" si="71"/>
        <v>6.7928021892126817E-3</v>
      </c>
    </row>
    <row r="2137" spans="2:7" x14ac:dyDescent="0.35">
      <c r="B2137" s="2">
        <v>40924</v>
      </c>
      <c r="C2137" s="4">
        <v>86.74</v>
      </c>
      <c r="D2137">
        <f t="shared" si="70"/>
        <v>0.13966627250032837</v>
      </c>
      <c r="E2137">
        <v>3.7028465632955587E-3</v>
      </c>
      <c r="F2137">
        <v>2134</v>
      </c>
      <c r="G2137">
        <f t="shared" ca="1" si="71"/>
        <v>-4.3916688558022263E-2</v>
      </c>
    </row>
    <row r="2138" spans="2:7" x14ac:dyDescent="0.35">
      <c r="B2138" s="2">
        <v>41451</v>
      </c>
      <c r="C2138" s="4">
        <v>76.11</v>
      </c>
      <c r="D2138">
        <f t="shared" si="70"/>
        <v>-0.84479066827089744</v>
      </c>
      <c r="E2138">
        <v>3.6924699986813359E-3</v>
      </c>
      <c r="F2138">
        <v>2135</v>
      </c>
      <c r="G2138">
        <f t="shared" ca="1" si="71"/>
        <v>4.6212113711075552E-2</v>
      </c>
    </row>
    <row r="2139" spans="2:7" x14ac:dyDescent="0.35">
      <c r="B2139" s="2">
        <v>42170</v>
      </c>
      <c r="C2139" s="4">
        <v>490.37</v>
      </c>
      <c r="D2139">
        <f t="shared" si="70"/>
        <v>0.78751868187948837</v>
      </c>
      <c r="E2139">
        <v>3.6842212988927869E-3</v>
      </c>
      <c r="F2139">
        <v>2136</v>
      </c>
      <c r="G2139">
        <f t="shared" ca="1" si="71"/>
        <v>1.4698216145339203E-2</v>
      </c>
    </row>
    <row r="2140" spans="2:7" x14ac:dyDescent="0.35">
      <c r="B2140" s="2">
        <v>41820</v>
      </c>
      <c r="C2140" s="4">
        <v>274.33</v>
      </c>
      <c r="D2140">
        <f t="shared" si="70"/>
        <v>-0.96081363873354619</v>
      </c>
      <c r="E2140">
        <v>3.6585812022098541E-3</v>
      </c>
      <c r="F2140">
        <v>2137</v>
      </c>
      <c r="G2140">
        <f t="shared" ca="1" si="71"/>
        <v>-1.0781552289851027E-2</v>
      </c>
    </row>
    <row r="2141" spans="2:7" x14ac:dyDescent="0.35">
      <c r="B2141" s="2">
        <v>44880</v>
      </c>
      <c r="C2141" s="4">
        <v>7000.65</v>
      </c>
      <c r="D2141">
        <f t="shared" si="70"/>
        <v>7.4207202655889137</v>
      </c>
      <c r="E2141">
        <v>3.6414465431346965E-3</v>
      </c>
      <c r="F2141">
        <v>2138</v>
      </c>
      <c r="G2141">
        <f t="shared" ca="1" si="71"/>
        <v>-5.3962211816035721E-2</v>
      </c>
    </row>
    <row r="2142" spans="2:7" x14ac:dyDescent="0.35">
      <c r="B2142" s="2">
        <v>43816</v>
      </c>
      <c r="C2142" s="4">
        <v>831.36</v>
      </c>
      <c r="D2142">
        <f t="shared" si="70"/>
        <v>8.1187890753537353</v>
      </c>
      <c r="E2142">
        <v>3.6337297036277416E-3</v>
      </c>
      <c r="F2142">
        <v>2139</v>
      </c>
      <c r="G2142">
        <f t="shared" ca="1" si="71"/>
        <v>-4.2805070344884184E-3</v>
      </c>
    </row>
    <row r="2143" spans="2:7" x14ac:dyDescent="0.35">
      <c r="B2143" s="2">
        <v>39056</v>
      </c>
      <c r="C2143" s="4">
        <v>91.17</v>
      </c>
      <c r="D2143">
        <f t="shared" si="70"/>
        <v>-0.88866500586166475</v>
      </c>
      <c r="E2143">
        <v>3.6327608982826831E-3</v>
      </c>
      <c r="F2143">
        <v>2140</v>
      </c>
      <c r="G2143">
        <f t="shared" ca="1" si="71"/>
        <v>5.4670423382835133E-3</v>
      </c>
    </row>
    <row r="2144" spans="2:7" x14ac:dyDescent="0.35">
      <c r="B2144" s="2">
        <v>43634</v>
      </c>
      <c r="C2144" s="4">
        <v>818.88</v>
      </c>
      <c r="D2144">
        <f t="shared" si="70"/>
        <v>-0.11715810468438359</v>
      </c>
      <c r="E2144">
        <v>3.6278066477106741E-3</v>
      </c>
      <c r="F2144">
        <v>2141</v>
      </c>
      <c r="G2144">
        <f t="shared" ca="1" si="71"/>
        <v>4.4114985506970021E-4</v>
      </c>
    </row>
    <row r="2145" spans="2:7" x14ac:dyDescent="0.35">
      <c r="B2145" s="2">
        <v>43543</v>
      </c>
      <c r="C2145" s="4">
        <v>927.55</v>
      </c>
      <c r="D2145">
        <f t="shared" si="70"/>
        <v>3.7887858205865488E-2</v>
      </c>
      <c r="E2145">
        <v>3.6138972744288456E-3</v>
      </c>
      <c r="F2145">
        <v>2142</v>
      </c>
      <c r="G2145">
        <f t="shared" ca="1" si="71"/>
        <v>4.9688488853679234E-2</v>
      </c>
    </row>
    <row r="2146" spans="2:7" x14ac:dyDescent="0.35">
      <c r="B2146" s="2">
        <v>42478</v>
      </c>
      <c r="C2146" s="4">
        <v>893.69</v>
      </c>
      <c r="D2146">
        <f t="shared" si="70"/>
        <v>7.4135755978158553</v>
      </c>
      <c r="E2146">
        <v>3.6047974126314219E-3</v>
      </c>
      <c r="F2146">
        <v>2143</v>
      </c>
      <c r="G2146">
        <f t="shared" ca="1" si="71"/>
        <v>-2.9938482086556344E-2</v>
      </c>
    </row>
    <row r="2147" spans="2:7" x14ac:dyDescent="0.35">
      <c r="B2147" s="2">
        <v>39370</v>
      </c>
      <c r="C2147" s="4">
        <v>106.22</v>
      </c>
      <c r="D2147">
        <f t="shared" si="70"/>
        <v>-0.88531634636147705</v>
      </c>
      <c r="E2147">
        <v>3.5903250188964453E-3</v>
      </c>
      <c r="F2147">
        <v>2144</v>
      </c>
      <c r="G2147">
        <f t="shared" ca="1" si="71"/>
        <v>2.3675425599437569E-2</v>
      </c>
    </row>
    <row r="2148" spans="2:7" x14ac:dyDescent="0.35">
      <c r="B2148" s="2">
        <v>43152</v>
      </c>
      <c r="C2148" s="4">
        <v>926.2</v>
      </c>
      <c r="D2148">
        <f t="shared" si="70"/>
        <v>0.33377494887820069</v>
      </c>
      <c r="E2148">
        <v>3.5865596116546605E-3</v>
      </c>
      <c r="F2148">
        <v>2145</v>
      </c>
      <c r="G2148">
        <f t="shared" ca="1" si="71"/>
        <v>7.9128154311876413E-3</v>
      </c>
    </row>
    <row r="2149" spans="2:7" x14ac:dyDescent="0.35">
      <c r="B2149" s="2">
        <v>42775</v>
      </c>
      <c r="C2149" s="4">
        <v>694.42</v>
      </c>
      <c r="D2149">
        <f t="shared" si="70"/>
        <v>7.2453099026359524</v>
      </c>
      <c r="E2149">
        <v>3.5841257912534452E-3</v>
      </c>
      <c r="F2149">
        <v>2146</v>
      </c>
      <c r="G2149">
        <f t="shared" ca="1" si="71"/>
        <v>1.0273425851360566E-2</v>
      </c>
    </row>
    <row r="2150" spans="2:7" x14ac:dyDescent="0.35">
      <c r="B2150" s="2">
        <v>40938</v>
      </c>
      <c r="C2150" s="4">
        <v>84.22</v>
      </c>
      <c r="D2150">
        <f t="shared" si="70"/>
        <v>-2.2509181376614285E-3</v>
      </c>
      <c r="E2150">
        <v>3.5748331744518413E-3</v>
      </c>
      <c r="F2150">
        <v>2147</v>
      </c>
      <c r="G2150">
        <f t="shared" ca="1" si="71"/>
        <v>9.5028568883741941E-3</v>
      </c>
    </row>
    <row r="2151" spans="2:7" x14ac:dyDescent="0.35">
      <c r="B2151" s="2">
        <v>41046</v>
      </c>
      <c r="C2151" s="4">
        <v>84.41</v>
      </c>
      <c r="D2151">
        <f t="shared" si="70"/>
        <v>-0.944385146531731</v>
      </c>
      <c r="E2151">
        <v>3.5667578171441061E-3</v>
      </c>
      <c r="F2151">
        <v>2148</v>
      </c>
      <c r="G2151">
        <f t="shared" ca="1" si="71"/>
        <v>8.420979191402303E-2</v>
      </c>
    </row>
    <row r="2152" spans="2:7" x14ac:dyDescent="0.35">
      <c r="B2152" s="2">
        <v>44139</v>
      </c>
      <c r="C2152" s="4">
        <v>1517.76</v>
      </c>
      <c r="D2152">
        <f t="shared" si="70"/>
        <v>16.361702127659573</v>
      </c>
      <c r="E2152">
        <v>3.5639426859830348E-3</v>
      </c>
      <c r="F2152">
        <v>2149</v>
      </c>
      <c r="G2152">
        <f t="shared" ca="1" si="71"/>
        <v>4.5306308018070236E-2</v>
      </c>
    </row>
    <row r="2153" spans="2:7" x14ac:dyDescent="0.35">
      <c r="B2153" s="2">
        <v>41568</v>
      </c>
      <c r="C2153" s="4">
        <v>87.42</v>
      </c>
      <c r="D2153">
        <f t="shared" si="70"/>
        <v>-0.14386445989619034</v>
      </c>
      <c r="E2153">
        <v>3.558718861210064E-3</v>
      </c>
      <c r="F2153">
        <v>2150</v>
      </c>
      <c r="G2153">
        <f t="shared" ca="1" si="71"/>
        <v>1.9809968435107562E-2</v>
      </c>
    </row>
    <row r="2154" spans="2:7" x14ac:dyDescent="0.35">
      <c r="B2154" s="2">
        <v>40438</v>
      </c>
      <c r="C2154" s="4">
        <v>102.11</v>
      </c>
      <c r="D2154">
        <f t="shared" si="70"/>
        <v>-0.88607990360693045</v>
      </c>
      <c r="E2154">
        <v>3.5380835380836029E-3</v>
      </c>
      <c r="F2154">
        <v>2151</v>
      </c>
      <c r="G2154">
        <f t="shared" ca="1" si="71"/>
        <v>-3.7358612200487064E-2</v>
      </c>
    </row>
    <row r="2155" spans="2:7" x14ac:dyDescent="0.35">
      <c r="B2155" s="2">
        <v>42482</v>
      </c>
      <c r="C2155" s="4">
        <v>896.33</v>
      </c>
      <c r="D2155">
        <f t="shared" si="70"/>
        <v>-0.89721693461459073</v>
      </c>
      <c r="E2155">
        <v>3.5379602987113401E-3</v>
      </c>
      <c r="F2155">
        <v>2152</v>
      </c>
      <c r="G2155">
        <f t="shared" ca="1" si="71"/>
        <v>2.5092364220231731E-3</v>
      </c>
    </row>
    <row r="2156" spans="2:7" x14ac:dyDescent="0.35">
      <c r="B2156" s="2">
        <v>44774</v>
      </c>
      <c r="C2156" s="4">
        <v>8720.6</v>
      </c>
      <c r="D2156">
        <f t="shared" si="70"/>
        <v>9.5535385806951307</v>
      </c>
      <c r="E2156">
        <v>3.5155148704553163E-3</v>
      </c>
      <c r="F2156">
        <v>2153</v>
      </c>
      <c r="G2156">
        <f t="shared" ca="1" si="71"/>
        <v>1.4817948220262691E-2</v>
      </c>
    </row>
    <row r="2157" spans="2:7" x14ac:dyDescent="0.35">
      <c r="B2157" s="2">
        <v>42536</v>
      </c>
      <c r="C2157" s="4">
        <v>826.32</v>
      </c>
      <c r="D2157">
        <f t="shared" si="70"/>
        <v>6.57930376236604E-2</v>
      </c>
      <c r="E2157">
        <v>3.509709386347426E-3</v>
      </c>
      <c r="F2157">
        <v>2154</v>
      </c>
      <c r="G2157">
        <f t="shared" ca="1" si="71"/>
        <v>1.8310321319147973E-2</v>
      </c>
    </row>
    <row r="2158" spans="2:7" x14ac:dyDescent="0.35">
      <c r="B2158" s="2">
        <v>43014</v>
      </c>
      <c r="C2158" s="4">
        <v>775.31</v>
      </c>
      <c r="D2158">
        <f t="shared" si="70"/>
        <v>-0.88415240941352258</v>
      </c>
      <c r="E2158">
        <v>3.4946480112862943E-3</v>
      </c>
      <c r="F2158">
        <v>2155</v>
      </c>
      <c r="G2158">
        <f t="shared" ca="1" si="71"/>
        <v>-5.4312568931759444E-3</v>
      </c>
    </row>
    <row r="2159" spans="2:7" x14ac:dyDescent="0.35">
      <c r="B2159" s="2">
        <v>44964</v>
      </c>
      <c r="C2159" s="4">
        <v>6692.5</v>
      </c>
      <c r="D2159">
        <f t="shared" si="70"/>
        <v>6.8502557124759536</v>
      </c>
      <c r="E2159">
        <v>3.493672404486281E-3</v>
      </c>
      <c r="F2159">
        <v>2156</v>
      </c>
      <c r="G2159">
        <f t="shared" ca="1" si="71"/>
        <v>-1.8736640251113219E-2</v>
      </c>
    </row>
    <row r="2160" spans="2:7" x14ac:dyDescent="0.35">
      <c r="B2160" s="2">
        <v>44004</v>
      </c>
      <c r="C2160" s="4">
        <v>852.52</v>
      </c>
      <c r="D2160">
        <f t="shared" si="70"/>
        <v>-0.14980952190996677</v>
      </c>
      <c r="E2160">
        <v>3.4841565045435896E-3</v>
      </c>
      <c r="F2160">
        <v>2157</v>
      </c>
      <c r="G2160">
        <f t="shared" ca="1" si="71"/>
        <v>-8.9091446727408603E-3</v>
      </c>
    </row>
    <row r="2161" spans="2:7" x14ac:dyDescent="0.35">
      <c r="B2161" s="2">
        <v>43203</v>
      </c>
      <c r="C2161" s="4">
        <v>1002.74</v>
      </c>
      <c r="D2161">
        <f t="shared" si="70"/>
        <v>15.427588466579294</v>
      </c>
      <c r="E2161">
        <v>3.4524512403806273E-3</v>
      </c>
      <c r="F2161">
        <v>2158</v>
      </c>
      <c r="G2161">
        <f t="shared" ca="1" si="71"/>
        <v>2.4996523624976747E-2</v>
      </c>
    </row>
    <row r="2162" spans="2:7" x14ac:dyDescent="0.35">
      <c r="B2162" s="2">
        <v>38933</v>
      </c>
      <c r="C2162" s="4">
        <v>61.04</v>
      </c>
      <c r="D2162">
        <f t="shared" si="70"/>
        <v>-0.95782986866739894</v>
      </c>
      <c r="E2162">
        <v>3.4522439585731313E-3</v>
      </c>
      <c r="F2162">
        <v>2159</v>
      </c>
      <c r="G2162">
        <f t="shared" ca="1" si="71"/>
        <v>1.6694464413878781E-2</v>
      </c>
    </row>
    <row r="2163" spans="2:7" x14ac:dyDescent="0.35">
      <c r="B2163" s="2">
        <v>44119</v>
      </c>
      <c r="C2163" s="4">
        <v>1447.47</v>
      </c>
      <c r="D2163">
        <f t="shared" si="70"/>
        <v>60.489804587935431</v>
      </c>
      <c r="E2163">
        <v>3.4245388310816249E-3</v>
      </c>
      <c r="F2163">
        <v>2160</v>
      </c>
      <c r="G2163">
        <f t="shared" ca="1" si="71"/>
        <v>-2.4256428301394625E-2</v>
      </c>
    </row>
    <row r="2164" spans="2:7" x14ac:dyDescent="0.35">
      <c r="B2164" s="2">
        <v>37797</v>
      </c>
      <c r="C2164" s="4">
        <v>23.54</v>
      </c>
      <c r="D2164">
        <f t="shared" si="70"/>
        <v>-0.97173594601733781</v>
      </c>
      <c r="E2164">
        <v>3.4100596760442414E-3</v>
      </c>
      <c r="F2164">
        <v>2161</v>
      </c>
      <c r="G2164">
        <f t="shared" ca="1" si="71"/>
        <v>2.9452862469783889E-2</v>
      </c>
    </row>
    <row r="2165" spans="2:7" x14ac:dyDescent="0.35">
      <c r="B2165" s="2">
        <v>43524</v>
      </c>
      <c r="C2165" s="4">
        <v>832.86</v>
      </c>
      <c r="D2165">
        <f t="shared" si="70"/>
        <v>11.247941176470588</v>
      </c>
      <c r="E2165">
        <v>3.4095153187234661E-3</v>
      </c>
      <c r="F2165">
        <v>2162</v>
      </c>
      <c r="G2165">
        <f t="shared" ca="1" si="71"/>
        <v>3.8829096774737337E-3</v>
      </c>
    </row>
    <row r="2166" spans="2:7" x14ac:dyDescent="0.35">
      <c r="B2166" s="2">
        <v>40070</v>
      </c>
      <c r="C2166" s="4">
        <v>68</v>
      </c>
      <c r="D2166">
        <f t="shared" si="70"/>
        <v>0.27102803738317749</v>
      </c>
      <c r="E2166">
        <v>3.3938320790911636E-3</v>
      </c>
      <c r="F2166">
        <v>2163</v>
      </c>
      <c r="G2166">
        <f t="shared" ca="1" si="71"/>
        <v>-4.6167810785438766E-2</v>
      </c>
    </row>
    <row r="2167" spans="2:7" x14ac:dyDescent="0.35">
      <c r="B2167" s="2">
        <v>38300</v>
      </c>
      <c r="C2167" s="4">
        <v>53.5</v>
      </c>
      <c r="D2167">
        <f t="shared" si="70"/>
        <v>-0.93416356968816916</v>
      </c>
      <c r="E2167">
        <v>3.3758439609903323E-3</v>
      </c>
      <c r="F2167">
        <v>2164</v>
      </c>
      <c r="G2167">
        <f t="shared" ca="1" si="71"/>
        <v>4.8539669838258158E-2</v>
      </c>
    </row>
    <row r="2168" spans="2:7" x14ac:dyDescent="0.35">
      <c r="B2168" s="2">
        <v>43594</v>
      </c>
      <c r="C2168" s="4">
        <v>812.62</v>
      </c>
      <c r="D2168">
        <f t="shared" si="70"/>
        <v>-0.1343134121657612</v>
      </c>
      <c r="E2168">
        <v>3.3708281371545024E-3</v>
      </c>
      <c r="F2168">
        <v>2165</v>
      </c>
      <c r="G2168">
        <f t="shared" ca="1" si="71"/>
        <v>4.939750394715877E-2</v>
      </c>
    </row>
    <row r="2169" spans="2:7" x14ac:dyDescent="0.35">
      <c r="B2169" s="2">
        <v>43419</v>
      </c>
      <c r="C2169" s="4">
        <v>938.7</v>
      </c>
      <c r="D2169">
        <f t="shared" si="70"/>
        <v>17.427561837455833</v>
      </c>
      <c r="E2169">
        <v>3.3670033670034627E-3</v>
      </c>
      <c r="F2169">
        <v>2166</v>
      </c>
      <c r="G2169">
        <f t="shared" ca="1" si="71"/>
        <v>3.6020819612885294E-2</v>
      </c>
    </row>
    <row r="2170" spans="2:7" x14ac:dyDescent="0.35">
      <c r="B2170" s="2">
        <v>38330</v>
      </c>
      <c r="C2170" s="4">
        <v>50.94</v>
      </c>
      <c r="D2170">
        <f t="shared" si="70"/>
        <v>-0.96850617635057434</v>
      </c>
      <c r="E2170">
        <v>3.3484341146345908E-3</v>
      </c>
      <c r="F2170">
        <v>2167</v>
      </c>
      <c r="G2170">
        <f t="shared" ca="1" si="71"/>
        <v>1.0722762600215896E-2</v>
      </c>
    </row>
    <row r="2171" spans="2:7" x14ac:dyDescent="0.35">
      <c r="B2171" s="2">
        <v>44183</v>
      </c>
      <c r="C2171" s="4">
        <v>1617.46</v>
      </c>
      <c r="D2171">
        <f t="shared" si="70"/>
        <v>13.17581069237511</v>
      </c>
      <c r="E2171">
        <v>3.3435272661856974E-3</v>
      </c>
      <c r="F2171">
        <v>2168</v>
      </c>
      <c r="G2171">
        <f t="shared" ca="1" si="71"/>
        <v>-4.8703243917276534E-3</v>
      </c>
    </row>
    <row r="2172" spans="2:7" x14ac:dyDescent="0.35">
      <c r="B2172" s="2">
        <v>39332</v>
      </c>
      <c r="C2172" s="4">
        <v>114.1</v>
      </c>
      <c r="D2172">
        <f t="shared" si="70"/>
        <v>-0.92477435603288571</v>
      </c>
      <c r="E2172">
        <v>3.3415406260992597E-3</v>
      </c>
      <c r="F2172">
        <v>2169</v>
      </c>
      <c r="G2172">
        <f t="shared" ca="1" si="71"/>
        <v>-1.3693145234320457E-3</v>
      </c>
    </row>
    <row r="2173" spans="2:7" x14ac:dyDescent="0.35">
      <c r="B2173" s="2">
        <v>44155</v>
      </c>
      <c r="C2173" s="4">
        <v>1516.77</v>
      </c>
      <c r="D2173">
        <f t="shared" si="70"/>
        <v>0.73018878685906574</v>
      </c>
      <c r="E2173">
        <v>3.3339286777400723E-3</v>
      </c>
      <c r="F2173">
        <v>2170</v>
      </c>
      <c r="G2173">
        <f t="shared" ca="1" si="71"/>
        <v>-2.2575760856740026E-2</v>
      </c>
    </row>
    <row r="2174" spans="2:7" x14ac:dyDescent="0.35">
      <c r="B2174" s="2">
        <v>42464</v>
      </c>
      <c r="C2174" s="4">
        <v>876.65</v>
      </c>
      <c r="D2174">
        <f t="shared" si="70"/>
        <v>3.9832310140973171</v>
      </c>
      <c r="E2174">
        <v>3.3305102204317372E-3</v>
      </c>
      <c r="F2174">
        <v>2171</v>
      </c>
      <c r="G2174">
        <f t="shared" ca="1" si="71"/>
        <v>2.966233887509407E-2</v>
      </c>
    </row>
    <row r="2175" spans="2:7" x14ac:dyDescent="0.35">
      <c r="B2175" s="2">
        <v>41652</v>
      </c>
      <c r="C2175" s="4">
        <v>175.92</v>
      </c>
      <c r="D2175">
        <f t="shared" si="70"/>
        <v>-0.97486677619829987</v>
      </c>
      <c r="E2175">
        <v>3.3078590167672228E-3</v>
      </c>
      <c r="F2175">
        <v>2172</v>
      </c>
      <c r="G2175">
        <f t="shared" ca="1" si="71"/>
        <v>6.7202947243843085E-3</v>
      </c>
    </row>
    <row r="2176" spans="2:7" x14ac:dyDescent="0.35">
      <c r="B2176" s="2">
        <v>44874</v>
      </c>
      <c r="C2176" s="4">
        <v>6999.5</v>
      </c>
      <c r="D2176">
        <f t="shared" si="70"/>
        <v>4.1413607950580644</v>
      </c>
      <c r="E2176">
        <v>3.3039726508468092E-3</v>
      </c>
      <c r="F2176">
        <v>2173</v>
      </c>
      <c r="G2176">
        <f t="shared" ca="1" si="71"/>
        <v>3.2642119333513041E-2</v>
      </c>
    </row>
    <row r="2177" spans="2:7" x14ac:dyDescent="0.35">
      <c r="B2177" s="2">
        <v>43335</v>
      </c>
      <c r="C2177" s="4">
        <v>1361.41</v>
      </c>
      <c r="D2177">
        <f t="shared" si="70"/>
        <v>1.2876995462947405</v>
      </c>
      <c r="E2177">
        <v>3.2941766032397179E-3</v>
      </c>
      <c r="F2177">
        <v>2174</v>
      </c>
      <c r="G2177">
        <f t="shared" ca="1" si="71"/>
        <v>6.0413245292357087E-2</v>
      </c>
    </row>
    <row r="2178" spans="2:7" x14ac:dyDescent="0.35">
      <c r="B2178" s="2">
        <v>43691</v>
      </c>
      <c r="C2178" s="4">
        <v>595.1</v>
      </c>
      <c r="D2178">
        <f t="shared" si="70"/>
        <v>18.302627311060657</v>
      </c>
      <c r="E2178">
        <v>3.2706183828985491E-3</v>
      </c>
      <c r="F2178">
        <v>2175</v>
      </c>
      <c r="G2178">
        <f t="shared" ca="1" si="71"/>
        <v>-6.8847174537637439E-3</v>
      </c>
    </row>
    <row r="2179" spans="2:7" x14ac:dyDescent="0.35">
      <c r="B2179" s="2">
        <v>37477</v>
      </c>
      <c r="C2179" s="4">
        <v>30.83</v>
      </c>
      <c r="D2179">
        <f t="shared" si="70"/>
        <v>-0.50145536869340246</v>
      </c>
      <c r="E2179">
        <v>3.2541490400259665E-3</v>
      </c>
      <c r="F2179">
        <v>2176</v>
      </c>
      <c r="G2179">
        <f t="shared" ca="1" si="71"/>
        <v>3.7189017031697682E-3</v>
      </c>
    </row>
    <row r="2180" spans="2:7" x14ac:dyDescent="0.35">
      <c r="B2180" s="2">
        <v>38533</v>
      </c>
      <c r="C2180" s="4">
        <v>61.84</v>
      </c>
      <c r="D2180">
        <f t="shared" ref="D2180:D2243" si="72">C2180/C2181-1</f>
        <v>-0.92573377527981937</v>
      </c>
      <c r="E2180">
        <v>3.2446463335495945E-3</v>
      </c>
      <c r="F2180">
        <v>2177</v>
      </c>
      <c r="G2180">
        <f t="shared" ca="1" si="71"/>
        <v>-2.9061115514410858E-3</v>
      </c>
    </row>
    <row r="2181" spans="2:7" x14ac:dyDescent="0.35">
      <c r="B2181" s="2">
        <v>42516</v>
      </c>
      <c r="C2181" s="4">
        <v>832.68</v>
      </c>
      <c r="D2181">
        <f t="shared" si="72"/>
        <v>4.7232799505120617</v>
      </c>
      <c r="E2181">
        <v>3.2410029036493704E-3</v>
      </c>
      <c r="F2181">
        <v>2178</v>
      </c>
      <c r="G2181">
        <f t="shared" ref="G2181:G2244" ca="1" si="73">_xlfn.NORM.INV(RAND(),K$6,K$7)</f>
        <v>2.5118246079307124E-2</v>
      </c>
    </row>
    <row r="2182" spans="2:7" x14ac:dyDescent="0.35">
      <c r="B2182" s="2">
        <v>41619</v>
      </c>
      <c r="C2182" s="4">
        <v>145.49</v>
      </c>
      <c r="D2182">
        <f t="shared" si="72"/>
        <v>-0.83921269588665648</v>
      </c>
      <c r="E2182">
        <v>3.2409322852020583E-3</v>
      </c>
      <c r="F2182">
        <v>2179</v>
      </c>
      <c r="G2182">
        <f t="shared" ca="1" si="73"/>
        <v>3.7906733638484257E-2</v>
      </c>
    </row>
    <row r="2183" spans="2:7" x14ac:dyDescent="0.35">
      <c r="B2183" s="2">
        <v>43567</v>
      </c>
      <c r="C2183" s="4">
        <v>904.86</v>
      </c>
      <c r="D2183">
        <f t="shared" si="72"/>
        <v>10.146341463414632</v>
      </c>
      <c r="E2183">
        <v>3.237465906823056E-3</v>
      </c>
      <c r="F2183">
        <v>2180</v>
      </c>
      <c r="G2183">
        <f t="shared" ca="1" si="73"/>
        <v>-4.0066838047598689E-2</v>
      </c>
    </row>
    <row r="2184" spans="2:7" x14ac:dyDescent="0.35">
      <c r="B2184" s="2">
        <v>38847</v>
      </c>
      <c r="C2184" s="4">
        <v>81.180000000000007</v>
      </c>
      <c r="D2184">
        <f t="shared" si="72"/>
        <v>-0.89228564604728922</v>
      </c>
      <c r="E2184">
        <v>3.2130499258526957E-3</v>
      </c>
      <c r="F2184">
        <v>2181</v>
      </c>
      <c r="G2184">
        <f t="shared" ca="1" si="73"/>
        <v>3.016392829550814E-3</v>
      </c>
    </row>
    <row r="2185" spans="2:7" x14ac:dyDescent="0.35">
      <c r="B2185" s="2">
        <v>42586</v>
      </c>
      <c r="C2185" s="4">
        <v>753.66</v>
      </c>
      <c r="D2185">
        <f t="shared" si="72"/>
        <v>-0.14358764573532423</v>
      </c>
      <c r="E2185">
        <v>3.207986688851916E-3</v>
      </c>
      <c r="F2185">
        <v>2182</v>
      </c>
      <c r="G2185">
        <f t="shared" ca="1" si="73"/>
        <v>3.4398796312730441E-2</v>
      </c>
    </row>
    <row r="2186" spans="2:7" x14ac:dyDescent="0.35">
      <c r="B2186" s="2">
        <v>42447</v>
      </c>
      <c r="C2186" s="4">
        <v>880.02</v>
      </c>
      <c r="D2186">
        <f t="shared" si="72"/>
        <v>10.166349448039588</v>
      </c>
      <c r="E2186">
        <v>3.1919016894279562E-3</v>
      </c>
      <c r="F2186">
        <v>2183</v>
      </c>
      <c r="G2186">
        <f t="shared" ca="1" si="73"/>
        <v>-2.774120615076598E-2</v>
      </c>
    </row>
    <row r="2187" spans="2:7" x14ac:dyDescent="0.35">
      <c r="B2187" s="2">
        <v>39617</v>
      </c>
      <c r="C2187" s="4">
        <v>78.81</v>
      </c>
      <c r="D2187">
        <f t="shared" si="72"/>
        <v>-0.57014290389440392</v>
      </c>
      <c r="E2187">
        <v>3.1822810590631523E-3</v>
      </c>
      <c r="F2187">
        <v>2184</v>
      </c>
      <c r="G2187">
        <f t="shared" ca="1" si="73"/>
        <v>1.7221320397842205E-2</v>
      </c>
    </row>
    <row r="2188" spans="2:7" x14ac:dyDescent="0.35">
      <c r="B2188" s="2">
        <v>41645</v>
      </c>
      <c r="C2188" s="4">
        <v>183.34</v>
      </c>
      <c r="D2188">
        <f t="shared" si="72"/>
        <v>2.6076347894529714</v>
      </c>
      <c r="E2188">
        <v>3.1735609542569154E-3</v>
      </c>
      <c r="F2188">
        <v>2185</v>
      </c>
      <c r="G2188">
        <f t="shared" ca="1" si="73"/>
        <v>-1.393191686608073E-2</v>
      </c>
    </row>
    <row r="2189" spans="2:7" x14ac:dyDescent="0.35">
      <c r="B2189" s="2">
        <v>38327</v>
      </c>
      <c r="C2189" s="4">
        <v>50.82</v>
      </c>
      <c r="D2189">
        <f t="shared" si="72"/>
        <v>-0.46796482412060303</v>
      </c>
      <c r="E2189">
        <v>3.1583103039873883E-3</v>
      </c>
      <c r="F2189">
        <v>2186</v>
      </c>
      <c r="G2189">
        <f t="shared" ca="1" si="73"/>
        <v>-1.8740900311536317E-3</v>
      </c>
    </row>
    <row r="2190" spans="2:7" x14ac:dyDescent="0.35">
      <c r="B2190" s="2">
        <v>41144</v>
      </c>
      <c r="C2190" s="4">
        <v>95.52</v>
      </c>
      <c r="D2190">
        <f t="shared" si="72"/>
        <v>-0.89864284122621785</v>
      </c>
      <c r="E2190">
        <v>3.150598613736566E-3</v>
      </c>
      <c r="F2190">
        <v>2187</v>
      </c>
      <c r="G2190">
        <f t="shared" ca="1" si="73"/>
        <v>4.3096646032267039E-2</v>
      </c>
    </row>
    <row r="2191" spans="2:7" x14ac:dyDescent="0.35">
      <c r="B2191" s="2">
        <v>43108</v>
      </c>
      <c r="C2191" s="4">
        <v>942.41</v>
      </c>
      <c r="D2191">
        <f t="shared" si="72"/>
        <v>-0.85019353505488127</v>
      </c>
      <c r="E2191">
        <v>3.1401017605858783E-3</v>
      </c>
      <c r="F2191">
        <v>2188</v>
      </c>
      <c r="G2191">
        <f t="shared" ca="1" si="73"/>
        <v>-2.7679997717166727E-2</v>
      </c>
    </row>
    <row r="2192" spans="2:7" x14ac:dyDescent="0.35">
      <c r="B2192" s="2">
        <v>45042</v>
      </c>
      <c r="C2192" s="4">
        <v>6290.85</v>
      </c>
      <c r="D2192">
        <f t="shared" si="72"/>
        <v>58.235875706214692</v>
      </c>
      <c r="E2192">
        <v>3.1333716035208958E-3</v>
      </c>
      <c r="F2192">
        <v>2189</v>
      </c>
      <c r="G2192">
        <f t="shared" ca="1" si="73"/>
        <v>-1.3816605547610286E-2</v>
      </c>
    </row>
    <row r="2193" spans="2:7" x14ac:dyDescent="0.35">
      <c r="B2193" s="2">
        <v>39118</v>
      </c>
      <c r="C2193" s="4">
        <v>106.2</v>
      </c>
      <c r="D2193">
        <f t="shared" si="72"/>
        <v>-0.97497018576741601</v>
      </c>
      <c r="E2193">
        <v>3.1170303202039396E-3</v>
      </c>
      <c r="F2193">
        <v>2190</v>
      </c>
      <c r="G2193">
        <f t="shared" ca="1" si="73"/>
        <v>4.6606806237171261E-3</v>
      </c>
    </row>
    <row r="2194" spans="2:7" x14ac:dyDescent="0.35">
      <c r="B2194" s="2">
        <v>44413</v>
      </c>
      <c r="C2194" s="4">
        <v>4242.9399999999996</v>
      </c>
      <c r="D2194">
        <f t="shared" si="72"/>
        <v>41.260358565737043</v>
      </c>
      <c r="E2194">
        <v>3.1041583428095265E-3</v>
      </c>
      <c r="F2194">
        <v>2191</v>
      </c>
      <c r="G2194">
        <f t="shared" ca="1" si="73"/>
        <v>2.4150305632085672E-2</v>
      </c>
    </row>
    <row r="2195" spans="2:7" x14ac:dyDescent="0.35">
      <c r="B2195" s="2">
        <v>40445</v>
      </c>
      <c r="C2195" s="4">
        <v>100.4</v>
      </c>
      <c r="D2195">
        <f t="shared" si="72"/>
        <v>-6.2558356676003624E-2</v>
      </c>
      <c r="E2195">
        <v>3.0972125087420643E-3</v>
      </c>
      <c r="F2195">
        <v>2192</v>
      </c>
      <c r="G2195">
        <f t="shared" ca="1" si="73"/>
        <v>1.9565554146440751E-2</v>
      </c>
    </row>
    <row r="2196" spans="2:7" x14ac:dyDescent="0.35">
      <c r="B2196" s="2">
        <v>40316</v>
      </c>
      <c r="C2196" s="4">
        <v>107.1</v>
      </c>
      <c r="D2196">
        <f t="shared" si="72"/>
        <v>8.7640905859652563E-2</v>
      </c>
      <c r="E2196">
        <v>3.0907558302892824E-3</v>
      </c>
      <c r="F2196">
        <v>2193</v>
      </c>
      <c r="G2196">
        <f t="shared" ca="1" si="73"/>
        <v>-2.1514246232549543E-2</v>
      </c>
    </row>
    <row r="2197" spans="2:7" x14ac:dyDescent="0.35">
      <c r="B2197" s="2">
        <v>40722</v>
      </c>
      <c r="C2197" s="4">
        <v>98.47</v>
      </c>
      <c r="D2197">
        <f t="shared" si="72"/>
        <v>-0.89054267357328654</v>
      </c>
      <c r="E2197">
        <v>3.0559233981868328E-3</v>
      </c>
      <c r="F2197">
        <v>2194</v>
      </c>
      <c r="G2197">
        <f t="shared" ca="1" si="73"/>
        <v>7.0760631468524002E-2</v>
      </c>
    </row>
    <row r="2198" spans="2:7" x14ac:dyDescent="0.35">
      <c r="B2198" s="2">
        <v>44021</v>
      </c>
      <c r="C2198" s="4">
        <v>899.62</v>
      </c>
      <c r="D2198">
        <f t="shared" si="72"/>
        <v>0.3186848624323888</v>
      </c>
      <c r="E2198">
        <v>3.0326680789385385E-3</v>
      </c>
      <c r="F2198">
        <v>2195</v>
      </c>
      <c r="G2198">
        <f t="shared" ca="1" si="73"/>
        <v>-2.1629038253170241E-2</v>
      </c>
    </row>
    <row r="2199" spans="2:7" x14ac:dyDescent="0.35">
      <c r="B2199" s="2">
        <v>42769</v>
      </c>
      <c r="C2199" s="4">
        <v>682.21</v>
      </c>
      <c r="D2199">
        <f t="shared" si="72"/>
        <v>-0.24746566653797353</v>
      </c>
      <c r="E2199">
        <v>3.0287436594869099E-3</v>
      </c>
      <c r="F2199">
        <v>2196</v>
      </c>
      <c r="G2199">
        <f t="shared" ca="1" si="73"/>
        <v>1.4086476391446712E-2</v>
      </c>
    </row>
    <row r="2200" spans="2:7" x14ac:dyDescent="0.35">
      <c r="B2200" s="2">
        <v>44029</v>
      </c>
      <c r="C2200" s="4">
        <v>906.55</v>
      </c>
      <c r="D2200">
        <f t="shared" si="72"/>
        <v>5.1523552132509032E-2</v>
      </c>
      <c r="E2200">
        <v>3.0094154874256152E-3</v>
      </c>
      <c r="F2200">
        <v>2197</v>
      </c>
      <c r="G2200">
        <f t="shared" ca="1" si="73"/>
        <v>-2.2906278633240695E-2</v>
      </c>
    </row>
    <row r="2201" spans="2:7" x14ac:dyDescent="0.35">
      <c r="B2201" s="2">
        <v>43073</v>
      </c>
      <c r="C2201" s="4">
        <v>862.13</v>
      </c>
      <c r="D2201">
        <f t="shared" si="72"/>
        <v>11.846520637758903</v>
      </c>
      <c r="E2201">
        <v>2.9899018102286234E-3</v>
      </c>
      <c r="F2201">
        <v>2198</v>
      </c>
      <c r="G2201">
        <f t="shared" ca="1" si="73"/>
        <v>-6.0075363328916222E-3</v>
      </c>
    </row>
    <row r="2202" spans="2:7" x14ac:dyDescent="0.35">
      <c r="B2202" s="2">
        <v>39589</v>
      </c>
      <c r="C2202" s="4">
        <v>67.11</v>
      </c>
      <c r="D2202">
        <f t="shared" si="72"/>
        <v>-0.99225684520959367</v>
      </c>
      <c r="E2202">
        <v>2.9890898221491824E-3</v>
      </c>
      <c r="F2202">
        <v>2199</v>
      </c>
      <c r="G2202">
        <f t="shared" ca="1" si="73"/>
        <v>2.7994836196354175E-2</v>
      </c>
    </row>
    <row r="2203" spans="2:7" x14ac:dyDescent="0.35">
      <c r="B2203" s="2">
        <v>44662</v>
      </c>
      <c r="C2203" s="4">
        <v>8667.01</v>
      </c>
      <c r="D2203">
        <f t="shared" si="72"/>
        <v>111.10723062993145</v>
      </c>
      <c r="E2203">
        <v>2.9880143822782479E-3</v>
      </c>
      <c r="F2203">
        <v>2200</v>
      </c>
      <c r="G2203">
        <f t="shared" ca="1" si="73"/>
        <v>-1.5052498023887979E-2</v>
      </c>
    </row>
    <row r="2204" spans="2:7" x14ac:dyDescent="0.35">
      <c r="B2204" s="2">
        <v>38988</v>
      </c>
      <c r="C2204" s="4">
        <v>77.31</v>
      </c>
      <c r="D2204">
        <f t="shared" si="72"/>
        <v>-0.92512783760749984</v>
      </c>
      <c r="E2204">
        <v>2.9839128178517083E-3</v>
      </c>
      <c r="F2204">
        <v>2201</v>
      </c>
      <c r="G2204">
        <f t="shared" ca="1" si="73"/>
        <v>4.3135449133261866E-2</v>
      </c>
    </row>
    <row r="2205" spans="2:7" x14ac:dyDescent="0.35">
      <c r="B2205" s="2">
        <v>42370</v>
      </c>
      <c r="C2205" s="4">
        <v>1032.56</v>
      </c>
      <c r="D2205">
        <f t="shared" si="72"/>
        <v>24.526823238566127</v>
      </c>
      <c r="E2205">
        <v>2.9820590777958067E-3</v>
      </c>
      <c r="F2205">
        <v>2202</v>
      </c>
      <c r="G2205">
        <f t="shared" ca="1" si="73"/>
        <v>2.7405635425395466E-2</v>
      </c>
    </row>
    <row r="2206" spans="2:7" x14ac:dyDescent="0.35">
      <c r="B2206" s="2">
        <v>38219</v>
      </c>
      <c r="C2206" s="4">
        <v>40.450000000000003</v>
      </c>
      <c r="D2206">
        <f t="shared" si="72"/>
        <v>-0.95228546151577709</v>
      </c>
      <c r="E2206">
        <v>2.9754525167371426E-3</v>
      </c>
      <c r="F2206">
        <v>2203</v>
      </c>
      <c r="G2206">
        <f t="shared" ca="1" si="73"/>
        <v>-3.7456715207264679E-2</v>
      </c>
    </row>
    <row r="2207" spans="2:7" x14ac:dyDescent="0.35">
      <c r="B2207" s="2">
        <v>42291</v>
      </c>
      <c r="C2207" s="4">
        <v>847.75</v>
      </c>
      <c r="D2207">
        <f t="shared" si="72"/>
        <v>12.151566863170959</v>
      </c>
      <c r="E2207">
        <v>2.9577048210589485E-3</v>
      </c>
      <c r="F2207">
        <v>2204</v>
      </c>
      <c r="G2207">
        <f t="shared" ca="1" si="73"/>
        <v>-2.0752850265536263E-2</v>
      </c>
    </row>
    <row r="2208" spans="2:7" x14ac:dyDescent="0.35">
      <c r="B2208" s="2">
        <v>39653</v>
      </c>
      <c r="C2208" s="4">
        <v>64.459999999999994</v>
      </c>
      <c r="D2208">
        <f t="shared" si="72"/>
        <v>-0.766347687400319</v>
      </c>
      <c r="E2208">
        <v>2.9562782013381472E-3</v>
      </c>
      <c r="F2208">
        <v>2205</v>
      </c>
      <c r="G2208">
        <f t="shared" ca="1" si="73"/>
        <v>1.8978549964209494E-2</v>
      </c>
    </row>
    <row r="2209" spans="2:7" x14ac:dyDescent="0.35">
      <c r="B2209" s="2">
        <v>41962</v>
      </c>
      <c r="C2209" s="4">
        <v>275.88</v>
      </c>
      <c r="D2209">
        <f t="shared" si="72"/>
        <v>1.7911776608660461</v>
      </c>
      <c r="E2209">
        <v>2.9447049841857531E-3</v>
      </c>
      <c r="F2209">
        <v>2206</v>
      </c>
      <c r="G2209">
        <f t="shared" ca="1" si="73"/>
        <v>-3.6292964133654494E-2</v>
      </c>
    </row>
    <row r="2210" spans="2:7" x14ac:dyDescent="0.35">
      <c r="B2210" s="2">
        <v>40702</v>
      </c>
      <c r="C2210" s="4">
        <v>98.84</v>
      </c>
      <c r="D2210">
        <f t="shared" si="72"/>
        <v>-0.84277419867971048</v>
      </c>
      <c r="E2210">
        <v>2.9426686960933868E-3</v>
      </c>
      <c r="F2210">
        <v>2207</v>
      </c>
      <c r="G2210">
        <f t="shared" ca="1" si="73"/>
        <v>1.0987975343607724E-2</v>
      </c>
    </row>
    <row r="2211" spans="2:7" x14ac:dyDescent="0.35">
      <c r="B2211" s="2">
        <v>43721</v>
      </c>
      <c r="C2211" s="4">
        <v>628.65</v>
      </c>
      <c r="D2211">
        <f t="shared" si="72"/>
        <v>6.3457583547557839</v>
      </c>
      <c r="E2211">
        <v>2.9354987954883782E-3</v>
      </c>
      <c r="F2211">
        <v>2208</v>
      </c>
      <c r="G2211">
        <f t="shared" ca="1" si="73"/>
        <v>4.6462528258646961E-2</v>
      </c>
    </row>
    <row r="2212" spans="2:7" x14ac:dyDescent="0.35">
      <c r="B2212" s="2">
        <v>41011</v>
      </c>
      <c r="C2212" s="4">
        <v>85.58</v>
      </c>
      <c r="D2212">
        <f t="shared" si="72"/>
        <v>2.5643481882548933</v>
      </c>
      <c r="E2212">
        <v>2.9298019453884994E-3</v>
      </c>
      <c r="F2212">
        <v>2209</v>
      </c>
      <c r="G2212">
        <f t="shared" ca="1" si="73"/>
        <v>5.7333143161741188E-3</v>
      </c>
    </row>
    <row r="2213" spans="2:7" x14ac:dyDescent="0.35">
      <c r="B2213" s="2">
        <v>37676</v>
      </c>
      <c r="C2213" s="4">
        <v>24.01</v>
      </c>
      <c r="D2213">
        <f t="shared" si="72"/>
        <v>-0.99617138665646132</v>
      </c>
      <c r="E2213">
        <v>2.9239766081872176E-3</v>
      </c>
      <c r="F2213">
        <v>2210</v>
      </c>
      <c r="G2213">
        <f t="shared" ca="1" si="73"/>
        <v>-5.3223243282784674E-2</v>
      </c>
    </row>
    <row r="2214" spans="2:7" x14ac:dyDescent="0.35">
      <c r="B2214" s="2">
        <v>45041</v>
      </c>
      <c r="C2214" s="4">
        <v>6271.2</v>
      </c>
      <c r="D2214">
        <f t="shared" si="72"/>
        <v>71.971840819176165</v>
      </c>
      <c r="E2214">
        <v>2.9186224102224489E-3</v>
      </c>
      <c r="F2214">
        <v>2211</v>
      </c>
      <c r="G2214">
        <f t="shared" ca="1" si="73"/>
        <v>-2.1181019568099362E-2</v>
      </c>
    </row>
    <row r="2215" spans="2:7" x14ac:dyDescent="0.35">
      <c r="B2215" s="2">
        <v>40799</v>
      </c>
      <c r="C2215" s="4">
        <v>85.94</v>
      </c>
      <c r="D2215">
        <f t="shared" si="72"/>
        <v>-0.880269720527181</v>
      </c>
      <c r="E2215">
        <v>2.9174932897655381E-3</v>
      </c>
      <c r="F2215">
        <v>2212</v>
      </c>
      <c r="G2215">
        <f t="shared" ca="1" si="73"/>
        <v>3.5582891728557893E-2</v>
      </c>
    </row>
    <row r="2216" spans="2:7" x14ac:dyDescent="0.35">
      <c r="B2216" s="2">
        <v>42634</v>
      </c>
      <c r="C2216" s="4">
        <v>717.78</v>
      </c>
      <c r="D2216">
        <f t="shared" si="72"/>
        <v>24.950108459869845</v>
      </c>
      <c r="E2216">
        <v>2.9062456336452769E-3</v>
      </c>
      <c r="F2216">
        <v>2213</v>
      </c>
      <c r="G2216">
        <f t="shared" ca="1" si="73"/>
        <v>4.7241838024378709E-2</v>
      </c>
    </row>
    <row r="2217" spans="2:7" x14ac:dyDescent="0.35">
      <c r="B2217" s="2">
        <v>37567</v>
      </c>
      <c r="C2217" s="4">
        <v>27.66</v>
      </c>
      <c r="D2217">
        <f t="shared" si="72"/>
        <v>-0.96313376339499923</v>
      </c>
      <c r="E2217">
        <v>2.9006526468455807E-3</v>
      </c>
      <c r="F2217">
        <v>2214</v>
      </c>
      <c r="G2217">
        <f t="shared" ca="1" si="73"/>
        <v>4.2024691177174375E-2</v>
      </c>
    </row>
    <row r="2218" spans="2:7" x14ac:dyDescent="0.35">
      <c r="B2218" s="2">
        <v>42906</v>
      </c>
      <c r="C2218" s="4">
        <v>750.28</v>
      </c>
      <c r="D2218">
        <f t="shared" si="72"/>
        <v>8.6008742726456866E-2</v>
      </c>
      <c r="E2218">
        <v>2.9006429535762823E-3</v>
      </c>
      <c r="F2218">
        <v>2215</v>
      </c>
      <c r="G2218">
        <f t="shared" ca="1" si="73"/>
        <v>-5.4781228862914207E-3</v>
      </c>
    </row>
    <row r="2219" spans="2:7" x14ac:dyDescent="0.35">
      <c r="B2219" s="2">
        <v>42822</v>
      </c>
      <c r="C2219" s="4">
        <v>690.86</v>
      </c>
      <c r="D2219">
        <f t="shared" si="72"/>
        <v>18.858005173900548</v>
      </c>
      <c r="E2219">
        <v>2.8887888861468536E-3</v>
      </c>
      <c r="F2219">
        <v>2216</v>
      </c>
      <c r="G2219">
        <f t="shared" ca="1" si="73"/>
        <v>5.5730909521445063E-2</v>
      </c>
    </row>
    <row r="2220" spans="2:7" x14ac:dyDescent="0.35">
      <c r="B2220" s="2">
        <v>39797</v>
      </c>
      <c r="C2220" s="4">
        <v>34.79</v>
      </c>
      <c r="D2220">
        <f t="shared" si="72"/>
        <v>-0.33556149732620322</v>
      </c>
      <c r="E2220">
        <v>2.8826751225137226E-3</v>
      </c>
      <c r="F2220">
        <v>2217</v>
      </c>
      <c r="G2220">
        <f t="shared" ca="1" si="73"/>
        <v>6.9190308442118251E-3</v>
      </c>
    </row>
    <row r="2221" spans="2:7" x14ac:dyDescent="0.35">
      <c r="B2221" s="2">
        <v>38307</v>
      </c>
      <c r="C2221" s="4">
        <v>52.36</v>
      </c>
      <c r="D2221">
        <f t="shared" si="72"/>
        <v>-0.44831946054156568</v>
      </c>
      <c r="E2221">
        <v>2.8730128327907334E-3</v>
      </c>
      <c r="F2221">
        <v>2218</v>
      </c>
      <c r="G2221">
        <f t="shared" ca="1" si="73"/>
        <v>-1.5088633761602587E-2</v>
      </c>
    </row>
    <row r="2222" spans="2:7" x14ac:dyDescent="0.35">
      <c r="B2222" s="2">
        <v>40954</v>
      </c>
      <c r="C2222" s="4">
        <v>94.91</v>
      </c>
      <c r="D2222">
        <f t="shared" si="72"/>
        <v>-0.87173284320350297</v>
      </c>
      <c r="E2222">
        <v>2.8529163144548342E-3</v>
      </c>
      <c r="F2222">
        <v>2219</v>
      </c>
      <c r="G2222">
        <f t="shared" ca="1" si="73"/>
        <v>-1.6548694811051066E-2</v>
      </c>
    </row>
    <row r="2223" spans="2:7" x14ac:dyDescent="0.35">
      <c r="B2223" s="2">
        <v>42915</v>
      </c>
      <c r="C2223" s="4">
        <v>739.94</v>
      </c>
      <c r="D2223">
        <f t="shared" si="72"/>
        <v>5.998392130899461</v>
      </c>
      <c r="E2223">
        <v>2.8461455058006457E-3</v>
      </c>
      <c r="F2223">
        <v>2220</v>
      </c>
      <c r="G2223">
        <f t="shared" ca="1" si="73"/>
        <v>4.2386664149395625E-2</v>
      </c>
    </row>
    <row r="2224" spans="2:7" x14ac:dyDescent="0.35">
      <c r="B2224" s="2">
        <v>40392</v>
      </c>
      <c r="C2224" s="4">
        <v>105.73</v>
      </c>
      <c r="D2224">
        <f t="shared" si="72"/>
        <v>1.997731783385313</v>
      </c>
      <c r="E2224">
        <v>2.8454898985108557E-3</v>
      </c>
      <c r="F2224">
        <v>2221</v>
      </c>
      <c r="G2224">
        <f t="shared" ca="1" si="73"/>
        <v>-3.4419003556018554E-2</v>
      </c>
    </row>
    <row r="2225" spans="2:7" x14ac:dyDescent="0.35">
      <c r="B2225" s="2">
        <v>38168</v>
      </c>
      <c r="C2225" s="4">
        <v>35.270000000000003</v>
      </c>
      <c r="D2225">
        <f t="shared" si="72"/>
        <v>-0.95461739387778732</v>
      </c>
      <c r="E2225">
        <v>2.8433323855558967E-3</v>
      </c>
      <c r="F2225">
        <v>2222</v>
      </c>
      <c r="G2225">
        <f t="shared" ca="1" si="73"/>
        <v>-6.4260348023697216E-3</v>
      </c>
    </row>
    <row r="2226" spans="2:7" x14ac:dyDescent="0.35">
      <c r="B2226" s="2">
        <v>42550</v>
      </c>
      <c r="C2226" s="4">
        <v>777.17</v>
      </c>
      <c r="D2226">
        <f t="shared" si="72"/>
        <v>35.589924670433149</v>
      </c>
      <c r="E2226">
        <v>2.8388195672088834E-3</v>
      </c>
      <c r="F2226">
        <v>2223</v>
      </c>
      <c r="G2226">
        <f t="shared" ca="1" si="73"/>
        <v>3.0432609791068578E-2</v>
      </c>
    </row>
    <row r="2227" spans="2:7" x14ac:dyDescent="0.35">
      <c r="B2227" s="2">
        <v>37692</v>
      </c>
      <c r="C2227" s="4">
        <v>21.24</v>
      </c>
      <c r="D2227">
        <f t="shared" si="72"/>
        <v>-0.73973777723318224</v>
      </c>
      <c r="E2227">
        <v>2.8328611898016387E-3</v>
      </c>
      <c r="F2227">
        <v>2224</v>
      </c>
      <c r="G2227">
        <f t="shared" ca="1" si="73"/>
        <v>-2.6135304497441645E-2</v>
      </c>
    </row>
    <row r="2228" spans="2:7" x14ac:dyDescent="0.35">
      <c r="B2228" s="2">
        <v>40821</v>
      </c>
      <c r="C2228" s="4">
        <v>81.61</v>
      </c>
      <c r="D2228">
        <f t="shared" si="72"/>
        <v>-0.89748775279487503</v>
      </c>
      <c r="E2228">
        <v>2.8262472351929802E-3</v>
      </c>
      <c r="F2228">
        <v>2225</v>
      </c>
      <c r="G2228">
        <f t="shared" ca="1" si="73"/>
        <v>3.6218216486502506E-3</v>
      </c>
    </row>
    <row r="2229" spans="2:7" x14ac:dyDescent="0.35">
      <c r="B2229" s="2">
        <v>43032</v>
      </c>
      <c r="C2229" s="4">
        <v>796.1</v>
      </c>
      <c r="D2229">
        <f t="shared" si="72"/>
        <v>-4.0831817250810198E-2</v>
      </c>
      <c r="E2229">
        <v>2.7711298652224325E-3</v>
      </c>
      <c r="F2229">
        <v>2226</v>
      </c>
      <c r="G2229">
        <f t="shared" ca="1" si="73"/>
        <v>2.468535955185721E-2</v>
      </c>
    </row>
    <row r="2230" spans="2:7" x14ac:dyDescent="0.35">
      <c r="B2230" s="2">
        <v>42529</v>
      </c>
      <c r="C2230" s="4">
        <v>829.99</v>
      </c>
      <c r="D2230">
        <f t="shared" si="72"/>
        <v>3.4702429040771268</v>
      </c>
      <c r="E2230">
        <v>2.7667029116829056E-3</v>
      </c>
      <c r="F2230">
        <v>2227</v>
      </c>
      <c r="G2230">
        <f t="shared" ca="1" si="73"/>
        <v>-5.2525710583375207E-3</v>
      </c>
    </row>
    <row r="2231" spans="2:7" x14ac:dyDescent="0.35">
      <c r="B2231" s="2">
        <v>41640</v>
      </c>
      <c r="C2231" s="4">
        <v>185.67</v>
      </c>
      <c r="D2231">
        <f t="shared" si="72"/>
        <v>-0.97013415261871061</v>
      </c>
      <c r="E2231">
        <v>2.754374594944764E-3</v>
      </c>
      <c r="F2231">
        <v>2228</v>
      </c>
      <c r="G2231">
        <f t="shared" ca="1" si="73"/>
        <v>-2.1705233281534585E-2</v>
      </c>
    </row>
    <row r="2232" spans="2:7" x14ac:dyDescent="0.35">
      <c r="B2232" s="2">
        <v>44937</v>
      </c>
      <c r="C2232" s="4">
        <v>6216.8</v>
      </c>
      <c r="D2232">
        <f t="shared" si="72"/>
        <v>-4.9330289216578338E-2</v>
      </c>
      <c r="E2232">
        <v>2.7420239362561105E-3</v>
      </c>
      <c r="F2232">
        <v>2229</v>
      </c>
      <c r="G2232">
        <f t="shared" ca="1" si="73"/>
        <v>-1.4843930360049173E-2</v>
      </c>
    </row>
    <row r="2233" spans="2:7" x14ac:dyDescent="0.35">
      <c r="B2233" s="2">
        <v>44628</v>
      </c>
      <c r="C2233" s="4">
        <v>6539.39</v>
      </c>
      <c r="D2233">
        <f t="shared" si="72"/>
        <v>67.6622217555649</v>
      </c>
      <c r="E2233">
        <v>2.7386211517850256E-3</v>
      </c>
      <c r="F2233">
        <v>2230</v>
      </c>
      <c r="G2233">
        <f t="shared" ca="1" si="73"/>
        <v>3.1816155706680935E-2</v>
      </c>
    </row>
    <row r="2234" spans="2:7" x14ac:dyDescent="0.35">
      <c r="B2234" s="2">
        <v>41142</v>
      </c>
      <c r="C2234" s="4">
        <v>95.24</v>
      </c>
      <c r="D2234">
        <f t="shared" si="72"/>
        <v>3.3212341197822139</v>
      </c>
      <c r="E2234">
        <v>2.7374184038744254E-3</v>
      </c>
      <c r="F2234">
        <v>2231</v>
      </c>
      <c r="G2234">
        <f t="shared" ca="1" si="73"/>
        <v>-5.6856858764936957E-2</v>
      </c>
    </row>
    <row r="2235" spans="2:7" x14ac:dyDescent="0.35">
      <c r="B2235" s="2">
        <v>37734</v>
      </c>
      <c r="C2235" s="4">
        <v>22.04</v>
      </c>
      <c r="D2235">
        <f t="shared" si="72"/>
        <v>-0.64954682779456197</v>
      </c>
      <c r="E2235">
        <v>2.7297543221109777E-3</v>
      </c>
      <c r="F2235">
        <v>2232</v>
      </c>
      <c r="G2235">
        <f t="shared" ca="1" si="73"/>
        <v>-1.979561101762985E-2</v>
      </c>
    </row>
    <row r="2236" spans="2:7" x14ac:dyDescent="0.35">
      <c r="B2236" s="2">
        <v>39671</v>
      </c>
      <c r="C2236" s="4">
        <v>62.89</v>
      </c>
      <c r="D2236">
        <f t="shared" si="72"/>
        <v>-0.15093830160658828</v>
      </c>
      <c r="E2236">
        <v>2.7104591836735192E-3</v>
      </c>
      <c r="F2236">
        <v>2233</v>
      </c>
      <c r="G2236">
        <f t="shared" ca="1" si="73"/>
        <v>2.8035422217400699E-2</v>
      </c>
    </row>
    <row r="2237" spans="2:7" x14ac:dyDescent="0.35">
      <c r="B2237" s="2">
        <v>38594</v>
      </c>
      <c r="C2237" s="4">
        <v>74.069999999999993</v>
      </c>
      <c r="D2237">
        <f t="shared" si="72"/>
        <v>0.24717965987539969</v>
      </c>
      <c r="E2237">
        <v>2.7074590496816153E-3</v>
      </c>
      <c r="F2237">
        <v>2234</v>
      </c>
      <c r="G2237">
        <f t="shared" ca="1" si="73"/>
        <v>6.0592233391767891E-2</v>
      </c>
    </row>
    <row r="2238" spans="2:7" x14ac:dyDescent="0.35">
      <c r="B2238" s="2">
        <v>38460</v>
      </c>
      <c r="C2238" s="4">
        <v>59.39</v>
      </c>
      <c r="D2238">
        <f t="shared" si="72"/>
        <v>-0.46773615343251473</v>
      </c>
      <c r="E2238">
        <v>2.7013337835557483E-3</v>
      </c>
      <c r="F2238">
        <v>2235</v>
      </c>
      <c r="G2238">
        <f t="shared" ca="1" si="73"/>
        <v>9.0695689516955454E-3</v>
      </c>
    </row>
    <row r="2239" spans="2:7" x14ac:dyDescent="0.35">
      <c r="B2239" s="2">
        <v>40563</v>
      </c>
      <c r="C2239" s="4">
        <v>111.58</v>
      </c>
      <c r="D2239">
        <f t="shared" si="72"/>
        <v>0.11080139372822284</v>
      </c>
      <c r="E2239">
        <v>2.695902228612379E-3</v>
      </c>
      <c r="F2239">
        <v>2236</v>
      </c>
      <c r="G2239">
        <f t="shared" ca="1" si="73"/>
        <v>-1.9884049804082347E-4</v>
      </c>
    </row>
    <row r="2240" spans="2:7" x14ac:dyDescent="0.35">
      <c r="B2240" s="2">
        <v>40338</v>
      </c>
      <c r="C2240" s="4">
        <v>100.45</v>
      </c>
      <c r="D2240">
        <f t="shared" si="72"/>
        <v>0.34850315478587746</v>
      </c>
      <c r="E2240">
        <v>2.6951487322819379E-3</v>
      </c>
      <c r="F2240">
        <v>2237</v>
      </c>
      <c r="G2240">
        <f t="shared" ca="1" si="73"/>
        <v>-4.2228042033456092E-2</v>
      </c>
    </row>
    <row r="2241" spans="2:7" x14ac:dyDescent="0.35">
      <c r="B2241" s="2">
        <v>38603</v>
      </c>
      <c r="C2241" s="4">
        <v>74.489999999999995</v>
      </c>
      <c r="D2241">
        <f t="shared" si="72"/>
        <v>-0.99132366267462746</v>
      </c>
      <c r="E2241">
        <v>2.6921523758243193E-3</v>
      </c>
      <c r="F2241">
        <v>2238</v>
      </c>
      <c r="G2241">
        <f t="shared" ca="1" si="73"/>
        <v>1.2052929096875635E-2</v>
      </c>
    </row>
    <row r="2242" spans="2:7" x14ac:dyDescent="0.35">
      <c r="B2242" s="2">
        <v>44714</v>
      </c>
      <c r="C2242" s="4">
        <v>8585.42</v>
      </c>
      <c r="D2242">
        <f t="shared" si="72"/>
        <v>28.863369160666458</v>
      </c>
      <c r="E2242">
        <v>2.6896695899158996E-3</v>
      </c>
      <c r="F2242">
        <v>2239</v>
      </c>
      <c r="G2242">
        <f t="shared" ca="1" si="73"/>
        <v>-4.2970384805191657E-2</v>
      </c>
    </row>
    <row r="2243" spans="2:7" x14ac:dyDescent="0.35">
      <c r="B2243" s="2">
        <v>41977</v>
      </c>
      <c r="C2243" s="4">
        <v>287.49</v>
      </c>
      <c r="D2243">
        <f t="shared" si="72"/>
        <v>-0.71330986547532382</v>
      </c>
      <c r="E2243">
        <v>2.685546875E-3</v>
      </c>
      <c r="F2243">
        <v>2240</v>
      </c>
      <c r="G2243">
        <f t="shared" ca="1" si="73"/>
        <v>1.1221285330650227E-2</v>
      </c>
    </row>
    <row r="2244" spans="2:7" x14ac:dyDescent="0.35">
      <c r="B2244" s="2">
        <v>44055</v>
      </c>
      <c r="C2244" s="4">
        <v>1002.79</v>
      </c>
      <c r="D2244">
        <f t="shared" ref="D2244:D2307" si="74">C2244/C2245-1</f>
        <v>14.564022970665837</v>
      </c>
      <c r="E2244">
        <v>2.6596542449481841E-3</v>
      </c>
      <c r="F2244">
        <v>2241</v>
      </c>
      <c r="G2244">
        <f t="shared" ca="1" si="73"/>
        <v>5.0095634978505445E-3</v>
      </c>
    </row>
    <row r="2245" spans="2:7" x14ac:dyDescent="0.35">
      <c r="B2245" s="2">
        <v>38799</v>
      </c>
      <c r="C2245" s="4">
        <v>64.430000000000007</v>
      </c>
      <c r="D2245">
        <f t="shared" si="74"/>
        <v>-0.91629314936794382</v>
      </c>
      <c r="E2245">
        <v>2.6455026455025621E-3</v>
      </c>
      <c r="F2245">
        <v>2242</v>
      </c>
      <c r="G2245">
        <f t="shared" ref="G2245:G2308" ca="1" si="75">_xlfn.NORM.INV(RAND(),K$6,K$7)</f>
        <v>5.3545296308465072E-5</v>
      </c>
    </row>
    <row r="2246" spans="2:7" x14ac:dyDescent="0.35">
      <c r="B2246" s="2">
        <v>42573</v>
      </c>
      <c r="C2246" s="4">
        <v>769.71</v>
      </c>
      <c r="D2246">
        <f t="shared" si="74"/>
        <v>-0.17975468621788382</v>
      </c>
      <c r="E2246">
        <v>2.6443309712380625E-3</v>
      </c>
      <c r="F2246">
        <v>2243</v>
      </c>
      <c r="G2246">
        <f t="shared" ca="1" si="75"/>
        <v>1.9518284341207996E-2</v>
      </c>
    </row>
    <row r="2247" spans="2:7" x14ac:dyDescent="0.35">
      <c r="B2247" s="2">
        <v>43193</v>
      </c>
      <c r="C2247" s="4">
        <v>938.39</v>
      </c>
      <c r="D2247">
        <f t="shared" si="74"/>
        <v>9.681730221969266</v>
      </c>
      <c r="E2247">
        <v>2.6391144542268208E-3</v>
      </c>
      <c r="F2247">
        <v>2244</v>
      </c>
      <c r="G2247">
        <f t="shared" ca="1" si="75"/>
        <v>3.8489015366834523E-2</v>
      </c>
    </row>
    <row r="2248" spans="2:7" x14ac:dyDescent="0.35">
      <c r="B2248" s="2">
        <v>41067</v>
      </c>
      <c r="C2248" s="4">
        <v>87.85</v>
      </c>
      <c r="D2248">
        <f t="shared" si="74"/>
        <v>-0.87232960325534081</v>
      </c>
      <c r="E2248">
        <v>2.6249714677013536E-3</v>
      </c>
      <c r="F2248">
        <v>2245</v>
      </c>
      <c r="G2248">
        <f t="shared" ca="1" si="75"/>
        <v>-2.4390210085331009E-2</v>
      </c>
    </row>
    <row r="2249" spans="2:7" x14ac:dyDescent="0.35">
      <c r="B2249" s="2">
        <v>42717</v>
      </c>
      <c r="C2249" s="4">
        <v>688.1</v>
      </c>
      <c r="D2249">
        <f t="shared" si="74"/>
        <v>-0.87404748525123688</v>
      </c>
      <c r="E2249">
        <v>2.622759726067514E-3</v>
      </c>
      <c r="F2249">
        <v>2246</v>
      </c>
      <c r="G2249">
        <f t="shared" ca="1" si="75"/>
        <v>-1.4052460406370277E-2</v>
      </c>
    </row>
    <row r="2250" spans="2:7" x14ac:dyDescent="0.35">
      <c r="B2250" s="2">
        <v>44553</v>
      </c>
      <c r="C2250" s="4">
        <v>5463.17</v>
      </c>
      <c r="D2250">
        <f t="shared" si="74"/>
        <v>66.580034636318658</v>
      </c>
      <c r="E2250">
        <v>2.6188772045734332E-3</v>
      </c>
      <c r="F2250">
        <v>2247</v>
      </c>
      <c r="G2250">
        <f t="shared" ca="1" si="75"/>
        <v>-6.9029382366914034E-3</v>
      </c>
    </row>
    <row r="2251" spans="2:7" x14ac:dyDescent="0.35">
      <c r="B2251" s="2">
        <v>40877</v>
      </c>
      <c r="C2251" s="4">
        <v>80.84</v>
      </c>
      <c r="D2251">
        <f t="shared" si="74"/>
        <v>-0.89912275228670901</v>
      </c>
      <c r="E2251">
        <v>2.6044896440531318E-3</v>
      </c>
      <c r="F2251">
        <v>2248</v>
      </c>
      <c r="G2251">
        <f t="shared" ca="1" si="75"/>
        <v>-1.2030061361551336E-2</v>
      </c>
    </row>
    <row r="2252" spans="2:7" x14ac:dyDescent="0.35">
      <c r="B2252" s="2">
        <v>43601</v>
      </c>
      <c r="C2252" s="4">
        <v>801.37</v>
      </c>
      <c r="D2252">
        <f t="shared" si="74"/>
        <v>6.9445821354218298</v>
      </c>
      <c r="E2252">
        <v>2.5897660452895988E-3</v>
      </c>
      <c r="F2252">
        <v>2249</v>
      </c>
      <c r="G2252">
        <f t="shared" ca="1" si="75"/>
        <v>2.0352201985902015E-3</v>
      </c>
    </row>
    <row r="2253" spans="2:7" x14ac:dyDescent="0.35">
      <c r="B2253" s="2">
        <v>41289</v>
      </c>
      <c r="C2253" s="4">
        <v>100.87</v>
      </c>
      <c r="D2253">
        <f t="shared" si="74"/>
        <v>-3.3593518427031954E-3</v>
      </c>
      <c r="E2253">
        <v>2.5842361594274887E-3</v>
      </c>
      <c r="F2253">
        <v>2250</v>
      </c>
      <c r="G2253">
        <f t="shared" ca="1" si="75"/>
        <v>-3.4133782997566855E-3</v>
      </c>
    </row>
    <row r="2254" spans="2:7" x14ac:dyDescent="0.35">
      <c r="B2254" s="2">
        <v>40672</v>
      </c>
      <c r="C2254" s="4">
        <v>101.21</v>
      </c>
      <c r="D2254">
        <f t="shared" si="74"/>
        <v>2.6964937910883857</v>
      </c>
      <c r="E2254">
        <v>2.5755324418028636E-3</v>
      </c>
      <c r="F2254">
        <v>2251</v>
      </c>
      <c r="G2254">
        <f t="shared" ca="1" si="75"/>
        <v>7.3840398286460524E-2</v>
      </c>
    </row>
    <row r="2255" spans="2:7" x14ac:dyDescent="0.35">
      <c r="B2255" s="2">
        <v>38083</v>
      </c>
      <c r="C2255" s="4">
        <v>27.38</v>
      </c>
      <c r="D2255">
        <f t="shared" si="74"/>
        <v>-0.9617175375064666</v>
      </c>
      <c r="E2255">
        <v>2.5631636763090437E-3</v>
      </c>
      <c r="F2255">
        <v>2252</v>
      </c>
      <c r="G2255">
        <f t="shared" ca="1" si="75"/>
        <v>-1.1365339139022932E-2</v>
      </c>
    </row>
    <row r="2256" spans="2:7" x14ac:dyDescent="0.35">
      <c r="B2256" s="2">
        <v>42902</v>
      </c>
      <c r="C2256" s="4">
        <v>715.21</v>
      </c>
      <c r="D2256">
        <f t="shared" si="74"/>
        <v>12.977135040062537</v>
      </c>
      <c r="E2256">
        <v>2.5511992038016462E-3</v>
      </c>
      <c r="F2256">
        <v>2253</v>
      </c>
      <c r="G2256">
        <f t="shared" ca="1" si="75"/>
        <v>-2.4541781066758344E-2</v>
      </c>
    </row>
    <row r="2257" spans="2:7" x14ac:dyDescent="0.35">
      <c r="B2257" s="2">
        <v>38261</v>
      </c>
      <c r="C2257" s="4">
        <v>51.17</v>
      </c>
      <c r="D2257">
        <f t="shared" si="74"/>
        <v>-3.5053554040895829E-3</v>
      </c>
      <c r="E2257">
        <v>2.5470219435737018E-3</v>
      </c>
      <c r="F2257">
        <v>2254</v>
      </c>
      <c r="G2257">
        <f t="shared" ca="1" si="75"/>
        <v>-6.6858141565657395E-3</v>
      </c>
    </row>
    <row r="2258" spans="2:7" x14ac:dyDescent="0.35">
      <c r="B2258" s="2">
        <v>38314</v>
      </c>
      <c r="C2258" s="4">
        <v>51.35</v>
      </c>
      <c r="D2258">
        <f t="shared" si="74"/>
        <v>-0.31588062883026913</v>
      </c>
      <c r="E2258">
        <v>2.5380710659899108E-3</v>
      </c>
      <c r="F2258">
        <v>2255</v>
      </c>
      <c r="G2258">
        <f t="shared" ca="1" si="75"/>
        <v>3.6042428183910763E-2</v>
      </c>
    </row>
    <row r="2259" spans="2:7" x14ac:dyDescent="0.35">
      <c r="B2259" s="2">
        <v>40906</v>
      </c>
      <c r="C2259" s="4">
        <v>75.06</v>
      </c>
      <c r="D2259">
        <f t="shared" si="74"/>
        <v>-9.6533461723639857E-2</v>
      </c>
      <c r="E2259">
        <v>2.537732068919496E-3</v>
      </c>
      <c r="F2259">
        <v>2256</v>
      </c>
      <c r="G2259">
        <f t="shared" ca="1" si="75"/>
        <v>-2.5664316370387075E-2</v>
      </c>
    </row>
    <row r="2260" spans="2:7" x14ac:dyDescent="0.35">
      <c r="B2260" s="2">
        <v>40991</v>
      </c>
      <c r="C2260" s="4">
        <v>83.08</v>
      </c>
      <c r="D2260">
        <f t="shared" si="74"/>
        <v>-0.12795213603442845</v>
      </c>
      <c r="E2260">
        <v>2.5340895378302974E-3</v>
      </c>
      <c r="F2260">
        <v>2257</v>
      </c>
      <c r="G2260">
        <f t="shared" ca="1" si="75"/>
        <v>-2.9811485075854497E-3</v>
      </c>
    </row>
    <row r="2261" spans="2:7" x14ac:dyDescent="0.35">
      <c r="B2261" s="2">
        <v>41219</v>
      </c>
      <c r="C2261" s="4">
        <v>95.27</v>
      </c>
      <c r="D2261">
        <f t="shared" si="74"/>
        <v>-0.88353300733496332</v>
      </c>
      <c r="E2261">
        <v>2.5255182573924451E-3</v>
      </c>
      <c r="F2261">
        <v>2258</v>
      </c>
      <c r="G2261">
        <f t="shared" ca="1" si="75"/>
        <v>-5.0279468692292382E-3</v>
      </c>
    </row>
    <row r="2262" spans="2:7" x14ac:dyDescent="0.35">
      <c r="B2262" s="2">
        <v>42984</v>
      </c>
      <c r="C2262" s="4">
        <v>818</v>
      </c>
      <c r="D2262">
        <f t="shared" si="74"/>
        <v>0.14442408047343913</v>
      </c>
      <c r="E2262">
        <v>2.5246954432922575E-3</v>
      </c>
      <c r="F2262">
        <v>2259</v>
      </c>
      <c r="G2262">
        <f t="shared" ca="1" si="75"/>
        <v>1.4792622141027561E-2</v>
      </c>
    </row>
    <row r="2263" spans="2:7" x14ac:dyDescent="0.35">
      <c r="B2263" s="2">
        <v>42893</v>
      </c>
      <c r="C2263" s="4">
        <v>714.77</v>
      </c>
      <c r="D2263">
        <f t="shared" si="74"/>
        <v>-0.19934358652672146</v>
      </c>
      <c r="E2263">
        <v>2.5246504060478792E-3</v>
      </c>
      <c r="F2263">
        <v>2260</v>
      </c>
      <c r="G2263">
        <f t="shared" ca="1" si="75"/>
        <v>3.9979765852804751E-2</v>
      </c>
    </row>
    <row r="2264" spans="2:7" x14ac:dyDescent="0.35">
      <c r="B2264" s="2">
        <v>44019</v>
      </c>
      <c r="C2264" s="4">
        <v>892.73</v>
      </c>
      <c r="D2264">
        <f t="shared" si="74"/>
        <v>-0.86865726539109456</v>
      </c>
      <c r="E2264">
        <v>2.5154690114430611E-3</v>
      </c>
      <c r="F2264">
        <v>2261</v>
      </c>
      <c r="G2264">
        <f t="shared" ca="1" si="75"/>
        <v>-1.7268765731429034E-2</v>
      </c>
    </row>
    <row r="2265" spans="2:7" x14ac:dyDescent="0.35">
      <c r="B2265" s="2">
        <v>44893</v>
      </c>
      <c r="C2265" s="4">
        <v>6796.95</v>
      </c>
      <c r="D2265">
        <f t="shared" si="74"/>
        <v>129.55993084902036</v>
      </c>
      <c r="E2265">
        <v>2.5073931223682511E-3</v>
      </c>
      <c r="F2265">
        <v>2262</v>
      </c>
      <c r="G2265">
        <f t="shared" ca="1" si="75"/>
        <v>7.1724573854488717E-3</v>
      </c>
    </row>
    <row r="2266" spans="2:7" x14ac:dyDescent="0.35">
      <c r="B2266" s="2">
        <v>38310</v>
      </c>
      <c r="C2266" s="4">
        <v>52.06</v>
      </c>
      <c r="D2266">
        <f t="shared" si="74"/>
        <v>-0.38251690190961929</v>
      </c>
      <c r="E2266">
        <v>2.5033699210477156E-3</v>
      </c>
      <c r="F2266">
        <v>2263</v>
      </c>
      <c r="G2266">
        <f t="shared" ca="1" si="75"/>
        <v>1.0875191308733774E-2</v>
      </c>
    </row>
    <row r="2267" spans="2:7" x14ac:dyDescent="0.35">
      <c r="B2267" s="2">
        <v>41387</v>
      </c>
      <c r="C2267" s="4">
        <v>84.31</v>
      </c>
      <c r="D2267">
        <f t="shared" si="74"/>
        <v>-0.69542285322062058</v>
      </c>
      <c r="E2267">
        <v>2.4970273483948535E-3</v>
      </c>
      <c r="F2267">
        <v>2264</v>
      </c>
      <c r="G2267">
        <f t="shared" ca="1" si="75"/>
        <v>1.2933357181674134E-2</v>
      </c>
    </row>
    <row r="2268" spans="2:7" x14ac:dyDescent="0.35">
      <c r="B2268" s="2">
        <v>41884</v>
      </c>
      <c r="C2268" s="4">
        <v>276.81</v>
      </c>
      <c r="D2268">
        <f t="shared" si="74"/>
        <v>1.7156872363386637</v>
      </c>
      <c r="E2268">
        <v>2.4626081917937803E-3</v>
      </c>
      <c r="F2268">
        <v>2265</v>
      </c>
      <c r="G2268">
        <f t="shared" ca="1" si="75"/>
        <v>3.5527334086027498E-2</v>
      </c>
    </row>
    <row r="2269" spans="2:7" x14ac:dyDescent="0.35">
      <c r="B2269" s="2">
        <v>40413</v>
      </c>
      <c r="C2269" s="4">
        <v>101.93</v>
      </c>
      <c r="D2269">
        <f t="shared" si="74"/>
        <v>-0.98538539514490586</v>
      </c>
      <c r="E2269">
        <v>2.4586939417781117E-3</v>
      </c>
      <c r="F2269">
        <v>2266</v>
      </c>
      <c r="G2269">
        <f t="shared" ca="1" si="75"/>
        <v>1.6183039367824743E-2</v>
      </c>
    </row>
    <row r="2270" spans="2:7" x14ac:dyDescent="0.35">
      <c r="B2270" s="2">
        <v>44630</v>
      </c>
      <c r="C2270" s="4">
        <v>6974.53</v>
      </c>
      <c r="D2270">
        <f t="shared" si="74"/>
        <v>208.82340553549938</v>
      </c>
      <c r="E2270">
        <v>2.4390734682848692E-3</v>
      </c>
      <c r="F2270">
        <v>2267</v>
      </c>
      <c r="G2270">
        <f t="shared" ca="1" si="75"/>
        <v>-3.6345327517394901E-2</v>
      </c>
    </row>
    <row r="2271" spans="2:7" x14ac:dyDescent="0.35">
      <c r="B2271" s="2">
        <v>39920</v>
      </c>
      <c r="C2271" s="4">
        <v>33.24</v>
      </c>
      <c r="D2271">
        <f t="shared" si="74"/>
        <v>-0.61981013382134287</v>
      </c>
      <c r="E2271">
        <v>2.4125452352232735E-3</v>
      </c>
      <c r="F2271">
        <v>2268</v>
      </c>
      <c r="G2271">
        <f t="shared" ca="1" si="75"/>
        <v>-3.772047551221492E-2</v>
      </c>
    </row>
    <row r="2272" spans="2:7" x14ac:dyDescent="0.35">
      <c r="B2272" s="2">
        <v>41065</v>
      </c>
      <c r="C2272" s="4">
        <v>87.43</v>
      </c>
      <c r="D2272">
        <f t="shared" si="74"/>
        <v>0.30492537313432844</v>
      </c>
      <c r="E2272">
        <v>2.4077046548958148E-3</v>
      </c>
      <c r="F2272">
        <v>2269</v>
      </c>
      <c r="G2272">
        <f t="shared" ca="1" si="75"/>
        <v>-3.206490455105325E-2</v>
      </c>
    </row>
    <row r="2273" spans="2:7" x14ac:dyDescent="0.35">
      <c r="B2273" s="2">
        <v>39584</v>
      </c>
      <c r="C2273" s="4">
        <v>67</v>
      </c>
      <c r="D2273">
        <f t="shared" si="74"/>
        <v>6.6030230708034932E-2</v>
      </c>
      <c r="E2273">
        <v>2.3937761819270431E-3</v>
      </c>
      <c r="F2273">
        <v>2270</v>
      </c>
      <c r="G2273">
        <f t="shared" ca="1" si="75"/>
        <v>4.9636996508086728E-2</v>
      </c>
    </row>
    <row r="2274" spans="2:7" x14ac:dyDescent="0.35">
      <c r="B2274" s="2">
        <v>40059</v>
      </c>
      <c r="C2274" s="4">
        <v>62.85</v>
      </c>
      <c r="D2274">
        <f t="shared" si="74"/>
        <v>-0.93259113871102672</v>
      </c>
      <c r="E2274">
        <v>2.3923444976077235E-3</v>
      </c>
      <c r="F2274">
        <v>2271</v>
      </c>
      <c r="G2274">
        <f t="shared" ca="1" si="75"/>
        <v>6.6336595026856418E-2</v>
      </c>
    </row>
    <row r="2275" spans="2:7" x14ac:dyDescent="0.35">
      <c r="B2275" s="2">
        <v>43140</v>
      </c>
      <c r="C2275" s="4">
        <v>932.37</v>
      </c>
      <c r="D2275">
        <f t="shared" si="74"/>
        <v>-0.87475854917268669</v>
      </c>
      <c r="E2275">
        <v>2.3651590569466752E-3</v>
      </c>
      <c r="F2275">
        <v>2272</v>
      </c>
      <c r="G2275">
        <f t="shared" ca="1" si="75"/>
        <v>2.9540533313625231E-2</v>
      </c>
    </row>
    <row r="2276" spans="2:7" x14ac:dyDescent="0.35">
      <c r="B2276" s="2">
        <v>44594</v>
      </c>
      <c r="C2276" s="4">
        <v>7444.58</v>
      </c>
      <c r="D2276">
        <f t="shared" si="74"/>
        <v>25.96041719479955</v>
      </c>
      <c r="E2276">
        <v>2.364339937148241E-3</v>
      </c>
      <c r="F2276">
        <v>2273</v>
      </c>
      <c r="G2276">
        <f t="shared" ca="1" si="75"/>
        <v>2.51635734408737E-2</v>
      </c>
    </row>
    <row r="2277" spans="2:7" x14ac:dyDescent="0.35">
      <c r="B2277" s="2">
        <v>41883</v>
      </c>
      <c r="C2277" s="4">
        <v>276.13</v>
      </c>
      <c r="D2277">
        <f t="shared" si="74"/>
        <v>8.1464060947333543</v>
      </c>
      <c r="E2277">
        <v>2.3595179323361304E-3</v>
      </c>
      <c r="F2277">
        <v>2274</v>
      </c>
      <c r="G2277">
        <f t="shared" ca="1" si="75"/>
        <v>1.3288911053325992E-2</v>
      </c>
    </row>
    <row r="2278" spans="2:7" x14ac:dyDescent="0.35">
      <c r="B2278" s="2">
        <v>37617</v>
      </c>
      <c r="C2278" s="4">
        <v>30.19</v>
      </c>
      <c r="D2278">
        <f t="shared" si="74"/>
        <v>-0.99520824074661929</v>
      </c>
      <c r="E2278">
        <v>2.3240371845949515E-3</v>
      </c>
      <c r="F2278">
        <v>2275</v>
      </c>
      <c r="G2278">
        <f t="shared" ca="1" si="75"/>
        <v>1.4460582240724988E-2</v>
      </c>
    </row>
    <row r="2279" spans="2:7" x14ac:dyDescent="0.35">
      <c r="B2279" s="2">
        <v>44928</v>
      </c>
      <c r="C2279" s="4">
        <v>6300.4</v>
      </c>
      <c r="D2279">
        <f t="shared" si="74"/>
        <v>6.8374881823157683</v>
      </c>
      <c r="E2279">
        <v>2.3067500278399766E-3</v>
      </c>
      <c r="F2279">
        <v>2276</v>
      </c>
      <c r="G2279">
        <f t="shared" ca="1" si="75"/>
        <v>1.216145637495719E-2</v>
      </c>
    </row>
    <row r="2280" spans="2:7" x14ac:dyDescent="0.35">
      <c r="B2280" s="2">
        <v>43831</v>
      </c>
      <c r="C2280" s="4">
        <v>803.88</v>
      </c>
      <c r="D2280">
        <f t="shared" si="74"/>
        <v>-0.11104721884330415</v>
      </c>
      <c r="E2280">
        <v>2.3066468835331033E-3</v>
      </c>
      <c r="F2280">
        <v>2277</v>
      </c>
      <c r="G2280">
        <f t="shared" ca="1" si="75"/>
        <v>2.2220150399753471E-2</v>
      </c>
    </row>
    <row r="2281" spans="2:7" x14ac:dyDescent="0.35">
      <c r="B2281" s="2">
        <v>43556</v>
      </c>
      <c r="C2281" s="4">
        <v>904.3</v>
      </c>
      <c r="D2281">
        <f t="shared" si="74"/>
        <v>10.451183993921742</v>
      </c>
      <c r="E2281">
        <v>2.2943151967900199E-3</v>
      </c>
      <c r="F2281">
        <v>2278</v>
      </c>
      <c r="G2281">
        <f t="shared" ca="1" si="75"/>
        <v>6.4091678087241566E-3</v>
      </c>
    </row>
    <row r="2282" spans="2:7" x14ac:dyDescent="0.35">
      <c r="B2282" s="2">
        <v>39006</v>
      </c>
      <c r="C2282" s="4">
        <v>78.97</v>
      </c>
      <c r="D2282">
        <f t="shared" si="74"/>
        <v>-0.91312048935046652</v>
      </c>
      <c r="E2282">
        <v>2.2845538773954566E-3</v>
      </c>
      <c r="F2282">
        <v>2279</v>
      </c>
      <c r="G2282">
        <f t="shared" ca="1" si="75"/>
        <v>1.8809368144548776E-2</v>
      </c>
    </row>
    <row r="2283" spans="2:7" x14ac:dyDescent="0.35">
      <c r="B2283" s="2">
        <v>43565</v>
      </c>
      <c r="C2283" s="4">
        <v>908.96</v>
      </c>
      <c r="D2283">
        <f t="shared" si="74"/>
        <v>0.1233655486071632</v>
      </c>
      <c r="E2283">
        <v>2.2825259954351029E-3</v>
      </c>
      <c r="F2283">
        <v>2280</v>
      </c>
      <c r="G2283">
        <f t="shared" ca="1" si="75"/>
        <v>-1.9657789022228412E-3</v>
      </c>
    </row>
    <row r="2284" spans="2:7" x14ac:dyDescent="0.35">
      <c r="B2284" s="2">
        <v>43592</v>
      </c>
      <c r="C2284" s="4">
        <v>809.14</v>
      </c>
      <c r="D2284">
        <f t="shared" si="74"/>
        <v>2.9623597078360042E-2</v>
      </c>
      <c r="E2284">
        <v>2.2792022792024191E-3</v>
      </c>
      <c r="F2284">
        <v>2281</v>
      </c>
      <c r="G2284">
        <f t="shared" ca="1" si="75"/>
        <v>-1.2367317241338134E-2</v>
      </c>
    </row>
    <row r="2285" spans="2:7" x14ac:dyDescent="0.35">
      <c r="B2285" s="2">
        <v>42922</v>
      </c>
      <c r="C2285" s="4">
        <v>785.86</v>
      </c>
      <c r="D2285">
        <f t="shared" si="74"/>
        <v>6.6208301008533743</v>
      </c>
      <c r="E2285">
        <v>2.2446116566763319E-3</v>
      </c>
      <c r="F2285">
        <v>2282</v>
      </c>
      <c r="G2285">
        <f t="shared" ca="1" si="75"/>
        <v>-2.3952482647472805E-2</v>
      </c>
    </row>
    <row r="2286" spans="2:7" x14ac:dyDescent="0.35">
      <c r="B2286" s="2">
        <v>40436</v>
      </c>
      <c r="C2286" s="4">
        <v>103.12</v>
      </c>
      <c r="D2286">
        <f t="shared" si="74"/>
        <v>-0.98507248789455781</v>
      </c>
      <c r="E2286">
        <v>2.2353970259501033E-3</v>
      </c>
      <c r="F2286">
        <v>2283</v>
      </c>
      <c r="G2286">
        <f t="shared" ca="1" si="75"/>
        <v>1.1569961941976755E-2</v>
      </c>
    </row>
    <row r="2287" spans="2:7" x14ac:dyDescent="0.35">
      <c r="B2287" s="2">
        <v>44869</v>
      </c>
      <c r="C2287" s="4">
        <v>6908.05</v>
      </c>
      <c r="D2287">
        <f t="shared" si="74"/>
        <v>60.214443952148876</v>
      </c>
      <c r="E2287">
        <v>2.2342640348778087E-3</v>
      </c>
      <c r="F2287">
        <v>2284</v>
      </c>
      <c r="G2287">
        <f t="shared" ca="1" si="75"/>
        <v>-3.006486502673417E-2</v>
      </c>
    </row>
    <row r="2288" spans="2:7" x14ac:dyDescent="0.35">
      <c r="B2288" s="2">
        <v>39216</v>
      </c>
      <c r="C2288" s="4">
        <v>112.85</v>
      </c>
      <c r="D2288">
        <f t="shared" si="74"/>
        <v>-0.87483501735783764</v>
      </c>
      <c r="E2288">
        <v>2.2202486678508659E-3</v>
      </c>
      <c r="F2288">
        <v>2285</v>
      </c>
      <c r="G2288">
        <f t="shared" ca="1" si="75"/>
        <v>-1.0426384174476501E-2</v>
      </c>
    </row>
    <row r="2289" spans="2:7" x14ac:dyDescent="0.35">
      <c r="B2289" s="2">
        <v>44022</v>
      </c>
      <c r="C2289" s="4">
        <v>901.61</v>
      </c>
      <c r="D2289">
        <f t="shared" si="74"/>
        <v>1.4629590033873097E-2</v>
      </c>
      <c r="E2289">
        <v>2.2120450857028295E-3</v>
      </c>
      <c r="F2289">
        <v>2286</v>
      </c>
      <c r="G2289">
        <f t="shared" ca="1" si="75"/>
        <v>2.1312511760181316E-2</v>
      </c>
    </row>
    <row r="2290" spans="2:7" x14ac:dyDescent="0.35">
      <c r="B2290" s="2">
        <v>43063</v>
      </c>
      <c r="C2290" s="4">
        <v>888.61</v>
      </c>
      <c r="D2290">
        <f t="shared" si="74"/>
        <v>-0.81128016276531123</v>
      </c>
      <c r="E2290">
        <v>2.2105678678170371E-3</v>
      </c>
      <c r="F2290">
        <v>2287</v>
      </c>
      <c r="G2290">
        <f t="shared" ca="1" si="75"/>
        <v>4.9987842860540173E-3</v>
      </c>
    </row>
    <row r="2291" spans="2:7" x14ac:dyDescent="0.35">
      <c r="B2291" s="2">
        <v>44428</v>
      </c>
      <c r="C2291" s="4">
        <v>4708.62</v>
      </c>
      <c r="D2291">
        <f t="shared" si="74"/>
        <v>4.0947511929107021</v>
      </c>
      <c r="E2291">
        <v>2.202938528437004E-3</v>
      </c>
      <c r="F2291">
        <v>2288</v>
      </c>
      <c r="G2291">
        <f t="shared" ca="1" si="75"/>
        <v>-3.7863356571444524E-2</v>
      </c>
    </row>
    <row r="2292" spans="2:7" x14ac:dyDescent="0.35">
      <c r="B2292" s="2">
        <v>43542</v>
      </c>
      <c r="C2292" s="4">
        <v>924.21</v>
      </c>
      <c r="D2292">
        <f t="shared" si="74"/>
        <v>32.804316020482808</v>
      </c>
      <c r="E2292">
        <v>2.2013056019432042E-3</v>
      </c>
      <c r="F2292">
        <v>2289</v>
      </c>
      <c r="G2292">
        <f t="shared" ca="1" si="75"/>
        <v>-3.5882876193584238E-3</v>
      </c>
    </row>
    <row r="2293" spans="2:7" x14ac:dyDescent="0.35">
      <c r="B2293" s="2">
        <v>37810</v>
      </c>
      <c r="C2293" s="4">
        <v>27.34</v>
      </c>
      <c r="D2293">
        <f t="shared" si="74"/>
        <v>-0.68653978445310715</v>
      </c>
      <c r="E2293">
        <v>2.1994134897360684E-3</v>
      </c>
      <c r="F2293">
        <v>2290</v>
      </c>
      <c r="G2293">
        <f t="shared" ca="1" si="75"/>
        <v>2.3036393844978922E-2</v>
      </c>
    </row>
    <row r="2294" spans="2:7" x14ac:dyDescent="0.35">
      <c r="B2294" s="2">
        <v>41064</v>
      </c>
      <c r="C2294" s="4">
        <v>87.22</v>
      </c>
      <c r="D2294">
        <f t="shared" si="74"/>
        <v>-0.95586434434110257</v>
      </c>
      <c r="E2294">
        <v>2.1831552338273941E-3</v>
      </c>
      <c r="F2294">
        <v>2291</v>
      </c>
      <c r="G2294">
        <f t="shared" ca="1" si="75"/>
        <v>-8.8721668868702759E-3</v>
      </c>
    </row>
    <row r="2295" spans="2:7" x14ac:dyDescent="0.35">
      <c r="B2295" s="2">
        <v>44203</v>
      </c>
      <c r="C2295" s="4">
        <v>1976.18</v>
      </c>
      <c r="D2295">
        <f t="shared" si="74"/>
        <v>3.1325386867419489</v>
      </c>
      <c r="E2295">
        <v>2.1806600807350307E-3</v>
      </c>
      <c r="F2295">
        <v>2292</v>
      </c>
      <c r="G2295">
        <f t="shared" ca="1" si="75"/>
        <v>-6.0086688722368236E-3</v>
      </c>
    </row>
    <row r="2296" spans="2:7" x14ac:dyDescent="0.35">
      <c r="B2296" s="2">
        <v>42062</v>
      </c>
      <c r="C2296" s="4">
        <v>478.2</v>
      </c>
      <c r="D2296">
        <f t="shared" si="74"/>
        <v>-0.48896060871609637</v>
      </c>
      <c r="E2296">
        <v>2.1795624109313128E-3</v>
      </c>
      <c r="F2296">
        <v>2293</v>
      </c>
      <c r="G2296">
        <f t="shared" ca="1" si="75"/>
        <v>-3.6094786127838445E-2</v>
      </c>
    </row>
    <row r="2297" spans="2:7" x14ac:dyDescent="0.35">
      <c r="B2297" s="2">
        <v>43430</v>
      </c>
      <c r="C2297" s="4">
        <v>935.74</v>
      </c>
      <c r="D2297">
        <f t="shared" si="74"/>
        <v>9.6795252225519288</v>
      </c>
      <c r="E2297">
        <v>2.1741225862419444E-3</v>
      </c>
      <c r="F2297">
        <v>2294</v>
      </c>
      <c r="G2297">
        <f t="shared" ca="1" si="75"/>
        <v>-1.975774518827729E-2</v>
      </c>
    </row>
    <row r="2298" spans="2:7" x14ac:dyDescent="0.35">
      <c r="B2298" s="2">
        <v>41066</v>
      </c>
      <c r="C2298" s="4">
        <v>87.62</v>
      </c>
      <c r="D2298">
        <f t="shared" si="74"/>
        <v>0.18726287262872643</v>
      </c>
      <c r="E2298">
        <v>2.1731671051126167E-3</v>
      </c>
      <c r="F2298">
        <v>2295</v>
      </c>
      <c r="G2298">
        <f t="shared" ca="1" si="75"/>
        <v>1.6238555056975173E-2</v>
      </c>
    </row>
    <row r="2299" spans="2:7" x14ac:dyDescent="0.35">
      <c r="B2299" s="2">
        <v>38607</v>
      </c>
      <c r="C2299" s="4">
        <v>73.8</v>
      </c>
      <c r="D2299">
        <f t="shared" si="74"/>
        <v>6.5088757396449592E-2</v>
      </c>
      <c r="E2299">
        <v>2.1727322107549796E-3</v>
      </c>
      <c r="F2299">
        <v>2296</v>
      </c>
      <c r="G2299">
        <f t="shared" ca="1" si="75"/>
        <v>-2.7851885772373318E-3</v>
      </c>
    </row>
    <row r="2300" spans="2:7" x14ac:dyDescent="0.35">
      <c r="B2300" s="2">
        <v>38827</v>
      </c>
      <c r="C2300" s="4">
        <v>69.290000000000006</v>
      </c>
      <c r="D2300">
        <f t="shared" si="74"/>
        <v>-0.91412069457010769</v>
      </c>
      <c r="E2300">
        <v>2.1695111368238429E-3</v>
      </c>
      <c r="F2300">
        <v>2297</v>
      </c>
      <c r="G2300">
        <f t="shared" ca="1" si="75"/>
        <v>-1.5755050561171113E-2</v>
      </c>
    </row>
    <row r="2301" spans="2:7" x14ac:dyDescent="0.35">
      <c r="B2301" s="2">
        <v>43623</v>
      </c>
      <c r="C2301" s="4">
        <v>806.83</v>
      </c>
      <c r="D2301">
        <f t="shared" si="74"/>
        <v>7.2557044919676663</v>
      </c>
      <c r="E2301">
        <v>2.1612490529008266E-3</v>
      </c>
      <c r="F2301">
        <v>2298</v>
      </c>
      <c r="G2301">
        <f t="shared" ca="1" si="75"/>
        <v>2.187709943818315E-2</v>
      </c>
    </row>
    <row r="2302" spans="2:7" x14ac:dyDescent="0.35">
      <c r="B2302" s="2">
        <v>41179</v>
      </c>
      <c r="C2302" s="4">
        <v>97.73</v>
      </c>
      <c r="D2302">
        <f t="shared" si="74"/>
        <v>0.6124401913875599</v>
      </c>
      <c r="E2302">
        <v>2.1534044298605615E-3</v>
      </c>
      <c r="F2302">
        <v>2299</v>
      </c>
      <c r="G2302">
        <f t="shared" ca="1" si="75"/>
        <v>-1.6979663864016746E-2</v>
      </c>
    </row>
    <row r="2303" spans="2:7" x14ac:dyDescent="0.35">
      <c r="B2303" s="2">
        <v>39682</v>
      </c>
      <c r="C2303" s="4">
        <v>60.61</v>
      </c>
      <c r="D2303">
        <f t="shared" si="74"/>
        <v>-0.92293020357819511</v>
      </c>
      <c r="E2303">
        <v>2.1494708994709288E-3</v>
      </c>
      <c r="F2303">
        <v>2300</v>
      </c>
      <c r="G2303">
        <f t="shared" ca="1" si="75"/>
        <v>1.3336078153421754E-2</v>
      </c>
    </row>
    <row r="2304" spans="2:7" x14ac:dyDescent="0.35">
      <c r="B2304" s="2">
        <v>43035</v>
      </c>
      <c r="C2304" s="4">
        <v>786.43</v>
      </c>
      <c r="D2304">
        <f t="shared" si="74"/>
        <v>-0.34880928722840499</v>
      </c>
      <c r="E2304">
        <v>2.1408091748964519E-3</v>
      </c>
      <c r="F2304">
        <v>2301</v>
      </c>
      <c r="G2304">
        <f t="shared" ca="1" si="75"/>
        <v>4.2366997466103118E-3</v>
      </c>
    </row>
    <row r="2305" spans="2:7" x14ac:dyDescent="0.35">
      <c r="B2305" s="2">
        <v>44083</v>
      </c>
      <c r="C2305" s="4">
        <v>1207.68</v>
      </c>
      <c r="D2305">
        <f t="shared" si="74"/>
        <v>-0.81811445559943252</v>
      </c>
      <c r="E2305">
        <v>2.1325854071414518E-3</v>
      </c>
      <c r="F2305">
        <v>2302</v>
      </c>
      <c r="G2305">
        <f t="shared" ca="1" si="75"/>
        <v>3.9119692552403145E-3</v>
      </c>
    </row>
    <row r="2306" spans="2:7" x14ac:dyDescent="0.35">
      <c r="B2306" s="2">
        <v>44624</v>
      </c>
      <c r="C2306" s="4">
        <v>6639.78</v>
      </c>
      <c r="D2306">
        <f t="shared" si="74"/>
        <v>68.789573260458269</v>
      </c>
      <c r="E2306">
        <v>2.1099338947749846E-3</v>
      </c>
      <c r="F2306">
        <v>2303</v>
      </c>
      <c r="G2306">
        <f t="shared" ca="1" si="75"/>
        <v>-2.4438234677462206E-3</v>
      </c>
    </row>
    <row r="2307" spans="2:7" x14ac:dyDescent="0.35">
      <c r="B2307" s="2">
        <v>40717</v>
      </c>
      <c r="C2307" s="4">
        <v>95.14</v>
      </c>
      <c r="D2307">
        <f t="shared" si="74"/>
        <v>0.23190470024601839</v>
      </c>
      <c r="E2307">
        <v>2.1065936380872952E-3</v>
      </c>
      <c r="F2307">
        <v>2304</v>
      </c>
      <c r="G2307">
        <f t="shared" ca="1" si="75"/>
        <v>3.4120694243654527E-2</v>
      </c>
    </row>
    <row r="2308" spans="2:7" x14ac:dyDescent="0.35">
      <c r="B2308" s="2">
        <v>41530</v>
      </c>
      <c r="C2308" s="4">
        <v>77.23</v>
      </c>
      <c r="D2308">
        <f t="shared" ref="D2308:D2371" si="76">C2308/C2309-1</f>
        <v>-0.9425491713035975</v>
      </c>
      <c r="E2308">
        <v>2.0760347735826468E-3</v>
      </c>
      <c r="F2308">
        <v>2305</v>
      </c>
      <c r="G2308">
        <f t="shared" ca="1" si="75"/>
        <v>5.5823941817222653E-2</v>
      </c>
    </row>
    <row r="2309" spans="2:7" x14ac:dyDescent="0.35">
      <c r="B2309" s="2">
        <v>43312</v>
      </c>
      <c r="C2309" s="4">
        <v>1344.28</v>
      </c>
      <c r="D2309">
        <f t="shared" si="76"/>
        <v>16.372447660894288</v>
      </c>
      <c r="E2309">
        <v>2.0723071188968323E-3</v>
      </c>
      <c r="F2309">
        <v>2306</v>
      </c>
      <c r="G2309">
        <f t="shared" ref="G2309:G2372" ca="1" si="77">_xlfn.NORM.INV(RAND(),K$6,K$7)</f>
        <v>4.0508971011631111E-2</v>
      </c>
    </row>
    <row r="2310" spans="2:7" x14ac:dyDescent="0.35">
      <c r="B2310" s="2">
        <v>39010</v>
      </c>
      <c r="C2310" s="4">
        <v>77.38</v>
      </c>
      <c r="D2310">
        <f t="shared" si="76"/>
        <v>-0.30898374709769605</v>
      </c>
      <c r="E2310">
        <v>2.0720020720019772E-3</v>
      </c>
      <c r="F2310">
        <v>2307</v>
      </c>
      <c r="G2310">
        <f t="shared" ca="1" si="77"/>
        <v>9.7472261963839884E-3</v>
      </c>
    </row>
    <row r="2311" spans="2:7" x14ac:dyDescent="0.35">
      <c r="B2311" s="2">
        <v>40357</v>
      </c>
      <c r="C2311" s="4">
        <v>111.98</v>
      </c>
      <c r="D2311">
        <f t="shared" si="76"/>
        <v>0.25749578888265034</v>
      </c>
      <c r="E2311">
        <v>2.0581655480984562E-3</v>
      </c>
      <c r="F2311">
        <v>2308</v>
      </c>
      <c r="G2311">
        <f t="shared" ca="1" si="77"/>
        <v>7.9856843554780513E-3</v>
      </c>
    </row>
    <row r="2312" spans="2:7" x14ac:dyDescent="0.35">
      <c r="B2312" s="2">
        <v>39392</v>
      </c>
      <c r="C2312" s="4">
        <v>89.05</v>
      </c>
      <c r="D2312">
        <f t="shared" si="76"/>
        <v>4.7647058823529376E-2</v>
      </c>
      <c r="E2312">
        <v>2.0254304039608595E-3</v>
      </c>
      <c r="F2312">
        <v>2309</v>
      </c>
      <c r="G2312">
        <f t="shared" ca="1" si="77"/>
        <v>3.7327837980587655E-2</v>
      </c>
    </row>
    <row r="2313" spans="2:7" x14ac:dyDescent="0.35">
      <c r="B2313" s="2">
        <v>40841</v>
      </c>
      <c r="C2313" s="4">
        <v>85</v>
      </c>
      <c r="D2313">
        <f t="shared" si="76"/>
        <v>-0.1916310033285783</v>
      </c>
      <c r="E2313">
        <v>2.0040080160321772E-3</v>
      </c>
      <c r="F2313">
        <v>2310</v>
      </c>
      <c r="G2313">
        <f t="shared" ca="1" si="77"/>
        <v>-2.2748709299473733E-2</v>
      </c>
    </row>
    <row r="2314" spans="2:7" x14ac:dyDescent="0.35">
      <c r="B2314" s="2">
        <v>40744</v>
      </c>
      <c r="C2314" s="4">
        <v>105.15</v>
      </c>
      <c r="D2314">
        <f t="shared" si="76"/>
        <v>2.4875621890547266</v>
      </c>
      <c r="E2314">
        <v>2.0011435105775632E-3</v>
      </c>
      <c r="F2314">
        <v>2311</v>
      </c>
      <c r="G2314">
        <f t="shared" ca="1" si="77"/>
        <v>-3.5816494017510692E-2</v>
      </c>
    </row>
    <row r="2315" spans="2:7" x14ac:dyDescent="0.35">
      <c r="B2315" s="2">
        <v>37525</v>
      </c>
      <c r="C2315" s="4">
        <v>30.15</v>
      </c>
      <c r="D2315">
        <f t="shared" si="76"/>
        <v>0.19833068362480111</v>
      </c>
      <c r="E2315">
        <v>1.9940179461614971E-3</v>
      </c>
      <c r="F2315">
        <v>2312</v>
      </c>
      <c r="G2315">
        <f t="shared" ca="1" si="77"/>
        <v>-1.3642451022729693E-2</v>
      </c>
    </row>
    <row r="2316" spans="2:7" x14ac:dyDescent="0.35">
      <c r="B2316" s="2">
        <v>38075</v>
      </c>
      <c r="C2316" s="4">
        <v>25.16</v>
      </c>
      <c r="D2316">
        <f t="shared" si="76"/>
        <v>-0.58378825475599672</v>
      </c>
      <c r="E2316">
        <v>1.9912385503784158E-3</v>
      </c>
      <c r="F2316">
        <v>2313</v>
      </c>
      <c r="G2316">
        <f t="shared" ca="1" si="77"/>
        <v>1.2872767800716705E-2</v>
      </c>
    </row>
    <row r="2317" spans="2:7" x14ac:dyDescent="0.35">
      <c r="B2317" s="2">
        <v>38502</v>
      </c>
      <c r="C2317" s="4">
        <v>60.45</v>
      </c>
      <c r="D2317">
        <f t="shared" si="76"/>
        <v>-0.77869302580999444</v>
      </c>
      <c r="E2317">
        <v>1.9890601690701892E-3</v>
      </c>
      <c r="F2317">
        <v>2314</v>
      </c>
      <c r="G2317">
        <f t="shared" ca="1" si="77"/>
        <v>5.1595632549752975E-2</v>
      </c>
    </row>
    <row r="2318" spans="2:7" x14ac:dyDescent="0.35">
      <c r="B2318" s="2">
        <v>41957</v>
      </c>
      <c r="C2318" s="4">
        <v>273.14999999999998</v>
      </c>
      <c r="D2318">
        <f t="shared" si="76"/>
        <v>9.7879146919431275</v>
      </c>
      <c r="E2318">
        <v>1.980851766259395E-3</v>
      </c>
      <c r="F2318">
        <v>2315</v>
      </c>
      <c r="G2318">
        <f t="shared" ca="1" si="77"/>
        <v>1.5364624083331505E-2</v>
      </c>
    </row>
    <row r="2319" spans="2:7" x14ac:dyDescent="0.35">
      <c r="B2319" s="2">
        <v>38065</v>
      </c>
      <c r="C2319" s="4">
        <v>25.32</v>
      </c>
      <c r="D2319">
        <f t="shared" si="76"/>
        <v>-0.70879815986198969</v>
      </c>
      <c r="E2319">
        <v>1.9786307874951614E-3</v>
      </c>
      <c r="F2319">
        <v>2316</v>
      </c>
      <c r="G2319">
        <f t="shared" ca="1" si="77"/>
        <v>1.6105090720491412E-2</v>
      </c>
    </row>
    <row r="2320" spans="2:7" x14ac:dyDescent="0.35">
      <c r="B2320" s="2">
        <v>41060</v>
      </c>
      <c r="C2320" s="4">
        <v>86.95</v>
      </c>
      <c r="D2320">
        <f t="shared" si="76"/>
        <v>-0.71258098638106571</v>
      </c>
      <c r="E2320">
        <v>1.9589767227472521E-3</v>
      </c>
      <c r="F2320">
        <v>2317</v>
      </c>
      <c r="G2320">
        <f t="shared" ca="1" si="77"/>
        <v>-5.4996908240309936E-2</v>
      </c>
    </row>
    <row r="2321" spans="2:7" x14ac:dyDescent="0.35">
      <c r="B2321" s="2">
        <v>41904</v>
      </c>
      <c r="C2321" s="4">
        <v>302.52</v>
      </c>
      <c r="D2321">
        <f t="shared" si="76"/>
        <v>1.5443229604709838</v>
      </c>
      <c r="E2321">
        <v>1.954095320107152E-3</v>
      </c>
      <c r="F2321">
        <v>2318</v>
      </c>
      <c r="G2321">
        <f t="shared" ca="1" si="77"/>
        <v>1.0081664512174033E-3</v>
      </c>
    </row>
    <row r="2322" spans="2:7" x14ac:dyDescent="0.35">
      <c r="B2322" s="2">
        <v>39262</v>
      </c>
      <c r="C2322" s="4">
        <v>118.9</v>
      </c>
      <c r="D2322">
        <f t="shared" si="76"/>
        <v>-0.82802759658080105</v>
      </c>
      <c r="E2322">
        <v>1.9381478048370315E-3</v>
      </c>
      <c r="F2322">
        <v>2319</v>
      </c>
      <c r="G2322">
        <f t="shared" ca="1" si="77"/>
        <v>1.9832361926841159E-2</v>
      </c>
    </row>
    <row r="2323" spans="2:7" x14ac:dyDescent="0.35">
      <c r="B2323" s="2">
        <v>42779</v>
      </c>
      <c r="C2323" s="4">
        <v>691.39</v>
      </c>
      <c r="D2323">
        <f t="shared" si="76"/>
        <v>5.9159747924377308</v>
      </c>
      <c r="E2323">
        <v>1.9128494210731706E-3</v>
      </c>
      <c r="F2323">
        <v>2320</v>
      </c>
      <c r="G2323">
        <f t="shared" ca="1" si="77"/>
        <v>3.5189400706184268E-3</v>
      </c>
    </row>
    <row r="2324" spans="2:7" x14ac:dyDescent="0.35">
      <c r="B2324" s="2">
        <v>40724</v>
      </c>
      <c r="C2324" s="4">
        <v>99.97</v>
      </c>
      <c r="D2324">
        <f t="shared" si="76"/>
        <v>4.8343120805369066E-2</v>
      </c>
      <c r="E2324">
        <v>1.9041892162758867E-3</v>
      </c>
      <c r="F2324">
        <v>2321</v>
      </c>
      <c r="G2324">
        <f t="shared" ca="1" si="77"/>
        <v>-2.4970823032782679E-2</v>
      </c>
    </row>
    <row r="2325" spans="2:7" x14ac:dyDescent="0.35">
      <c r="B2325" s="2">
        <v>39429</v>
      </c>
      <c r="C2325" s="4">
        <v>95.36</v>
      </c>
      <c r="D2325">
        <f t="shared" si="76"/>
        <v>-5.5373947498761789E-2</v>
      </c>
      <c r="E2325">
        <v>1.8911536036980703E-3</v>
      </c>
      <c r="F2325">
        <v>2322</v>
      </c>
      <c r="G2325">
        <f t="shared" ca="1" si="77"/>
        <v>1.915626304789303E-2</v>
      </c>
    </row>
    <row r="2326" spans="2:7" x14ac:dyDescent="0.35">
      <c r="B2326" s="2">
        <v>40669</v>
      </c>
      <c r="C2326" s="4">
        <v>100.95</v>
      </c>
      <c r="D2326">
        <f t="shared" si="76"/>
        <v>-0.86976378155922229</v>
      </c>
      <c r="E2326">
        <v>1.8856689162365381E-3</v>
      </c>
      <c r="F2326">
        <v>2323</v>
      </c>
      <c r="G2326">
        <f t="shared" ca="1" si="77"/>
        <v>2.8264747300035788E-2</v>
      </c>
    </row>
    <row r="2327" spans="2:7" x14ac:dyDescent="0.35">
      <c r="B2327" s="2">
        <v>43796</v>
      </c>
      <c r="C2327" s="4">
        <v>775.13</v>
      </c>
      <c r="D2327">
        <f t="shared" si="76"/>
        <v>7.4834190653387314</v>
      </c>
      <c r="E2327">
        <v>1.8741598593734476E-3</v>
      </c>
      <c r="F2327">
        <v>2324</v>
      </c>
      <c r="G2327">
        <f t="shared" ca="1" si="77"/>
        <v>-1.9412419818838351E-3</v>
      </c>
    </row>
    <row r="2328" spans="2:7" x14ac:dyDescent="0.35">
      <c r="B2328" s="2">
        <v>41327</v>
      </c>
      <c r="C2328" s="4">
        <v>91.37</v>
      </c>
      <c r="D2328">
        <f t="shared" si="76"/>
        <v>0.13235840872474913</v>
      </c>
      <c r="E2328">
        <v>1.8640350877192624E-3</v>
      </c>
      <c r="F2328">
        <v>2325</v>
      </c>
      <c r="G2328">
        <f t="shared" ca="1" si="77"/>
        <v>2.0215756158780188E-2</v>
      </c>
    </row>
    <row r="2329" spans="2:7" x14ac:dyDescent="0.35">
      <c r="B2329" s="2">
        <v>40875</v>
      </c>
      <c r="C2329" s="4">
        <v>80.69</v>
      </c>
      <c r="D2329">
        <f t="shared" si="76"/>
        <v>-0.71170817106720496</v>
      </c>
      <c r="E2329">
        <v>1.8624286069033325E-3</v>
      </c>
      <c r="F2329">
        <v>2326</v>
      </c>
      <c r="G2329">
        <f t="shared" ca="1" si="77"/>
        <v>4.0071090050201777E-2</v>
      </c>
    </row>
    <row r="2330" spans="2:7" x14ac:dyDescent="0.35">
      <c r="B2330" s="2">
        <v>41943</v>
      </c>
      <c r="C2330" s="4">
        <v>279.89</v>
      </c>
      <c r="D2330">
        <f t="shared" si="76"/>
        <v>-0.61272156189896365</v>
      </c>
      <c r="E2330">
        <v>1.8613308515587068E-3</v>
      </c>
      <c r="F2330">
        <v>2327</v>
      </c>
      <c r="G2330">
        <f t="shared" ca="1" si="77"/>
        <v>2.6450963292402499E-2</v>
      </c>
    </row>
    <row r="2331" spans="2:7" x14ac:dyDescent="0.35">
      <c r="B2331" s="2">
        <v>42872</v>
      </c>
      <c r="C2331" s="4">
        <v>722.71</v>
      </c>
      <c r="D2331">
        <f t="shared" si="76"/>
        <v>6.839353509057382</v>
      </c>
      <c r="E2331">
        <v>1.8575765557204971E-3</v>
      </c>
      <c r="F2331">
        <v>2328</v>
      </c>
      <c r="G2331">
        <f t="shared" ca="1" si="77"/>
        <v>-9.2357010815687125E-3</v>
      </c>
    </row>
    <row r="2332" spans="2:7" x14ac:dyDescent="0.35">
      <c r="B2332" s="2">
        <v>41234</v>
      </c>
      <c r="C2332" s="4">
        <v>92.19</v>
      </c>
      <c r="D2332">
        <f t="shared" si="76"/>
        <v>-0.89849822737982521</v>
      </c>
      <c r="E2332">
        <v>1.8474244729407285E-3</v>
      </c>
      <c r="F2332">
        <v>2329</v>
      </c>
      <c r="G2332">
        <f t="shared" ca="1" si="77"/>
        <v>-5.6632142057288773E-3</v>
      </c>
    </row>
    <row r="2333" spans="2:7" x14ac:dyDescent="0.35">
      <c r="B2333" s="2">
        <v>42345</v>
      </c>
      <c r="C2333" s="4">
        <v>908.26</v>
      </c>
      <c r="D2333">
        <f t="shared" si="76"/>
        <v>-0.86978817963513855</v>
      </c>
      <c r="E2333">
        <v>1.8420675277688314E-3</v>
      </c>
      <c r="F2333">
        <v>2330</v>
      </c>
      <c r="G2333">
        <f t="shared" ca="1" si="77"/>
        <v>4.1491340891792343E-2</v>
      </c>
    </row>
    <row r="2334" spans="2:7" x14ac:dyDescent="0.35">
      <c r="B2334" s="2">
        <v>44879</v>
      </c>
      <c r="C2334" s="4">
        <v>6975.25</v>
      </c>
      <c r="D2334">
        <f t="shared" si="76"/>
        <v>0.27445588622211825</v>
      </c>
      <c r="E2334">
        <v>1.8312387791741269E-3</v>
      </c>
      <c r="F2334">
        <v>2331</v>
      </c>
      <c r="G2334">
        <f t="shared" ca="1" si="77"/>
        <v>-3.594160382053186E-2</v>
      </c>
    </row>
    <row r="2335" spans="2:7" x14ac:dyDescent="0.35">
      <c r="B2335" s="2">
        <v>44554</v>
      </c>
      <c r="C2335" s="4">
        <v>5473.12</v>
      </c>
      <c r="D2335">
        <f t="shared" si="76"/>
        <v>65.244492858871936</v>
      </c>
      <c r="E2335">
        <v>1.8212869085163508E-3</v>
      </c>
      <c r="F2335">
        <v>2332</v>
      </c>
      <c r="G2335">
        <f t="shared" ca="1" si="77"/>
        <v>2.8257336220206028E-2</v>
      </c>
    </row>
    <row r="2336" spans="2:7" x14ac:dyDescent="0.35">
      <c r="B2336" s="2">
        <v>40772</v>
      </c>
      <c r="C2336" s="4">
        <v>82.62</v>
      </c>
      <c r="D2336">
        <f t="shared" si="76"/>
        <v>1.4885542168674699</v>
      </c>
      <c r="E2336">
        <v>1.8188432157149048E-3</v>
      </c>
      <c r="F2336">
        <v>2333</v>
      </c>
      <c r="G2336">
        <f t="shared" ca="1" si="77"/>
        <v>6.6878102680462473E-3</v>
      </c>
    </row>
    <row r="2337" spans="2:7" x14ac:dyDescent="0.35">
      <c r="B2337" s="2">
        <v>39783</v>
      </c>
      <c r="C2337" s="4">
        <v>33.200000000000003</v>
      </c>
      <c r="D2337">
        <f t="shared" si="76"/>
        <v>-0.60182297913168625</v>
      </c>
      <c r="E2337">
        <v>1.8105009052504784E-3</v>
      </c>
      <c r="F2337">
        <v>2334</v>
      </c>
      <c r="G2337">
        <f t="shared" ca="1" si="77"/>
        <v>1.2143718716771636E-2</v>
      </c>
    </row>
    <row r="2338" spans="2:7" x14ac:dyDescent="0.35">
      <c r="B2338" s="2">
        <v>41379</v>
      </c>
      <c r="C2338" s="4">
        <v>83.38</v>
      </c>
      <c r="D2338">
        <f t="shared" si="76"/>
        <v>-0.93026737252343794</v>
      </c>
      <c r="E2338">
        <v>1.8022347711161846E-3</v>
      </c>
      <c r="F2338">
        <v>2335</v>
      </c>
      <c r="G2338">
        <f t="shared" ca="1" si="77"/>
        <v>8.3609344978363732E-3</v>
      </c>
    </row>
    <row r="2339" spans="2:7" x14ac:dyDescent="0.35">
      <c r="B2339" s="2">
        <v>43264</v>
      </c>
      <c r="C2339" s="4">
        <v>1195.71</v>
      </c>
      <c r="D2339">
        <f t="shared" si="76"/>
        <v>0.25441670163659258</v>
      </c>
      <c r="E2339">
        <v>1.8013338248601407E-3</v>
      </c>
      <c r="F2339">
        <v>2336</v>
      </c>
      <c r="G2339">
        <f t="shared" ca="1" si="77"/>
        <v>3.3173452998115589E-2</v>
      </c>
    </row>
    <row r="2340" spans="2:7" x14ac:dyDescent="0.35">
      <c r="B2340" s="2">
        <v>43462</v>
      </c>
      <c r="C2340" s="4">
        <v>953.2</v>
      </c>
      <c r="D2340">
        <f t="shared" si="76"/>
        <v>23.27916454406521</v>
      </c>
      <c r="E2340">
        <v>1.7866526537047012E-3</v>
      </c>
      <c r="F2340">
        <v>2337</v>
      </c>
      <c r="G2340">
        <f t="shared" ca="1" si="77"/>
        <v>-4.1350446075505275E-2</v>
      </c>
    </row>
    <row r="2341" spans="2:7" x14ac:dyDescent="0.35">
      <c r="B2341" s="2">
        <v>39735</v>
      </c>
      <c r="C2341" s="4">
        <v>39.26</v>
      </c>
      <c r="D2341">
        <f t="shared" si="76"/>
        <v>-3.3003300330033403E-3</v>
      </c>
      <c r="E2341">
        <v>1.7861699413115328E-3</v>
      </c>
      <c r="F2341">
        <v>2338</v>
      </c>
      <c r="G2341">
        <f t="shared" ca="1" si="77"/>
        <v>-2.0308123323188629E-2</v>
      </c>
    </row>
    <row r="2342" spans="2:7" x14ac:dyDescent="0.35">
      <c r="B2342" s="2">
        <v>38208</v>
      </c>
      <c r="C2342" s="4">
        <v>39.39</v>
      </c>
      <c r="D2342">
        <f t="shared" si="76"/>
        <v>-0.95628676062590168</v>
      </c>
      <c r="E2342">
        <v>1.780264496439532E-3</v>
      </c>
      <c r="F2342">
        <v>2339</v>
      </c>
      <c r="G2342">
        <f t="shared" ca="1" si="77"/>
        <v>2.3784263041202545E-3</v>
      </c>
    </row>
    <row r="2343" spans="2:7" x14ac:dyDescent="0.35">
      <c r="B2343" s="2">
        <v>42439</v>
      </c>
      <c r="C2343" s="4">
        <v>901.1</v>
      </c>
      <c r="D2343">
        <f t="shared" si="76"/>
        <v>8.8718229623137592</v>
      </c>
      <c r="E2343">
        <v>1.7564923514763464E-3</v>
      </c>
      <c r="F2343">
        <v>2340</v>
      </c>
      <c r="G2343">
        <f t="shared" ca="1" si="77"/>
        <v>-1.2354864791957234E-2</v>
      </c>
    </row>
    <row r="2344" spans="2:7" x14ac:dyDescent="0.35">
      <c r="B2344" s="2">
        <v>41478</v>
      </c>
      <c r="C2344" s="4">
        <v>91.28</v>
      </c>
      <c r="D2344">
        <f t="shared" si="76"/>
        <v>1.2848560700876095</v>
      </c>
      <c r="E2344">
        <v>1.7559262510973284E-3</v>
      </c>
      <c r="F2344">
        <v>2341</v>
      </c>
      <c r="G2344">
        <f t="shared" ca="1" si="77"/>
        <v>-4.794875155319997E-2</v>
      </c>
    </row>
    <row r="2345" spans="2:7" x14ac:dyDescent="0.35">
      <c r="B2345" s="2">
        <v>37995</v>
      </c>
      <c r="C2345" s="4">
        <v>39.950000000000003</v>
      </c>
      <c r="D2345">
        <f t="shared" si="76"/>
        <v>-0.94402331544508122</v>
      </c>
      <c r="E2345">
        <v>1.7552657973922692E-3</v>
      </c>
      <c r="F2345">
        <v>2342</v>
      </c>
      <c r="G2345">
        <f t="shared" ca="1" si="77"/>
        <v>3.8620004691739228E-2</v>
      </c>
    </row>
    <row r="2346" spans="2:7" x14ac:dyDescent="0.35">
      <c r="B2346" s="2">
        <v>42898</v>
      </c>
      <c r="C2346" s="4">
        <v>713.69</v>
      </c>
      <c r="D2346">
        <f t="shared" si="76"/>
        <v>-0.89580574660455126</v>
      </c>
      <c r="E2346">
        <v>1.7545337151199103E-3</v>
      </c>
      <c r="F2346">
        <v>2343</v>
      </c>
      <c r="G2346">
        <f t="shared" ca="1" si="77"/>
        <v>9.1578150823994793E-3</v>
      </c>
    </row>
    <row r="2347" spans="2:7" x14ac:dyDescent="0.35">
      <c r="B2347" s="2">
        <v>44693</v>
      </c>
      <c r="C2347" s="4">
        <v>6849.61</v>
      </c>
      <c r="D2347">
        <f t="shared" si="76"/>
        <v>4.542966505628252</v>
      </c>
      <c r="E2347">
        <v>1.7462088693955824E-3</v>
      </c>
      <c r="F2347">
        <v>2344</v>
      </c>
      <c r="G2347">
        <f t="shared" ca="1" si="77"/>
        <v>1.851262456593035E-2</v>
      </c>
    </row>
    <row r="2348" spans="2:7" x14ac:dyDescent="0.35">
      <c r="B2348" s="2">
        <v>43272</v>
      </c>
      <c r="C2348" s="4">
        <v>1235.73</v>
      </c>
      <c r="D2348">
        <f t="shared" si="76"/>
        <v>9.7352097993223872</v>
      </c>
      <c r="E2348">
        <v>1.7428946643105458E-3</v>
      </c>
      <c r="F2348">
        <v>2345</v>
      </c>
      <c r="G2348">
        <f t="shared" ca="1" si="77"/>
        <v>-4.0379095379076612E-3</v>
      </c>
    </row>
    <row r="2349" spans="2:7" x14ac:dyDescent="0.35">
      <c r="B2349" s="2">
        <v>39337</v>
      </c>
      <c r="C2349" s="4">
        <v>115.11</v>
      </c>
      <c r="D2349">
        <f t="shared" si="76"/>
        <v>-0.85214252684581004</v>
      </c>
      <c r="E2349">
        <v>1.7404925593942355E-3</v>
      </c>
      <c r="F2349">
        <v>2346</v>
      </c>
      <c r="G2349">
        <f t="shared" ca="1" si="77"/>
        <v>-5.6787645857196813E-3</v>
      </c>
    </row>
    <row r="2350" spans="2:7" x14ac:dyDescent="0.35">
      <c r="B2350" s="2">
        <v>42551</v>
      </c>
      <c r="C2350" s="4">
        <v>778.52</v>
      </c>
      <c r="D2350">
        <f t="shared" si="76"/>
        <v>-0.91201752145541992</v>
      </c>
      <c r="E2350">
        <v>1.7370716831581756E-3</v>
      </c>
      <c r="F2350">
        <v>2347</v>
      </c>
      <c r="G2350">
        <f t="shared" ca="1" si="77"/>
        <v>-3.5270814634953573E-2</v>
      </c>
    </row>
    <row r="2351" spans="2:7" x14ac:dyDescent="0.35">
      <c r="B2351" s="2">
        <v>44657</v>
      </c>
      <c r="C2351" s="4">
        <v>8848.58</v>
      </c>
      <c r="D2351">
        <f t="shared" si="76"/>
        <v>1.5411473470184829</v>
      </c>
      <c r="E2351">
        <v>1.7230136663737294E-3</v>
      </c>
      <c r="F2351">
        <v>2348</v>
      </c>
      <c r="G2351">
        <f t="shared" ca="1" si="77"/>
        <v>-5.8108303270482434E-4</v>
      </c>
    </row>
    <row r="2352" spans="2:7" x14ac:dyDescent="0.35">
      <c r="B2352" s="2">
        <v>44328</v>
      </c>
      <c r="C2352" s="4">
        <v>3482.12</v>
      </c>
      <c r="D2352">
        <f t="shared" si="76"/>
        <v>2.8482417169506884</v>
      </c>
      <c r="E2352">
        <v>1.7202989522862033E-3</v>
      </c>
      <c r="F2352">
        <v>2349</v>
      </c>
      <c r="G2352">
        <f t="shared" ca="1" si="77"/>
        <v>2.0137191321953886E-2</v>
      </c>
    </row>
    <row r="2353" spans="2:7" x14ac:dyDescent="0.35">
      <c r="B2353" s="2">
        <v>43537</v>
      </c>
      <c r="C2353" s="4">
        <v>904.86</v>
      </c>
      <c r="D2353">
        <f t="shared" si="76"/>
        <v>-0.85528838849484634</v>
      </c>
      <c r="E2353">
        <v>1.7159114811085008E-3</v>
      </c>
      <c r="F2353">
        <v>2350</v>
      </c>
      <c r="G2353">
        <f t="shared" ca="1" si="77"/>
        <v>-2.6205970874155923E-2</v>
      </c>
    </row>
    <row r="2354" spans="2:7" x14ac:dyDescent="0.35">
      <c r="B2354" s="2">
        <v>44942</v>
      </c>
      <c r="C2354" s="4">
        <v>6252.85</v>
      </c>
      <c r="D2354">
        <f t="shared" si="76"/>
        <v>26.820119238298631</v>
      </c>
      <c r="E2354">
        <v>1.6981056510072534E-3</v>
      </c>
      <c r="F2354">
        <v>2351</v>
      </c>
      <c r="G2354">
        <f t="shared" ca="1" si="77"/>
        <v>-5.5493856987962227E-2</v>
      </c>
    </row>
    <row r="2355" spans="2:7" x14ac:dyDescent="0.35">
      <c r="B2355" s="2">
        <v>41771</v>
      </c>
      <c r="C2355" s="4">
        <v>224.76</v>
      </c>
      <c r="D2355">
        <f t="shared" si="76"/>
        <v>2.7908584921571933</v>
      </c>
      <c r="E2355">
        <v>1.6935555753632148E-3</v>
      </c>
      <c r="F2355">
        <v>2352</v>
      </c>
      <c r="G2355">
        <f t="shared" ca="1" si="77"/>
        <v>1.5289357543798645E-2</v>
      </c>
    </row>
    <row r="2356" spans="2:7" x14ac:dyDescent="0.35">
      <c r="B2356" s="2">
        <v>38910</v>
      </c>
      <c r="C2356" s="4">
        <v>59.29</v>
      </c>
      <c r="D2356">
        <f t="shared" si="76"/>
        <v>-0.29567593252554059</v>
      </c>
      <c r="E2356">
        <v>1.6894745734077343E-3</v>
      </c>
      <c r="F2356">
        <v>2353</v>
      </c>
      <c r="G2356">
        <f t="shared" ca="1" si="77"/>
        <v>-4.7327825539976248E-2</v>
      </c>
    </row>
    <row r="2357" spans="2:7" x14ac:dyDescent="0.35">
      <c r="B2357" s="2">
        <v>41557</v>
      </c>
      <c r="C2357" s="4">
        <v>84.18</v>
      </c>
      <c r="D2357">
        <f t="shared" si="76"/>
        <v>0.38659199472903971</v>
      </c>
      <c r="E2357">
        <v>1.6658733936221193E-3</v>
      </c>
      <c r="F2357">
        <v>2354</v>
      </c>
      <c r="G2357">
        <f t="shared" ca="1" si="77"/>
        <v>2.0240817916288911E-2</v>
      </c>
    </row>
    <row r="2358" spans="2:7" x14ac:dyDescent="0.35">
      <c r="B2358" s="2">
        <v>39685</v>
      </c>
      <c r="C2358" s="4">
        <v>60.71</v>
      </c>
      <c r="D2358">
        <f t="shared" si="76"/>
        <v>-0.16698682766190998</v>
      </c>
      <c r="E2358">
        <v>1.6498927569708055E-3</v>
      </c>
      <c r="F2358">
        <v>2355</v>
      </c>
      <c r="G2358">
        <f t="shared" ca="1" si="77"/>
        <v>8.882553349141481E-3</v>
      </c>
    </row>
    <row r="2359" spans="2:7" x14ac:dyDescent="0.35">
      <c r="B2359" s="2">
        <v>38726</v>
      </c>
      <c r="C2359" s="4">
        <v>72.88</v>
      </c>
      <c r="D2359">
        <f t="shared" si="76"/>
        <v>-0.89726674278625906</v>
      </c>
      <c r="E2359">
        <v>1.6492578339746267E-3</v>
      </c>
      <c r="F2359">
        <v>2356</v>
      </c>
      <c r="G2359">
        <f t="shared" ca="1" si="77"/>
        <v>-5.1171497575398205E-3</v>
      </c>
    </row>
    <row r="2360" spans="2:7" x14ac:dyDescent="0.35">
      <c r="B2360" s="2">
        <v>42858</v>
      </c>
      <c r="C2360" s="4">
        <v>709.41</v>
      </c>
      <c r="D2360">
        <f t="shared" si="76"/>
        <v>-0.14902116021304157</v>
      </c>
      <c r="E2360">
        <v>1.6378397458522986E-3</v>
      </c>
      <c r="F2360">
        <v>2357</v>
      </c>
      <c r="G2360">
        <f t="shared" ca="1" si="77"/>
        <v>3.0816706537647485E-2</v>
      </c>
    </row>
    <row r="2361" spans="2:7" x14ac:dyDescent="0.35">
      <c r="B2361" s="2">
        <v>43819</v>
      </c>
      <c r="C2361" s="4">
        <v>833.64</v>
      </c>
      <c r="D2361">
        <f t="shared" si="76"/>
        <v>26.110243902439024</v>
      </c>
      <c r="E2361">
        <v>1.6340654587398973E-3</v>
      </c>
      <c r="F2361">
        <v>2358</v>
      </c>
      <c r="G2361">
        <f t="shared" ca="1" si="77"/>
        <v>5.3369194463674333E-3</v>
      </c>
    </row>
    <row r="2362" spans="2:7" x14ac:dyDescent="0.35">
      <c r="B2362" s="2">
        <v>37522</v>
      </c>
      <c r="C2362" s="4">
        <v>30.75</v>
      </c>
      <c r="D2362">
        <f t="shared" si="76"/>
        <v>-0.95900163993440257</v>
      </c>
      <c r="E2362">
        <v>1.6286644951140072E-3</v>
      </c>
      <c r="F2362">
        <v>2359</v>
      </c>
      <c r="G2362">
        <f t="shared" ca="1" si="77"/>
        <v>1.0553550008039083E-2</v>
      </c>
    </row>
    <row r="2363" spans="2:7" x14ac:dyDescent="0.35">
      <c r="B2363" s="2">
        <v>42605</v>
      </c>
      <c r="C2363" s="4">
        <v>750.03</v>
      </c>
      <c r="D2363">
        <f t="shared" si="76"/>
        <v>-0.71826896349663061</v>
      </c>
      <c r="E2363">
        <v>1.6158756443469535E-3</v>
      </c>
      <c r="F2363">
        <v>2360</v>
      </c>
      <c r="G2363">
        <f t="shared" ca="1" si="77"/>
        <v>1.8693436626453837E-3</v>
      </c>
    </row>
    <row r="2364" spans="2:7" x14ac:dyDescent="0.35">
      <c r="B2364" s="2">
        <v>44286</v>
      </c>
      <c r="C2364" s="4">
        <v>2662.22</v>
      </c>
      <c r="D2364">
        <f t="shared" si="76"/>
        <v>1.8846558094680836</v>
      </c>
      <c r="E2364">
        <v>1.5989646233780519E-3</v>
      </c>
      <c r="F2364">
        <v>2361</v>
      </c>
      <c r="G2364">
        <f t="shared" ca="1" si="77"/>
        <v>5.6978677440119672E-3</v>
      </c>
    </row>
    <row r="2365" spans="2:7" x14ac:dyDescent="0.35">
      <c r="B2365" s="2">
        <v>43151</v>
      </c>
      <c r="C2365" s="4">
        <v>922.89</v>
      </c>
      <c r="D2365">
        <f t="shared" si="76"/>
        <v>2.9390768956209401E-2</v>
      </c>
      <c r="E2365">
        <v>1.5736238930368351E-3</v>
      </c>
      <c r="F2365">
        <v>2362</v>
      </c>
      <c r="G2365">
        <f t="shared" ca="1" si="77"/>
        <v>6.4027645525234211E-2</v>
      </c>
    </row>
    <row r="2366" spans="2:7" x14ac:dyDescent="0.35">
      <c r="B2366" s="2">
        <v>42443</v>
      </c>
      <c r="C2366" s="4">
        <v>896.54</v>
      </c>
      <c r="D2366">
        <f t="shared" si="76"/>
        <v>10.601190476190476</v>
      </c>
      <c r="E2366">
        <v>1.5640011618294203E-3</v>
      </c>
      <c r="F2366">
        <v>2363</v>
      </c>
      <c r="G2366">
        <f t="shared" ca="1" si="77"/>
        <v>1.5745377397220272E-2</v>
      </c>
    </row>
    <row r="2367" spans="2:7" x14ac:dyDescent="0.35">
      <c r="B2367" s="2">
        <v>38596</v>
      </c>
      <c r="C2367" s="4">
        <v>77.28</v>
      </c>
      <c r="D2367">
        <f t="shared" si="76"/>
        <v>1.3918291550603525</v>
      </c>
      <c r="E2367">
        <v>1.5552099533437946E-3</v>
      </c>
      <c r="F2367">
        <v>2364</v>
      </c>
      <c r="G2367">
        <f t="shared" ca="1" si="77"/>
        <v>3.4998319084339272E-3</v>
      </c>
    </row>
    <row r="2368" spans="2:7" x14ac:dyDescent="0.35">
      <c r="B2368" s="2">
        <v>37508</v>
      </c>
      <c r="C2368" s="4">
        <v>32.31</v>
      </c>
      <c r="D2368">
        <f t="shared" si="76"/>
        <v>-0.96478013473151802</v>
      </c>
      <c r="E2368">
        <v>1.5499070055797759E-3</v>
      </c>
      <c r="F2368">
        <v>2365</v>
      </c>
      <c r="G2368">
        <f t="shared" ca="1" si="77"/>
        <v>8.6535294407549448E-3</v>
      </c>
    </row>
    <row r="2369" spans="2:7" x14ac:dyDescent="0.35">
      <c r="B2369" s="2">
        <v>43397</v>
      </c>
      <c r="C2369" s="4">
        <v>917.38</v>
      </c>
      <c r="D2369">
        <f t="shared" si="76"/>
        <v>7.1835860838537027</v>
      </c>
      <c r="E2369">
        <v>1.5393517254931322E-3</v>
      </c>
      <c r="F2369">
        <v>2366</v>
      </c>
      <c r="G2369">
        <f t="shared" ca="1" si="77"/>
        <v>1.9022112737239624E-2</v>
      </c>
    </row>
    <row r="2370" spans="2:7" x14ac:dyDescent="0.35">
      <c r="B2370" s="2">
        <v>39211</v>
      </c>
      <c r="C2370" s="4">
        <v>112.1</v>
      </c>
      <c r="D2370">
        <f t="shared" si="76"/>
        <v>0.51384199864956104</v>
      </c>
      <c r="E2370">
        <v>1.518806396854977E-3</v>
      </c>
      <c r="F2370">
        <v>2367</v>
      </c>
      <c r="G2370">
        <f t="shared" ca="1" si="77"/>
        <v>3.6254681474168923E-2</v>
      </c>
    </row>
    <row r="2371" spans="2:7" x14ac:dyDescent="0.35">
      <c r="B2371" s="2">
        <v>39597</v>
      </c>
      <c r="C2371" s="4">
        <v>74.05</v>
      </c>
      <c r="D2371">
        <f t="shared" si="76"/>
        <v>-4.4366765259478136E-3</v>
      </c>
      <c r="E2371">
        <v>1.4876927238300919E-3</v>
      </c>
      <c r="F2371">
        <v>2368</v>
      </c>
      <c r="G2371">
        <f t="shared" ca="1" si="77"/>
        <v>-1.7451203978975847E-2</v>
      </c>
    </row>
    <row r="2372" spans="2:7" x14ac:dyDescent="0.35">
      <c r="B2372" s="2">
        <v>39643</v>
      </c>
      <c r="C2372" s="4">
        <v>74.38</v>
      </c>
      <c r="D2372">
        <f t="shared" ref="D2372:D2435" si="78">C2372/C2373-1</f>
        <v>-0.98416864079757016</v>
      </c>
      <c r="E2372">
        <v>1.4810825366904368E-3</v>
      </c>
      <c r="F2372">
        <v>2369</v>
      </c>
      <c r="G2372">
        <f t="shared" ca="1" si="77"/>
        <v>3.2265913243242905E-2</v>
      </c>
    </row>
    <row r="2373" spans="2:7" x14ac:dyDescent="0.35">
      <c r="B2373" s="2">
        <v>44426</v>
      </c>
      <c r="C2373" s="4">
        <v>4698.2700000000004</v>
      </c>
      <c r="D2373">
        <f t="shared" si="78"/>
        <v>61.601865423051308</v>
      </c>
      <c r="E2373">
        <v>1.4729204324546163E-3</v>
      </c>
      <c r="F2373">
        <v>2370</v>
      </c>
      <c r="G2373">
        <f t="shared" ref="G2373:G2436" ca="1" si="79">_xlfn.NORM.INV(RAND(),K$6,K$7)</f>
        <v>-3.3195032309273703E-2</v>
      </c>
    </row>
    <row r="2374" spans="2:7" x14ac:dyDescent="0.35">
      <c r="B2374" s="2">
        <v>41535</v>
      </c>
      <c r="C2374" s="4">
        <v>75.05</v>
      </c>
      <c r="D2374">
        <f t="shared" si="78"/>
        <v>-0.98450654214096678</v>
      </c>
      <c r="E2374">
        <v>1.4678409394182079E-3</v>
      </c>
      <c r="F2374">
        <v>2371</v>
      </c>
      <c r="G2374">
        <f t="shared" ca="1" si="79"/>
        <v>1.2682714586099986E-2</v>
      </c>
    </row>
    <row r="2375" spans="2:7" x14ac:dyDescent="0.35">
      <c r="B2375" s="2">
        <v>44435</v>
      </c>
      <c r="C2375" s="4">
        <v>4843.9799999999996</v>
      </c>
      <c r="D2375">
        <f t="shared" si="78"/>
        <v>3.9593848863043002</v>
      </c>
      <c r="E2375">
        <v>1.4513247990473044E-3</v>
      </c>
      <c r="F2375">
        <v>2372</v>
      </c>
      <c r="G2375">
        <f t="shared" ca="1" si="79"/>
        <v>1.6555801682074364E-2</v>
      </c>
    </row>
    <row r="2376" spans="2:7" x14ac:dyDescent="0.35">
      <c r="B2376" s="2">
        <v>43116</v>
      </c>
      <c r="C2376" s="4">
        <v>976.73</v>
      </c>
      <c r="D2376">
        <f t="shared" si="78"/>
        <v>-0.83742436978286738</v>
      </c>
      <c r="E2376">
        <v>1.4354116042774034E-3</v>
      </c>
      <c r="F2376">
        <v>2373</v>
      </c>
      <c r="G2376">
        <f t="shared" ca="1" si="79"/>
        <v>1.1316817741361925E-2</v>
      </c>
    </row>
    <row r="2377" spans="2:7" x14ac:dyDescent="0.35">
      <c r="B2377" s="2">
        <v>44523</v>
      </c>
      <c r="C2377" s="4">
        <v>6007.85</v>
      </c>
      <c r="D2377">
        <f t="shared" si="78"/>
        <v>84.56971941318902</v>
      </c>
      <c r="E2377">
        <v>1.4351817896933738E-3</v>
      </c>
      <c r="F2377">
        <v>2374</v>
      </c>
      <c r="G2377">
        <f t="shared" ca="1" si="79"/>
        <v>3.2511146886878582E-2</v>
      </c>
    </row>
    <row r="2378" spans="2:7" x14ac:dyDescent="0.35">
      <c r="B2378" s="2">
        <v>38629</v>
      </c>
      <c r="C2378" s="4">
        <v>70.209999999999994</v>
      </c>
      <c r="D2378">
        <f t="shared" si="78"/>
        <v>-0.10044843049327357</v>
      </c>
      <c r="E2378">
        <v>1.4263300527741496E-3</v>
      </c>
      <c r="F2378">
        <v>2375</v>
      </c>
      <c r="G2378">
        <f t="shared" ca="1" si="79"/>
        <v>2.5769158577043684E-2</v>
      </c>
    </row>
    <row r="2379" spans="2:7" x14ac:dyDescent="0.35">
      <c r="B2379" s="2">
        <v>38965</v>
      </c>
      <c r="C2379" s="4">
        <v>78.05</v>
      </c>
      <c r="D2379">
        <f t="shared" si="78"/>
        <v>2.6420905272981798</v>
      </c>
      <c r="E2379">
        <v>1.4113420579933145E-3</v>
      </c>
      <c r="F2379">
        <v>2376</v>
      </c>
      <c r="G2379">
        <f t="shared" ca="1" si="79"/>
        <v>4.3119200294962502E-2</v>
      </c>
    </row>
    <row r="2380" spans="2:7" x14ac:dyDescent="0.35">
      <c r="B2380" s="2">
        <v>37768</v>
      </c>
      <c r="C2380" s="4">
        <v>21.43</v>
      </c>
      <c r="D2380">
        <f t="shared" si="78"/>
        <v>-0.72825259954349475</v>
      </c>
      <c r="E2380">
        <v>1.4018691588786325E-3</v>
      </c>
      <c r="F2380">
        <v>2377</v>
      </c>
      <c r="G2380">
        <f t="shared" ca="1" si="79"/>
        <v>-1.1557610443638906E-2</v>
      </c>
    </row>
    <row r="2381" spans="2:7" x14ac:dyDescent="0.35">
      <c r="B2381" s="2">
        <v>41460</v>
      </c>
      <c r="C2381" s="4">
        <v>78.86</v>
      </c>
      <c r="D2381">
        <f t="shared" si="78"/>
        <v>-0.91937347278880266</v>
      </c>
      <c r="E2381">
        <v>1.3968253968252853E-3</v>
      </c>
      <c r="F2381">
        <v>2378</v>
      </c>
      <c r="G2381">
        <f t="shared" ca="1" si="79"/>
        <v>-1.1222519296738362E-2</v>
      </c>
    </row>
    <row r="2382" spans="2:7" x14ac:dyDescent="0.35">
      <c r="B2382" s="2">
        <v>43117</v>
      </c>
      <c r="C2382" s="4">
        <v>978.09</v>
      </c>
      <c r="D2382">
        <f t="shared" si="78"/>
        <v>0.2102977206919594</v>
      </c>
      <c r="E2382">
        <v>1.3924011753503329E-3</v>
      </c>
      <c r="F2382">
        <v>2379</v>
      </c>
      <c r="G2382">
        <f t="shared" ca="1" si="79"/>
        <v>-4.2723119872086393E-2</v>
      </c>
    </row>
    <row r="2383" spans="2:7" x14ac:dyDescent="0.35">
      <c r="B2383" s="2">
        <v>43018</v>
      </c>
      <c r="C2383" s="4">
        <v>808.14</v>
      </c>
      <c r="D2383">
        <f t="shared" si="78"/>
        <v>12.933448275862069</v>
      </c>
      <c r="E2383">
        <v>1.3878218631508954E-3</v>
      </c>
      <c r="F2383">
        <v>2380</v>
      </c>
      <c r="G2383">
        <f t="shared" ca="1" si="79"/>
        <v>5.2157926816078504E-3</v>
      </c>
    </row>
    <row r="2384" spans="2:7" x14ac:dyDescent="0.35">
      <c r="B2384" s="2">
        <v>38476</v>
      </c>
      <c r="C2384" s="4">
        <v>58</v>
      </c>
      <c r="D2384">
        <f t="shared" si="78"/>
        <v>-0.92527699046637468</v>
      </c>
      <c r="E2384">
        <v>1.3812154696133394E-3</v>
      </c>
      <c r="F2384">
        <v>2381</v>
      </c>
      <c r="G2384">
        <f t="shared" ca="1" si="79"/>
        <v>-4.9901016114345255E-2</v>
      </c>
    </row>
    <row r="2385" spans="2:7" x14ac:dyDescent="0.35">
      <c r="B2385" s="2">
        <v>43797</v>
      </c>
      <c r="C2385" s="4">
        <v>776.2</v>
      </c>
      <c r="D2385">
        <f t="shared" si="78"/>
        <v>12.355127322780456</v>
      </c>
      <c r="E2385">
        <v>1.3804136080399765E-3</v>
      </c>
      <c r="F2385">
        <v>2382</v>
      </c>
      <c r="G2385">
        <f t="shared" ca="1" si="79"/>
        <v>9.6174019782424179E-4</v>
      </c>
    </row>
    <row r="2386" spans="2:7" x14ac:dyDescent="0.35">
      <c r="B2386" s="2">
        <v>38496</v>
      </c>
      <c r="C2386" s="4">
        <v>58.12</v>
      </c>
      <c r="D2386">
        <f t="shared" si="78"/>
        <v>-0.43468534189281205</v>
      </c>
      <c r="E2386">
        <v>1.3783597518952639E-3</v>
      </c>
      <c r="F2386">
        <v>2383</v>
      </c>
      <c r="G2386">
        <f t="shared" ca="1" si="79"/>
        <v>6.7401992791393917E-2</v>
      </c>
    </row>
    <row r="2387" spans="2:7" x14ac:dyDescent="0.35">
      <c r="B2387" s="2">
        <v>40576</v>
      </c>
      <c r="C2387" s="4">
        <v>102.81</v>
      </c>
      <c r="D2387">
        <f t="shared" si="78"/>
        <v>-0.61259326249152157</v>
      </c>
      <c r="E2387">
        <v>1.3635920911658772E-3</v>
      </c>
      <c r="F2387">
        <v>2384</v>
      </c>
      <c r="G2387">
        <f t="shared" ca="1" si="79"/>
        <v>1.3122045786341623E-2</v>
      </c>
    </row>
    <row r="2388" spans="2:7" x14ac:dyDescent="0.35">
      <c r="B2388" s="2">
        <v>42003</v>
      </c>
      <c r="C2388" s="4">
        <v>265.38</v>
      </c>
      <c r="D2388">
        <f t="shared" si="78"/>
        <v>2.9864803965750339</v>
      </c>
      <c r="E2388">
        <v>1.358388046185155E-3</v>
      </c>
      <c r="F2388">
        <v>2385</v>
      </c>
      <c r="G2388">
        <f t="shared" ca="1" si="79"/>
        <v>-4.4618978666345156E-2</v>
      </c>
    </row>
    <row r="2389" spans="2:7" x14ac:dyDescent="0.35">
      <c r="B2389" s="2">
        <v>39566</v>
      </c>
      <c r="C2389" s="4">
        <v>66.569999999999993</v>
      </c>
      <c r="D2389">
        <f t="shared" si="78"/>
        <v>-0.47462710125483387</v>
      </c>
      <c r="E2389">
        <v>1.3537906137182087E-3</v>
      </c>
      <c r="F2389">
        <v>2386</v>
      </c>
      <c r="G2389">
        <f t="shared" ca="1" si="79"/>
        <v>5.8092539471777341E-3</v>
      </c>
    </row>
    <row r="2390" spans="2:7" x14ac:dyDescent="0.35">
      <c r="B2390" s="2">
        <v>40294</v>
      </c>
      <c r="C2390" s="4">
        <v>126.71</v>
      </c>
      <c r="D2390">
        <f t="shared" si="78"/>
        <v>0.28483066315149053</v>
      </c>
      <c r="E2390">
        <v>1.3434487118697547E-3</v>
      </c>
      <c r="F2390">
        <v>2387</v>
      </c>
      <c r="G2390">
        <f t="shared" ca="1" si="79"/>
        <v>1.1498905273050605E-2</v>
      </c>
    </row>
    <row r="2391" spans="2:7" x14ac:dyDescent="0.35">
      <c r="B2391" s="2">
        <v>40619</v>
      </c>
      <c r="C2391" s="4">
        <v>98.62</v>
      </c>
      <c r="D2391">
        <f t="shared" si="78"/>
        <v>0.43949788352065378</v>
      </c>
      <c r="E2391">
        <v>1.3199309574576379E-3</v>
      </c>
      <c r="F2391">
        <v>2388</v>
      </c>
      <c r="G2391">
        <f t="shared" ca="1" si="79"/>
        <v>2.6984892217906505E-2</v>
      </c>
    </row>
    <row r="2392" spans="2:7" x14ac:dyDescent="0.35">
      <c r="B2392" s="2">
        <v>38632</v>
      </c>
      <c r="C2392" s="4">
        <v>68.510000000000005</v>
      </c>
      <c r="D2392">
        <f t="shared" si="78"/>
        <v>-0.92623577419597958</v>
      </c>
      <c r="E2392">
        <v>1.3154048523824624E-3</v>
      </c>
      <c r="F2392">
        <v>2389</v>
      </c>
      <c r="G2392">
        <f t="shared" ca="1" si="79"/>
        <v>-1.7776298355536704E-2</v>
      </c>
    </row>
    <row r="2393" spans="2:7" x14ac:dyDescent="0.35">
      <c r="B2393" s="2">
        <v>43544</v>
      </c>
      <c r="C2393" s="4">
        <v>928.77</v>
      </c>
      <c r="D2393">
        <f t="shared" si="78"/>
        <v>-0.8517028852448546</v>
      </c>
      <c r="E2393">
        <v>1.3152929761199861E-3</v>
      </c>
      <c r="F2393">
        <v>2390</v>
      </c>
      <c r="G2393">
        <f t="shared" ca="1" si="79"/>
        <v>-2.8712539340163486E-2</v>
      </c>
    </row>
    <row r="2394" spans="2:7" x14ac:dyDescent="0.35">
      <c r="B2394" s="2">
        <v>44944</v>
      </c>
      <c r="C2394" s="4">
        <v>6262.9</v>
      </c>
      <c r="D2394">
        <f t="shared" si="78"/>
        <v>115.04409857328145</v>
      </c>
      <c r="E2394">
        <v>1.3030097126183193E-3</v>
      </c>
      <c r="F2394">
        <v>2391</v>
      </c>
      <c r="G2394">
        <f t="shared" ca="1" si="79"/>
        <v>-9.2469370226099992E-3</v>
      </c>
    </row>
    <row r="2395" spans="2:7" x14ac:dyDescent="0.35">
      <c r="B2395" s="2">
        <v>38386</v>
      </c>
      <c r="C2395" s="4">
        <v>53.97</v>
      </c>
      <c r="D2395">
        <f t="shared" si="78"/>
        <v>-0.9194056596729635</v>
      </c>
      <c r="E2395">
        <v>1.2987012987013546E-3</v>
      </c>
      <c r="F2395">
        <v>2392</v>
      </c>
      <c r="G2395">
        <f t="shared" ca="1" si="79"/>
        <v>-3.2707904617754126E-4</v>
      </c>
    </row>
    <row r="2396" spans="2:7" x14ac:dyDescent="0.35">
      <c r="B2396" s="2">
        <v>42803</v>
      </c>
      <c r="C2396" s="4">
        <v>669.65</v>
      </c>
      <c r="D2396">
        <f t="shared" si="78"/>
        <v>5.0421366056121988</v>
      </c>
      <c r="E2396">
        <v>1.2859043945034898E-3</v>
      </c>
      <c r="F2396">
        <v>2393</v>
      </c>
      <c r="G2396">
        <f t="shared" ca="1" si="79"/>
        <v>-1.4850254238770268E-2</v>
      </c>
    </row>
    <row r="2397" spans="2:7" x14ac:dyDescent="0.35">
      <c r="B2397" s="2">
        <v>39307</v>
      </c>
      <c r="C2397" s="4">
        <v>110.83</v>
      </c>
      <c r="D2397">
        <f t="shared" si="78"/>
        <v>-0.87708227047889453</v>
      </c>
      <c r="E2397">
        <v>1.2647935676213251E-3</v>
      </c>
      <c r="F2397">
        <v>2394</v>
      </c>
      <c r="G2397">
        <f t="shared" ca="1" si="79"/>
        <v>-3.9343765387138E-3</v>
      </c>
    </row>
    <row r="2398" spans="2:7" x14ac:dyDescent="0.35">
      <c r="B2398" s="2">
        <v>43550</v>
      </c>
      <c r="C2398" s="4">
        <v>901.66</v>
      </c>
      <c r="D2398">
        <f t="shared" si="78"/>
        <v>6.3591860808021261E-2</v>
      </c>
      <c r="E2398">
        <v>1.2548166079975331E-3</v>
      </c>
      <c r="F2398">
        <v>2395</v>
      </c>
      <c r="G2398">
        <f t="shared" ca="1" si="79"/>
        <v>-3.4760787748580385E-3</v>
      </c>
    </row>
    <row r="2399" spans="2:7" x14ac:dyDescent="0.35">
      <c r="B2399" s="2">
        <v>42991</v>
      </c>
      <c r="C2399" s="4">
        <v>847.75</v>
      </c>
      <c r="D2399">
        <f t="shared" si="78"/>
        <v>7.0923062237495227</v>
      </c>
      <c r="E2399">
        <v>1.2519340018188885E-3</v>
      </c>
      <c r="F2399">
        <v>2396</v>
      </c>
      <c r="G2399">
        <f t="shared" ca="1" si="79"/>
        <v>4.6870721823746957E-2</v>
      </c>
    </row>
    <row r="2400" spans="2:7" x14ac:dyDescent="0.35">
      <c r="B2400" s="2">
        <v>39316</v>
      </c>
      <c r="C2400" s="4">
        <v>104.76</v>
      </c>
      <c r="D2400">
        <f t="shared" si="78"/>
        <v>3.3289256198347115</v>
      </c>
      <c r="E2400">
        <v>1.2424734779701296E-3</v>
      </c>
      <c r="F2400">
        <v>2397</v>
      </c>
      <c r="G2400">
        <f t="shared" ca="1" si="79"/>
        <v>1.5879826329731339E-2</v>
      </c>
    </row>
    <row r="2401" spans="2:7" x14ac:dyDescent="0.35">
      <c r="B2401" s="2">
        <v>37671</v>
      </c>
      <c r="C2401" s="4">
        <v>24.2</v>
      </c>
      <c r="D2401">
        <f t="shared" si="78"/>
        <v>-0.98190085858736953</v>
      </c>
      <c r="E2401">
        <v>1.2412081092261218E-3</v>
      </c>
      <c r="F2401">
        <v>2398</v>
      </c>
      <c r="G2401">
        <f t="shared" ca="1" si="79"/>
        <v>-2.0486854895156555E-2</v>
      </c>
    </row>
    <row r="2402" spans="2:7" x14ac:dyDescent="0.35">
      <c r="B2402" s="2">
        <v>43297</v>
      </c>
      <c r="C2402" s="4">
        <v>1337.08</v>
      </c>
      <c r="D2402">
        <f t="shared" si="78"/>
        <v>12.73477144324602</v>
      </c>
      <c r="E2402">
        <v>1.2355570864814869E-3</v>
      </c>
      <c r="F2402">
        <v>2399</v>
      </c>
      <c r="G2402">
        <f t="shared" ca="1" si="79"/>
        <v>-1.4774875032276792E-2</v>
      </c>
    </row>
    <row r="2403" spans="2:7" x14ac:dyDescent="0.35">
      <c r="B2403" s="2">
        <v>40690</v>
      </c>
      <c r="C2403" s="4">
        <v>97.35</v>
      </c>
      <c r="D2403">
        <f t="shared" si="78"/>
        <v>0.19623986237404778</v>
      </c>
      <c r="E2403">
        <v>1.2341869793273119E-3</v>
      </c>
      <c r="F2403">
        <v>2400</v>
      </c>
      <c r="G2403">
        <f t="shared" ca="1" si="79"/>
        <v>1.5893494563668942E-2</v>
      </c>
    </row>
    <row r="2404" spans="2:7" x14ac:dyDescent="0.35">
      <c r="B2404" s="2">
        <v>40820</v>
      </c>
      <c r="C2404" s="4">
        <v>81.38</v>
      </c>
      <c r="D2404">
        <f t="shared" si="78"/>
        <v>-0.89711367055640545</v>
      </c>
      <c r="E2404">
        <v>1.2303149606298636E-3</v>
      </c>
      <c r="F2404">
        <v>2401</v>
      </c>
      <c r="G2404">
        <f t="shared" ca="1" si="79"/>
        <v>-1.5759766727587377E-2</v>
      </c>
    </row>
    <row r="2405" spans="2:7" x14ac:dyDescent="0.35">
      <c r="B2405" s="2">
        <v>42927</v>
      </c>
      <c r="C2405" s="4">
        <v>790.97</v>
      </c>
      <c r="D2405">
        <f t="shared" si="78"/>
        <v>7.648261535097312</v>
      </c>
      <c r="E2405">
        <v>1.2278481012657494E-3</v>
      </c>
      <c r="F2405">
        <v>2402</v>
      </c>
      <c r="G2405">
        <f t="shared" ca="1" si="79"/>
        <v>9.6815325945169024E-3</v>
      </c>
    </row>
    <row r="2406" spans="2:7" x14ac:dyDescent="0.35">
      <c r="B2406" s="2">
        <v>41316</v>
      </c>
      <c r="C2406" s="4">
        <v>91.46</v>
      </c>
      <c r="D2406">
        <f t="shared" si="78"/>
        <v>-0.65981030314301659</v>
      </c>
      <c r="E2406">
        <v>1.20415982484956E-3</v>
      </c>
      <c r="F2406">
        <v>2403</v>
      </c>
      <c r="G2406">
        <f t="shared" ca="1" si="79"/>
        <v>-9.8966364183451401E-3</v>
      </c>
    </row>
    <row r="2407" spans="2:7" x14ac:dyDescent="0.35">
      <c r="B2407" s="2">
        <v>41870</v>
      </c>
      <c r="C2407" s="4">
        <v>268.85000000000002</v>
      </c>
      <c r="D2407">
        <f t="shared" si="78"/>
        <v>-0.67349987248460708</v>
      </c>
      <c r="E2407">
        <v>1.1916731836296712E-3</v>
      </c>
      <c r="F2407">
        <v>2404</v>
      </c>
      <c r="G2407">
        <f t="shared" ca="1" si="79"/>
        <v>-1.1768046841769209E-2</v>
      </c>
    </row>
    <row r="2408" spans="2:7" x14ac:dyDescent="0.35">
      <c r="B2408" s="2">
        <v>42535</v>
      </c>
      <c r="C2408" s="4">
        <v>823.43</v>
      </c>
      <c r="D2408">
        <f t="shared" si="78"/>
        <v>11.066676436107855</v>
      </c>
      <c r="E2408">
        <v>1.1915617970696957E-3</v>
      </c>
      <c r="F2408">
        <v>2405</v>
      </c>
      <c r="G2408">
        <f t="shared" ca="1" si="79"/>
        <v>2.3835216729249764E-2</v>
      </c>
    </row>
    <row r="2409" spans="2:7" x14ac:dyDescent="0.35">
      <c r="B2409" s="2">
        <v>40098</v>
      </c>
      <c r="C2409" s="4">
        <v>68.239999999999995</v>
      </c>
      <c r="D2409">
        <f t="shared" si="78"/>
        <v>-0.38677210639827464</v>
      </c>
      <c r="E2409">
        <v>1.1737089201877549E-3</v>
      </c>
      <c r="F2409">
        <v>2406</v>
      </c>
      <c r="G2409">
        <f t="shared" ca="1" si="79"/>
        <v>-1.6234085141391005E-2</v>
      </c>
    </row>
    <row r="2410" spans="2:7" x14ac:dyDescent="0.35">
      <c r="B2410" s="2">
        <v>40562</v>
      </c>
      <c r="C2410" s="4">
        <v>111.28</v>
      </c>
      <c r="D2410">
        <f t="shared" si="78"/>
        <v>0.61956047154708216</v>
      </c>
      <c r="E2410">
        <v>1.1695906432747094E-3</v>
      </c>
      <c r="F2410">
        <v>2407</v>
      </c>
      <c r="G2410">
        <f t="shared" ca="1" si="79"/>
        <v>2.073334473676228E-3</v>
      </c>
    </row>
    <row r="2411" spans="2:7" x14ac:dyDescent="0.35">
      <c r="B2411" s="2">
        <v>38562</v>
      </c>
      <c r="C2411" s="4">
        <v>68.709999999999994</v>
      </c>
      <c r="D2411">
        <f t="shared" si="78"/>
        <v>-0.80044146263541571</v>
      </c>
      <c r="E2411">
        <v>1.1656709893632655E-3</v>
      </c>
      <c r="F2411">
        <v>2408</v>
      </c>
      <c r="G2411">
        <f t="shared" ca="1" si="79"/>
        <v>1.1752340910802841E-2</v>
      </c>
    </row>
    <row r="2412" spans="2:7" x14ac:dyDescent="0.35">
      <c r="B2412" s="2">
        <v>42034</v>
      </c>
      <c r="C2412" s="4">
        <v>344.31</v>
      </c>
      <c r="D2412">
        <f t="shared" si="78"/>
        <v>2.8997621474685693</v>
      </c>
      <c r="E2412">
        <v>1.1339846475924009E-3</v>
      </c>
      <c r="F2412">
        <v>2409</v>
      </c>
      <c r="G2412">
        <f t="shared" ca="1" si="79"/>
        <v>-1.0949574501994787E-3</v>
      </c>
    </row>
    <row r="2413" spans="2:7" x14ac:dyDescent="0.35">
      <c r="B2413" s="2">
        <v>41072</v>
      </c>
      <c r="C2413" s="4">
        <v>88.29</v>
      </c>
      <c r="D2413">
        <f t="shared" si="78"/>
        <v>-0.86904090895606512</v>
      </c>
      <c r="E2413">
        <v>1.1339154099105908E-3</v>
      </c>
      <c r="F2413">
        <v>2410</v>
      </c>
      <c r="G2413">
        <f t="shared" ca="1" si="79"/>
        <v>1.0860269566601972E-2</v>
      </c>
    </row>
    <row r="2414" spans="2:7" x14ac:dyDescent="0.35">
      <c r="B2414" s="2">
        <v>42719</v>
      </c>
      <c r="C2414" s="4">
        <v>674.18</v>
      </c>
      <c r="D2414">
        <f t="shared" si="78"/>
        <v>-0.56358104609010873</v>
      </c>
      <c r="E2414">
        <v>1.1285676101095987E-3</v>
      </c>
      <c r="F2414">
        <v>2411</v>
      </c>
      <c r="G2414">
        <f t="shared" ca="1" si="79"/>
        <v>3.8060061642798161E-2</v>
      </c>
    </row>
    <row r="2415" spans="2:7" x14ac:dyDescent="0.35">
      <c r="B2415" s="2">
        <v>44159</v>
      </c>
      <c r="C2415" s="4">
        <v>1544.8</v>
      </c>
      <c r="D2415">
        <f t="shared" si="78"/>
        <v>14.646713258381443</v>
      </c>
      <c r="E2415">
        <v>1.1211416202765445E-3</v>
      </c>
      <c r="F2415">
        <v>2412</v>
      </c>
      <c r="G2415">
        <f t="shared" ca="1" si="79"/>
        <v>4.6886763072217993E-3</v>
      </c>
    </row>
    <row r="2416" spans="2:7" x14ac:dyDescent="0.35">
      <c r="B2416" s="2">
        <v>41193</v>
      </c>
      <c r="C2416" s="4">
        <v>98.73</v>
      </c>
      <c r="D2416">
        <f t="shared" si="78"/>
        <v>0.36367403314917124</v>
      </c>
      <c r="E2416">
        <v>1.1153924153315398E-3</v>
      </c>
      <c r="F2416">
        <v>2413</v>
      </c>
      <c r="G2416">
        <f t="shared" ca="1" si="79"/>
        <v>2.0942280550957757E-3</v>
      </c>
    </row>
    <row r="2417" spans="2:7" x14ac:dyDescent="0.35">
      <c r="B2417" s="2">
        <v>38575</v>
      </c>
      <c r="C2417" s="4">
        <v>72.400000000000006</v>
      </c>
      <c r="D2417">
        <f t="shared" si="78"/>
        <v>-0.11685777018785071</v>
      </c>
      <c r="E2417">
        <v>1.1061946902657382E-3</v>
      </c>
      <c r="F2417">
        <v>2414</v>
      </c>
      <c r="G2417">
        <f t="shared" ca="1" si="79"/>
        <v>1.5051030771424158E-3</v>
      </c>
    </row>
    <row r="2418" spans="2:7" x14ac:dyDescent="0.35">
      <c r="B2418" s="2">
        <v>38845</v>
      </c>
      <c r="C2418" s="4">
        <v>81.98</v>
      </c>
      <c r="D2418">
        <f t="shared" si="78"/>
        <v>0.28013741411617743</v>
      </c>
      <c r="E2418">
        <v>1.0990352912443324E-3</v>
      </c>
      <c r="F2418">
        <v>2415</v>
      </c>
      <c r="G2418">
        <f t="shared" ca="1" si="79"/>
        <v>-1.9724523069175524E-2</v>
      </c>
    </row>
    <row r="2419" spans="2:7" x14ac:dyDescent="0.35">
      <c r="B2419" s="2">
        <v>38939</v>
      </c>
      <c r="C2419" s="4">
        <v>64.040000000000006</v>
      </c>
      <c r="D2419">
        <f t="shared" si="78"/>
        <v>-0.92318211261185612</v>
      </c>
      <c r="E2419">
        <v>1.0942629357513223E-3</v>
      </c>
      <c r="F2419">
        <v>2416</v>
      </c>
      <c r="G2419">
        <f t="shared" ca="1" si="79"/>
        <v>1.5296947688215427E-3</v>
      </c>
    </row>
    <row r="2420" spans="2:7" x14ac:dyDescent="0.35">
      <c r="B2420" s="2">
        <v>42312</v>
      </c>
      <c r="C2420" s="4">
        <v>833.66</v>
      </c>
      <c r="D2420">
        <f t="shared" si="78"/>
        <v>2.7706816228685147</v>
      </c>
      <c r="E2420">
        <v>1.0927649354548485E-3</v>
      </c>
      <c r="F2420">
        <v>2417</v>
      </c>
      <c r="G2420">
        <f t="shared" ca="1" si="79"/>
        <v>-3.6071875283873291E-3</v>
      </c>
    </row>
    <row r="2421" spans="2:7" x14ac:dyDescent="0.35">
      <c r="B2421" s="2">
        <v>41690</v>
      </c>
      <c r="C2421" s="4">
        <v>221.09</v>
      </c>
      <c r="D2421">
        <f t="shared" si="78"/>
        <v>1.1713808681987823</v>
      </c>
      <c r="E2421">
        <v>1.0867104369483016E-3</v>
      </c>
      <c r="F2421">
        <v>2418</v>
      </c>
      <c r="G2421">
        <f t="shared" ca="1" si="79"/>
        <v>2.8476079524789491E-2</v>
      </c>
    </row>
    <row r="2422" spans="2:7" x14ac:dyDescent="0.35">
      <c r="B2422" s="2">
        <v>39449</v>
      </c>
      <c r="C2422" s="4">
        <v>101.82</v>
      </c>
      <c r="D2422">
        <f t="shared" si="78"/>
        <v>0.19745972009878865</v>
      </c>
      <c r="E2422">
        <v>1.0815062432405487E-3</v>
      </c>
      <c r="F2422">
        <v>2419</v>
      </c>
      <c r="G2422">
        <f t="shared" ca="1" si="79"/>
        <v>-1.5637008855743973E-3</v>
      </c>
    </row>
    <row r="2423" spans="2:7" x14ac:dyDescent="0.35">
      <c r="B2423" s="2">
        <v>41368</v>
      </c>
      <c r="C2423" s="4">
        <v>85.03</v>
      </c>
      <c r="D2423">
        <f t="shared" si="78"/>
        <v>1.9845559845559846</v>
      </c>
      <c r="E2423">
        <v>1.0595714622085861E-3</v>
      </c>
      <c r="F2423">
        <v>2420</v>
      </c>
      <c r="G2423">
        <f t="shared" ca="1" si="79"/>
        <v>2.8570015821558874E-2</v>
      </c>
    </row>
    <row r="2424" spans="2:7" x14ac:dyDescent="0.35">
      <c r="B2424" s="2">
        <v>37943</v>
      </c>
      <c r="C2424" s="4">
        <v>28.49</v>
      </c>
      <c r="D2424">
        <f t="shared" si="78"/>
        <v>-0.66802610114192496</v>
      </c>
      <c r="E2424">
        <v>1.0541110330286596E-3</v>
      </c>
      <c r="F2424">
        <v>2421</v>
      </c>
      <c r="G2424">
        <f t="shared" ca="1" si="79"/>
        <v>-1.0937686811104316E-2</v>
      </c>
    </row>
    <row r="2425" spans="2:7" x14ac:dyDescent="0.35">
      <c r="B2425" s="2">
        <v>39413</v>
      </c>
      <c r="C2425" s="4">
        <v>85.82</v>
      </c>
      <c r="D2425">
        <f t="shared" si="78"/>
        <v>1.9603311486719557</v>
      </c>
      <c r="E2425">
        <v>1.0498075352851632E-3</v>
      </c>
      <c r="F2425">
        <v>2422</v>
      </c>
      <c r="G2425">
        <f t="shared" ca="1" si="79"/>
        <v>-1.1579382006097387E-2</v>
      </c>
    </row>
    <row r="2426" spans="2:7" x14ac:dyDescent="0.35">
      <c r="B2426" s="2">
        <v>38127</v>
      </c>
      <c r="C2426" s="4">
        <v>28.99</v>
      </c>
      <c r="D2426">
        <f t="shared" si="78"/>
        <v>-0.97877853989912666</v>
      </c>
      <c r="E2426">
        <v>1.035911602209838E-3</v>
      </c>
      <c r="F2426">
        <v>2423</v>
      </c>
      <c r="G2426">
        <f t="shared" ca="1" si="79"/>
        <v>1.7072703911184081E-2</v>
      </c>
    </row>
    <row r="2427" spans="2:7" x14ac:dyDescent="0.35">
      <c r="B2427" s="2">
        <v>43308</v>
      </c>
      <c r="C2427" s="4">
        <v>1366.07</v>
      </c>
      <c r="D2427">
        <f t="shared" si="78"/>
        <v>0.39577202877227391</v>
      </c>
      <c r="E2427">
        <v>1.0332243928889984E-3</v>
      </c>
      <c r="F2427">
        <v>2424</v>
      </c>
      <c r="G2427">
        <f t="shared" ca="1" si="79"/>
        <v>1.4150537694546822E-2</v>
      </c>
    </row>
    <row r="2428" spans="2:7" x14ac:dyDescent="0.35">
      <c r="B2428" s="2">
        <v>44050</v>
      </c>
      <c r="C2428" s="4">
        <v>978.72</v>
      </c>
      <c r="D2428">
        <f t="shared" si="78"/>
        <v>18.649066452519573</v>
      </c>
      <c r="E2428">
        <v>1.012549476849367E-3</v>
      </c>
      <c r="F2428">
        <v>2425</v>
      </c>
      <c r="G2428">
        <f t="shared" ca="1" si="79"/>
        <v>-3.4337059705939477E-2</v>
      </c>
    </row>
    <row r="2429" spans="2:7" x14ac:dyDescent="0.35">
      <c r="B2429" s="2">
        <v>38341</v>
      </c>
      <c r="C2429" s="4">
        <v>49.81</v>
      </c>
      <c r="D2429">
        <f t="shared" si="78"/>
        <v>-0.28649190660363844</v>
      </c>
      <c r="E2429">
        <v>1.004823151125489E-3</v>
      </c>
      <c r="F2429">
        <v>2426</v>
      </c>
      <c r="G2429">
        <f t="shared" ca="1" si="79"/>
        <v>-2.5905457118876596E-2</v>
      </c>
    </row>
    <row r="2430" spans="2:7" x14ac:dyDescent="0.35">
      <c r="B2430" s="2">
        <v>39570</v>
      </c>
      <c r="C2430" s="4">
        <v>69.81</v>
      </c>
      <c r="D2430">
        <f t="shared" si="78"/>
        <v>-0.98890098970547324</v>
      </c>
      <c r="E2430">
        <v>1.0037281330657066E-3</v>
      </c>
      <c r="F2430">
        <v>2427</v>
      </c>
      <c r="G2430">
        <f t="shared" ca="1" si="79"/>
        <v>-2.4489060126477429E-3</v>
      </c>
    </row>
    <row r="2431" spans="2:7" x14ac:dyDescent="0.35">
      <c r="B2431" s="2">
        <v>45033</v>
      </c>
      <c r="C2431" s="4">
        <v>6289.75</v>
      </c>
      <c r="D2431">
        <f t="shared" si="78"/>
        <v>50.521543250327653</v>
      </c>
      <c r="E2431">
        <v>9.9466857643037976E-4</v>
      </c>
      <c r="F2431">
        <v>2428</v>
      </c>
      <c r="G2431">
        <f t="shared" ca="1" si="79"/>
        <v>1.3142153210222659E-2</v>
      </c>
    </row>
    <row r="2432" spans="2:7" x14ac:dyDescent="0.35">
      <c r="B2432" s="2">
        <v>39237</v>
      </c>
      <c r="C2432" s="4">
        <v>122.08</v>
      </c>
      <c r="D2432">
        <f t="shared" si="78"/>
        <v>2.9895424836601303</v>
      </c>
      <c r="E2432">
        <v>9.8392915710077133E-4</v>
      </c>
      <c r="F2432">
        <v>2429</v>
      </c>
      <c r="G2432">
        <f t="shared" ca="1" si="79"/>
        <v>3.3199429881223666E-2</v>
      </c>
    </row>
    <row r="2433" spans="2:7" x14ac:dyDescent="0.35">
      <c r="B2433" s="2">
        <v>38099</v>
      </c>
      <c r="C2433" s="4">
        <v>30.6</v>
      </c>
      <c r="D2433">
        <f t="shared" si="78"/>
        <v>-0.2532942898975109</v>
      </c>
      <c r="E2433">
        <v>9.8135426889101041E-4</v>
      </c>
      <c r="F2433">
        <v>2430</v>
      </c>
      <c r="G2433">
        <f t="shared" ca="1" si="79"/>
        <v>-1.4841923188414038E-2</v>
      </c>
    </row>
    <row r="2434" spans="2:7" x14ac:dyDescent="0.35">
      <c r="B2434" s="2">
        <v>39933</v>
      </c>
      <c r="C2434" s="4">
        <v>40.98</v>
      </c>
      <c r="D2434">
        <f t="shared" si="78"/>
        <v>-0.21086077411900639</v>
      </c>
      <c r="E2434">
        <v>9.7703957010253362E-4</v>
      </c>
      <c r="F2434">
        <v>2431</v>
      </c>
      <c r="G2434">
        <f t="shared" ca="1" si="79"/>
        <v>-3.3936877441422666E-2</v>
      </c>
    </row>
    <row r="2435" spans="2:7" x14ac:dyDescent="0.35">
      <c r="B2435" s="2">
        <v>38321</v>
      </c>
      <c r="C2435" s="4">
        <v>51.93</v>
      </c>
      <c r="D2435">
        <f t="shared" si="78"/>
        <v>-0.50014438348252965</v>
      </c>
      <c r="E2435">
        <v>9.6376252891272607E-4</v>
      </c>
      <c r="F2435">
        <v>2432</v>
      </c>
      <c r="G2435">
        <f t="shared" ca="1" si="79"/>
        <v>-1.2229886880532274E-2</v>
      </c>
    </row>
    <row r="2436" spans="2:7" x14ac:dyDescent="0.35">
      <c r="B2436" s="2">
        <v>40403</v>
      </c>
      <c r="C2436" s="4">
        <v>103.89</v>
      </c>
      <c r="D2436">
        <f t="shared" ref="D2436:D2499" si="80">C2436/C2437-1</f>
        <v>9.9248756745317968E-2</v>
      </c>
      <c r="E2436">
        <v>9.6348395799195075E-4</v>
      </c>
      <c r="F2436">
        <v>2433</v>
      </c>
      <c r="G2436">
        <f t="shared" ca="1" si="79"/>
        <v>1.6749329214729566E-3</v>
      </c>
    </row>
    <row r="2437" spans="2:7" x14ac:dyDescent="0.35">
      <c r="B2437" s="2">
        <v>39091</v>
      </c>
      <c r="C2437" s="4">
        <v>94.51</v>
      </c>
      <c r="D2437">
        <f t="shared" si="80"/>
        <v>0.12364760432766619</v>
      </c>
      <c r="E2437">
        <v>9.5318788392284581E-4</v>
      </c>
      <c r="F2437">
        <v>2434</v>
      </c>
      <c r="G2437">
        <f t="shared" ref="G2437:G2500" ca="1" si="81">_xlfn.NORM.INV(RAND(),K$6,K$7)</f>
        <v>1.1106097179886495E-2</v>
      </c>
    </row>
    <row r="2438" spans="2:7" x14ac:dyDescent="0.35">
      <c r="B2438" s="2">
        <v>41045</v>
      </c>
      <c r="C2438" s="4">
        <v>84.11</v>
      </c>
      <c r="D2438">
        <f t="shared" si="80"/>
        <v>-0.88236528160445304</v>
      </c>
      <c r="E2438">
        <v>9.520409377603567E-4</v>
      </c>
      <c r="F2438">
        <v>2435</v>
      </c>
      <c r="G2438">
        <f t="shared" ca="1" si="81"/>
        <v>-1.5395009447736023E-2</v>
      </c>
    </row>
    <row r="2439" spans="2:7" x14ac:dyDescent="0.35">
      <c r="B2439" s="2">
        <v>42846</v>
      </c>
      <c r="C2439" s="4">
        <v>715.01</v>
      </c>
      <c r="D2439">
        <f t="shared" si="80"/>
        <v>-7.0812215724496475E-2</v>
      </c>
      <c r="E2439">
        <v>9.5194097965922708E-4</v>
      </c>
      <c r="F2439">
        <v>2436</v>
      </c>
      <c r="G2439">
        <f t="shared" ca="1" si="81"/>
        <v>-1.7251128285643364E-2</v>
      </c>
    </row>
    <row r="2440" spans="2:7" x14ac:dyDescent="0.35">
      <c r="B2440" s="2">
        <v>43784</v>
      </c>
      <c r="C2440" s="4">
        <v>769.5</v>
      </c>
      <c r="D2440">
        <f t="shared" si="80"/>
        <v>0.22764474083055486</v>
      </c>
      <c r="E2440">
        <v>9.4956879170626785E-4</v>
      </c>
      <c r="F2440">
        <v>2437</v>
      </c>
      <c r="G2440">
        <f t="shared" ca="1" si="81"/>
        <v>4.2450205439010111E-2</v>
      </c>
    </row>
    <row r="2441" spans="2:7" x14ac:dyDescent="0.35">
      <c r="B2441" s="2">
        <v>43720</v>
      </c>
      <c r="C2441" s="4">
        <v>626.80999999999995</v>
      </c>
      <c r="D2441">
        <f t="shared" si="80"/>
        <v>7.40565911224353</v>
      </c>
      <c r="E2441">
        <v>9.4216090191934221E-4</v>
      </c>
      <c r="F2441">
        <v>2438</v>
      </c>
      <c r="G2441">
        <f t="shared" ca="1" si="81"/>
        <v>-5.0761895150521527E-2</v>
      </c>
    </row>
    <row r="2442" spans="2:7" x14ac:dyDescent="0.35">
      <c r="B2442" s="2">
        <v>39472</v>
      </c>
      <c r="C2442" s="4">
        <v>74.569999999999993</v>
      </c>
      <c r="D2442">
        <f t="shared" si="80"/>
        <v>-0.90792576769684774</v>
      </c>
      <c r="E2442">
        <v>9.3959731543624692E-4</v>
      </c>
      <c r="F2442">
        <v>2439</v>
      </c>
      <c r="G2442">
        <f t="shared" ca="1" si="81"/>
        <v>-1.3871133866367106E-2</v>
      </c>
    </row>
    <row r="2443" spans="2:7" x14ac:dyDescent="0.35">
      <c r="B2443" s="2">
        <v>43593</v>
      </c>
      <c r="C2443" s="4">
        <v>809.89</v>
      </c>
      <c r="D2443">
        <f t="shared" si="80"/>
        <v>8.3058715385499244</v>
      </c>
      <c r="E2443">
        <v>9.2691005264855519E-4</v>
      </c>
      <c r="F2443">
        <v>2440</v>
      </c>
      <c r="G2443">
        <f t="shared" ca="1" si="81"/>
        <v>-5.0865550693368162E-3</v>
      </c>
    </row>
    <row r="2444" spans="2:7" x14ac:dyDescent="0.35">
      <c r="B2444" s="2">
        <v>41061</v>
      </c>
      <c r="C2444" s="4">
        <v>87.03</v>
      </c>
      <c r="D2444">
        <f t="shared" si="80"/>
        <v>2.9940339605323545</v>
      </c>
      <c r="E2444">
        <v>9.2006900517538348E-4</v>
      </c>
      <c r="F2444">
        <v>2441</v>
      </c>
      <c r="G2444">
        <f t="shared" ca="1" si="81"/>
        <v>-3.8479743058751542E-2</v>
      </c>
    </row>
    <row r="2445" spans="2:7" x14ac:dyDescent="0.35">
      <c r="B2445" s="2">
        <v>37736</v>
      </c>
      <c r="C2445" s="4">
        <v>21.79</v>
      </c>
      <c r="D2445">
        <f t="shared" si="80"/>
        <v>-0.97171709305193199</v>
      </c>
      <c r="E2445">
        <v>9.1869545245759632E-4</v>
      </c>
      <c r="F2445">
        <v>2442</v>
      </c>
      <c r="G2445">
        <f t="shared" ca="1" si="81"/>
        <v>-3.7743479620538289E-3</v>
      </c>
    </row>
    <row r="2446" spans="2:7" x14ac:dyDescent="0.35">
      <c r="B2446" s="2">
        <v>42571</v>
      </c>
      <c r="C2446" s="4">
        <v>770.43</v>
      </c>
      <c r="D2446">
        <f t="shared" si="80"/>
        <v>5.9918322896814589</v>
      </c>
      <c r="E2446">
        <v>9.0940979304421354E-4</v>
      </c>
      <c r="F2446">
        <v>2443</v>
      </c>
      <c r="G2446">
        <f t="shared" ca="1" si="81"/>
        <v>-1.3349281934274301E-2</v>
      </c>
    </row>
    <row r="2447" spans="2:7" x14ac:dyDescent="0.35">
      <c r="B2447" s="2">
        <v>40518</v>
      </c>
      <c r="C2447" s="4">
        <v>110.19</v>
      </c>
      <c r="D2447">
        <f t="shared" si="80"/>
        <v>3.9635135135135133</v>
      </c>
      <c r="E2447">
        <v>9.0834771550540871E-4</v>
      </c>
      <c r="F2447">
        <v>2444</v>
      </c>
      <c r="G2447">
        <f t="shared" ca="1" si="81"/>
        <v>1.3554078586330464E-2</v>
      </c>
    </row>
    <row r="2448" spans="2:7" x14ac:dyDescent="0.35">
      <c r="B2448" s="2">
        <v>37706</v>
      </c>
      <c r="C2448" s="4">
        <v>22.2</v>
      </c>
      <c r="D2448">
        <f t="shared" si="80"/>
        <v>-0.78179673678002748</v>
      </c>
      <c r="E2448">
        <v>9.0171325518473289E-4</v>
      </c>
      <c r="F2448">
        <v>2445</v>
      </c>
      <c r="G2448">
        <f t="shared" ca="1" si="81"/>
        <v>-1.1113668525723472E-2</v>
      </c>
    </row>
    <row r="2449" spans="2:7" x14ac:dyDescent="0.35">
      <c r="B2449" s="2">
        <v>41283</v>
      </c>
      <c r="C2449" s="4">
        <v>101.74</v>
      </c>
      <c r="D2449">
        <f t="shared" si="80"/>
        <v>-0.62703911433703585</v>
      </c>
      <c r="E2449">
        <v>8.8539104771268029E-4</v>
      </c>
      <c r="F2449">
        <v>2446</v>
      </c>
      <c r="G2449">
        <f t="shared" ca="1" si="81"/>
        <v>2.5272826688483494E-2</v>
      </c>
    </row>
    <row r="2450" spans="2:7" x14ac:dyDescent="0.35">
      <c r="B2450" s="2">
        <v>41850</v>
      </c>
      <c r="C2450" s="4">
        <v>272.79000000000002</v>
      </c>
      <c r="D2450">
        <f t="shared" si="80"/>
        <v>1.3907975460122701</v>
      </c>
      <c r="E2450">
        <v>8.8057237204175465E-4</v>
      </c>
      <c r="F2450">
        <v>2447</v>
      </c>
      <c r="G2450">
        <f t="shared" ca="1" si="81"/>
        <v>1.3807351863147226E-2</v>
      </c>
    </row>
    <row r="2451" spans="2:7" x14ac:dyDescent="0.35">
      <c r="B2451" s="2">
        <v>40473</v>
      </c>
      <c r="C2451" s="4">
        <v>114.1</v>
      </c>
      <c r="D2451">
        <f t="shared" si="80"/>
        <v>0.35881862569965461</v>
      </c>
      <c r="E2451">
        <v>8.7719298245603206E-4</v>
      </c>
      <c r="F2451">
        <v>2448</v>
      </c>
      <c r="G2451">
        <f t="shared" ca="1" si="81"/>
        <v>1.7536403041704011E-2</v>
      </c>
    </row>
    <row r="2452" spans="2:7" x14ac:dyDescent="0.35">
      <c r="B2452" s="2">
        <v>41408</v>
      </c>
      <c r="C2452" s="4">
        <v>83.97</v>
      </c>
      <c r="D2452">
        <f t="shared" si="80"/>
        <v>-0.22715140358950769</v>
      </c>
      <c r="E2452">
        <v>8.3432657926096887E-4</v>
      </c>
      <c r="F2452">
        <v>2449</v>
      </c>
      <c r="G2452">
        <f t="shared" ca="1" si="81"/>
        <v>-1.0142759964762927E-2</v>
      </c>
    </row>
    <row r="2453" spans="2:7" x14ac:dyDescent="0.35">
      <c r="B2453" s="2">
        <v>40242</v>
      </c>
      <c r="C2453" s="4">
        <v>108.65</v>
      </c>
      <c r="D2453">
        <f t="shared" si="80"/>
        <v>-9.0295512586646698E-3</v>
      </c>
      <c r="E2453">
        <v>8.2903463522487897E-4</v>
      </c>
      <c r="F2453">
        <v>2450</v>
      </c>
      <c r="G2453">
        <f t="shared" ca="1" si="81"/>
        <v>1.201979175702067E-2</v>
      </c>
    </row>
    <row r="2454" spans="2:7" x14ac:dyDescent="0.35">
      <c r="B2454" s="2">
        <v>39344</v>
      </c>
      <c r="C2454" s="4">
        <v>109.64</v>
      </c>
      <c r="D2454">
        <f t="shared" si="80"/>
        <v>-0.98593340047598577</v>
      </c>
      <c r="E2454">
        <v>8.2154267457790198E-4</v>
      </c>
      <c r="F2454">
        <v>2451</v>
      </c>
      <c r="G2454">
        <f t="shared" ca="1" si="81"/>
        <v>2.3435945964339882E-2</v>
      </c>
    </row>
    <row r="2455" spans="2:7" x14ac:dyDescent="0.35">
      <c r="B2455" s="2">
        <v>44736</v>
      </c>
      <c r="C2455" s="4">
        <v>7794.35</v>
      </c>
      <c r="D2455">
        <f t="shared" si="80"/>
        <v>155.07428914697638</v>
      </c>
      <c r="E2455">
        <v>8.0893163243689337E-4</v>
      </c>
      <c r="F2455">
        <v>2452</v>
      </c>
      <c r="G2455">
        <f t="shared" ca="1" si="81"/>
        <v>5.5876334191071096E-2</v>
      </c>
    </row>
    <row r="2456" spans="2:7" x14ac:dyDescent="0.35">
      <c r="B2456" s="2">
        <v>39983</v>
      </c>
      <c r="C2456" s="4">
        <v>49.94</v>
      </c>
      <c r="D2456">
        <f t="shared" si="80"/>
        <v>-0.99254387601991689</v>
      </c>
      <c r="E2456">
        <v>8.0160320641287086E-4</v>
      </c>
      <c r="F2456">
        <v>2453</v>
      </c>
      <c r="G2456">
        <f t="shared" ca="1" si="81"/>
        <v>-4.8021516304955381E-2</v>
      </c>
    </row>
    <row r="2457" spans="2:7" x14ac:dyDescent="0.35">
      <c r="B2457" s="2">
        <v>44965</v>
      </c>
      <c r="C2457" s="4">
        <v>6697.85</v>
      </c>
      <c r="D2457">
        <f t="shared" si="80"/>
        <v>5.6379754613387254</v>
      </c>
      <c r="E2457">
        <v>7.9940231602537715E-4</v>
      </c>
      <c r="F2457">
        <v>2454</v>
      </c>
      <c r="G2457">
        <f t="shared" ca="1" si="81"/>
        <v>-5.6980740545104359E-2</v>
      </c>
    </row>
    <row r="2458" spans="2:7" x14ac:dyDescent="0.35">
      <c r="B2458" s="2">
        <v>44057</v>
      </c>
      <c r="C2458" s="4">
        <v>1009.02</v>
      </c>
      <c r="D2458">
        <f t="shared" si="80"/>
        <v>-0.88028616852146269</v>
      </c>
      <c r="E2458">
        <v>7.8355137220675886E-4</v>
      </c>
      <c r="F2458">
        <v>2455</v>
      </c>
      <c r="G2458">
        <f t="shared" ca="1" si="81"/>
        <v>1.6020098572998642E-2</v>
      </c>
    </row>
    <row r="2459" spans="2:7" x14ac:dyDescent="0.35">
      <c r="B2459" s="2">
        <v>44833</v>
      </c>
      <c r="C2459" s="4">
        <v>8428.6</v>
      </c>
      <c r="D2459">
        <f t="shared" si="80"/>
        <v>75.436020676521267</v>
      </c>
      <c r="E2459">
        <v>7.3019133387552948E-4</v>
      </c>
      <c r="F2459">
        <v>2456</v>
      </c>
      <c r="G2459">
        <f t="shared" ca="1" si="81"/>
        <v>-1.6532783406068795E-2</v>
      </c>
    </row>
    <row r="2460" spans="2:7" x14ac:dyDescent="0.35">
      <c r="B2460" s="2">
        <v>40519</v>
      </c>
      <c r="C2460" s="4">
        <v>110.27</v>
      </c>
      <c r="D2460">
        <f t="shared" si="80"/>
        <v>-0.12974508720700817</v>
      </c>
      <c r="E2460">
        <v>7.2601869498134519E-4</v>
      </c>
      <c r="F2460">
        <v>2457</v>
      </c>
      <c r="G2460">
        <f t="shared" ca="1" si="81"/>
        <v>-1.7060074040256622E-2</v>
      </c>
    </row>
    <row r="2461" spans="2:7" x14ac:dyDescent="0.35">
      <c r="B2461" s="2">
        <v>40283</v>
      </c>
      <c r="C2461" s="4">
        <v>126.71</v>
      </c>
      <c r="D2461">
        <f t="shared" si="80"/>
        <v>0.79425092041914458</v>
      </c>
      <c r="E2461">
        <v>7.1078818512071429E-4</v>
      </c>
      <c r="F2461">
        <v>2458</v>
      </c>
      <c r="G2461">
        <f t="shared" ca="1" si="81"/>
        <v>-5.9718587553253826E-4</v>
      </c>
    </row>
    <row r="2462" spans="2:7" x14ac:dyDescent="0.35">
      <c r="B2462" s="2">
        <v>38867</v>
      </c>
      <c r="C2462" s="4">
        <v>70.62</v>
      </c>
      <c r="D2462">
        <f t="shared" si="80"/>
        <v>1.4118852459016393</v>
      </c>
      <c r="E2462">
        <v>7.0851636672819573E-4</v>
      </c>
      <c r="F2462">
        <v>2459</v>
      </c>
      <c r="G2462">
        <f t="shared" ca="1" si="81"/>
        <v>4.7779618867806309E-2</v>
      </c>
    </row>
    <row r="2463" spans="2:7" x14ac:dyDescent="0.35">
      <c r="B2463" s="2">
        <v>37953</v>
      </c>
      <c r="C2463" s="4">
        <v>29.28</v>
      </c>
      <c r="D2463">
        <f t="shared" si="80"/>
        <v>-0.75328614762386248</v>
      </c>
      <c r="E2463">
        <v>6.8352699931639727E-4</v>
      </c>
      <c r="F2463">
        <v>2460</v>
      </c>
      <c r="G2463">
        <f t="shared" ca="1" si="81"/>
        <v>4.6054075686704589E-2</v>
      </c>
    </row>
    <row r="2464" spans="2:7" x14ac:dyDescent="0.35">
      <c r="B2464" s="2">
        <v>40464</v>
      </c>
      <c r="C2464" s="4">
        <v>118.68</v>
      </c>
      <c r="D2464">
        <f t="shared" si="80"/>
        <v>-0.55885960673530821</v>
      </c>
      <c r="E2464">
        <v>6.7453625632385439E-4</v>
      </c>
      <c r="F2464">
        <v>2461</v>
      </c>
      <c r="G2464">
        <f t="shared" ca="1" si="81"/>
        <v>-3.1383069377481906E-2</v>
      </c>
    </row>
    <row r="2465" spans="2:7" x14ac:dyDescent="0.35">
      <c r="B2465" s="2">
        <v>41871</v>
      </c>
      <c r="C2465" s="4">
        <v>269.02999999999997</v>
      </c>
      <c r="D2465">
        <f t="shared" si="80"/>
        <v>1.2035383733311487</v>
      </c>
      <c r="E2465">
        <v>6.6951831876482792E-4</v>
      </c>
      <c r="F2465">
        <v>2462</v>
      </c>
      <c r="G2465">
        <f t="shared" ca="1" si="81"/>
        <v>7.1589693156795331E-3</v>
      </c>
    </row>
    <row r="2466" spans="2:7" x14ac:dyDescent="0.35">
      <c r="B2466" s="2">
        <v>40256</v>
      </c>
      <c r="C2466" s="4">
        <v>122.09</v>
      </c>
      <c r="D2466">
        <f t="shared" si="80"/>
        <v>-0.91536397856543705</v>
      </c>
      <c r="E2466">
        <v>6.5568396033111043E-4</v>
      </c>
      <c r="F2466">
        <v>2463</v>
      </c>
      <c r="G2466">
        <f t="shared" ca="1" si="81"/>
        <v>-1.635130579857225E-2</v>
      </c>
    </row>
    <row r="2467" spans="2:7" x14ac:dyDescent="0.35">
      <c r="B2467" s="2">
        <v>44118</v>
      </c>
      <c r="C2467" s="4">
        <v>1442.53</v>
      </c>
      <c r="D2467">
        <f t="shared" si="80"/>
        <v>-0.65879648136014968</v>
      </c>
      <c r="E2467">
        <v>6.5205779729327062E-4</v>
      </c>
      <c r="F2467">
        <v>2464</v>
      </c>
      <c r="G2467">
        <f t="shared" ca="1" si="81"/>
        <v>2.1428436911741107E-3</v>
      </c>
    </row>
    <row r="2468" spans="2:7" x14ac:dyDescent="0.35">
      <c r="B2468" s="2">
        <v>44400</v>
      </c>
      <c r="C2468" s="4">
        <v>4227.7700000000004</v>
      </c>
      <c r="D2468">
        <f t="shared" si="80"/>
        <v>0.50750584778639896</v>
      </c>
      <c r="E2468">
        <v>6.3667433516068073E-4</v>
      </c>
      <c r="F2468">
        <v>2465</v>
      </c>
      <c r="G2468">
        <f t="shared" ca="1" si="81"/>
        <v>-4.9899041930350101E-2</v>
      </c>
    </row>
    <row r="2469" spans="2:7" x14ac:dyDescent="0.35">
      <c r="B2469" s="2">
        <v>44239</v>
      </c>
      <c r="C2469" s="4">
        <v>2804.48</v>
      </c>
      <c r="D2469">
        <f t="shared" si="80"/>
        <v>4.6782344604170891</v>
      </c>
      <c r="E2469">
        <v>6.3510186605775232E-4</v>
      </c>
      <c r="F2469">
        <v>2466</v>
      </c>
      <c r="G2469">
        <f t="shared" ca="1" si="81"/>
        <v>9.1911541188805207E-2</v>
      </c>
    </row>
    <row r="2470" spans="2:7" x14ac:dyDescent="0.35">
      <c r="B2470" s="2">
        <v>42692</v>
      </c>
      <c r="C2470" s="4">
        <v>493.9</v>
      </c>
      <c r="D2470">
        <f t="shared" si="80"/>
        <v>-0.37221953885654735</v>
      </c>
      <c r="E2470">
        <v>6.2805162179135898E-4</v>
      </c>
      <c r="F2470">
        <v>2467</v>
      </c>
      <c r="G2470">
        <f t="shared" ca="1" si="81"/>
        <v>5.4722589253858953E-3</v>
      </c>
    </row>
    <row r="2471" spans="2:7" x14ac:dyDescent="0.35">
      <c r="B2471" s="2">
        <v>43775</v>
      </c>
      <c r="C2471" s="4">
        <v>786.74</v>
      </c>
      <c r="D2471">
        <f t="shared" si="80"/>
        <v>-0.30041437692294004</v>
      </c>
      <c r="E2471">
        <v>6.232114467408234E-4</v>
      </c>
      <c r="F2471">
        <v>2468</v>
      </c>
      <c r="G2471">
        <f t="shared" ca="1" si="81"/>
        <v>1.2476439656087466E-2</v>
      </c>
    </row>
    <row r="2472" spans="2:7" x14ac:dyDescent="0.35">
      <c r="B2472" s="2">
        <v>43214</v>
      </c>
      <c r="C2472" s="4">
        <v>1124.58</v>
      </c>
      <c r="D2472">
        <f t="shared" si="80"/>
        <v>16.227022058823529</v>
      </c>
      <c r="E2472">
        <v>6.2284229633036148E-4</v>
      </c>
      <c r="F2472">
        <v>2469</v>
      </c>
      <c r="G2472">
        <f t="shared" ca="1" si="81"/>
        <v>1.7331934088175547E-2</v>
      </c>
    </row>
    <row r="2473" spans="2:7" x14ac:dyDescent="0.35">
      <c r="B2473" s="2">
        <v>40135</v>
      </c>
      <c r="C2473" s="4">
        <v>65.28</v>
      </c>
      <c r="D2473">
        <f t="shared" si="80"/>
        <v>-0.20603259547555342</v>
      </c>
      <c r="E2473">
        <v>6.1312078479480725E-4</v>
      </c>
      <c r="F2473">
        <v>2470</v>
      </c>
      <c r="G2473">
        <f t="shared" ca="1" si="81"/>
        <v>-4.2448416295452554E-2</v>
      </c>
    </row>
    <row r="2474" spans="2:7" x14ac:dyDescent="0.35">
      <c r="B2474" s="2">
        <v>41337</v>
      </c>
      <c r="C2474" s="4">
        <v>82.22</v>
      </c>
      <c r="D2474">
        <f t="shared" si="80"/>
        <v>-0.98766743163989257</v>
      </c>
      <c r="E2474">
        <v>6.0849458439826698E-4</v>
      </c>
      <c r="F2474">
        <v>2471</v>
      </c>
      <c r="G2474">
        <f t="shared" ca="1" si="81"/>
        <v>1.7499675431788316E-2</v>
      </c>
    </row>
    <row r="2475" spans="2:7" x14ac:dyDescent="0.35">
      <c r="B2475" s="2">
        <v>44977</v>
      </c>
      <c r="C2475" s="4">
        <v>6666.9</v>
      </c>
      <c r="D2475">
        <f t="shared" si="80"/>
        <v>96.455050431223512</v>
      </c>
      <c r="E2475">
        <v>6.0033919164337313E-4</v>
      </c>
      <c r="F2475">
        <v>2472</v>
      </c>
      <c r="G2475">
        <f t="shared" ca="1" si="81"/>
        <v>8.1545571737468691E-3</v>
      </c>
    </row>
    <row r="2476" spans="2:7" x14ac:dyDescent="0.35">
      <c r="B2476" s="2">
        <v>40085</v>
      </c>
      <c r="C2476" s="4">
        <v>68.41</v>
      </c>
      <c r="D2476">
        <f t="shared" si="80"/>
        <v>-1.3269868743689628E-2</v>
      </c>
      <c r="E2476">
        <v>5.8505192335811529E-4</v>
      </c>
      <c r="F2476">
        <v>2473</v>
      </c>
      <c r="G2476">
        <f t="shared" ca="1" si="81"/>
        <v>-1.6139202877010855E-2</v>
      </c>
    </row>
    <row r="2477" spans="2:7" x14ac:dyDescent="0.35">
      <c r="B2477" s="2">
        <v>40112</v>
      </c>
      <c r="C2477" s="4">
        <v>69.33</v>
      </c>
      <c r="D2477">
        <f t="shared" si="80"/>
        <v>-0.92354770411538967</v>
      </c>
      <c r="E2477">
        <v>5.7728387934763425E-4</v>
      </c>
      <c r="F2477">
        <v>2474</v>
      </c>
      <c r="G2477">
        <f t="shared" ca="1" si="81"/>
        <v>2.3840440291177101E-3</v>
      </c>
    </row>
    <row r="2478" spans="2:7" x14ac:dyDescent="0.35">
      <c r="B2478" s="2">
        <v>43486</v>
      </c>
      <c r="C2478" s="4">
        <v>906.84</v>
      </c>
      <c r="D2478">
        <f t="shared" si="80"/>
        <v>9.3143767060964517</v>
      </c>
      <c r="E2478">
        <v>5.7374878630067627E-4</v>
      </c>
      <c r="F2478">
        <v>2475</v>
      </c>
      <c r="G2478">
        <f t="shared" ca="1" si="81"/>
        <v>3.8307477715708478E-2</v>
      </c>
    </row>
    <row r="2479" spans="2:7" x14ac:dyDescent="0.35">
      <c r="B2479" s="2">
        <v>41054</v>
      </c>
      <c r="C2479" s="4">
        <v>87.92</v>
      </c>
      <c r="D2479">
        <f t="shared" si="80"/>
        <v>-0.9023328149300156</v>
      </c>
      <c r="E2479">
        <v>5.6902241948320054E-4</v>
      </c>
      <c r="F2479">
        <v>2476</v>
      </c>
      <c r="G2479">
        <f t="shared" ca="1" si="81"/>
        <v>2.3968946130918496E-2</v>
      </c>
    </row>
    <row r="2480" spans="2:7" x14ac:dyDescent="0.35">
      <c r="B2480" s="2">
        <v>43577</v>
      </c>
      <c r="C2480" s="4">
        <v>900.2</v>
      </c>
      <c r="D2480">
        <f t="shared" si="80"/>
        <v>8.6082826342192345</v>
      </c>
      <c r="E2480">
        <v>5.66861919105488E-4</v>
      </c>
      <c r="F2480">
        <v>2477</v>
      </c>
      <c r="G2480">
        <f t="shared" ca="1" si="81"/>
        <v>1.2271251107069722E-2</v>
      </c>
    </row>
    <row r="2481" spans="2:7" x14ac:dyDescent="0.35">
      <c r="B2481" s="2">
        <v>41151</v>
      </c>
      <c r="C2481" s="4">
        <v>93.69</v>
      </c>
      <c r="D2481">
        <f t="shared" si="80"/>
        <v>-0.17139824887237987</v>
      </c>
      <c r="E2481">
        <v>5.3395984621951165E-4</v>
      </c>
      <c r="F2481">
        <v>2478</v>
      </c>
      <c r="G2481">
        <f t="shared" ca="1" si="81"/>
        <v>-8.0561841298726847E-3</v>
      </c>
    </row>
    <row r="2482" spans="2:7" x14ac:dyDescent="0.35">
      <c r="B2482" s="2">
        <v>39328</v>
      </c>
      <c r="C2482" s="4">
        <v>113.07</v>
      </c>
      <c r="D2482">
        <f t="shared" si="80"/>
        <v>-0.98102565823698207</v>
      </c>
      <c r="E2482">
        <v>5.3092646668417842E-4</v>
      </c>
      <c r="F2482">
        <v>2479</v>
      </c>
      <c r="G2482">
        <f t="shared" ca="1" si="81"/>
        <v>-3.8266480506287913E-3</v>
      </c>
    </row>
    <row r="2483" spans="2:7" x14ac:dyDescent="0.35">
      <c r="B2483" s="2">
        <v>45016</v>
      </c>
      <c r="C2483" s="4">
        <v>5959.1</v>
      </c>
      <c r="D2483">
        <f t="shared" si="80"/>
        <v>73.044483101391648</v>
      </c>
      <c r="E2483">
        <v>5.1208435120586593E-4</v>
      </c>
      <c r="F2483">
        <v>2480</v>
      </c>
      <c r="G2483">
        <f t="shared" ca="1" si="81"/>
        <v>-2.8461397271282163E-3</v>
      </c>
    </row>
    <row r="2484" spans="2:7" x14ac:dyDescent="0.35">
      <c r="B2484" s="2">
        <v>41443</v>
      </c>
      <c r="C2484" s="4">
        <v>80.48</v>
      </c>
      <c r="D2484">
        <f t="shared" si="80"/>
        <v>-0.86918925947597692</v>
      </c>
      <c r="E2484">
        <v>4.9726504226765833E-4</v>
      </c>
      <c r="F2484">
        <v>2481</v>
      </c>
      <c r="G2484">
        <f t="shared" ca="1" si="81"/>
        <v>7.8554217546774122E-3</v>
      </c>
    </row>
    <row r="2485" spans="2:7" x14ac:dyDescent="0.35">
      <c r="B2485" s="2">
        <v>42880</v>
      </c>
      <c r="C2485" s="4">
        <v>615.24</v>
      </c>
      <c r="D2485">
        <f t="shared" si="80"/>
        <v>-0.29047882646000556</v>
      </c>
      <c r="E2485">
        <v>4.8785247341198712E-4</v>
      </c>
      <c r="F2485">
        <v>2482</v>
      </c>
      <c r="G2485">
        <f t="shared" ca="1" si="81"/>
        <v>-2.2464147093625122E-2</v>
      </c>
    </row>
    <row r="2486" spans="2:7" x14ac:dyDescent="0.35">
      <c r="B2486" s="2">
        <v>43649</v>
      </c>
      <c r="C2486" s="4">
        <v>867.12</v>
      </c>
      <c r="D2486">
        <f t="shared" si="80"/>
        <v>7.8158804366747159E-2</v>
      </c>
      <c r="E2486">
        <v>4.8459674627898686E-4</v>
      </c>
      <c r="F2486">
        <v>2483</v>
      </c>
      <c r="G2486">
        <f t="shared" ca="1" si="81"/>
        <v>-3.1327139875583596E-2</v>
      </c>
    </row>
    <row r="2487" spans="2:7" x14ac:dyDescent="0.35">
      <c r="B2487" s="2">
        <v>43832</v>
      </c>
      <c r="C2487" s="4">
        <v>804.26</v>
      </c>
      <c r="D2487">
        <f t="shared" si="80"/>
        <v>-0.21877822999737739</v>
      </c>
      <c r="E2487">
        <v>4.7270736925919543E-4</v>
      </c>
      <c r="F2487">
        <v>2484</v>
      </c>
      <c r="G2487">
        <f t="shared" ca="1" si="81"/>
        <v>1.7729738314475031E-2</v>
      </c>
    </row>
    <row r="2488" spans="2:7" x14ac:dyDescent="0.35">
      <c r="B2488" s="2">
        <v>42369</v>
      </c>
      <c r="C2488" s="4">
        <v>1029.49</v>
      </c>
      <c r="D2488">
        <f t="shared" si="80"/>
        <v>10.662965900079303</v>
      </c>
      <c r="E2488">
        <v>4.6646776999259565E-4</v>
      </c>
      <c r="F2488">
        <v>2485</v>
      </c>
      <c r="G2488">
        <f t="shared" ca="1" si="81"/>
        <v>-8.3478499588805471E-3</v>
      </c>
    </row>
    <row r="2489" spans="2:7" x14ac:dyDescent="0.35">
      <c r="B2489" s="2">
        <v>40806</v>
      </c>
      <c r="C2489" s="4">
        <v>88.27</v>
      </c>
      <c r="D2489">
        <f t="shared" si="80"/>
        <v>0.88974523656604565</v>
      </c>
      <c r="E2489">
        <v>4.5336053496525253E-4</v>
      </c>
      <c r="F2489">
        <v>2486</v>
      </c>
      <c r="G2489">
        <f t="shared" ca="1" si="81"/>
        <v>-8.8781057341571733E-3</v>
      </c>
    </row>
    <row r="2490" spans="2:7" x14ac:dyDescent="0.35">
      <c r="B2490" s="2">
        <v>39727</v>
      </c>
      <c r="C2490" s="4">
        <v>46.71</v>
      </c>
      <c r="D2490">
        <f t="shared" si="80"/>
        <v>-0.93762185839053447</v>
      </c>
      <c r="E2490">
        <v>4.2835724994660929E-4</v>
      </c>
      <c r="F2490">
        <v>2487</v>
      </c>
      <c r="G2490">
        <f t="shared" ca="1" si="81"/>
        <v>-1.6514211927505018E-2</v>
      </c>
    </row>
    <row r="2491" spans="2:7" x14ac:dyDescent="0.35">
      <c r="B2491" s="2">
        <v>42604</v>
      </c>
      <c r="C2491" s="4">
        <v>748.82</v>
      </c>
      <c r="D2491">
        <f t="shared" si="80"/>
        <v>-0.20014954069643243</v>
      </c>
      <c r="E2491">
        <v>4.2752171008686446E-4</v>
      </c>
      <c r="F2491">
        <v>2488</v>
      </c>
      <c r="G2491">
        <f t="shared" ca="1" si="81"/>
        <v>-3.0824954635547571E-2</v>
      </c>
    </row>
    <row r="2492" spans="2:7" x14ac:dyDescent="0.35">
      <c r="B2492" s="2">
        <v>43168</v>
      </c>
      <c r="C2492" s="4">
        <v>936.2</v>
      </c>
      <c r="D2492">
        <f t="shared" si="80"/>
        <v>8.4785866153690392</v>
      </c>
      <c r="E2492">
        <v>4.0606099463569301E-4</v>
      </c>
      <c r="F2492">
        <v>2489</v>
      </c>
      <c r="G2492">
        <f t="shared" ca="1" si="81"/>
        <v>-8.4329428173967615E-4</v>
      </c>
    </row>
    <row r="2493" spans="2:7" x14ac:dyDescent="0.35">
      <c r="B2493" s="2">
        <v>41267</v>
      </c>
      <c r="C2493" s="4">
        <v>98.77</v>
      </c>
      <c r="D2493">
        <f t="shared" si="80"/>
        <v>-0.92603880398074034</v>
      </c>
      <c r="E2493">
        <v>4.0514534589286555E-4</v>
      </c>
      <c r="F2493">
        <v>2490</v>
      </c>
      <c r="G2493">
        <f t="shared" ca="1" si="81"/>
        <v>2.8636098702556397E-3</v>
      </c>
    </row>
    <row r="2494" spans="2:7" x14ac:dyDescent="0.35">
      <c r="B2494" s="2">
        <v>43294</v>
      </c>
      <c r="C2494" s="4">
        <v>1335.43</v>
      </c>
      <c r="D2494">
        <f t="shared" si="80"/>
        <v>11.612674726105025</v>
      </c>
      <c r="E2494">
        <v>3.8204536601438299E-4</v>
      </c>
      <c r="F2494">
        <v>2491</v>
      </c>
      <c r="G2494">
        <f t="shared" ca="1" si="81"/>
        <v>2.2473209425763929E-2</v>
      </c>
    </row>
    <row r="2495" spans="2:7" x14ac:dyDescent="0.35">
      <c r="B2495" s="2">
        <v>40386</v>
      </c>
      <c r="C2495" s="4">
        <v>105.88</v>
      </c>
      <c r="D2495">
        <f t="shared" si="80"/>
        <v>0.3283151423911681</v>
      </c>
      <c r="E2495">
        <v>3.7792894935750887E-4</v>
      </c>
      <c r="F2495">
        <v>2492</v>
      </c>
      <c r="G2495">
        <f t="shared" ca="1" si="81"/>
        <v>2.8548109499777905E-2</v>
      </c>
    </row>
    <row r="2496" spans="2:7" x14ac:dyDescent="0.35">
      <c r="B2496" s="2">
        <v>41435</v>
      </c>
      <c r="C2496" s="4">
        <v>79.709999999999994</v>
      </c>
      <c r="D2496">
        <f t="shared" si="80"/>
        <v>1.8985454545454545</v>
      </c>
      <c r="E2496">
        <v>3.7650602409611267E-4</v>
      </c>
      <c r="F2496">
        <v>2493</v>
      </c>
      <c r="G2496">
        <f t="shared" ca="1" si="81"/>
        <v>-1.8842071639215564E-2</v>
      </c>
    </row>
    <row r="2497" spans="2:7" x14ac:dyDescent="0.35">
      <c r="B2497" s="2">
        <v>37803</v>
      </c>
      <c r="C2497" s="4">
        <v>27.5</v>
      </c>
      <c r="D2497">
        <f t="shared" si="80"/>
        <v>-0.67030332094473088</v>
      </c>
      <c r="E2497">
        <v>3.6376864314302537E-4</v>
      </c>
      <c r="F2497">
        <v>2494</v>
      </c>
      <c r="G2497">
        <f t="shared" ca="1" si="81"/>
        <v>-2.5307516729165175E-2</v>
      </c>
    </row>
    <row r="2498" spans="2:7" x14ac:dyDescent="0.35">
      <c r="B2498" s="2">
        <v>41380</v>
      </c>
      <c r="C2498" s="4">
        <v>83.41</v>
      </c>
      <c r="D2498">
        <f t="shared" si="80"/>
        <v>-0.2558658221072353</v>
      </c>
      <c r="E2498">
        <v>3.59798512832743E-4</v>
      </c>
      <c r="F2498">
        <v>2495</v>
      </c>
      <c r="G2498">
        <f t="shared" ca="1" si="81"/>
        <v>2.8710840285617576E-2</v>
      </c>
    </row>
    <row r="2499" spans="2:7" x14ac:dyDescent="0.35">
      <c r="B2499" s="2">
        <v>39226</v>
      </c>
      <c r="C2499" s="4">
        <v>112.09</v>
      </c>
      <c r="D2499">
        <f t="shared" si="80"/>
        <v>-0.80348877980364652</v>
      </c>
      <c r="E2499">
        <v>3.5698348951362924E-4</v>
      </c>
      <c r="F2499">
        <v>2496</v>
      </c>
      <c r="G2499">
        <f t="shared" ca="1" si="81"/>
        <v>-7.2637742639149974E-2</v>
      </c>
    </row>
    <row r="2500" spans="2:7" x14ac:dyDescent="0.35">
      <c r="B2500" s="2">
        <v>42156</v>
      </c>
      <c r="C2500" s="4">
        <v>570.4</v>
      </c>
      <c r="D2500">
        <f t="shared" ref="D2500:D2563" si="82">C2500/C2501-1</f>
        <v>-0.33885830194146627</v>
      </c>
      <c r="E2500">
        <v>3.5075412136076345E-4</v>
      </c>
      <c r="F2500">
        <v>2497</v>
      </c>
      <c r="G2500">
        <f t="shared" ca="1" si="81"/>
        <v>-1.1005696934755239E-2</v>
      </c>
    </row>
    <row r="2501" spans="2:7" x14ac:dyDescent="0.35">
      <c r="B2501" s="2">
        <v>42278</v>
      </c>
      <c r="C2501" s="4">
        <v>862.75</v>
      </c>
      <c r="D2501">
        <f t="shared" si="82"/>
        <v>0.37799677362679485</v>
      </c>
      <c r="E2501">
        <v>3.4784625195660723E-4</v>
      </c>
      <c r="F2501">
        <v>2498</v>
      </c>
      <c r="G2501">
        <f t="shared" ref="G2501:G2564" ca="1" si="83">_xlfn.NORM.INV(RAND(),K$6,K$7)</f>
        <v>-1.8202331616242677E-2</v>
      </c>
    </row>
    <row r="2502" spans="2:7" x14ac:dyDescent="0.35">
      <c r="B2502" s="2">
        <v>42663</v>
      </c>
      <c r="C2502" s="4">
        <v>626.09</v>
      </c>
      <c r="D2502">
        <f t="shared" si="82"/>
        <v>1.2399556366498516</v>
      </c>
      <c r="E2502">
        <v>3.3552757717147941E-4</v>
      </c>
      <c r="F2502">
        <v>2499</v>
      </c>
      <c r="G2502">
        <f t="shared" ca="1" si="83"/>
        <v>-1.60396600681369E-2</v>
      </c>
    </row>
    <row r="2503" spans="2:7" x14ac:dyDescent="0.35">
      <c r="B2503" s="2">
        <v>41841</v>
      </c>
      <c r="C2503" s="4">
        <v>279.51</v>
      </c>
      <c r="D2503">
        <f t="shared" si="82"/>
        <v>3.4024255788313118</v>
      </c>
      <c r="E2503">
        <v>3.2209576980890553E-4</v>
      </c>
      <c r="F2503">
        <v>2500</v>
      </c>
      <c r="G2503">
        <f t="shared" ca="1" si="83"/>
        <v>4.1032600232753631E-2</v>
      </c>
    </row>
    <row r="2504" spans="2:7" x14ac:dyDescent="0.35">
      <c r="B2504" s="2">
        <v>39660</v>
      </c>
      <c r="C2504" s="4">
        <v>63.49</v>
      </c>
      <c r="D2504">
        <f t="shared" si="82"/>
        <v>-0.98984931452096403</v>
      </c>
      <c r="E2504">
        <v>3.1510950055158027E-4</v>
      </c>
      <c r="F2504">
        <v>2501</v>
      </c>
      <c r="G2504">
        <f t="shared" ca="1" si="83"/>
        <v>-3.133490016991175E-7</v>
      </c>
    </row>
    <row r="2505" spans="2:7" x14ac:dyDescent="0.35">
      <c r="B2505" s="2">
        <v>44943</v>
      </c>
      <c r="C2505" s="4">
        <v>6254.75</v>
      </c>
      <c r="D2505">
        <f t="shared" si="82"/>
        <v>92.577947336923998</v>
      </c>
      <c r="E2505">
        <v>3.0386143918370578E-4</v>
      </c>
      <c r="F2505">
        <v>2502</v>
      </c>
      <c r="G2505">
        <f t="shared" ca="1" si="83"/>
        <v>-1.774301190018434E-2</v>
      </c>
    </row>
    <row r="2506" spans="2:7" x14ac:dyDescent="0.35">
      <c r="B2506" s="2">
        <v>39583</v>
      </c>
      <c r="C2506" s="4">
        <v>66.84</v>
      </c>
      <c r="D2506">
        <f t="shared" si="82"/>
        <v>-0.98391657021581724</v>
      </c>
      <c r="E2506">
        <v>2.9931158335849695E-4</v>
      </c>
      <c r="F2506">
        <v>2503</v>
      </c>
      <c r="G2506">
        <f t="shared" ca="1" si="83"/>
        <v>5.0628766890296412E-2</v>
      </c>
    </row>
    <row r="2507" spans="2:7" x14ac:dyDescent="0.35">
      <c r="B2507" s="2">
        <v>44405</v>
      </c>
      <c r="C2507" s="4">
        <v>4155.83</v>
      </c>
      <c r="D2507">
        <f t="shared" si="82"/>
        <v>59.73111208534268</v>
      </c>
      <c r="E2507">
        <v>2.9846507116215726E-4</v>
      </c>
      <c r="F2507">
        <v>2504</v>
      </c>
      <c r="G2507">
        <f t="shared" ca="1" si="83"/>
        <v>5.0986562151078968E-2</v>
      </c>
    </row>
    <row r="2508" spans="2:7" x14ac:dyDescent="0.35">
      <c r="B2508" s="2">
        <v>40086</v>
      </c>
      <c r="C2508" s="4">
        <v>68.430000000000007</v>
      </c>
      <c r="D2508">
        <f t="shared" si="82"/>
        <v>-0.71491063617047867</v>
      </c>
      <c r="E2508">
        <v>2.923549188715846E-4</v>
      </c>
      <c r="F2508">
        <v>2505</v>
      </c>
      <c r="G2508">
        <f t="shared" ca="1" si="83"/>
        <v>2.771143925915473E-2</v>
      </c>
    </row>
    <row r="2509" spans="2:7" x14ac:dyDescent="0.35">
      <c r="B2509" s="2">
        <v>41794</v>
      </c>
      <c r="C2509" s="4">
        <v>240.03</v>
      </c>
      <c r="D2509">
        <f t="shared" si="82"/>
        <v>-0.66725813382868715</v>
      </c>
      <c r="E2509">
        <v>2.9171528588101125E-4</v>
      </c>
      <c r="F2509">
        <v>2506</v>
      </c>
      <c r="G2509">
        <f t="shared" ca="1" si="83"/>
        <v>2.3467187263008577E-2</v>
      </c>
    </row>
    <row r="2510" spans="2:7" x14ac:dyDescent="0.35">
      <c r="B2510" s="2">
        <v>42871</v>
      </c>
      <c r="C2510" s="4">
        <v>721.37</v>
      </c>
      <c r="D2510">
        <f t="shared" si="82"/>
        <v>4.8823041916864263E-2</v>
      </c>
      <c r="E2510">
        <v>2.9119751511452741E-4</v>
      </c>
      <c r="F2510">
        <v>2507</v>
      </c>
      <c r="G2510">
        <f t="shared" ca="1" si="83"/>
        <v>-1.6900520691305754E-2</v>
      </c>
    </row>
    <row r="2511" spans="2:7" x14ac:dyDescent="0.35">
      <c r="B2511" s="2">
        <v>43756</v>
      </c>
      <c r="C2511" s="4">
        <v>687.79</v>
      </c>
      <c r="D2511">
        <f t="shared" si="82"/>
        <v>8.9076634975511375</v>
      </c>
      <c r="E2511">
        <v>2.9087101324898335E-4</v>
      </c>
      <c r="F2511">
        <v>2508</v>
      </c>
      <c r="G2511">
        <f t="shared" ca="1" si="83"/>
        <v>8.9002843939044239E-4</v>
      </c>
    </row>
    <row r="2512" spans="2:7" x14ac:dyDescent="0.35">
      <c r="B2512" s="2">
        <v>40102</v>
      </c>
      <c r="C2512" s="4">
        <v>69.42</v>
      </c>
      <c r="D2512">
        <f t="shared" si="82"/>
        <v>-0.87590940779007198</v>
      </c>
      <c r="E2512">
        <v>2.8818443804023985E-4</v>
      </c>
      <c r="F2512">
        <v>2509</v>
      </c>
      <c r="G2512">
        <f t="shared" ca="1" si="83"/>
        <v>-2.6115625880389279E-3</v>
      </c>
    </row>
    <row r="2513" spans="2:7" x14ac:dyDescent="0.35">
      <c r="B2513" s="2">
        <v>42151</v>
      </c>
      <c r="C2513" s="4">
        <v>559.42999999999995</v>
      </c>
      <c r="D2513">
        <f t="shared" si="82"/>
        <v>6.4382395957984313</v>
      </c>
      <c r="E2513">
        <v>2.8608722084144667E-4</v>
      </c>
      <c r="F2513">
        <v>2510</v>
      </c>
      <c r="G2513">
        <f t="shared" ca="1" si="83"/>
        <v>-2.090087949403514E-2</v>
      </c>
    </row>
    <row r="2514" spans="2:7" x14ac:dyDescent="0.35">
      <c r="B2514" s="2">
        <v>41507</v>
      </c>
      <c r="C2514" s="4">
        <v>75.209999999999994</v>
      </c>
      <c r="D2514">
        <f t="shared" si="82"/>
        <v>-9.3519494204427067E-3</v>
      </c>
      <c r="E2514">
        <v>2.6599281819383869E-4</v>
      </c>
      <c r="F2514">
        <v>2511</v>
      </c>
      <c r="G2514">
        <f t="shared" ca="1" si="83"/>
        <v>-6.0118779918519891E-3</v>
      </c>
    </row>
    <row r="2515" spans="2:7" x14ac:dyDescent="0.35">
      <c r="B2515" s="2">
        <v>41516</v>
      </c>
      <c r="C2515" s="4">
        <v>75.92</v>
      </c>
      <c r="D2515">
        <f t="shared" si="82"/>
        <v>-0.92171743210080226</v>
      </c>
      <c r="E2515">
        <v>2.6350461133062275E-4</v>
      </c>
      <c r="F2515">
        <v>2512</v>
      </c>
      <c r="G2515">
        <f t="shared" ca="1" si="83"/>
        <v>-4.8237312172168508E-3</v>
      </c>
    </row>
    <row r="2516" spans="2:7" x14ac:dyDescent="0.35">
      <c r="B2516" s="2">
        <v>43112</v>
      </c>
      <c r="C2516" s="4">
        <v>969.82</v>
      </c>
      <c r="D2516">
        <f t="shared" si="82"/>
        <v>10.390885600187927</v>
      </c>
      <c r="E2516">
        <v>2.3721366763274077E-4</v>
      </c>
      <c r="F2516">
        <v>2513</v>
      </c>
      <c r="G2516">
        <f t="shared" ca="1" si="83"/>
        <v>-6.587515549596178E-3</v>
      </c>
    </row>
    <row r="2517" spans="2:7" x14ac:dyDescent="0.35">
      <c r="B2517" s="2">
        <v>41402</v>
      </c>
      <c r="C2517" s="4">
        <v>85.14</v>
      </c>
      <c r="D2517">
        <f t="shared" si="82"/>
        <v>-2.2502870264064279E-2</v>
      </c>
      <c r="E2517">
        <v>2.3496240601494911E-4</v>
      </c>
      <c r="F2517">
        <v>2514</v>
      </c>
      <c r="G2517">
        <f t="shared" ca="1" si="83"/>
        <v>-1.791576037662353E-2</v>
      </c>
    </row>
    <row r="2518" spans="2:7" x14ac:dyDescent="0.35">
      <c r="B2518" s="2">
        <v>41003</v>
      </c>
      <c r="C2518" s="4">
        <v>87.1</v>
      </c>
      <c r="D2518">
        <f t="shared" si="82"/>
        <v>-6.1826798793623516E-2</v>
      </c>
      <c r="E2518">
        <v>2.2967386311423255E-4</v>
      </c>
      <c r="F2518">
        <v>2515</v>
      </c>
      <c r="G2518">
        <f t="shared" ca="1" si="83"/>
        <v>5.1586687408860923E-2</v>
      </c>
    </row>
    <row r="2519" spans="2:7" x14ac:dyDescent="0.35">
      <c r="B2519" s="2">
        <v>41312</v>
      </c>
      <c r="C2519" s="4">
        <v>92.84</v>
      </c>
      <c r="D2519">
        <f t="shared" si="82"/>
        <v>-8.7550715353404973E-3</v>
      </c>
      <c r="E2519">
        <v>2.1547080370609706E-4</v>
      </c>
      <c r="F2519">
        <v>2516</v>
      </c>
      <c r="G2519">
        <f t="shared" ca="1" si="83"/>
        <v>-2.9601768941592494E-3</v>
      </c>
    </row>
    <row r="2520" spans="2:7" x14ac:dyDescent="0.35">
      <c r="B2520" s="2">
        <v>41116</v>
      </c>
      <c r="C2520" s="4">
        <v>93.66</v>
      </c>
      <c r="D2520">
        <f t="shared" si="82"/>
        <v>-2.3357664233576769E-2</v>
      </c>
      <c r="E2520">
        <v>2.1358393848780466E-4</v>
      </c>
      <c r="F2520">
        <v>2517</v>
      </c>
      <c r="G2520">
        <f t="shared" ca="1" si="83"/>
        <v>-1.1283606801141563E-2</v>
      </c>
    </row>
    <row r="2521" spans="2:7" x14ac:dyDescent="0.35">
      <c r="B2521" s="2">
        <v>41100</v>
      </c>
      <c r="C2521" s="4">
        <v>95.9</v>
      </c>
      <c r="D2521">
        <f t="shared" si="82"/>
        <v>-4.090409040904075E-2</v>
      </c>
      <c r="E2521">
        <v>2.085940759284366E-4</v>
      </c>
      <c r="F2521">
        <v>2518</v>
      </c>
      <c r="G2521">
        <f t="shared" ca="1" si="83"/>
        <v>-4.100693372122456E-3</v>
      </c>
    </row>
    <row r="2522" spans="2:7" x14ac:dyDescent="0.35">
      <c r="B2522" s="2">
        <v>40725</v>
      </c>
      <c r="C2522" s="4">
        <v>99.99</v>
      </c>
      <c r="D2522">
        <f t="shared" si="82"/>
        <v>-2.3344403203750752E-2</v>
      </c>
      <c r="E2522">
        <v>2.0006001800543238E-4</v>
      </c>
      <c r="F2522">
        <v>2519</v>
      </c>
      <c r="G2522">
        <f t="shared" ca="1" si="83"/>
        <v>-1.4667211471241035E-2</v>
      </c>
    </row>
    <row r="2523" spans="2:7" x14ac:dyDescent="0.35">
      <c r="B2523" s="2">
        <v>40399</v>
      </c>
      <c r="C2523" s="4">
        <v>102.38</v>
      </c>
      <c r="D2523">
        <f t="shared" si="82"/>
        <v>-4.7627906976744239E-2</v>
      </c>
      <c r="E2523">
        <v>1.9538882375913502E-4</v>
      </c>
      <c r="F2523">
        <v>2520</v>
      </c>
      <c r="G2523">
        <f t="shared" ca="1" si="83"/>
        <v>-3.8501276659741346E-2</v>
      </c>
    </row>
    <row r="2524" spans="2:7" x14ac:dyDescent="0.35">
      <c r="B2524" s="2">
        <v>39365</v>
      </c>
      <c r="C2524" s="4">
        <v>107.5</v>
      </c>
      <c r="D2524">
        <f t="shared" si="82"/>
        <v>-0.98266467350726716</v>
      </c>
      <c r="E2524">
        <v>1.8608113137319471E-4</v>
      </c>
      <c r="F2524">
        <v>2521</v>
      </c>
      <c r="G2524">
        <f t="shared" ca="1" si="83"/>
        <v>-3.4735446709642001E-2</v>
      </c>
    </row>
    <row r="2525" spans="2:7" x14ac:dyDescent="0.35">
      <c r="B2525" s="2">
        <v>44480</v>
      </c>
      <c r="C2525" s="4">
        <v>6201.21</v>
      </c>
      <c r="D2525">
        <f t="shared" si="82"/>
        <v>46.617369269753517</v>
      </c>
      <c r="E2525">
        <v>1.758030489733553E-4</v>
      </c>
      <c r="F2525">
        <v>2522</v>
      </c>
      <c r="G2525">
        <f t="shared" ca="1" si="83"/>
        <v>-8.5894629955633843E-3</v>
      </c>
    </row>
    <row r="2526" spans="2:7" x14ac:dyDescent="0.35">
      <c r="B2526" s="2">
        <v>40492</v>
      </c>
      <c r="C2526" s="4">
        <v>130.22999999999999</v>
      </c>
      <c r="D2526">
        <f t="shared" si="82"/>
        <v>-0.97591437702516759</v>
      </c>
      <c r="E2526">
        <v>1.5359803394510152E-4</v>
      </c>
      <c r="F2526">
        <v>2523</v>
      </c>
      <c r="G2526">
        <f t="shared" ca="1" si="83"/>
        <v>4.1173560583899801E-2</v>
      </c>
    </row>
    <row r="2527" spans="2:7" x14ac:dyDescent="0.35">
      <c r="B2527" s="2">
        <v>44551</v>
      </c>
      <c r="C2527" s="4">
        <v>5406.96</v>
      </c>
      <c r="D2527">
        <f t="shared" si="82"/>
        <v>-0.40057869472190499</v>
      </c>
      <c r="E2527">
        <v>1.2947952928632489E-4</v>
      </c>
      <c r="F2527">
        <v>2524</v>
      </c>
      <c r="G2527">
        <f t="shared" ca="1" si="83"/>
        <v>-2.5068609598327997E-2</v>
      </c>
    </row>
    <row r="2528" spans="2:7" x14ac:dyDescent="0.35">
      <c r="B2528" s="2">
        <v>44805</v>
      </c>
      <c r="C2528" s="4">
        <v>9020.2999999999993</v>
      </c>
      <c r="D2528">
        <f t="shared" si="82"/>
        <v>9.617613823626348</v>
      </c>
      <c r="E2528">
        <v>1.1641766222236782E-4</v>
      </c>
      <c r="F2528">
        <v>2525</v>
      </c>
      <c r="G2528">
        <f t="shared" ca="1" si="83"/>
        <v>5.0189302113261315E-2</v>
      </c>
    </row>
    <row r="2529" spans="2:7" x14ac:dyDescent="0.35">
      <c r="B2529" s="2">
        <v>44001</v>
      </c>
      <c r="C2529" s="4">
        <v>849.56</v>
      </c>
      <c r="D2529">
        <f t="shared" si="82"/>
        <v>0.39221919963291918</v>
      </c>
      <c r="E2529">
        <v>1.0594841489397488E-4</v>
      </c>
      <c r="F2529">
        <v>2526</v>
      </c>
      <c r="G2529">
        <f t="shared" ca="1" si="83"/>
        <v>-9.5901718818200057E-3</v>
      </c>
    </row>
    <row r="2530" spans="2:7" x14ac:dyDescent="0.35">
      <c r="B2530" s="2">
        <v>42202</v>
      </c>
      <c r="C2530" s="4">
        <v>610.22</v>
      </c>
      <c r="D2530">
        <f t="shared" si="82"/>
        <v>4.8394258373205741</v>
      </c>
      <c r="E2530">
        <v>9.8334862986826366E-5</v>
      </c>
      <c r="F2530">
        <v>2527</v>
      </c>
      <c r="G2530">
        <f t="shared" ca="1" si="83"/>
        <v>-3.8715783194727585E-2</v>
      </c>
    </row>
    <row r="2531" spans="2:7" x14ac:dyDescent="0.35">
      <c r="B2531" s="2">
        <v>39384</v>
      </c>
      <c r="C2531" s="4">
        <v>104.5</v>
      </c>
      <c r="D2531">
        <f t="shared" si="82"/>
        <v>-0.82958529704342721</v>
      </c>
      <c r="E2531">
        <v>9.5702938080144406E-5</v>
      </c>
      <c r="F2531">
        <v>2528</v>
      </c>
      <c r="G2531">
        <f t="shared" ca="1" si="83"/>
        <v>1.7239262490331583E-2</v>
      </c>
    </row>
    <row r="2532" spans="2:7" x14ac:dyDescent="0.35">
      <c r="B2532" s="2">
        <v>43686</v>
      </c>
      <c r="C2532" s="4">
        <v>613.21</v>
      </c>
      <c r="D2532">
        <f t="shared" si="82"/>
        <v>1.198515703427506</v>
      </c>
      <c r="E2532">
        <v>8.1544784395592984E-5</v>
      </c>
      <c r="F2532">
        <v>2529</v>
      </c>
      <c r="G2532">
        <f t="shared" ca="1" si="83"/>
        <v>3.1682799152011498E-2</v>
      </c>
    </row>
    <row r="2533" spans="2:7" x14ac:dyDescent="0.35">
      <c r="B2533" s="2">
        <v>41950</v>
      </c>
      <c r="C2533" s="4">
        <v>278.92</v>
      </c>
      <c r="D2533">
        <f t="shared" si="82"/>
        <v>-0.79337422585711326</v>
      </c>
      <c r="E2533">
        <v>7.1710290426851842E-5</v>
      </c>
      <c r="F2533">
        <v>2530</v>
      </c>
      <c r="G2533">
        <f t="shared" ca="1" si="83"/>
        <v>5.2023817612756741E-2</v>
      </c>
    </row>
    <row r="2534" spans="2:7" x14ac:dyDescent="0.35">
      <c r="B2534" s="2">
        <v>43328</v>
      </c>
      <c r="C2534" s="4">
        <v>1349.88</v>
      </c>
      <c r="D2534">
        <f t="shared" si="82"/>
        <v>0.67306619734020812</v>
      </c>
      <c r="E2534">
        <v>3.704170154783526E-5</v>
      </c>
      <c r="F2534">
        <v>2531</v>
      </c>
      <c r="G2534">
        <f t="shared" ca="1" si="83"/>
        <v>-2.3081111419551596E-2</v>
      </c>
    </row>
    <row r="2535" spans="2:7" x14ac:dyDescent="0.35">
      <c r="B2535" s="2">
        <v>43626</v>
      </c>
      <c r="C2535" s="4">
        <v>806.83</v>
      </c>
      <c r="D2535">
        <f t="shared" si="82"/>
        <v>1.9637806266759723</v>
      </c>
      <c r="E2535">
        <v>0</v>
      </c>
      <c r="F2535">
        <v>2532</v>
      </c>
      <c r="G2535">
        <f t="shared" ca="1" si="83"/>
        <v>5.1540070899880686E-3</v>
      </c>
    </row>
    <row r="2536" spans="2:7" x14ac:dyDescent="0.35">
      <c r="B2536" s="2">
        <v>41969</v>
      </c>
      <c r="C2536" s="4">
        <v>272.23</v>
      </c>
      <c r="D2536">
        <f t="shared" si="82"/>
        <v>-3.3681127585574178E-3</v>
      </c>
      <c r="E2536">
        <v>0</v>
      </c>
      <c r="F2536">
        <v>2533</v>
      </c>
      <c r="G2536">
        <f t="shared" ca="1" si="83"/>
        <v>-4.6009894782005026E-2</v>
      </c>
    </row>
    <row r="2537" spans="2:7" x14ac:dyDescent="0.35">
      <c r="B2537" s="2">
        <v>41960</v>
      </c>
      <c r="C2537" s="4">
        <v>273.14999999999998</v>
      </c>
      <c r="D2537">
        <f t="shared" si="82"/>
        <v>-1.9984213547646568E-2</v>
      </c>
      <c r="E2537">
        <v>0</v>
      </c>
      <c r="F2537">
        <v>2534</v>
      </c>
      <c r="G2537">
        <f t="shared" ca="1" si="83"/>
        <v>-5.8971544813594141E-3</v>
      </c>
    </row>
    <row r="2538" spans="2:7" x14ac:dyDescent="0.35">
      <c r="B2538" s="2">
        <v>41927</v>
      </c>
      <c r="C2538" s="4">
        <v>278.72000000000003</v>
      </c>
      <c r="D2538">
        <f t="shared" si="82"/>
        <v>0.1115453639082753</v>
      </c>
      <c r="E2538">
        <v>0</v>
      </c>
      <c r="F2538">
        <v>2535</v>
      </c>
      <c r="G2538">
        <f t="shared" ca="1" si="83"/>
        <v>2.9153034116641129E-2</v>
      </c>
    </row>
    <row r="2539" spans="2:7" x14ac:dyDescent="0.35">
      <c r="B2539" s="2">
        <v>41753</v>
      </c>
      <c r="C2539" s="4">
        <v>250.75</v>
      </c>
      <c r="D2539">
        <f t="shared" si="82"/>
        <v>1.9886769964243145</v>
      </c>
      <c r="E2539">
        <v>0</v>
      </c>
      <c r="F2539">
        <v>2536</v>
      </c>
      <c r="G2539">
        <f t="shared" ca="1" si="83"/>
        <v>2.1158007980792096E-2</v>
      </c>
    </row>
    <row r="2540" spans="2:7" x14ac:dyDescent="0.35">
      <c r="B2540" s="2">
        <v>41407</v>
      </c>
      <c r="C2540" s="4">
        <v>83.9</v>
      </c>
      <c r="D2540">
        <f t="shared" si="82"/>
        <v>-0.1210978420280745</v>
      </c>
      <c r="E2540">
        <v>0</v>
      </c>
      <c r="F2540">
        <v>2537</v>
      </c>
      <c r="G2540">
        <f t="shared" ca="1" si="83"/>
        <v>-3.3659286046208346E-2</v>
      </c>
    </row>
    <row r="2541" spans="2:7" x14ac:dyDescent="0.35">
      <c r="B2541" s="2">
        <v>40848</v>
      </c>
      <c r="C2541" s="4">
        <v>95.46</v>
      </c>
      <c r="D2541">
        <f t="shared" si="82"/>
        <v>1.3590995965172992E-2</v>
      </c>
      <c r="E2541">
        <v>0</v>
      </c>
      <c r="F2541">
        <v>2538</v>
      </c>
      <c r="G2541">
        <f t="shared" ca="1" si="83"/>
        <v>2.6040144127481724E-2</v>
      </c>
    </row>
    <row r="2542" spans="2:7" x14ac:dyDescent="0.35">
      <c r="B2542" s="2">
        <v>40599</v>
      </c>
      <c r="C2542" s="4">
        <v>94.18</v>
      </c>
      <c r="D2542">
        <f t="shared" si="82"/>
        <v>-0.13722975448882369</v>
      </c>
      <c r="E2542">
        <v>0</v>
      </c>
      <c r="F2542">
        <v>2539</v>
      </c>
      <c r="G2542">
        <f t="shared" ca="1" si="83"/>
        <v>-1.6057714951095821E-2</v>
      </c>
    </row>
    <row r="2543" spans="2:7" x14ac:dyDescent="0.35">
      <c r="B2543" s="2">
        <v>40350</v>
      </c>
      <c r="C2543" s="4">
        <v>109.16</v>
      </c>
      <c r="D2543">
        <f t="shared" si="82"/>
        <v>2.7615437629221224</v>
      </c>
      <c r="E2543">
        <v>0</v>
      </c>
      <c r="F2543">
        <v>2540</v>
      </c>
      <c r="G2543">
        <f t="shared" ca="1" si="83"/>
        <v>7.1935164561348255E-2</v>
      </c>
    </row>
    <row r="2544" spans="2:7" x14ac:dyDescent="0.35">
      <c r="B2544" s="2">
        <v>39895</v>
      </c>
      <c r="C2544" s="4">
        <v>29.02</v>
      </c>
      <c r="D2544">
        <f t="shared" si="82"/>
        <v>-0.11793313069908817</v>
      </c>
      <c r="E2544">
        <v>0</v>
      </c>
      <c r="F2544">
        <v>2541</v>
      </c>
      <c r="G2544">
        <f t="shared" ca="1" si="83"/>
        <v>-3.7230331351142044E-2</v>
      </c>
    </row>
    <row r="2545" spans="2:7" x14ac:dyDescent="0.35">
      <c r="B2545" s="2">
        <v>39779</v>
      </c>
      <c r="C2545" s="4">
        <v>32.9</v>
      </c>
      <c r="D2545">
        <f t="shared" si="82"/>
        <v>-0.54906798245614041</v>
      </c>
      <c r="E2545">
        <v>0</v>
      </c>
      <c r="F2545">
        <v>2542</v>
      </c>
      <c r="G2545">
        <f t="shared" ca="1" si="83"/>
        <v>-2.0251802296676016E-2</v>
      </c>
    </row>
    <row r="2546" spans="2:7" x14ac:dyDescent="0.35">
      <c r="B2546" s="2">
        <v>38700</v>
      </c>
      <c r="C2546" s="4">
        <v>72.959999999999994</v>
      </c>
      <c r="D2546">
        <f t="shared" si="82"/>
        <v>4.9331223932115531E-2</v>
      </c>
      <c r="E2546">
        <v>0</v>
      </c>
      <c r="F2546">
        <v>2543</v>
      </c>
      <c r="G2546">
        <f t="shared" ca="1" si="83"/>
        <v>1.9365986507675927E-2</v>
      </c>
    </row>
    <row r="2547" spans="2:7" x14ac:dyDescent="0.35">
      <c r="B2547" s="2">
        <v>38660</v>
      </c>
      <c r="C2547" s="4">
        <v>69.53</v>
      </c>
      <c r="D2547">
        <f t="shared" si="82"/>
        <v>0.20190146931719966</v>
      </c>
      <c r="E2547">
        <v>0</v>
      </c>
      <c r="F2547">
        <v>2544</v>
      </c>
      <c r="G2547">
        <f t="shared" ca="1" si="83"/>
        <v>1.9139098571912788E-3</v>
      </c>
    </row>
    <row r="2548" spans="2:7" x14ac:dyDescent="0.35">
      <c r="B2548" s="2">
        <v>38491</v>
      </c>
      <c r="C2548" s="4">
        <v>57.85</v>
      </c>
      <c r="D2548">
        <f t="shared" si="82"/>
        <v>0.11015160237958166</v>
      </c>
      <c r="E2548">
        <v>0</v>
      </c>
      <c r="F2548">
        <v>2545</v>
      </c>
      <c r="G2548">
        <f t="shared" ca="1" si="83"/>
        <v>1.7076615501047325E-2</v>
      </c>
    </row>
    <row r="2549" spans="2:7" x14ac:dyDescent="0.35">
      <c r="B2549" s="2">
        <v>38317</v>
      </c>
      <c r="C2549" s="4">
        <v>52.11</v>
      </c>
      <c r="D2549">
        <f t="shared" si="82"/>
        <v>3.4662045060658286E-3</v>
      </c>
      <c r="E2549">
        <v>0</v>
      </c>
      <c r="F2549">
        <v>2546</v>
      </c>
      <c r="G2549">
        <f t="shared" ca="1" si="83"/>
        <v>3.1928791219095025E-2</v>
      </c>
    </row>
    <row r="2550" spans="2:7" x14ac:dyDescent="0.35">
      <c r="B2550" s="2">
        <v>38309</v>
      </c>
      <c r="C2550" s="4">
        <v>51.93</v>
      </c>
      <c r="D2550">
        <f t="shared" si="82"/>
        <v>-5.3629572878759468E-3</v>
      </c>
      <c r="E2550">
        <v>0</v>
      </c>
      <c r="F2550">
        <v>2547</v>
      </c>
      <c r="G2550">
        <f t="shared" ca="1" si="83"/>
        <v>9.9666263554812218E-3</v>
      </c>
    </row>
    <row r="2551" spans="2:7" x14ac:dyDescent="0.35">
      <c r="B2551" s="2">
        <v>38306</v>
      </c>
      <c r="C2551" s="4">
        <v>52.21</v>
      </c>
      <c r="D2551">
        <f t="shared" si="82"/>
        <v>2.0723362658846556E-2</v>
      </c>
      <c r="E2551">
        <v>0</v>
      </c>
      <c r="F2551">
        <v>2548</v>
      </c>
      <c r="G2551">
        <f t="shared" ca="1" si="83"/>
        <v>-1.6289103020350044E-2</v>
      </c>
    </row>
    <row r="2552" spans="2:7" x14ac:dyDescent="0.35">
      <c r="B2552" s="2">
        <v>38282</v>
      </c>
      <c r="C2552" s="4">
        <v>51.15</v>
      </c>
      <c r="D2552">
        <f t="shared" si="82"/>
        <v>0.8004223864836324</v>
      </c>
      <c r="E2552">
        <v>0</v>
      </c>
      <c r="F2552">
        <v>2549</v>
      </c>
      <c r="G2552">
        <f t="shared" ca="1" si="83"/>
        <v>-3.8480126032523258E-2</v>
      </c>
    </row>
    <row r="2553" spans="2:7" x14ac:dyDescent="0.35">
      <c r="B2553" s="2">
        <v>38105</v>
      </c>
      <c r="C2553" s="4">
        <v>28.41</v>
      </c>
      <c r="D2553">
        <f t="shared" si="82"/>
        <v>-5.6002800140007025E-3</v>
      </c>
      <c r="E2553">
        <v>0</v>
      </c>
      <c r="F2553">
        <v>2550</v>
      </c>
      <c r="G2553">
        <f t="shared" ca="1" si="83"/>
        <v>-7.0949631904203021E-3</v>
      </c>
    </row>
    <row r="2554" spans="2:7" x14ac:dyDescent="0.35">
      <c r="B2554" s="2">
        <v>38091</v>
      </c>
      <c r="C2554" s="4">
        <v>28.57</v>
      </c>
      <c r="D2554">
        <f t="shared" si="82"/>
        <v>5.541189508681188E-2</v>
      </c>
      <c r="E2554">
        <v>0</v>
      </c>
      <c r="F2554">
        <v>2551</v>
      </c>
      <c r="G2554">
        <f t="shared" ca="1" si="83"/>
        <v>3.2160574064869919E-2</v>
      </c>
    </row>
    <row r="2555" spans="2:7" x14ac:dyDescent="0.35">
      <c r="B2555" s="2">
        <v>38086</v>
      </c>
      <c r="C2555" s="4">
        <v>27.07</v>
      </c>
      <c r="D2555">
        <f t="shared" si="82"/>
        <v>-8.0502717391304324E-2</v>
      </c>
      <c r="E2555">
        <v>0</v>
      </c>
      <c r="F2555">
        <v>2552</v>
      </c>
      <c r="G2555">
        <f t="shared" ca="1" si="83"/>
        <v>9.0068511556444346E-6</v>
      </c>
    </row>
    <row r="2556" spans="2:7" x14ac:dyDescent="0.35">
      <c r="B2556" s="2">
        <v>38048</v>
      </c>
      <c r="C2556" s="4">
        <v>29.44</v>
      </c>
      <c r="D2556">
        <f t="shared" si="82"/>
        <v>-5.8522545570834583E-2</v>
      </c>
      <c r="E2556">
        <v>0</v>
      </c>
      <c r="F2556">
        <v>2553</v>
      </c>
      <c r="G2556">
        <f t="shared" ca="1" si="83"/>
        <v>-2.741431647823803E-2</v>
      </c>
    </row>
    <row r="2557" spans="2:7" x14ac:dyDescent="0.35">
      <c r="B2557" s="2">
        <v>38019</v>
      </c>
      <c r="C2557" s="4">
        <v>31.27</v>
      </c>
      <c r="D2557">
        <f t="shared" si="82"/>
        <v>-2.2507033447952463E-2</v>
      </c>
      <c r="E2557">
        <v>0</v>
      </c>
      <c r="F2557">
        <v>2554</v>
      </c>
      <c r="G2557">
        <f t="shared" ca="1" si="83"/>
        <v>4.2498772388640128E-3</v>
      </c>
    </row>
    <row r="2558" spans="2:7" x14ac:dyDescent="0.35">
      <c r="B2558" s="2">
        <v>38012</v>
      </c>
      <c r="C2558" s="4">
        <v>31.99</v>
      </c>
      <c r="D2558">
        <f t="shared" si="82"/>
        <v>-0.19562484284636672</v>
      </c>
      <c r="E2558">
        <v>0</v>
      </c>
      <c r="F2558">
        <v>2555</v>
      </c>
      <c r="G2558">
        <f t="shared" ca="1" si="83"/>
        <v>5.3237940738324663E-2</v>
      </c>
    </row>
    <row r="2559" spans="2:7" x14ac:dyDescent="0.35">
      <c r="B2559" s="2">
        <v>37980</v>
      </c>
      <c r="C2559" s="4">
        <v>39.770000000000003</v>
      </c>
      <c r="D2559">
        <f t="shared" si="82"/>
        <v>0.40282186948853616</v>
      </c>
      <c r="E2559">
        <v>0</v>
      </c>
      <c r="F2559">
        <v>2556</v>
      </c>
      <c r="G2559">
        <f t="shared" ca="1" si="83"/>
        <v>-6.6442223236554097E-3</v>
      </c>
    </row>
    <row r="2560" spans="2:7" x14ac:dyDescent="0.35">
      <c r="B2560" s="2">
        <v>37951</v>
      </c>
      <c r="C2560" s="4">
        <v>28.35</v>
      </c>
      <c r="D2560">
        <f t="shared" si="82"/>
        <v>-8.394543546694555E-3</v>
      </c>
      <c r="E2560">
        <v>0</v>
      </c>
      <c r="F2560">
        <v>2557</v>
      </c>
      <c r="G2560">
        <f t="shared" ca="1" si="83"/>
        <v>-1.6305521713155302E-2</v>
      </c>
    </row>
    <row r="2561" spans="2:7" x14ac:dyDescent="0.35">
      <c r="B2561" s="2">
        <v>37896</v>
      </c>
      <c r="C2561" s="4">
        <v>28.59</v>
      </c>
      <c r="D2561">
        <f t="shared" si="82"/>
        <v>0.11245136186770432</v>
      </c>
      <c r="E2561">
        <v>0</v>
      </c>
      <c r="F2561">
        <v>2558</v>
      </c>
      <c r="G2561">
        <f t="shared" ca="1" si="83"/>
        <v>-1.8033985530277508E-2</v>
      </c>
    </row>
    <row r="2562" spans="2:7" x14ac:dyDescent="0.35">
      <c r="B2562" s="2">
        <v>37848</v>
      </c>
      <c r="C2562" s="4">
        <v>25.7</v>
      </c>
      <c r="D2562">
        <f t="shared" si="82"/>
        <v>0.20431115276476097</v>
      </c>
      <c r="E2562">
        <v>0</v>
      </c>
      <c r="F2562">
        <v>2559</v>
      </c>
      <c r="G2562">
        <f t="shared" ca="1" si="83"/>
        <v>3.7813341101884348E-2</v>
      </c>
    </row>
    <row r="2563" spans="2:7" x14ac:dyDescent="0.35">
      <c r="B2563" s="2">
        <v>37748</v>
      </c>
      <c r="C2563" s="4">
        <v>21.34</v>
      </c>
      <c r="D2563">
        <f t="shared" si="82"/>
        <v>0</v>
      </c>
      <c r="E2563">
        <v>0</v>
      </c>
      <c r="F2563">
        <v>2560</v>
      </c>
      <c r="G2563">
        <f t="shared" ca="1" si="83"/>
        <v>-1.7858540202875774E-2</v>
      </c>
    </row>
    <row r="2564" spans="2:7" x14ac:dyDescent="0.35">
      <c r="B2564" s="2">
        <v>37742</v>
      </c>
      <c r="C2564" s="4">
        <v>21.34</v>
      </c>
      <c r="D2564">
        <f t="shared" ref="D2564:D2627" si="84">C2564/C2565-1</f>
        <v>-1.5228426395939132E-2</v>
      </c>
      <c r="E2564">
        <v>0</v>
      </c>
      <c r="F2564">
        <v>2561</v>
      </c>
      <c r="G2564">
        <f t="shared" ca="1" si="83"/>
        <v>-4.299165024272935E-2</v>
      </c>
    </row>
    <row r="2565" spans="2:7" x14ac:dyDescent="0.35">
      <c r="B2565" s="2">
        <v>37729</v>
      </c>
      <c r="C2565" s="4">
        <v>21.67</v>
      </c>
      <c r="D2565">
        <f t="shared" si="84"/>
        <v>-3.2198712051516587E-3</v>
      </c>
      <c r="E2565">
        <v>0</v>
      </c>
      <c r="F2565">
        <v>2562</v>
      </c>
      <c r="G2565">
        <f t="shared" ref="G2565:G2628" ca="1" si="85">_xlfn.NORM.INV(RAND(),K$6,K$7)</f>
        <v>-1.2198549256158212E-2</v>
      </c>
    </row>
    <row r="2566" spans="2:7" x14ac:dyDescent="0.35">
      <c r="B2566" s="2">
        <v>37698</v>
      </c>
      <c r="C2566" s="4">
        <v>21.74</v>
      </c>
      <c r="D2566">
        <f t="shared" si="84"/>
        <v>2.4988213107024926E-2</v>
      </c>
      <c r="E2566">
        <v>0</v>
      </c>
      <c r="F2566">
        <v>2563</v>
      </c>
      <c r="G2566">
        <f t="shared" ca="1" si="85"/>
        <v>-1.8815181925875009E-2</v>
      </c>
    </row>
    <row r="2567" spans="2:7" x14ac:dyDescent="0.35">
      <c r="B2567" s="2">
        <v>37694</v>
      </c>
      <c r="C2567" s="4">
        <v>21.21</v>
      </c>
      <c r="D2567">
        <f t="shared" si="84"/>
        <v>-8.5381630012936638E-2</v>
      </c>
      <c r="E2567">
        <v>0</v>
      </c>
      <c r="F2567">
        <v>2564</v>
      </c>
      <c r="G2567">
        <f t="shared" ca="1" si="85"/>
        <v>5.9466134853290633E-5</v>
      </c>
    </row>
    <row r="2568" spans="2:7" x14ac:dyDescent="0.35">
      <c r="B2568" s="2">
        <v>37665</v>
      </c>
      <c r="C2568" s="4">
        <v>23.19</v>
      </c>
      <c r="D2568">
        <f t="shared" si="84"/>
        <v>-0.22648432288192122</v>
      </c>
      <c r="E2568">
        <v>0</v>
      </c>
      <c r="F2568">
        <v>2565</v>
      </c>
      <c r="G2568">
        <f t="shared" ca="1" si="85"/>
        <v>7.0047673598640494E-3</v>
      </c>
    </row>
    <row r="2569" spans="2:7" x14ac:dyDescent="0.35">
      <c r="B2569" s="2">
        <v>37615</v>
      </c>
      <c r="C2569" s="4">
        <v>29.98</v>
      </c>
      <c r="D2569">
        <f t="shared" si="84"/>
        <v>8.5445329471397491E-2</v>
      </c>
      <c r="E2569">
        <v>0</v>
      </c>
      <c r="F2569">
        <v>2566</v>
      </c>
      <c r="G2569">
        <f t="shared" ca="1" si="85"/>
        <v>-2.8213424925992568E-2</v>
      </c>
    </row>
    <row r="2570" spans="2:7" x14ac:dyDescent="0.35">
      <c r="B2570" s="2">
        <v>37579</v>
      </c>
      <c r="C2570" s="4">
        <v>27.62</v>
      </c>
      <c r="D2570">
        <f t="shared" si="84"/>
        <v>1.4503263234229014E-3</v>
      </c>
      <c r="E2570">
        <v>0</v>
      </c>
      <c r="F2570">
        <v>2567</v>
      </c>
      <c r="G2570">
        <f t="shared" ca="1" si="85"/>
        <v>-5.283551881068365E-3</v>
      </c>
    </row>
    <row r="2571" spans="2:7" x14ac:dyDescent="0.35">
      <c r="B2571" s="2">
        <v>37566</v>
      </c>
      <c r="C2571" s="4">
        <v>27.58</v>
      </c>
      <c r="D2571">
        <f t="shared" si="84"/>
        <v>-8.4025240783792809E-2</v>
      </c>
      <c r="E2571">
        <v>0</v>
      </c>
      <c r="F2571">
        <v>2568</v>
      </c>
      <c r="G2571">
        <f t="shared" ca="1" si="85"/>
        <v>-3.1833683132091582E-2</v>
      </c>
    </row>
    <row r="2572" spans="2:7" x14ac:dyDescent="0.35">
      <c r="B2572" s="2">
        <v>37544</v>
      </c>
      <c r="C2572" s="4">
        <v>30.11</v>
      </c>
      <c r="D2572">
        <f t="shared" si="84"/>
        <v>3.2578875171467736E-2</v>
      </c>
      <c r="E2572">
        <v>0</v>
      </c>
      <c r="F2572">
        <v>2569</v>
      </c>
      <c r="G2572">
        <f t="shared" ca="1" si="85"/>
        <v>4.3774064855569332E-2</v>
      </c>
    </row>
    <row r="2573" spans="2:7" x14ac:dyDescent="0.35">
      <c r="B2573" s="2">
        <v>37531</v>
      </c>
      <c r="C2573" s="4">
        <v>29.16</v>
      </c>
      <c r="D2573">
        <f t="shared" si="84"/>
        <v>-9.7493036211699247E-2</v>
      </c>
      <c r="E2573">
        <v>0</v>
      </c>
      <c r="F2573">
        <v>2570</v>
      </c>
      <c r="G2573">
        <f t="shared" ca="1" si="85"/>
        <v>-3.6406685205677948E-2</v>
      </c>
    </row>
    <row r="2574" spans="2:7" x14ac:dyDescent="0.35">
      <c r="B2574" s="2">
        <v>37509</v>
      </c>
      <c r="C2574" s="4">
        <v>32.31</v>
      </c>
      <c r="D2574">
        <f t="shared" si="84"/>
        <v>4.5292785506308775E-2</v>
      </c>
      <c r="E2574">
        <v>0</v>
      </c>
      <c r="F2574">
        <v>2571</v>
      </c>
      <c r="G2574">
        <f t="shared" ca="1" si="85"/>
        <v>8.1445433493907721E-3</v>
      </c>
    </row>
    <row r="2575" spans="2:7" x14ac:dyDescent="0.35">
      <c r="B2575" s="2">
        <v>37483</v>
      </c>
      <c r="C2575" s="4">
        <v>30.91</v>
      </c>
      <c r="D2575">
        <f t="shared" si="84"/>
        <v>-0.96406106479705145</v>
      </c>
      <c r="E2575">
        <v>0</v>
      </c>
      <c r="F2575">
        <v>2572</v>
      </c>
      <c r="G2575">
        <f t="shared" ca="1" si="85"/>
        <v>4.4758602426375069E-2</v>
      </c>
    </row>
    <row r="2576" spans="2:7" x14ac:dyDescent="0.35">
      <c r="B2576" s="2">
        <v>42437</v>
      </c>
      <c r="C2576" s="4">
        <v>860.07</v>
      </c>
      <c r="D2576">
        <f t="shared" si="84"/>
        <v>-0.87053475332104013</v>
      </c>
      <c r="E2576">
        <v>-4.6505679506037012E-5</v>
      </c>
      <c r="F2576">
        <v>2573</v>
      </c>
      <c r="G2576">
        <f t="shared" ca="1" si="85"/>
        <v>3.9168899435982771E-2</v>
      </c>
    </row>
    <row r="2577" spans="2:7" x14ac:dyDescent="0.35">
      <c r="B2577" s="2">
        <v>45048</v>
      </c>
      <c r="C2577" s="4">
        <v>6643.25</v>
      </c>
      <c r="D2577">
        <f t="shared" si="84"/>
        <v>6.8013622218307797</v>
      </c>
      <c r="E2577">
        <v>-5.2682280691218608E-5</v>
      </c>
      <c r="F2577">
        <v>2574</v>
      </c>
      <c r="G2577">
        <f t="shared" ca="1" si="85"/>
        <v>3.9197600398584116E-2</v>
      </c>
    </row>
    <row r="2578" spans="2:7" x14ac:dyDescent="0.35">
      <c r="B2578" s="2">
        <v>42993</v>
      </c>
      <c r="C2578" s="4">
        <v>851.55</v>
      </c>
      <c r="D2578">
        <f t="shared" si="84"/>
        <v>0.14335777007975503</v>
      </c>
      <c r="E2578">
        <v>-1.1741912757590178E-4</v>
      </c>
      <c r="F2578">
        <v>2575</v>
      </c>
      <c r="G2578">
        <f t="shared" ca="1" si="85"/>
        <v>-2.2934171612430929E-2</v>
      </c>
    </row>
    <row r="2579" spans="2:7" x14ac:dyDescent="0.35">
      <c r="B2579" s="2">
        <v>42608</v>
      </c>
      <c r="C2579" s="4">
        <v>744.78</v>
      </c>
      <c r="D2579">
        <f t="shared" si="84"/>
        <v>-0.16000676704449335</v>
      </c>
      <c r="E2579">
        <v>-1.4767281075056538E-4</v>
      </c>
      <c r="F2579">
        <v>2576</v>
      </c>
      <c r="G2579">
        <f t="shared" ca="1" si="85"/>
        <v>6.1006228657720291E-2</v>
      </c>
    </row>
    <row r="2580" spans="2:7" x14ac:dyDescent="0.35">
      <c r="B2580" s="2">
        <v>43062</v>
      </c>
      <c r="C2580" s="4">
        <v>886.65</v>
      </c>
      <c r="D2580">
        <f t="shared" si="84"/>
        <v>2.6317276972229049</v>
      </c>
      <c r="E2580">
        <v>-1.5787277709489178E-4</v>
      </c>
      <c r="F2580">
        <v>2577</v>
      </c>
      <c r="G2580">
        <f t="shared" ca="1" si="85"/>
        <v>1.0890318339620415E-2</v>
      </c>
    </row>
    <row r="2581" spans="2:7" x14ac:dyDescent="0.35">
      <c r="B2581" s="2">
        <v>41761</v>
      </c>
      <c r="C2581" s="4">
        <v>244.14</v>
      </c>
      <c r="D2581">
        <f t="shared" si="84"/>
        <v>1.0328059950041633</v>
      </c>
      <c r="E2581">
        <v>-1.6381358014583292E-4</v>
      </c>
      <c r="F2581">
        <v>2578</v>
      </c>
      <c r="G2581">
        <f t="shared" ca="1" si="85"/>
        <v>-3.6463491125958335E-2</v>
      </c>
    </row>
    <row r="2582" spans="2:7" x14ac:dyDescent="0.35">
      <c r="B2582" s="2">
        <v>39244</v>
      </c>
      <c r="C2582" s="4">
        <v>120.1</v>
      </c>
      <c r="D2582">
        <f t="shared" si="84"/>
        <v>1.3311335403726705</v>
      </c>
      <c r="E2582">
        <v>-1.6650016650021637E-4</v>
      </c>
      <c r="F2582">
        <v>2579</v>
      </c>
      <c r="G2582">
        <f t="shared" ca="1" si="85"/>
        <v>-2.8413052653173416E-2</v>
      </c>
    </row>
    <row r="2583" spans="2:7" x14ac:dyDescent="0.35">
      <c r="B2583" s="2">
        <v>38280</v>
      </c>
      <c r="C2583" s="4">
        <v>51.52</v>
      </c>
      <c r="D2583">
        <f t="shared" si="84"/>
        <v>-0.4910096818810511</v>
      </c>
      <c r="E2583">
        <v>-1.9406171162428265E-4</v>
      </c>
      <c r="F2583">
        <v>2580</v>
      </c>
      <c r="G2583">
        <f t="shared" ca="1" si="85"/>
        <v>2.9719464077490477E-3</v>
      </c>
    </row>
    <row r="2584" spans="2:7" x14ac:dyDescent="0.35">
      <c r="B2584" s="2">
        <v>41103</v>
      </c>
      <c r="C2584" s="4">
        <v>101.22</v>
      </c>
      <c r="D2584">
        <f t="shared" si="84"/>
        <v>1.0879240431214132E-3</v>
      </c>
      <c r="E2584">
        <v>-1.9755037534563424E-4</v>
      </c>
      <c r="F2584">
        <v>2581</v>
      </c>
      <c r="G2584">
        <f t="shared" ca="1" si="85"/>
        <v>6.4872014929092791E-6</v>
      </c>
    </row>
    <row r="2585" spans="2:7" x14ac:dyDescent="0.35">
      <c r="B2585" s="2">
        <v>41186</v>
      </c>
      <c r="C2585" s="4">
        <v>101.11</v>
      </c>
      <c r="D2585">
        <f t="shared" si="84"/>
        <v>2.9679461812426311E-4</v>
      </c>
      <c r="E2585">
        <v>-1.9776525264503242E-4</v>
      </c>
      <c r="F2585">
        <v>2582</v>
      </c>
      <c r="G2585">
        <f t="shared" ca="1" si="85"/>
        <v>-4.8940637202389593E-2</v>
      </c>
    </row>
    <row r="2586" spans="2:7" x14ac:dyDescent="0.35">
      <c r="B2586" s="2">
        <v>39177</v>
      </c>
      <c r="C2586" s="4">
        <v>101.08</v>
      </c>
      <c r="D2586">
        <f t="shared" si="84"/>
        <v>2.3594936708860814E-2</v>
      </c>
      <c r="E2586">
        <v>-1.9782393669631748E-4</v>
      </c>
      <c r="F2586">
        <v>2583</v>
      </c>
      <c r="G2586">
        <f t="shared" ca="1" si="85"/>
        <v>4.6288257580386807E-2</v>
      </c>
    </row>
    <row r="2587" spans="2:7" x14ac:dyDescent="0.35">
      <c r="B2587" s="2">
        <v>41269</v>
      </c>
      <c r="C2587" s="4">
        <v>98.75</v>
      </c>
      <c r="D2587">
        <f t="shared" si="84"/>
        <v>3.7072043688300749E-2</v>
      </c>
      <c r="E2587">
        <v>-2.0249063480815011E-4</v>
      </c>
      <c r="F2587">
        <v>2584</v>
      </c>
      <c r="G2587">
        <f t="shared" ca="1" si="85"/>
        <v>9.2195948775474594E-3</v>
      </c>
    </row>
    <row r="2588" spans="2:7" x14ac:dyDescent="0.35">
      <c r="B2588" s="2">
        <v>41143</v>
      </c>
      <c r="C2588" s="4">
        <v>95.22</v>
      </c>
      <c r="D2588">
        <f t="shared" si="84"/>
        <v>-0.9857532934848473</v>
      </c>
      <c r="E2588">
        <v>-2.099958000839619E-4</v>
      </c>
      <c r="F2588">
        <v>2585</v>
      </c>
      <c r="G2588">
        <f t="shared" ca="1" si="85"/>
        <v>1.2042119779796348E-2</v>
      </c>
    </row>
    <row r="2589" spans="2:7" x14ac:dyDescent="0.35">
      <c r="B2589" s="2">
        <v>44967</v>
      </c>
      <c r="C2589" s="4">
        <v>6683.65</v>
      </c>
      <c r="D2589">
        <f t="shared" si="84"/>
        <v>7.6939526776539147</v>
      </c>
      <c r="E2589">
        <v>-2.2437791223828274E-4</v>
      </c>
      <c r="F2589">
        <v>2586</v>
      </c>
      <c r="G2589">
        <f t="shared" ca="1" si="85"/>
        <v>1.4246789313751701E-2</v>
      </c>
    </row>
    <row r="2590" spans="2:7" x14ac:dyDescent="0.35">
      <c r="B2590" s="2">
        <v>43783</v>
      </c>
      <c r="C2590" s="4">
        <v>768.77</v>
      </c>
      <c r="D2590">
        <f t="shared" si="84"/>
        <v>4.3766820830393183E-3</v>
      </c>
      <c r="E2590">
        <v>-2.6008816988964956E-4</v>
      </c>
      <c r="F2590">
        <v>2587</v>
      </c>
      <c r="G2590">
        <f t="shared" ca="1" si="85"/>
        <v>-3.7117900414744423E-3</v>
      </c>
    </row>
    <row r="2591" spans="2:7" x14ac:dyDescent="0.35">
      <c r="B2591" s="2">
        <v>43802</v>
      </c>
      <c r="C2591" s="4">
        <v>765.42</v>
      </c>
      <c r="D2591">
        <f t="shared" si="84"/>
        <v>10.057786766830395</v>
      </c>
      <c r="E2591">
        <v>-2.6122619576296469E-4</v>
      </c>
      <c r="F2591">
        <v>2588</v>
      </c>
      <c r="G2591">
        <f t="shared" ca="1" si="85"/>
        <v>-7.6254098121603508E-3</v>
      </c>
    </row>
    <row r="2592" spans="2:7" x14ac:dyDescent="0.35">
      <c r="B2592" s="2">
        <v>38715</v>
      </c>
      <c r="C2592" s="4">
        <v>69.22</v>
      </c>
      <c r="D2592">
        <f t="shared" si="84"/>
        <v>4.6444121915818481E-3</v>
      </c>
      <c r="E2592">
        <v>-2.8885037550541171E-4</v>
      </c>
      <c r="F2592">
        <v>2589</v>
      </c>
      <c r="G2592">
        <f t="shared" ca="1" si="85"/>
        <v>-1.624315592524932E-2</v>
      </c>
    </row>
    <row r="2593" spans="2:7" x14ac:dyDescent="0.35">
      <c r="B2593" s="2">
        <v>40092</v>
      </c>
      <c r="C2593" s="4">
        <v>68.900000000000006</v>
      </c>
      <c r="D2593">
        <f t="shared" si="84"/>
        <v>4.1414752116082365E-2</v>
      </c>
      <c r="E2593">
        <v>-2.9019152640741286E-4</v>
      </c>
      <c r="F2593">
        <v>2590</v>
      </c>
      <c r="G2593">
        <f t="shared" ca="1" si="85"/>
        <v>-8.2428798928207495E-3</v>
      </c>
    </row>
    <row r="2594" spans="2:7" x14ac:dyDescent="0.35">
      <c r="B2594" s="2">
        <v>40142</v>
      </c>
      <c r="C2594" s="4">
        <v>66.16</v>
      </c>
      <c r="D2594">
        <f t="shared" si="84"/>
        <v>-0.330635370295427</v>
      </c>
      <c r="E2594">
        <v>-3.0220610456344055E-4</v>
      </c>
      <c r="F2594">
        <v>2591</v>
      </c>
      <c r="G2594">
        <f t="shared" ca="1" si="85"/>
        <v>2.1405404722134792E-2</v>
      </c>
    </row>
    <row r="2595" spans="2:7" x14ac:dyDescent="0.35">
      <c r="B2595" s="2">
        <v>39156</v>
      </c>
      <c r="C2595" s="4">
        <v>98.84</v>
      </c>
      <c r="D2595">
        <f t="shared" si="84"/>
        <v>1.4680217636793058E-2</v>
      </c>
      <c r="E2595">
        <v>-3.0342874481648074E-4</v>
      </c>
      <c r="F2595">
        <v>2592</v>
      </c>
      <c r="G2595">
        <f t="shared" ca="1" si="85"/>
        <v>2.8509494215335565E-2</v>
      </c>
    </row>
    <row r="2596" spans="2:7" x14ac:dyDescent="0.35">
      <c r="B2596" s="2">
        <v>39150</v>
      </c>
      <c r="C2596" s="4">
        <v>97.41</v>
      </c>
      <c r="D2596">
        <f t="shared" si="84"/>
        <v>-0.86423314935607964</v>
      </c>
      <c r="E2596">
        <v>-3.0788177339902134E-4</v>
      </c>
      <c r="F2596">
        <v>2593</v>
      </c>
      <c r="G2596">
        <f t="shared" ca="1" si="85"/>
        <v>-1.5113054975335192E-2</v>
      </c>
    </row>
    <row r="2597" spans="2:7" x14ac:dyDescent="0.35">
      <c r="B2597" s="2">
        <v>42632</v>
      </c>
      <c r="C2597" s="4">
        <v>717.48</v>
      </c>
      <c r="D2597">
        <f t="shared" si="84"/>
        <v>1.6371154482302348</v>
      </c>
      <c r="E2597">
        <v>-3.2046369703642164E-4</v>
      </c>
      <c r="F2597">
        <v>2594</v>
      </c>
      <c r="G2597">
        <f t="shared" ca="1" si="85"/>
        <v>2.1609612116206427E-2</v>
      </c>
    </row>
    <row r="2598" spans="2:7" x14ac:dyDescent="0.35">
      <c r="B2598" s="2">
        <v>41877</v>
      </c>
      <c r="C2598" s="4">
        <v>272.07</v>
      </c>
      <c r="D2598">
        <f t="shared" si="84"/>
        <v>8.0029781601588361</v>
      </c>
      <c r="E2598">
        <v>-3.3068783068790353E-4</v>
      </c>
      <c r="F2598">
        <v>2595</v>
      </c>
      <c r="G2598">
        <f t="shared" ca="1" si="85"/>
        <v>-2.687184873616966E-2</v>
      </c>
    </row>
    <row r="2599" spans="2:7" x14ac:dyDescent="0.35">
      <c r="B2599" s="2">
        <v>38027</v>
      </c>
      <c r="C2599" s="4">
        <v>30.22</v>
      </c>
      <c r="D2599">
        <f t="shared" si="84"/>
        <v>-0.4974222517877932</v>
      </c>
      <c r="E2599">
        <v>-3.3079722130335831E-4</v>
      </c>
      <c r="F2599">
        <v>2596</v>
      </c>
      <c r="G2599">
        <f t="shared" ca="1" si="85"/>
        <v>2.4483045273691467E-3</v>
      </c>
    </row>
    <row r="2600" spans="2:7" x14ac:dyDescent="0.35">
      <c r="B2600" s="2">
        <v>39703</v>
      </c>
      <c r="C2600" s="4">
        <v>60.13</v>
      </c>
      <c r="D2600">
        <f t="shared" si="84"/>
        <v>-0.92755683529510979</v>
      </c>
      <c r="E2600">
        <v>-3.3250207813795285E-4</v>
      </c>
      <c r="F2600">
        <v>2597</v>
      </c>
      <c r="G2600">
        <f t="shared" ca="1" si="85"/>
        <v>-2.8984493986378403E-2</v>
      </c>
    </row>
    <row r="2601" spans="2:7" x14ac:dyDescent="0.35">
      <c r="B2601" s="2">
        <v>43523</v>
      </c>
      <c r="C2601" s="4">
        <v>830.03</v>
      </c>
      <c r="D2601">
        <f t="shared" si="84"/>
        <v>-0.17045942893692723</v>
      </c>
      <c r="E2601">
        <v>-3.4926293477222092E-4</v>
      </c>
      <c r="F2601">
        <v>2598</v>
      </c>
      <c r="G2601">
        <f t="shared" ca="1" si="85"/>
        <v>-2.3777604953970775E-2</v>
      </c>
    </row>
    <row r="2602" spans="2:7" x14ac:dyDescent="0.35">
      <c r="B2602" s="2">
        <v>43207</v>
      </c>
      <c r="C2602" s="4">
        <v>1000.59</v>
      </c>
      <c r="D2602">
        <f t="shared" si="84"/>
        <v>6.0373879315826384E-2</v>
      </c>
      <c r="E2602">
        <v>-3.7963175719546438E-4</v>
      </c>
      <c r="F2602">
        <v>2599</v>
      </c>
      <c r="G2602">
        <f t="shared" ca="1" si="85"/>
        <v>-2.5142794381085444E-2</v>
      </c>
    </row>
    <row r="2603" spans="2:7" x14ac:dyDescent="0.35">
      <c r="B2603" s="2">
        <v>43173</v>
      </c>
      <c r="C2603" s="4">
        <v>943.62</v>
      </c>
      <c r="D2603">
        <f t="shared" si="84"/>
        <v>8.9548475577592566</v>
      </c>
      <c r="E2603">
        <v>-3.9195330459007582E-4</v>
      </c>
      <c r="F2603">
        <v>2600</v>
      </c>
      <c r="G2603">
        <f t="shared" ca="1" si="85"/>
        <v>-1.3951111817893972E-2</v>
      </c>
    </row>
    <row r="2604" spans="2:7" x14ac:dyDescent="0.35">
      <c r="B2604" s="2">
        <v>41298</v>
      </c>
      <c r="C2604" s="4">
        <v>94.79</v>
      </c>
      <c r="D2604">
        <f t="shared" si="84"/>
        <v>8.7664945496270796E-2</v>
      </c>
      <c r="E2604">
        <v>-4.2180744490127875E-4</v>
      </c>
      <c r="F2604">
        <v>2601</v>
      </c>
      <c r="G2604">
        <f t="shared" ca="1" si="85"/>
        <v>-4.1580954842279721E-2</v>
      </c>
    </row>
    <row r="2605" spans="2:7" x14ac:dyDescent="0.35">
      <c r="B2605" s="2">
        <v>41572</v>
      </c>
      <c r="C2605" s="4">
        <v>87.15</v>
      </c>
      <c r="D2605">
        <f t="shared" si="84"/>
        <v>-0.90390234758349963</v>
      </c>
      <c r="E2605">
        <v>-4.5876820736312496E-4</v>
      </c>
      <c r="F2605">
        <v>2602</v>
      </c>
      <c r="G2605">
        <f t="shared" ca="1" si="85"/>
        <v>3.7071561502784248E-3</v>
      </c>
    </row>
    <row r="2606" spans="2:7" x14ac:dyDescent="0.35">
      <c r="B2606" s="2">
        <v>43564</v>
      </c>
      <c r="C2606" s="4">
        <v>906.89</v>
      </c>
      <c r="D2606">
        <f t="shared" si="84"/>
        <v>0.42056704260651623</v>
      </c>
      <c r="E2606">
        <v>-4.6290683448868553E-4</v>
      </c>
      <c r="F2606">
        <v>2603</v>
      </c>
      <c r="G2606">
        <f t="shared" ca="1" si="85"/>
        <v>3.8603784882381871E-3</v>
      </c>
    </row>
    <row r="2607" spans="2:7" x14ac:dyDescent="0.35">
      <c r="B2607" s="2">
        <v>42711</v>
      </c>
      <c r="C2607" s="4">
        <v>638.4</v>
      </c>
      <c r="D2607">
        <f t="shared" si="84"/>
        <v>6.5052903832588758</v>
      </c>
      <c r="E2607">
        <v>-4.6970408642565964E-4</v>
      </c>
      <c r="F2607">
        <v>2604</v>
      </c>
      <c r="G2607">
        <f t="shared" ca="1" si="85"/>
        <v>4.2899757814695336E-2</v>
      </c>
    </row>
    <row r="2608" spans="2:7" x14ac:dyDescent="0.35">
      <c r="B2608" s="2">
        <v>40830</v>
      </c>
      <c r="C2608" s="4">
        <v>85.06</v>
      </c>
      <c r="D2608">
        <f t="shared" si="84"/>
        <v>-0.19648592480634797</v>
      </c>
      <c r="E2608">
        <v>-4.7003525264388557E-4</v>
      </c>
      <c r="F2608">
        <v>2605</v>
      </c>
      <c r="G2608">
        <f t="shared" ca="1" si="85"/>
        <v>4.0405496734757997E-2</v>
      </c>
    </row>
    <row r="2609" spans="2:7" x14ac:dyDescent="0.35">
      <c r="B2609" s="2">
        <v>39352</v>
      </c>
      <c r="C2609" s="4">
        <v>105.86</v>
      </c>
      <c r="D2609">
        <f t="shared" si="84"/>
        <v>4.1016867469879514</v>
      </c>
      <c r="E2609">
        <v>-4.7209895194033624E-4</v>
      </c>
      <c r="F2609">
        <v>2606</v>
      </c>
      <c r="G2609">
        <f t="shared" ca="1" si="85"/>
        <v>2.7812529703509213E-3</v>
      </c>
    </row>
    <row r="2610" spans="2:7" x14ac:dyDescent="0.35">
      <c r="B2610" s="2">
        <v>37754</v>
      </c>
      <c r="C2610" s="4">
        <v>20.75</v>
      </c>
      <c r="D2610">
        <f t="shared" si="84"/>
        <v>-0.92572574005798758</v>
      </c>
      <c r="E2610">
        <v>-4.8169556840083061E-4</v>
      </c>
      <c r="F2610">
        <v>2607</v>
      </c>
      <c r="G2610">
        <f t="shared" ca="1" si="85"/>
        <v>3.5062430293262392E-2</v>
      </c>
    </row>
    <row r="2611" spans="2:7" x14ac:dyDescent="0.35">
      <c r="B2611" s="2">
        <v>41842</v>
      </c>
      <c r="C2611" s="4">
        <v>279.37</v>
      </c>
      <c r="D2611">
        <f t="shared" si="84"/>
        <v>3.8192168362946353</v>
      </c>
      <c r="E2611">
        <v>-5.0087653393438014E-4</v>
      </c>
      <c r="F2611">
        <v>2608</v>
      </c>
      <c r="G2611">
        <f t="shared" ca="1" si="85"/>
        <v>1.282365900462813E-3</v>
      </c>
    </row>
    <row r="2612" spans="2:7" x14ac:dyDescent="0.35">
      <c r="B2612" s="2">
        <v>38477</v>
      </c>
      <c r="C2612" s="4">
        <v>57.97</v>
      </c>
      <c r="D2612">
        <f t="shared" si="84"/>
        <v>-0.47892134831460675</v>
      </c>
      <c r="E2612">
        <v>-5.1724137931041803E-4</v>
      </c>
      <c r="F2612">
        <v>2609</v>
      </c>
      <c r="G2612">
        <f t="shared" ca="1" si="85"/>
        <v>-1.4080794275362869E-2</v>
      </c>
    </row>
    <row r="2613" spans="2:7" x14ac:dyDescent="0.35">
      <c r="B2613" s="2">
        <v>40382</v>
      </c>
      <c r="C2613" s="4">
        <v>111.25</v>
      </c>
      <c r="D2613">
        <f t="shared" si="84"/>
        <v>-0.872239512155908</v>
      </c>
      <c r="E2613">
        <v>-5.3903512712250023E-4</v>
      </c>
      <c r="F2613">
        <v>2610</v>
      </c>
      <c r="G2613">
        <f t="shared" ca="1" si="85"/>
        <v>2.9971909142510335E-2</v>
      </c>
    </row>
    <row r="2614" spans="2:7" x14ac:dyDescent="0.35">
      <c r="B2614" s="2">
        <v>43060</v>
      </c>
      <c r="C2614" s="4">
        <v>870.77</v>
      </c>
      <c r="D2614">
        <f t="shared" si="84"/>
        <v>-4.3950373298199397E-2</v>
      </c>
      <c r="E2614">
        <v>-5.394609981176357E-4</v>
      </c>
      <c r="F2614">
        <v>2611</v>
      </c>
      <c r="G2614">
        <f t="shared" ca="1" si="85"/>
        <v>2.8450061205463915E-2</v>
      </c>
    </row>
    <row r="2615" spans="2:7" x14ac:dyDescent="0.35">
      <c r="B2615" s="2">
        <v>44033</v>
      </c>
      <c r="C2615" s="4">
        <v>910.8</v>
      </c>
      <c r="D2615">
        <f t="shared" si="84"/>
        <v>0.46492102808247804</v>
      </c>
      <c r="E2615">
        <v>-5.4866673982223446E-4</v>
      </c>
      <c r="F2615">
        <v>2612</v>
      </c>
      <c r="G2615">
        <f t="shared" ca="1" si="85"/>
        <v>-7.3468648666780476E-2</v>
      </c>
    </row>
    <row r="2616" spans="2:7" x14ac:dyDescent="0.35">
      <c r="B2616" s="2">
        <v>42653</v>
      </c>
      <c r="C2616" s="4">
        <v>621.74</v>
      </c>
      <c r="D2616">
        <f t="shared" si="84"/>
        <v>-0.31866349599465216</v>
      </c>
      <c r="E2616">
        <v>-5.6261955665581898E-4</v>
      </c>
      <c r="F2616">
        <v>2613</v>
      </c>
      <c r="G2616">
        <f t="shared" ca="1" si="85"/>
        <v>-1.500138884590169E-2</v>
      </c>
    </row>
    <row r="2617" spans="2:7" x14ac:dyDescent="0.35">
      <c r="B2617" s="2">
        <v>43475</v>
      </c>
      <c r="C2617" s="4">
        <v>912.53</v>
      </c>
      <c r="D2617">
        <f t="shared" si="84"/>
        <v>7.9577893393540773</v>
      </c>
      <c r="E2617">
        <v>-5.69519741525637E-4</v>
      </c>
      <c r="F2617">
        <v>2614</v>
      </c>
      <c r="G2617">
        <f t="shared" ca="1" si="85"/>
        <v>-3.1330761368685246E-3</v>
      </c>
    </row>
    <row r="2618" spans="2:7" x14ac:dyDescent="0.35">
      <c r="B2618" s="2">
        <v>40414</v>
      </c>
      <c r="C2618" s="4">
        <v>101.87</v>
      </c>
      <c r="D2618">
        <f t="shared" si="84"/>
        <v>2.0757850241545897</v>
      </c>
      <c r="E2618">
        <v>-5.8863926223884366E-4</v>
      </c>
      <c r="F2618">
        <v>2615</v>
      </c>
      <c r="G2618">
        <f t="shared" ca="1" si="85"/>
        <v>-2.5563524787268723E-2</v>
      </c>
    </row>
    <row r="2619" spans="2:7" x14ac:dyDescent="0.35">
      <c r="B2619" s="2">
        <v>39808</v>
      </c>
      <c r="C2619" s="4">
        <v>33.119999999999997</v>
      </c>
      <c r="D2619">
        <f t="shared" si="84"/>
        <v>-0.59932252601016212</v>
      </c>
      <c r="E2619">
        <v>-6.0350030175027047E-4</v>
      </c>
      <c r="F2619">
        <v>2616</v>
      </c>
      <c r="G2619">
        <f t="shared" ca="1" si="85"/>
        <v>2.7960485267652583E-3</v>
      </c>
    </row>
    <row r="2620" spans="2:7" x14ac:dyDescent="0.35">
      <c r="B2620" s="2">
        <v>40865</v>
      </c>
      <c r="C2620" s="4">
        <v>82.66</v>
      </c>
      <c r="D2620">
        <f t="shared" si="84"/>
        <v>6.0525360125884831E-4</v>
      </c>
      <c r="E2620">
        <v>-6.0452182323778025E-4</v>
      </c>
      <c r="F2620">
        <v>2617</v>
      </c>
      <c r="G2620">
        <f t="shared" ca="1" si="85"/>
        <v>-2.1276725435575867E-3</v>
      </c>
    </row>
    <row r="2621" spans="2:7" x14ac:dyDescent="0.35">
      <c r="B2621" s="2">
        <v>39027</v>
      </c>
      <c r="C2621" s="4">
        <v>82.61</v>
      </c>
      <c r="D2621">
        <f t="shared" si="84"/>
        <v>1.5132339519318529</v>
      </c>
      <c r="E2621">
        <v>-6.0488749092668659E-4</v>
      </c>
      <c r="F2621">
        <v>2618</v>
      </c>
      <c r="G2621">
        <f t="shared" ca="1" si="85"/>
        <v>-3.1024103102823313E-2</v>
      </c>
    </row>
    <row r="2622" spans="2:7" x14ac:dyDescent="0.35">
      <c r="B2622" s="2">
        <v>37489</v>
      </c>
      <c r="C2622" s="4">
        <v>32.869999999999997</v>
      </c>
      <c r="D2622">
        <f t="shared" si="84"/>
        <v>-0.86657736645559347</v>
      </c>
      <c r="E2622">
        <v>-6.0808756460939417E-4</v>
      </c>
      <c r="F2622">
        <v>2619</v>
      </c>
      <c r="G2622">
        <f t="shared" ca="1" si="85"/>
        <v>5.4628741502227247E-2</v>
      </c>
    </row>
    <row r="2623" spans="2:7" x14ac:dyDescent="0.35">
      <c r="B2623" s="2">
        <v>41738</v>
      </c>
      <c r="C2623" s="4">
        <v>246.36</v>
      </c>
      <c r="D2623">
        <f t="shared" si="84"/>
        <v>2.8053753475440226</v>
      </c>
      <c r="E2623">
        <v>-6.0849458439815596E-4</v>
      </c>
      <c r="F2623">
        <v>2620</v>
      </c>
      <c r="G2623">
        <f t="shared" ca="1" si="85"/>
        <v>2.3419969675730266E-2</v>
      </c>
    </row>
    <row r="2624" spans="2:7" x14ac:dyDescent="0.35">
      <c r="B2624" s="2">
        <v>40137</v>
      </c>
      <c r="C2624" s="4">
        <v>64.739999999999995</v>
      </c>
      <c r="D2624">
        <f t="shared" si="84"/>
        <v>-0.42222222222222228</v>
      </c>
      <c r="E2624">
        <v>-6.1747452917582102E-4</v>
      </c>
      <c r="F2624">
        <v>2621</v>
      </c>
      <c r="G2624">
        <f t="shared" ca="1" si="85"/>
        <v>7.7311099393831823E-3</v>
      </c>
    </row>
    <row r="2625" spans="2:7" x14ac:dyDescent="0.35">
      <c r="B2625" s="2">
        <v>39225</v>
      </c>
      <c r="C2625" s="4">
        <v>112.05</v>
      </c>
      <c r="D2625">
        <f t="shared" si="84"/>
        <v>2.5191582914572863</v>
      </c>
      <c r="E2625">
        <v>-6.2433107384951558E-4</v>
      </c>
      <c r="F2625">
        <v>2622</v>
      </c>
      <c r="G2625">
        <f t="shared" ca="1" si="85"/>
        <v>5.1659898711618822E-4</v>
      </c>
    </row>
    <row r="2626" spans="2:7" x14ac:dyDescent="0.35">
      <c r="B2626" s="2">
        <v>39853</v>
      </c>
      <c r="C2626" s="4">
        <v>31.84</v>
      </c>
      <c r="D2626">
        <f t="shared" si="84"/>
        <v>6.2853551225638959E-4</v>
      </c>
      <c r="E2626">
        <v>-6.2774639045826142E-4</v>
      </c>
      <c r="F2626">
        <v>2623</v>
      </c>
      <c r="G2626">
        <f t="shared" ca="1" si="85"/>
        <v>-1.9701995710315414E-2</v>
      </c>
    </row>
    <row r="2627" spans="2:7" x14ac:dyDescent="0.35">
      <c r="B2627" s="2">
        <v>39854</v>
      </c>
      <c r="C2627" s="4">
        <v>31.82</v>
      </c>
      <c r="D2627">
        <f t="shared" si="84"/>
        <v>-0.99515063215517974</v>
      </c>
      <c r="E2627">
        <v>-6.2814070351757678E-4</v>
      </c>
      <c r="F2627">
        <v>2624</v>
      </c>
      <c r="G2627">
        <f t="shared" ca="1" si="85"/>
        <v>8.3988257959677747E-3</v>
      </c>
    </row>
    <row r="2628" spans="2:7" x14ac:dyDescent="0.35">
      <c r="B2628" s="2">
        <v>44517</v>
      </c>
      <c r="C2628" s="4">
        <v>6561.68</v>
      </c>
      <c r="D2628">
        <f t="shared" ref="D2628:D2691" si="86">C2628/C2629-1</f>
        <v>0.726462578769421</v>
      </c>
      <c r="E2628">
        <v>-6.4423667092594616E-4</v>
      </c>
      <c r="F2628">
        <v>2625</v>
      </c>
      <c r="G2628">
        <f t="shared" ca="1" si="85"/>
        <v>9.5200208155080141E-3</v>
      </c>
    </row>
    <row r="2629" spans="2:7" x14ac:dyDescent="0.35">
      <c r="B2629" s="2">
        <v>44321</v>
      </c>
      <c r="C2629" s="4">
        <v>3800.65</v>
      </c>
      <c r="D2629">
        <f t="shared" si="86"/>
        <v>-0.3171299207646836</v>
      </c>
      <c r="E2629">
        <v>-6.520944590376887E-4</v>
      </c>
      <c r="F2629">
        <v>2626</v>
      </c>
      <c r="G2629">
        <f t="shared" ref="G2629:G2692" ca="1" si="87">_xlfn.NORM.INV(RAND(),K$6,K$7)</f>
        <v>-2.4654071212858862E-2</v>
      </c>
    </row>
    <row r="2630" spans="2:7" x14ac:dyDescent="0.35">
      <c r="B2630" s="2">
        <v>44469</v>
      </c>
      <c r="C2630" s="4">
        <v>5565.7</v>
      </c>
      <c r="D2630">
        <f t="shared" si="86"/>
        <v>91.79259753251084</v>
      </c>
      <c r="E2630">
        <v>-6.6075577532875851E-4</v>
      </c>
      <c r="F2630">
        <v>2627</v>
      </c>
      <c r="G2630">
        <f t="shared" ca="1" si="87"/>
        <v>2.4208299062356962E-2</v>
      </c>
    </row>
    <row r="2631" spans="2:7" x14ac:dyDescent="0.35">
      <c r="B2631" s="2">
        <v>38925</v>
      </c>
      <c r="C2631" s="4">
        <v>59.98</v>
      </c>
      <c r="D2631">
        <f t="shared" si="86"/>
        <v>-0.92916947130997507</v>
      </c>
      <c r="E2631">
        <v>-6.6644451849395825E-4</v>
      </c>
      <c r="F2631">
        <v>2628</v>
      </c>
      <c r="G2631">
        <f t="shared" ca="1" si="87"/>
        <v>-4.8304006038742846E-2</v>
      </c>
    </row>
    <row r="2632" spans="2:7" x14ac:dyDescent="0.35">
      <c r="B2632" s="2">
        <v>42520</v>
      </c>
      <c r="C2632" s="4">
        <v>846.81</v>
      </c>
      <c r="D2632">
        <f t="shared" si="86"/>
        <v>-0.86720767765154183</v>
      </c>
      <c r="E2632">
        <v>-6.7266161580403772E-4</v>
      </c>
      <c r="F2632">
        <v>2629</v>
      </c>
      <c r="G2632">
        <f t="shared" ca="1" si="87"/>
        <v>-3.5902003222110943E-2</v>
      </c>
    </row>
    <row r="2633" spans="2:7" x14ac:dyDescent="0.35">
      <c r="B2633" s="2">
        <v>45028</v>
      </c>
      <c r="C2633" s="4">
        <v>6376.95</v>
      </c>
      <c r="D2633">
        <f t="shared" si="86"/>
        <v>71.638683221323603</v>
      </c>
      <c r="E2633">
        <v>-6.8167928165108194E-4</v>
      </c>
      <c r="F2633">
        <v>2630</v>
      </c>
      <c r="G2633">
        <f t="shared" ca="1" si="87"/>
        <v>-3.3079599925326296E-2</v>
      </c>
    </row>
    <row r="2634" spans="2:7" x14ac:dyDescent="0.35">
      <c r="B2634" s="2">
        <v>41074</v>
      </c>
      <c r="C2634" s="4">
        <v>87.79</v>
      </c>
      <c r="D2634">
        <f t="shared" si="86"/>
        <v>-0.87657462602631875</v>
      </c>
      <c r="E2634">
        <v>-6.8298235628894144E-4</v>
      </c>
      <c r="F2634">
        <v>2631</v>
      </c>
      <c r="G2634">
        <f t="shared" ca="1" si="87"/>
        <v>-1.8806214635627223E-2</v>
      </c>
    </row>
    <row r="2635" spans="2:7" x14ac:dyDescent="0.35">
      <c r="B2635" s="2">
        <v>42866</v>
      </c>
      <c r="C2635" s="4">
        <v>711.28</v>
      </c>
      <c r="D2635">
        <f t="shared" si="86"/>
        <v>23.552295478080772</v>
      </c>
      <c r="E2635">
        <v>-6.8842463155238676E-4</v>
      </c>
      <c r="F2635">
        <v>2632</v>
      </c>
      <c r="G2635">
        <f t="shared" ca="1" si="87"/>
        <v>-3.5179312820087794E-2</v>
      </c>
    </row>
    <row r="2636" spans="2:7" x14ac:dyDescent="0.35">
      <c r="B2636" s="2">
        <v>37894</v>
      </c>
      <c r="C2636" s="4">
        <v>28.97</v>
      </c>
      <c r="D2636">
        <f t="shared" si="86"/>
        <v>-0.71125286554370581</v>
      </c>
      <c r="E2636">
        <v>-6.8989306657463167E-4</v>
      </c>
      <c r="F2636">
        <v>2633</v>
      </c>
      <c r="G2636">
        <f t="shared" ca="1" si="87"/>
        <v>-1.7545164038223638E-2</v>
      </c>
    </row>
    <row r="2637" spans="2:7" x14ac:dyDescent="0.35">
      <c r="B2637" s="2">
        <v>40448</v>
      </c>
      <c r="C2637" s="4">
        <v>100.33</v>
      </c>
      <c r="D2637">
        <f t="shared" si="86"/>
        <v>0.42211197732104888</v>
      </c>
      <c r="E2637">
        <v>-6.9721115537857425E-4</v>
      </c>
      <c r="F2637">
        <v>2634</v>
      </c>
      <c r="G2637">
        <f t="shared" ca="1" si="87"/>
        <v>2.6340856587983453E-2</v>
      </c>
    </row>
    <row r="2638" spans="2:7" x14ac:dyDescent="0.35">
      <c r="B2638" s="2">
        <v>38568</v>
      </c>
      <c r="C2638" s="4">
        <v>70.55</v>
      </c>
      <c r="D2638">
        <f t="shared" si="86"/>
        <v>7.0921985815597388E-4</v>
      </c>
      <c r="E2638">
        <v>-7.0821529745035416E-4</v>
      </c>
      <c r="F2638">
        <v>2635</v>
      </c>
      <c r="G2638">
        <f t="shared" ca="1" si="87"/>
        <v>-2.898647042301156E-2</v>
      </c>
    </row>
    <row r="2639" spans="2:7" x14ac:dyDescent="0.35">
      <c r="B2639" s="2">
        <v>38569</v>
      </c>
      <c r="C2639" s="4">
        <v>70.5</v>
      </c>
      <c r="D2639">
        <f t="shared" si="86"/>
        <v>-0.91929483143494939</v>
      </c>
      <c r="E2639">
        <v>-7.0871722182841435E-4</v>
      </c>
      <c r="F2639">
        <v>2636</v>
      </c>
      <c r="G2639">
        <f t="shared" ca="1" si="87"/>
        <v>3.5079427423901632E-3</v>
      </c>
    </row>
    <row r="2640" spans="2:7" x14ac:dyDescent="0.35">
      <c r="B2640" s="2">
        <v>42503</v>
      </c>
      <c r="C2640" s="4">
        <v>873.55</v>
      </c>
      <c r="D2640">
        <f t="shared" si="86"/>
        <v>-0.75222094896639358</v>
      </c>
      <c r="E2640">
        <v>-7.0924419735296507E-4</v>
      </c>
      <c r="F2640">
        <v>2637</v>
      </c>
      <c r="G2640">
        <f t="shared" ca="1" si="87"/>
        <v>3.4128759763856993E-2</v>
      </c>
    </row>
    <row r="2641" spans="2:7" x14ac:dyDescent="0.35">
      <c r="B2641" s="2">
        <v>44351</v>
      </c>
      <c r="C2641" s="4">
        <v>3525.52</v>
      </c>
      <c r="D2641">
        <f t="shared" si="86"/>
        <v>3.0844339404050238</v>
      </c>
      <c r="E2641">
        <v>-7.2843946724721054E-4</v>
      </c>
      <c r="F2641">
        <v>2638</v>
      </c>
      <c r="G2641">
        <f t="shared" ca="1" si="87"/>
        <v>-4.0220407094121391E-2</v>
      </c>
    </row>
    <row r="2642" spans="2:7" x14ac:dyDescent="0.35">
      <c r="B2642" s="2">
        <v>43994</v>
      </c>
      <c r="C2642" s="4">
        <v>863.16</v>
      </c>
      <c r="D2642">
        <f t="shared" si="86"/>
        <v>0.23969149898746167</v>
      </c>
      <c r="E2642">
        <v>-7.2934393776269424E-4</v>
      </c>
      <c r="F2642">
        <v>2639</v>
      </c>
      <c r="G2642">
        <f t="shared" ca="1" si="87"/>
        <v>2.0760006530908402E-2</v>
      </c>
    </row>
    <row r="2643" spans="2:7" x14ac:dyDescent="0.35">
      <c r="B2643" s="2">
        <v>42818</v>
      </c>
      <c r="C2643" s="4">
        <v>696.27</v>
      </c>
      <c r="D2643">
        <f t="shared" si="86"/>
        <v>-0.83427666968153469</v>
      </c>
      <c r="E2643">
        <v>-7.3193834495821619E-4</v>
      </c>
      <c r="F2643">
        <v>2640</v>
      </c>
      <c r="G2643">
        <f t="shared" ca="1" si="87"/>
        <v>4.5307624004245484E-2</v>
      </c>
    </row>
    <row r="2644" spans="2:7" x14ac:dyDescent="0.35">
      <c r="B2644" s="2">
        <v>44410</v>
      </c>
      <c r="C2644" s="4">
        <v>4201.3999999999996</v>
      </c>
      <c r="D2644">
        <f t="shared" si="86"/>
        <v>43.355996621621621</v>
      </c>
      <c r="E2644">
        <v>-7.3255194459243E-4</v>
      </c>
      <c r="F2644">
        <v>2641</v>
      </c>
      <c r="G2644">
        <f t="shared" ca="1" si="87"/>
        <v>5.3863115767488457E-4</v>
      </c>
    </row>
    <row r="2645" spans="2:7" x14ac:dyDescent="0.35">
      <c r="B2645" s="2">
        <v>41299</v>
      </c>
      <c r="C2645" s="4">
        <v>94.72</v>
      </c>
      <c r="D2645">
        <f t="shared" si="86"/>
        <v>-0.88675681168776821</v>
      </c>
      <c r="E2645">
        <v>-7.3847452262909563E-4</v>
      </c>
      <c r="F2645">
        <v>2642</v>
      </c>
      <c r="G2645">
        <f t="shared" ca="1" si="87"/>
        <v>-3.8977791290257024E-2</v>
      </c>
    </row>
    <row r="2646" spans="2:7" x14ac:dyDescent="0.35">
      <c r="B2646" s="2">
        <v>43500</v>
      </c>
      <c r="C2646" s="4">
        <v>836.43</v>
      </c>
      <c r="D2646">
        <f t="shared" si="86"/>
        <v>9.3736822522634249</v>
      </c>
      <c r="E2646">
        <v>-7.4069649363839307E-4</v>
      </c>
      <c r="F2646">
        <v>2643</v>
      </c>
      <c r="G2646">
        <f t="shared" ca="1" si="87"/>
        <v>5.1618022604235135E-3</v>
      </c>
    </row>
    <row r="2647" spans="2:7" x14ac:dyDescent="0.35">
      <c r="B2647" s="2">
        <v>40876</v>
      </c>
      <c r="C2647" s="4">
        <v>80.63</v>
      </c>
      <c r="D2647">
        <f t="shared" si="86"/>
        <v>2.0821865443425076</v>
      </c>
      <c r="E2647">
        <v>-7.4358656586936966E-4</v>
      </c>
      <c r="F2647">
        <v>2644</v>
      </c>
      <c r="G2647">
        <f t="shared" ca="1" si="87"/>
        <v>2.096703231118625E-2</v>
      </c>
    </row>
    <row r="2648" spans="2:7" x14ac:dyDescent="0.35">
      <c r="B2648" s="2">
        <v>37886</v>
      </c>
      <c r="C2648" s="4">
        <v>26.16</v>
      </c>
      <c r="D2648">
        <f t="shared" si="86"/>
        <v>-0.99607310391413673</v>
      </c>
      <c r="E2648">
        <v>-7.6394194041251584E-4</v>
      </c>
      <c r="F2648">
        <v>2645</v>
      </c>
      <c r="G2648">
        <f t="shared" ca="1" si="87"/>
        <v>-3.2817165187503786E-2</v>
      </c>
    </row>
    <row r="2649" spans="2:7" x14ac:dyDescent="0.35">
      <c r="B2649" s="2">
        <v>44978</v>
      </c>
      <c r="C2649" s="4">
        <v>6661.75</v>
      </c>
      <c r="D2649">
        <f t="shared" si="86"/>
        <v>6.8309960149995881</v>
      </c>
      <c r="E2649">
        <v>-7.7247296344618022E-4</v>
      </c>
      <c r="F2649">
        <v>2646</v>
      </c>
      <c r="G2649">
        <f t="shared" ca="1" si="87"/>
        <v>-6.1064055298853177E-2</v>
      </c>
    </row>
    <row r="2650" spans="2:7" x14ac:dyDescent="0.35">
      <c r="B2650" s="2">
        <v>43507</v>
      </c>
      <c r="C2650" s="4">
        <v>850.69</v>
      </c>
      <c r="D2650">
        <f t="shared" si="86"/>
        <v>12.405137094232588</v>
      </c>
      <c r="E2650">
        <v>-7.7523932577672205E-4</v>
      </c>
      <c r="F2650">
        <v>2647</v>
      </c>
      <c r="G2650">
        <f t="shared" ca="1" si="87"/>
        <v>6.177579156986205E-2</v>
      </c>
    </row>
    <row r="2651" spans="2:7" x14ac:dyDescent="0.35">
      <c r="B2651" s="2">
        <v>38446</v>
      </c>
      <c r="C2651" s="4">
        <v>63.46</v>
      </c>
      <c r="D2651">
        <f t="shared" si="86"/>
        <v>-0.91535054956781559</v>
      </c>
      <c r="E2651">
        <v>-7.8727759407959397E-4</v>
      </c>
      <c r="F2651">
        <v>2648</v>
      </c>
      <c r="G2651">
        <f t="shared" ca="1" si="87"/>
        <v>-4.7351938175257506E-2</v>
      </c>
    </row>
    <row r="2652" spans="2:7" x14ac:dyDescent="0.35">
      <c r="B2652" s="2">
        <v>42907</v>
      </c>
      <c r="C2652" s="4">
        <v>749.68</v>
      </c>
      <c r="D2652">
        <f t="shared" si="86"/>
        <v>-5.403154574132496E-2</v>
      </c>
      <c r="E2652">
        <v>-7.9970144479402094E-4</v>
      </c>
      <c r="F2652">
        <v>2649</v>
      </c>
      <c r="G2652">
        <f t="shared" ca="1" si="87"/>
        <v>-1.0009504564573198E-2</v>
      </c>
    </row>
    <row r="2653" spans="2:7" x14ac:dyDescent="0.35">
      <c r="B2653" s="2">
        <v>43026</v>
      </c>
      <c r="C2653" s="4">
        <v>792.5</v>
      </c>
      <c r="D2653">
        <f t="shared" si="86"/>
        <v>5.5827726555361741</v>
      </c>
      <c r="E2653">
        <v>-8.1951711529970606E-4</v>
      </c>
      <c r="F2653">
        <v>2650</v>
      </c>
      <c r="G2653">
        <f t="shared" ca="1" si="87"/>
        <v>2.2030025970476836E-2</v>
      </c>
    </row>
    <row r="2654" spans="2:7" x14ac:dyDescent="0.35">
      <c r="B2654" s="2">
        <v>39274</v>
      </c>
      <c r="C2654" s="4">
        <v>120.39</v>
      </c>
      <c r="D2654">
        <f t="shared" si="86"/>
        <v>0.11194236630645604</v>
      </c>
      <c r="E2654">
        <v>-8.2994439372552353E-4</v>
      </c>
      <c r="F2654">
        <v>2651</v>
      </c>
      <c r="G2654">
        <f t="shared" ca="1" si="87"/>
        <v>6.4483661078198501E-2</v>
      </c>
    </row>
    <row r="2655" spans="2:7" x14ac:dyDescent="0.35">
      <c r="B2655" s="2">
        <v>40352</v>
      </c>
      <c r="C2655" s="4">
        <v>108.27</v>
      </c>
      <c r="D2655">
        <f t="shared" si="86"/>
        <v>3.5377200335289185</v>
      </c>
      <c r="E2655">
        <v>-8.3056478405318934E-4</v>
      </c>
      <c r="F2655">
        <v>2652</v>
      </c>
      <c r="G2655">
        <f t="shared" ca="1" si="87"/>
        <v>-2.2636729783926935E-2</v>
      </c>
    </row>
    <row r="2656" spans="2:7" x14ac:dyDescent="0.35">
      <c r="B2656" s="2">
        <v>37790</v>
      </c>
      <c r="C2656" s="4">
        <v>23.86</v>
      </c>
      <c r="D2656">
        <f t="shared" si="86"/>
        <v>-0.7966072798567897</v>
      </c>
      <c r="E2656">
        <v>-8.3752093802347272E-4</v>
      </c>
      <c r="F2656">
        <v>2653</v>
      </c>
      <c r="G2656">
        <f t="shared" ca="1" si="87"/>
        <v>3.2603868468742934E-2</v>
      </c>
    </row>
    <row r="2657" spans="2:7" x14ac:dyDescent="0.35">
      <c r="B2657" s="2">
        <v>39286</v>
      </c>
      <c r="C2657" s="4">
        <v>117.31</v>
      </c>
      <c r="D2657">
        <f t="shared" si="86"/>
        <v>-0.86426224196982315</v>
      </c>
      <c r="E2657">
        <v>-8.5171620815938098E-4</v>
      </c>
      <c r="F2657">
        <v>2654</v>
      </c>
      <c r="G2657">
        <f t="shared" ca="1" si="87"/>
        <v>6.1802330963905815E-3</v>
      </c>
    </row>
    <row r="2658" spans="2:7" x14ac:dyDescent="0.35">
      <c r="B2658" s="2">
        <v>42460</v>
      </c>
      <c r="C2658" s="4">
        <v>864.24</v>
      </c>
      <c r="D2658">
        <f t="shared" si="86"/>
        <v>2.6230481505669978E-2</v>
      </c>
      <c r="E2658">
        <v>-8.5551111008352887E-4</v>
      </c>
      <c r="F2658">
        <v>2655</v>
      </c>
      <c r="G2658">
        <f t="shared" ca="1" si="87"/>
        <v>4.0668995628843685E-2</v>
      </c>
    </row>
    <row r="2659" spans="2:7" x14ac:dyDescent="0.35">
      <c r="B2659" s="2">
        <v>42496</v>
      </c>
      <c r="C2659" s="4">
        <v>842.15</v>
      </c>
      <c r="D2659">
        <f t="shared" si="86"/>
        <v>-3.8597652860861253E-2</v>
      </c>
      <c r="E2659">
        <v>-8.7793187723195221E-4</v>
      </c>
      <c r="F2659">
        <v>2656</v>
      </c>
      <c r="G2659">
        <f t="shared" ca="1" si="87"/>
        <v>-8.2951322552065679E-3</v>
      </c>
    </row>
    <row r="2660" spans="2:7" x14ac:dyDescent="0.35">
      <c r="B2660" s="2">
        <v>42489</v>
      </c>
      <c r="C2660" s="4">
        <v>875.96</v>
      </c>
      <c r="D2660">
        <f t="shared" si="86"/>
        <v>-0.40395476381649675</v>
      </c>
      <c r="E2660">
        <v>-8.8965942012453336E-4</v>
      </c>
      <c r="F2660">
        <v>2657</v>
      </c>
      <c r="G2660">
        <f t="shared" ca="1" si="87"/>
        <v>-2.6081262769004254E-2</v>
      </c>
    </row>
    <row r="2661" spans="2:7" x14ac:dyDescent="0.35">
      <c r="B2661" s="2">
        <v>44148</v>
      </c>
      <c r="C2661" s="4">
        <v>1469.62</v>
      </c>
      <c r="D2661">
        <f t="shared" si="86"/>
        <v>18.024207119741099</v>
      </c>
      <c r="E2661">
        <v>-9.0417757231731066E-4</v>
      </c>
      <c r="F2661">
        <v>2658</v>
      </c>
      <c r="G2661">
        <f t="shared" ca="1" si="87"/>
        <v>2.2206353906703879E-3</v>
      </c>
    </row>
    <row r="2662" spans="2:7" x14ac:dyDescent="0.35">
      <c r="B2662" s="2">
        <v>41500</v>
      </c>
      <c r="C2662" s="4">
        <v>77.25</v>
      </c>
      <c r="D2662">
        <f t="shared" si="86"/>
        <v>1.3345421577515864</v>
      </c>
      <c r="E2662">
        <v>-9.0532850491453765E-4</v>
      </c>
      <c r="F2662">
        <v>2659</v>
      </c>
      <c r="G2662">
        <f t="shared" ca="1" si="87"/>
        <v>4.4612418618217291E-2</v>
      </c>
    </row>
    <row r="2663" spans="2:7" x14ac:dyDescent="0.35">
      <c r="B2663" s="2">
        <v>39811</v>
      </c>
      <c r="C2663" s="4">
        <v>33.090000000000003</v>
      </c>
      <c r="D2663">
        <f t="shared" si="86"/>
        <v>6.0808756460930535E-3</v>
      </c>
      <c r="E2663">
        <v>-9.0579710144911285E-4</v>
      </c>
      <c r="F2663">
        <v>2660</v>
      </c>
      <c r="G2663">
        <f t="shared" ca="1" si="87"/>
        <v>-1.3842123790239476E-2</v>
      </c>
    </row>
    <row r="2664" spans="2:7" x14ac:dyDescent="0.35">
      <c r="B2664" s="2">
        <v>37496</v>
      </c>
      <c r="C2664" s="4">
        <v>32.89</v>
      </c>
      <c r="D2664">
        <f t="shared" si="86"/>
        <v>-0.99518472699056415</v>
      </c>
      <c r="E2664">
        <v>-9.1130012150675288E-4</v>
      </c>
      <c r="F2664">
        <v>2661</v>
      </c>
      <c r="G2664">
        <f t="shared" ca="1" si="87"/>
        <v>2.9087657154591339E-2</v>
      </c>
    </row>
    <row r="2665" spans="2:7" x14ac:dyDescent="0.35">
      <c r="B2665" s="2">
        <v>44903</v>
      </c>
      <c r="C2665" s="4">
        <v>6830.35</v>
      </c>
      <c r="D2665">
        <f t="shared" si="86"/>
        <v>4.9114197931541828</v>
      </c>
      <c r="E2665">
        <v>-9.2881068351680085E-4</v>
      </c>
      <c r="F2665">
        <v>2662</v>
      </c>
      <c r="G2665">
        <f t="shared" ca="1" si="87"/>
        <v>-1.5445497228534779E-3</v>
      </c>
    </row>
    <row r="2666" spans="2:7" x14ac:dyDescent="0.35">
      <c r="B2666" s="2">
        <v>43251</v>
      </c>
      <c r="C2666" s="4">
        <v>1155.45</v>
      </c>
      <c r="D2666">
        <f t="shared" si="86"/>
        <v>1.0794939169246276</v>
      </c>
      <c r="E2666">
        <v>-9.3382791626672734E-4</v>
      </c>
      <c r="F2666">
        <v>2663</v>
      </c>
      <c r="G2666">
        <f t="shared" ca="1" si="87"/>
        <v>5.199238748320021E-2</v>
      </c>
    </row>
    <row r="2667" spans="2:7" x14ac:dyDescent="0.35">
      <c r="B2667" s="2">
        <v>42149</v>
      </c>
      <c r="C2667" s="4">
        <v>555.64</v>
      </c>
      <c r="D2667">
        <f t="shared" si="86"/>
        <v>-0.37133417813178859</v>
      </c>
      <c r="E2667">
        <v>-9.3498273878012128E-4</v>
      </c>
      <c r="F2667">
        <v>2664</v>
      </c>
      <c r="G2667">
        <f t="shared" ca="1" si="87"/>
        <v>4.8907565157648124E-2</v>
      </c>
    </row>
    <row r="2668" spans="2:7" x14ac:dyDescent="0.35">
      <c r="B2668" s="2">
        <v>44015</v>
      </c>
      <c r="C2668" s="4">
        <v>883.84</v>
      </c>
      <c r="D2668">
        <f t="shared" si="86"/>
        <v>9.2833473465552263E-2</v>
      </c>
      <c r="E2668">
        <v>-9.3820294573110363E-4</v>
      </c>
      <c r="F2668">
        <v>2665</v>
      </c>
      <c r="G2668">
        <f t="shared" ca="1" si="87"/>
        <v>2.8647438937349987E-2</v>
      </c>
    </row>
    <row r="2669" spans="2:7" x14ac:dyDescent="0.35">
      <c r="B2669" s="2">
        <v>43514</v>
      </c>
      <c r="C2669" s="4">
        <v>808.76</v>
      </c>
      <c r="D2669">
        <f t="shared" si="86"/>
        <v>-5.3184888607921033E-2</v>
      </c>
      <c r="E2669">
        <v>-9.3882794742561337E-4</v>
      </c>
      <c r="F2669">
        <v>2666</v>
      </c>
      <c r="G2669">
        <f t="shared" ca="1" si="87"/>
        <v>2.2106893210013998E-2</v>
      </c>
    </row>
    <row r="2670" spans="2:7" x14ac:dyDescent="0.35">
      <c r="B2670" s="2">
        <v>42468</v>
      </c>
      <c r="C2670" s="4">
        <v>854.19</v>
      </c>
      <c r="D2670">
        <f t="shared" si="86"/>
        <v>12.595257042813943</v>
      </c>
      <c r="E2670">
        <v>-9.4736842105258567E-4</v>
      </c>
      <c r="F2670">
        <v>2667</v>
      </c>
      <c r="G2670">
        <f t="shared" ca="1" si="87"/>
        <v>2.0379391264845862E-3</v>
      </c>
    </row>
    <row r="2671" spans="2:7" x14ac:dyDescent="0.35">
      <c r="B2671" s="2">
        <v>39672</v>
      </c>
      <c r="C2671" s="4">
        <v>62.83</v>
      </c>
      <c r="D2671">
        <f t="shared" si="86"/>
        <v>-0.77415528396836808</v>
      </c>
      <c r="E2671">
        <v>-9.5404674829069336E-4</v>
      </c>
      <c r="F2671">
        <v>2668</v>
      </c>
      <c r="G2671">
        <f t="shared" ca="1" si="87"/>
        <v>1.5436444638692276E-3</v>
      </c>
    </row>
    <row r="2672" spans="2:7" x14ac:dyDescent="0.35">
      <c r="B2672" s="2">
        <v>41892</v>
      </c>
      <c r="C2672" s="4">
        <v>278.2</v>
      </c>
      <c r="D2672">
        <f t="shared" si="86"/>
        <v>-0.59829615190238972</v>
      </c>
      <c r="E2672">
        <v>-9.6958379717759779E-4</v>
      </c>
      <c r="F2672">
        <v>2669</v>
      </c>
      <c r="G2672">
        <f t="shared" ca="1" si="87"/>
        <v>-3.5659849714938303E-2</v>
      </c>
    </row>
    <row r="2673" spans="2:7" x14ac:dyDescent="0.35">
      <c r="B2673" s="2">
        <v>43938</v>
      </c>
      <c r="C2673" s="4">
        <v>692.55</v>
      </c>
      <c r="D2673">
        <f t="shared" si="86"/>
        <v>10.458471211118464</v>
      </c>
      <c r="E2673">
        <v>-9.8091542489520123E-4</v>
      </c>
      <c r="F2673">
        <v>2670</v>
      </c>
      <c r="G2673">
        <f t="shared" ca="1" si="87"/>
        <v>-3.5266271771924491E-3</v>
      </c>
    </row>
    <row r="2674" spans="2:7" x14ac:dyDescent="0.35">
      <c r="B2674" s="2">
        <v>40037</v>
      </c>
      <c r="C2674" s="4">
        <v>60.44</v>
      </c>
      <c r="D2674">
        <f t="shared" si="86"/>
        <v>-0.39292888710325435</v>
      </c>
      <c r="E2674">
        <v>-9.9173553719011931E-4</v>
      </c>
      <c r="F2674">
        <v>2671</v>
      </c>
      <c r="G2674">
        <f t="shared" ca="1" si="87"/>
        <v>-2.7510878526722148E-2</v>
      </c>
    </row>
    <row r="2675" spans="2:7" x14ac:dyDescent="0.35">
      <c r="B2675" s="2">
        <v>40704</v>
      </c>
      <c r="C2675" s="4">
        <v>99.56</v>
      </c>
      <c r="D2675">
        <f t="shared" si="86"/>
        <v>-0.72047840979280142</v>
      </c>
      <c r="E2675">
        <v>-1.0034115994380643E-3</v>
      </c>
      <c r="F2675">
        <v>2672</v>
      </c>
      <c r="G2675">
        <f t="shared" ca="1" si="87"/>
        <v>2.4584727543400992E-2</v>
      </c>
    </row>
    <row r="2676" spans="2:7" x14ac:dyDescent="0.35">
      <c r="B2676" s="2">
        <v>42039</v>
      </c>
      <c r="C2676" s="4">
        <v>356.18</v>
      </c>
      <c r="D2676">
        <f t="shared" si="86"/>
        <v>-0.53742256392940169</v>
      </c>
      <c r="E2676">
        <v>-1.0097043809951245E-3</v>
      </c>
      <c r="F2676">
        <v>2673</v>
      </c>
      <c r="G2676">
        <f t="shared" ca="1" si="87"/>
        <v>-5.0556571109153887E-3</v>
      </c>
    </row>
    <row r="2677" spans="2:7" x14ac:dyDescent="0.35">
      <c r="B2677" s="2">
        <v>42565</v>
      </c>
      <c r="C2677" s="4">
        <v>769.99</v>
      </c>
      <c r="D2677">
        <f t="shared" si="86"/>
        <v>25.013175675675676</v>
      </c>
      <c r="E2677">
        <v>-1.0119750379490311E-3</v>
      </c>
      <c r="F2677">
        <v>2674</v>
      </c>
      <c r="G2677">
        <f t="shared" ca="1" si="87"/>
        <v>-5.6208644685417773E-2</v>
      </c>
    </row>
    <row r="2678" spans="2:7" x14ac:dyDescent="0.35">
      <c r="B2678" s="2">
        <v>37936</v>
      </c>
      <c r="C2678" s="4">
        <v>29.6</v>
      </c>
      <c r="D2678">
        <f t="shared" si="86"/>
        <v>-0.56882738528769128</v>
      </c>
      <c r="E2678">
        <v>-1.0124873439081306E-3</v>
      </c>
      <c r="F2678">
        <v>2675</v>
      </c>
      <c r="G2678">
        <f t="shared" ca="1" si="87"/>
        <v>1.6475476532520496E-2</v>
      </c>
    </row>
    <row r="2679" spans="2:7" x14ac:dyDescent="0.35">
      <c r="B2679" s="2">
        <v>40074</v>
      </c>
      <c r="C2679" s="4">
        <v>68.650000000000006</v>
      </c>
      <c r="D2679">
        <f t="shared" si="86"/>
        <v>0.20798873834242482</v>
      </c>
      <c r="E2679">
        <v>-1.0186263096623183E-3</v>
      </c>
      <c r="F2679">
        <v>2676</v>
      </c>
      <c r="G2679">
        <f t="shared" ca="1" si="87"/>
        <v>-5.2077965358286607E-3</v>
      </c>
    </row>
    <row r="2680" spans="2:7" x14ac:dyDescent="0.35">
      <c r="B2680" s="2">
        <v>38464</v>
      </c>
      <c r="C2680" s="4">
        <v>56.83</v>
      </c>
      <c r="D2680">
        <f t="shared" si="86"/>
        <v>1.0391101542877643</v>
      </c>
      <c r="E2680">
        <v>-1.0546669010371712E-3</v>
      </c>
      <c r="F2680">
        <v>2677</v>
      </c>
      <c r="G2680">
        <f t="shared" ca="1" si="87"/>
        <v>-9.5546107947263865E-4</v>
      </c>
    </row>
    <row r="2681" spans="2:7" x14ac:dyDescent="0.35">
      <c r="B2681" s="2">
        <v>37561</v>
      </c>
      <c r="C2681" s="4">
        <v>27.87</v>
      </c>
      <c r="D2681">
        <f t="shared" si="86"/>
        <v>1.0775862068965747E-3</v>
      </c>
      <c r="E2681">
        <v>-1.0752688172042113E-3</v>
      </c>
      <c r="F2681">
        <v>2678</v>
      </c>
      <c r="G2681">
        <f t="shared" ca="1" si="87"/>
        <v>6.0728916269862585E-3</v>
      </c>
    </row>
    <row r="2682" spans="2:7" x14ac:dyDescent="0.35">
      <c r="B2682" s="2">
        <v>37564</v>
      </c>
      <c r="C2682" s="4">
        <v>27.84</v>
      </c>
      <c r="D2682">
        <f t="shared" si="86"/>
        <v>-0.6977526870046683</v>
      </c>
      <c r="E2682">
        <v>-1.0764262648008671E-3</v>
      </c>
      <c r="F2682">
        <v>2679</v>
      </c>
      <c r="G2682">
        <f t="shared" ca="1" si="87"/>
        <v>2.9346164868357755E-2</v>
      </c>
    </row>
    <row r="2683" spans="2:7" x14ac:dyDescent="0.35">
      <c r="B2683" s="2">
        <v>41156</v>
      </c>
      <c r="C2683" s="4">
        <v>92.11</v>
      </c>
      <c r="D2683">
        <f t="shared" si="86"/>
        <v>-0.89877910746271938</v>
      </c>
      <c r="E2683">
        <v>-1.084481075805166E-3</v>
      </c>
      <c r="F2683">
        <v>2680</v>
      </c>
      <c r="G2683">
        <f t="shared" ca="1" si="87"/>
        <v>6.6663661653882751E-3</v>
      </c>
    </row>
    <row r="2684" spans="2:7" x14ac:dyDescent="0.35">
      <c r="B2684" s="2">
        <v>43488</v>
      </c>
      <c r="C2684" s="4">
        <v>909.99</v>
      </c>
      <c r="D2684">
        <f t="shared" si="86"/>
        <v>-0.89375878542774823</v>
      </c>
      <c r="E2684">
        <v>-1.0867417506421617E-3</v>
      </c>
      <c r="F2684">
        <v>2681</v>
      </c>
      <c r="G2684">
        <f t="shared" ca="1" si="87"/>
        <v>3.277612198861992E-2</v>
      </c>
    </row>
    <row r="2685" spans="2:7" x14ac:dyDescent="0.35">
      <c r="B2685" s="2">
        <v>44720</v>
      </c>
      <c r="C2685" s="4">
        <v>8565.32</v>
      </c>
      <c r="D2685">
        <f t="shared" si="86"/>
        <v>85.30045340050377</v>
      </c>
      <c r="E2685">
        <v>-1.0915859250725246E-3</v>
      </c>
      <c r="F2685">
        <v>2682</v>
      </c>
      <c r="G2685">
        <f t="shared" ca="1" si="87"/>
        <v>-1.7310388431878834E-2</v>
      </c>
    </row>
    <row r="2686" spans="2:7" x14ac:dyDescent="0.35">
      <c r="B2686" s="2">
        <v>41274</v>
      </c>
      <c r="C2686" s="4">
        <v>99.25</v>
      </c>
      <c r="D2686">
        <f t="shared" si="86"/>
        <v>0.23583613497696421</v>
      </c>
      <c r="E2686">
        <v>-1.1070853462157304E-3</v>
      </c>
      <c r="F2686">
        <v>2683</v>
      </c>
      <c r="G2686">
        <f t="shared" ca="1" si="87"/>
        <v>-1.6970183831735389E-2</v>
      </c>
    </row>
    <row r="2687" spans="2:7" x14ac:dyDescent="0.35">
      <c r="B2687" s="2">
        <v>41457</v>
      </c>
      <c r="C2687" s="4">
        <v>80.31</v>
      </c>
      <c r="D2687">
        <f t="shared" si="86"/>
        <v>-8.4160109476565159E-2</v>
      </c>
      <c r="E2687">
        <v>-1.1194029850746245E-3</v>
      </c>
      <c r="F2687">
        <v>2684</v>
      </c>
      <c r="G2687">
        <f t="shared" ca="1" si="87"/>
        <v>4.5581766060735648E-2</v>
      </c>
    </row>
    <row r="2688" spans="2:7" x14ac:dyDescent="0.35">
      <c r="B2688" s="2">
        <v>41075</v>
      </c>
      <c r="C2688" s="4">
        <v>87.69</v>
      </c>
      <c r="D2688">
        <f t="shared" si="86"/>
        <v>-0.8919648137196925</v>
      </c>
      <c r="E2688">
        <v>-1.1390818999886809E-3</v>
      </c>
      <c r="F2688">
        <v>2685</v>
      </c>
      <c r="G2688">
        <f t="shared" ca="1" si="87"/>
        <v>-1.9994878843786663E-2</v>
      </c>
    </row>
    <row r="2689" spans="2:7" x14ac:dyDescent="0.35">
      <c r="B2689" s="2">
        <v>43595</v>
      </c>
      <c r="C2689" s="4">
        <v>811.68</v>
      </c>
      <c r="D2689">
        <f t="shared" si="86"/>
        <v>7.6110757479312525</v>
      </c>
      <c r="E2689">
        <v>-1.1567522335163005E-3</v>
      </c>
      <c r="F2689">
        <v>2686</v>
      </c>
      <c r="G2689">
        <f t="shared" ca="1" si="87"/>
        <v>-2.7230579976467096E-2</v>
      </c>
    </row>
    <row r="2690" spans="2:7" x14ac:dyDescent="0.35">
      <c r="B2690" s="2">
        <v>41093</v>
      </c>
      <c r="C2690" s="4">
        <v>94.26</v>
      </c>
      <c r="D2690">
        <f t="shared" si="86"/>
        <v>-0.89181806704846722</v>
      </c>
      <c r="E2690">
        <v>-1.165624668856613E-3</v>
      </c>
      <c r="F2690">
        <v>2687</v>
      </c>
      <c r="G2690">
        <f t="shared" ca="1" si="87"/>
        <v>-4.6000085668687039E-2</v>
      </c>
    </row>
    <row r="2691" spans="2:7" x14ac:dyDescent="0.35">
      <c r="B2691" s="2">
        <v>44012</v>
      </c>
      <c r="C2691" s="4">
        <v>871.31</v>
      </c>
      <c r="D2691">
        <f t="shared" si="86"/>
        <v>6.28763800602208</v>
      </c>
      <c r="E2691">
        <v>-1.1692822670320568E-3</v>
      </c>
      <c r="F2691">
        <v>2688</v>
      </c>
      <c r="G2691">
        <f t="shared" ca="1" si="87"/>
        <v>-6.6001553363998364E-2</v>
      </c>
    </row>
    <row r="2692" spans="2:7" x14ac:dyDescent="0.35">
      <c r="B2692" s="2">
        <v>40539</v>
      </c>
      <c r="C2692" s="4">
        <v>119.56</v>
      </c>
      <c r="D2692">
        <f t="shared" ref="D2692:D2755" si="88">C2692/C2693-1</f>
        <v>0.28297027578066314</v>
      </c>
      <c r="E2692">
        <v>-1.1695906432748204E-3</v>
      </c>
      <c r="F2692">
        <v>2689</v>
      </c>
      <c r="G2692">
        <f t="shared" ca="1" si="87"/>
        <v>4.9907041259495358E-3</v>
      </c>
    </row>
    <row r="2693" spans="2:7" x14ac:dyDescent="0.35">
      <c r="B2693" s="2">
        <v>41242</v>
      </c>
      <c r="C2693" s="4">
        <v>93.19</v>
      </c>
      <c r="D2693">
        <f t="shared" si="88"/>
        <v>-0.89728979069998127</v>
      </c>
      <c r="E2693">
        <v>-1.1789924973204524E-3</v>
      </c>
      <c r="F2693">
        <v>2690</v>
      </c>
      <c r="G2693">
        <f t="shared" ref="G2693:G2756" ca="1" si="89">_xlfn.NORM.INV(RAND(),K$6,K$7)</f>
        <v>-1.9051209714200587E-2</v>
      </c>
    </row>
    <row r="2694" spans="2:7" x14ac:dyDescent="0.35">
      <c r="B2694" s="2">
        <v>43563</v>
      </c>
      <c r="C2694" s="4">
        <v>907.31</v>
      </c>
      <c r="D2694">
        <f t="shared" si="88"/>
        <v>8.9322386425834708</v>
      </c>
      <c r="E2694">
        <v>-1.1889166547408569E-3</v>
      </c>
      <c r="F2694">
        <v>2691</v>
      </c>
      <c r="G2694">
        <f t="shared" ca="1" si="89"/>
        <v>6.0213819808731465E-2</v>
      </c>
    </row>
    <row r="2695" spans="2:7" x14ac:dyDescent="0.35">
      <c r="B2695" s="2">
        <v>41317</v>
      </c>
      <c r="C2695" s="4">
        <v>91.35</v>
      </c>
      <c r="D2695">
        <f t="shared" si="88"/>
        <v>0.22964059765782729</v>
      </c>
      <c r="E2695">
        <v>-1.202711567898529E-3</v>
      </c>
      <c r="F2695">
        <v>2692</v>
      </c>
      <c r="G2695">
        <f t="shared" ca="1" si="89"/>
        <v>-2.2475678903050304E-2</v>
      </c>
    </row>
    <row r="2696" spans="2:7" x14ac:dyDescent="0.35">
      <c r="B2696" s="2">
        <v>38601</v>
      </c>
      <c r="C2696" s="4">
        <v>74.290000000000006</v>
      </c>
      <c r="D2696">
        <f t="shared" si="88"/>
        <v>-0.73363212621011109</v>
      </c>
      <c r="E2696">
        <v>-1.2100026888947069E-3</v>
      </c>
      <c r="F2696">
        <v>2693</v>
      </c>
      <c r="G2696">
        <f t="shared" ca="1" si="89"/>
        <v>-3.7345307670528446E-3</v>
      </c>
    </row>
    <row r="2697" spans="2:7" x14ac:dyDescent="0.35">
      <c r="B2697" s="2">
        <v>41948</v>
      </c>
      <c r="C2697" s="4">
        <v>278.89999999999998</v>
      </c>
      <c r="D2697">
        <f t="shared" si="88"/>
        <v>1.6476172394152266</v>
      </c>
      <c r="E2697">
        <v>-1.2175906030655881E-3</v>
      </c>
      <c r="F2697">
        <v>2694</v>
      </c>
      <c r="G2697">
        <f t="shared" ca="1" si="89"/>
        <v>8.2356325512962288E-3</v>
      </c>
    </row>
    <row r="2698" spans="2:7" x14ac:dyDescent="0.35">
      <c r="B2698" s="2">
        <v>40401</v>
      </c>
      <c r="C2698" s="4">
        <v>105.34</v>
      </c>
      <c r="D2698">
        <f t="shared" si="88"/>
        <v>-0.97008134330053852</v>
      </c>
      <c r="E2698">
        <v>-1.2325779842609075E-3</v>
      </c>
      <c r="F2698">
        <v>2695</v>
      </c>
      <c r="G2698">
        <f t="shared" ca="1" si="89"/>
        <v>-3.5239442315657052E-3</v>
      </c>
    </row>
    <row r="2699" spans="2:7" x14ac:dyDescent="0.35">
      <c r="B2699" s="2">
        <v>44342</v>
      </c>
      <c r="C2699" s="4">
        <v>3520.88</v>
      </c>
      <c r="D2699">
        <f t="shared" si="88"/>
        <v>2.9539124966310304</v>
      </c>
      <c r="E2699">
        <v>-1.2622931753906164E-3</v>
      </c>
      <c r="F2699">
        <v>2696</v>
      </c>
      <c r="G2699">
        <f t="shared" ca="1" si="89"/>
        <v>3.1453320103417719E-2</v>
      </c>
    </row>
    <row r="2700" spans="2:7" x14ac:dyDescent="0.35">
      <c r="B2700" s="2">
        <v>42473</v>
      </c>
      <c r="C2700" s="4">
        <v>890.48</v>
      </c>
      <c r="D2700">
        <f t="shared" si="88"/>
        <v>36.748198389147944</v>
      </c>
      <c r="E2700">
        <v>-1.2673702627830075E-3</v>
      </c>
      <c r="F2700">
        <v>2697</v>
      </c>
      <c r="G2700">
        <f t="shared" ca="1" si="89"/>
        <v>5.340873127504633E-3</v>
      </c>
    </row>
    <row r="2701" spans="2:7" x14ac:dyDescent="0.35">
      <c r="B2701" s="2">
        <v>38070</v>
      </c>
      <c r="C2701" s="4">
        <v>23.59</v>
      </c>
      <c r="D2701">
        <f t="shared" si="88"/>
        <v>-0.7265244609320658</v>
      </c>
      <c r="E2701">
        <v>-1.2701100762066986E-3</v>
      </c>
      <c r="F2701">
        <v>2698</v>
      </c>
      <c r="G2701">
        <f t="shared" ca="1" si="89"/>
        <v>-1.421283725679928E-3</v>
      </c>
    </row>
    <row r="2702" spans="2:7" x14ac:dyDescent="0.35">
      <c r="B2702" s="2">
        <v>39034</v>
      </c>
      <c r="C2702" s="4">
        <v>86.26</v>
      </c>
      <c r="D2702">
        <f t="shared" si="88"/>
        <v>-0.93352342786683107</v>
      </c>
      <c r="E2702">
        <v>-1.2735903670255677E-3</v>
      </c>
      <c r="F2702">
        <v>2699</v>
      </c>
      <c r="G2702">
        <f t="shared" ca="1" si="89"/>
        <v>-5.0310773829985174E-2</v>
      </c>
    </row>
    <row r="2703" spans="2:7" x14ac:dyDescent="0.35">
      <c r="B2703" s="2">
        <v>43305</v>
      </c>
      <c r="C2703" s="4">
        <v>1297.5999999999999</v>
      </c>
      <c r="D2703">
        <f t="shared" si="88"/>
        <v>23.254205607476635</v>
      </c>
      <c r="E2703">
        <v>-1.3007103879811854E-3</v>
      </c>
      <c r="F2703">
        <v>2700</v>
      </c>
      <c r="G2703">
        <f t="shared" ca="1" si="89"/>
        <v>1.2090921218889841E-2</v>
      </c>
    </row>
    <row r="2704" spans="2:7" x14ac:dyDescent="0.35">
      <c r="B2704" s="2">
        <v>38345</v>
      </c>
      <c r="C2704" s="4">
        <v>53.5</v>
      </c>
      <c r="D2704">
        <f t="shared" si="88"/>
        <v>-0.20041847257510081</v>
      </c>
      <c r="E2704">
        <v>-1.3067015120403758E-3</v>
      </c>
      <c r="F2704">
        <v>2701</v>
      </c>
      <c r="G2704">
        <f t="shared" ca="1" si="89"/>
        <v>-4.7129412865790553E-2</v>
      </c>
    </row>
    <row r="2705" spans="2:7" x14ac:dyDescent="0.35">
      <c r="B2705" s="2">
        <v>39588</v>
      </c>
      <c r="C2705" s="4">
        <v>66.91</v>
      </c>
      <c r="D2705">
        <f t="shared" si="88"/>
        <v>-0.98984404052669528</v>
      </c>
      <c r="E2705">
        <v>-1.3432835820895717E-3</v>
      </c>
      <c r="F2705">
        <v>2702</v>
      </c>
      <c r="G2705">
        <f t="shared" ca="1" si="89"/>
        <v>-4.2718817223856842E-2</v>
      </c>
    </row>
    <row r="2706" spans="2:7" x14ac:dyDescent="0.35">
      <c r="B2706" s="2">
        <v>44959</v>
      </c>
      <c r="C2706" s="4">
        <v>6588.25</v>
      </c>
      <c r="D2706">
        <f t="shared" si="88"/>
        <v>221.87719891745604</v>
      </c>
      <c r="E2706">
        <v>-1.3490674003167058E-3</v>
      </c>
      <c r="F2706">
        <v>2703</v>
      </c>
      <c r="G2706">
        <f t="shared" ca="1" si="89"/>
        <v>-5.8403480811740245E-3</v>
      </c>
    </row>
    <row r="2707" spans="2:7" x14ac:dyDescent="0.35">
      <c r="B2707" s="2">
        <v>37937</v>
      </c>
      <c r="C2707" s="4">
        <v>29.56</v>
      </c>
      <c r="D2707">
        <f t="shared" si="88"/>
        <v>-0.96077754926026671</v>
      </c>
      <c r="E2707">
        <v>-1.3513513513514486E-3</v>
      </c>
      <c r="F2707">
        <v>2704</v>
      </c>
      <c r="G2707">
        <f t="shared" ca="1" si="89"/>
        <v>-3.3816742624166771E-2</v>
      </c>
    </row>
    <row r="2708" spans="2:7" x14ac:dyDescent="0.35">
      <c r="B2708" s="2">
        <v>43006</v>
      </c>
      <c r="C2708" s="4">
        <v>753.65</v>
      </c>
      <c r="D2708">
        <f t="shared" si="88"/>
        <v>33.040198735320686</v>
      </c>
      <c r="E2708">
        <v>-1.3515841361124714E-3</v>
      </c>
      <c r="F2708">
        <v>2705</v>
      </c>
      <c r="G2708">
        <f t="shared" ca="1" si="89"/>
        <v>1.4608666048655636E-2</v>
      </c>
    </row>
    <row r="2709" spans="2:7" x14ac:dyDescent="0.35">
      <c r="B2709" s="2">
        <v>37727</v>
      </c>
      <c r="C2709" s="4">
        <v>22.14</v>
      </c>
      <c r="D2709">
        <f t="shared" si="88"/>
        <v>-0.62417246647428271</v>
      </c>
      <c r="E2709">
        <v>-1.3531799729364913E-3</v>
      </c>
      <c r="F2709">
        <v>2706</v>
      </c>
      <c r="G2709">
        <f t="shared" ca="1" si="89"/>
        <v>5.4947702058405412E-3</v>
      </c>
    </row>
    <row r="2710" spans="2:7" x14ac:dyDescent="0.35">
      <c r="B2710" s="2">
        <v>40035</v>
      </c>
      <c r="C2710" s="4">
        <v>58.91</v>
      </c>
      <c r="D2710">
        <f t="shared" si="88"/>
        <v>1.0037414965986393</v>
      </c>
      <c r="E2710">
        <v>-1.3561620613664616E-3</v>
      </c>
      <c r="F2710">
        <v>2707</v>
      </c>
      <c r="G2710">
        <f t="shared" ca="1" si="89"/>
        <v>-3.0084204983618749E-2</v>
      </c>
    </row>
    <row r="2711" spans="2:7" x14ac:dyDescent="0.35">
      <c r="B2711" s="2">
        <v>37869</v>
      </c>
      <c r="C2711" s="4">
        <v>29.4</v>
      </c>
      <c r="D2711">
        <f t="shared" si="88"/>
        <v>2.7285129604364133E-3</v>
      </c>
      <c r="E2711">
        <v>-1.3586956521740579E-3</v>
      </c>
      <c r="F2711">
        <v>2708</v>
      </c>
      <c r="G2711">
        <f t="shared" ca="1" si="89"/>
        <v>1.0965722123352411E-2</v>
      </c>
    </row>
    <row r="2712" spans="2:7" x14ac:dyDescent="0.35">
      <c r="B2712" s="2">
        <v>37470</v>
      </c>
      <c r="C2712" s="4">
        <v>29.32</v>
      </c>
      <c r="D2712">
        <f t="shared" si="88"/>
        <v>-0.55372907153729067</v>
      </c>
      <c r="E2712">
        <v>-1.3623978201634523E-3</v>
      </c>
      <c r="F2712">
        <v>2709</v>
      </c>
      <c r="G2712">
        <f t="shared" ca="1" si="89"/>
        <v>1.3799859505402373E-3</v>
      </c>
    </row>
    <row r="2713" spans="2:7" x14ac:dyDescent="0.35">
      <c r="B2713" s="2">
        <v>38764</v>
      </c>
      <c r="C2713" s="4">
        <v>65.7</v>
      </c>
      <c r="D2713">
        <f t="shared" si="88"/>
        <v>-0.87074307973794485</v>
      </c>
      <c r="E2713">
        <v>-1.3679890560875929E-3</v>
      </c>
      <c r="F2713">
        <v>2710</v>
      </c>
      <c r="G2713">
        <f t="shared" ca="1" si="89"/>
        <v>-2.3140093765525852E-2</v>
      </c>
    </row>
    <row r="2714" spans="2:7" x14ac:dyDescent="0.35">
      <c r="B2714" s="2">
        <v>42160</v>
      </c>
      <c r="C2714" s="4">
        <v>508.29</v>
      </c>
      <c r="D2714">
        <f t="shared" si="88"/>
        <v>-0.49481687621130044</v>
      </c>
      <c r="E2714">
        <v>-1.3752725986757586E-3</v>
      </c>
      <c r="F2714">
        <v>2711</v>
      </c>
      <c r="G2714">
        <f t="shared" ca="1" si="89"/>
        <v>-1.6766129534017973E-2</v>
      </c>
    </row>
    <row r="2715" spans="2:7" x14ac:dyDescent="0.35">
      <c r="B2715" s="2">
        <v>43123</v>
      </c>
      <c r="C2715" s="4">
        <v>1006.15</v>
      </c>
      <c r="D2715">
        <f t="shared" si="88"/>
        <v>7.3707687710760972E-2</v>
      </c>
      <c r="E2715">
        <v>-1.3895092054985181E-3</v>
      </c>
      <c r="F2715">
        <v>2712</v>
      </c>
      <c r="G2715">
        <f t="shared" ca="1" si="89"/>
        <v>5.5086069665861194E-2</v>
      </c>
    </row>
    <row r="2716" spans="2:7" x14ac:dyDescent="0.35">
      <c r="B2716" s="2">
        <v>43194</v>
      </c>
      <c r="C2716" s="4">
        <v>937.08</v>
      </c>
      <c r="D2716">
        <f t="shared" si="88"/>
        <v>31.799439971998602</v>
      </c>
      <c r="E2716">
        <v>-1.3960080563517607E-3</v>
      </c>
      <c r="F2716">
        <v>2713</v>
      </c>
      <c r="G2716">
        <f t="shared" ca="1" si="89"/>
        <v>8.6112788343325922E-4</v>
      </c>
    </row>
    <row r="2717" spans="2:7" x14ac:dyDescent="0.35">
      <c r="B2717" s="2">
        <v>39881</v>
      </c>
      <c r="C2717" s="4">
        <v>28.57</v>
      </c>
      <c r="D2717">
        <f t="shared" si="88"/>
        <v>-0.99512461497768789</v>
      </c>
      <c r="E2717">
        <v>-1.3981125480601042E-3</v>
      </c>
      <c r="F2717">
        <v>2714</v>
      </c>
      <c r="G2717">
        <f t="shared" ca="1" si="89"/>
        <v>1.1458118917236535E-2</v>
      </c>
    </row>
    <row r="2718" spans="2:7" x14ac:dyDescent="0.35">
      <c r="B2718" s="2">
        <v>44538</v>
      </c>
      <c r="C2718" s="4">
        <v>5860.05</v>
      </c>
      <c r="D2718">
        <f t="shared" si="88"/>
        <v>204.97715289982426</v>
      </c>
      <c r="E2718">
        <v>-1.3990518484184866E-3</v>
      </c>
      <c r="F2718">
        <v>2715</v>
      </c>
      <c r="G2718">
        <f t="shared" ca="1" si="89"/>
        <v>4.6218151843657185E-2</v>
      </c>
    </row>
    <row r="2719" spans="2:7" x14ac:dyDescent="0.35">
      <c r="B2719" s="2">
        <v>37900</v>
      </c>
      <c r="C2719" s="4">
        <v>28.45</v>
      </c>
      <c r="D2719">
        <f t="shared" si="88"/>
        <v>-0.49938412810135491</v>
      </c>
      <c r="E2719">
        <v>-1.4040014040013205E-3</v>
      </c>
      <c r="F2719">
        <v>2716</v>
      </c>
      <c r="G2719">
        <f t="shared" ca="1" si="89"/>
        <v>2.1489090609642377E-2</v>
      </c>
    </row>
    <row r="2720" spans="2:7" x14ac:dyDescent="0.35">
      <c r="B2720" s="2">
        <v>38404</v>
      </c>
      <c r="C2720" s="4">
        <v>56.83</v>
      </c>
      <c r="D2720">
        <f t="shared" si="88"/>
        <v>1.6793965110796791</v>
      </c>
      <c r="E2720">
        <v>-1.4057283429976808E-3</v>
      </c>
      <c r="F2720">
        <v>2717</v>
      </c>
      <c r="G2720">
        <f t="shared" ca="1" si="89"/>
        <v>3.4927937993376089E-2</v>
      </c>
    </row>
    <row r="2721" spans="2:7" x14ac:dyDescent="0.35">
      <c r="B2721" s="2">
        <v>37693</v>
      </c>
      <c r="C2721" s="4">
        <v>21.21</v>
      </c>
      <c r="D2721">
        <f t="shared" si="88"/>
        <v>-0.7852804211378821</v>
      </c>
      <c r="E2721">
        <v>-1.4124293785309217E-3</v>
      </c>
      <c r="F2721">
        <v>2718</v>
      </c>
      <c r="G2721">
        <f t="shared" ca="1" si="89"/>
        <v>5.1699882274440181E-2</v>
      </c>
    </row>
    <row r="2722" spans="2:7" x14ac:dyDescent="0.35">
      <c r="B2722" s="2">
        <v>41577</v>
      </c>
      <c r="C2722" s="4">
        <v>98.78</v>
      </c>
      <c r="D2722">
        <f t="shared" si="88"/>
        <v>-0.86066718386346008</v>
      </c>
      <c r="E2722">
        <v>-1.4152850788515803E-3</v>
      </c>
      <c r="F2722">
        <v>2719</v>
      </c>
      <c r="G2722">
        <f t="shared" ca="1" si="89"/>
        <v>6.2210730586803306E-2</v>
      </c>
    </row>
    <row r="2723" spans="2:7" x14ac:dyDescent="0.35">
      <c r="B2723" s="2">
        <v>42622</v>
      </c>
      <c r="C2723" s="4">
        <v>708.95</v>
      </c>
      <c r="D2723">
        <f t="shared" si="88"/>
        <v>9.111966909142776</v>
      </c>
      <c r="E2723">
        <v>-1.4226153586117674E-3</v>
      </c>
      <c r="F2723">
        <v>2720</v>
      </c>
      <c r="G2723">
        <f t="shared" ca="1" si="89"/>
        <v>8.9859218473389395E-3</v>
      </c>
    </row>
    <row r="2724" spans="2:7" x14ac:dyDescent="0.35">
      <c r="B2724" s="2">
        <v>38630</v>
      </c>
      <c r="C2724" s="4">
        <v>70.11</v>
      </c>
      <c r="D2724">
        <f t="shared" si="88"/>
        <v>-0.92237083951546828</v>
      </c>
      <c r="E2724">
        <v>-1.4242985329724345E-3</v>
      </c>
      <c r="F2724">
        <v>2721</v>
      </c>
      <c r="G2724">
        <f t="shared" ca="1" si="89"/>
        <v>-3.0816531051614197E-2</v>
      </c>
    </row>
    <row r="2725" spans="2:7" x14ac:dyDescent="0.35">
      <c r="B2725" s="2">
        <v>44035</v>
      </c>
      <c r="C2725" s="4">
        <v>903.14</v>
      </c>
      <c r="D2725">
        <f t="shared" si="88"/>
        <v>-0.32998998479172081</v>
      </c>
      <c r="E2725">
        <v>-1.4263127052397406E-3</v>
      </c>
      <c r="F2725">
        <v>2722</v>
      </c>
      <c r="G2725">
        <f t="shared" ca="1" si="89"/>
        <v>3.6760926678155552E-2</v>
      </c>
    </row>
    <row r="2726" spans="2:7" x14ac:dyDescent="0.35">
      <c r="B2726" s="2">
        <v>43329</v>
      </c>
      <c r="C2726" s="4">
        <v>1347.95</v>
      </c>
      <c r="D2726">
        <f t="shared" si="88"/>
        <v>18.487494578574527</v>
      </c>
      <c r="E2726">
        <v>-1.4297567191158267E-3</v>
      </c>
      <c r="F2726">
        <v>2723</v>
      </c>
      <c r="G2726">
        <f t="shared" ca="1" si="89"/>
        <v>3.0622404850100336E-2</v>
      </c>
    </row>
    <row r="2727" spans="2:7" x14ac:dyDescent="0.35">
      <c r="B2727" s="2">
        <v>38741</v>
      </c>
      <c r="C2727" s="4">
        <v>69.17</v>
      </c>
      <c r="D2727">
        <f t="shared" si="88"/>
        <v>-0.22341978219378011</v>
      </c>
      <c r="E2727">
        <v>-1.44362638949036E-3</v>
      </c>
      <c r="F2727">
        <v>2724</v>
      </c>
      <c r="G2727">
        <f t="shared" ca="1" si="89"/>
        <v>-1.4693864685180243E-2</v>
      </c>
    </row>
    <row r="2728" spans="2:7" x14ac:dyDescent="0.35">
      <c r="B2728" s="2">
        <v>40766</v>
      </c>
      <c r="C2728" s="4">
        <v>89.07</v>
      </c>
      <c r="D2728">
        <f t="shared" si="88"/>
        <v>2.2626373626373621</v>
      </c>
      <c r="E2728">
        <v>-1.4573991031391342E-3</v>
      </c>
      <c r="F2728">
        <v>2725</v>
      </c>
      <c r="G2728">
        <f t="shared" ca="1" si="89"/>
        <v>-1.1801230245591666E-2</v>
      </c>
    </row>
    <row r="2729" spans="2:7" x14ac:dyDescent="0.35">
      <c r="B2729" s="2">
        <v>37922</v>
      </c>
      <c r="C2729" s="4">
        <v>27.3</v>
      </c>
      <c r="D2729">
        <f t="shared" si="88"/>
        <v>-0.55333769633507845</v>
      </c>
      <c r="E2729">
        <v>-1.4630577907827069E-3</v>
      </c>
      <c r="F2729">
        <v>2726</v>
      </c>
      <c r="G2729">
        <f t="shared" ca="1" si="89"/>
        <v>-7.2520184973022345E-2</v>
      </c>
    </row>
    <row r="2730" spans="2:7" x14ac:dyDescent="0.35">
      <c r="B2730" s="2">
        <v>39679</v>
      </c>
      <c r="C2730" s="4">
        <v>61.12</v>
      </c>
      <c r="D2730">
        <f t="shared" si="88"/>
        <v>-0.30726510257282114</v>
      </c>
      <c r="E2730">
        <v>-1.4703479823559018E-3</v>
      </c>
      <c r="F2730">
        <v>2727</v>
      </c>
      <c r="G2730">
        <f t="shared" ca="1" si="89"/>
        <v>-1.6741398766671192E-3</v>
      </c>
    </row>
    <row r="2731" spans="2:7" x14ac:dyDescent="0.35">
      <c r="B2731" s="2">
        <v>40805</v>
      </c>
      <c r="C2731" s="4">
        <v>88.23</v>
      </c>
      <c r="D2731">
        <f t="shared" si="88"/>
        <v>-0.27656608724171849</v>
      </c>
      <c r="E2731">
        <v>-1.4712539610682862E-3</v>
      </c>
      <c r="F2731">
        <v>2728</v>
      </c>
      <c r="G2731">
        <f t="shared" ca="1" si="89"/>
        <v>-1.2692498065223186E-2</v>
      </c>
    </row>
    <row r="2732" spans="2:7" x14ac:dyDescent="0.35">
      <c r="B2732" s="2">
        <v>39234</v>
      </c>
      <c r="C2732" s="4">
        <v>121.96</v>
      </c>
      <c r="D2732">
        <f t="shared" si="88"/>
        <v>7.0481874835425229E-2</v>
      </c>
      <c r="E2732">
        <v>-1.4737186834780092E-3</v>
      </c>
      <c r="F2732">
        <v>2729</v>
      </c>
      <c r="G2732">
        <f t="shared" ca="1" si="89"/>
        <v>2.4213323482565009E-3</v>
      </c>
    </row>
    <row r="2733" spans="2:7" x14ac:dyDescent="0.35">
      <c r="B2733" s="2">
        <v>39335</v>
      </c>
      <c r="C2733" s="4">
        <v>113.93</v>
      </c>
      <c r="D2733">
        <f t="shared" si="88"/>
        <v>-0.58369569189169446</v>
      </c>
      <c r="E2733">
        <v>-1.4899211218228903E-3</v>
      </c>
      <c r="F2733">
        <v>2730</v>
      </c>
      <c r="G2733">
        <f t="shared" ca="1" si="89"/>
        <v>2.6096733572504725E-2</v>
      </c>
    </row>
    <row r="2734" spans="2:7" x14ac:dyDescent="0.35">
      <c r="B2734" s="2">
        <v>41967</v>
      </c>
      <c r="C2734" s="4">
        <v>273.67</v>
      </c>
      <c r="D2734">
        <f t="shared" si="88"/>
        <v>1.5839864035501843</v>
      </c>
      <c r="E2734">
        <v>-1.4959136018679597E-3</v>
      </c>
      <c r="F2734">
        <v>2731</v>
      </c>
      <c r="G2734">
        <f t="shared" ca="1" si="89"/>
        <v>1.6245892115649752E-2</v>
      </c>
    </row>
    <row r="2735" spans="2:7" x14ac:dyDescent="0.35">
      <c r="B2735" s="2">
        <v>39351</v>
      </c>
      <c r="C2735" s="4">
        <v>105.91</v>
      </c>
      <c r="D2735">
        <f t="shared" si="88"/>
        <v>-0.89559036643433854</v>
      </c>
      <c r="E2735">
        <v>-1.5084378240783902E-3</v>
      </c>
      <c r="F2735">
        <v>2732</v>
      </c>
      <c r="G2735">
        <f t="shared" ca="1" si="89"/>
        <v>2.3732286364385718E-2</v>
      </c>
    </row>
    <row r="2736" spans="2:7" x14ac:dyDescent="0.35">
      <c r="B2736" s="2">
        <v>43129</v>
      </c>
      <c r="C2736" s="4">
        <v>1014.37</v>
      </c>
      <c r="D2736">
        <f t="shared" si="88"/>
        <v>29.888246041412909</v>
      </c>
      <c r="E2736">
        <v>-1.5158823124095111E-3</v>
      </c>
      <c r="F2736">
        <v>2733</v>
      </c>
      <c r="G2736">
        <f t="shared" ca="1" si="89"/>
        <v>-1.8702242935905406E-2</v>
      </c>
    </row>
    <row r="2737" spans="2:7" x14ac:dyDescent="0.35">
      <c r="B2737" s="2">
        <v>37497</v>
      </c>
      <c r="C2737" s="4">
        <v>32.840000000000003</v>
      </c>
      <c r="D2737">
        <f t="shared" si="88"/>
        <v>-0.99437422697013411</v>
      </c>
      <c r="E2737">
        <v>-1.5202189115232079E-3</v>
      </c>
      <c r="F2737">
        <v>2734</v>
      </c>
      <c r="G2737">
        <f t="shared" ca="1" si="89"/>
        <v>-3.6532741765703626E-2</v>
      </c>
    </row>
    <row r="2738" spans="2:7" x14ac:dyDescent="0.35">
      <c r="B2738" s="2">
        <v>44496</v>
      </c>
      <c r="C2738" s="4">
        <v>5837.42</v>
      </c>
      <c r="D2738">
        <f t="shared" si="88"/>
        <v>89.699502796768186</v>
      </c>
      <c r="E2738">
        <v>-1.5394036008360423E-3</v>
      </c>
      <c r="F2738">
        <v>2735</v>
      </c>
      <c r="G2738">
        <f t="shared" ca="1" si="89"/>
        <v>-2.8952016978354603E-2</v>
      </c>
    </row>
    <row r="2739" spans="2:7" x14ac:dyDescent="0.35">
      <c r="B2739" s="2">
        <v>39654</v>
      </c>
      <c r="C2739" s="4">
        <v>64.36</v>
      </c>
      <c r="D2739">
        <f t="shared" si="88"/>
        <v>-0.22903689506468616</v>
      </c>
      <c r="E2739">
        <v>-1.5513496742164401E-3</v>
      </c>
      <c r="F2739">
        <v>2736</v>
      </c>
      <c r="G2739">
        <f t="shared" ca="1" si="89"/>
        <v>-3.749765833677994E-2</v>
      </c>
    </row>
    <row r="2740" spans="2:7" x14ac:dyDescent="0.35">
      <c r="B2740" s="2">
        <v>41043</v>
      </c>
      <c r="C2740" s="4">
        <v>83.48</v>
      </c>
      <c r="D2740">
        <f t="shared" si="88"/>
        <v>-0.89619755788217159</v>
      </c>
      <c r="E2740">
        <v>-1.5548379380456723E-3</v>
      </c>
      <c r="F2740">
        <v>2737</v>
      </c>
      <c r="G2740">
        <f t="shared" ca="1" si="89"/>
        <v>-3.4710048215734521E-2</v>
      </c>
    </row>
    <row r="2741" spans="2:7" x14ac:dyDescent="0.35">
      <c r="B2741" s="2">
        <v>43773</v>
      </c>
      <c r="C2741" s="4">
        <v>804.22</v>
      </c>
      <c r="D2741">
        <f t="shared" si="88"/>
        <v>6.8961217476681398</v>
      </c>
      <c r="E2741">
        <v>-1.5642846501464636E-3</v>
      </c>
      <c r="F2741">
        <v>2738</v>
      </c>
      <c r="G2741">
        <f t="shared" ca="1" si="89"/>
        <v>1.1542154678277242E-2</v>
      </c>
    </row>
    <row r="2742" spans="2:7" x14ac:dyDescent="0.35">
      <c r="B2742" s="2">
        <v>40408</v>
      </c>
      <c r="C2742" s="4">
        <v>101.85</v>
      </c>
      <c r="D2742">
        <f t="shared" si="88"/>
        <v>-0.87948029203990108</v>
      </c>
      <c r="E2742">
        <v>-1.5684736790512188E-3</v>
      </c>
      <c r="F2742">
        <v>2739</v>
      </c>
      <c r="G2742">
        <f t="shared" ca="1" si="89"/>
        <v>1.9461191814799769E-2</v>
      </c>
    </row>
    <row r="2743" spans="2:7" x14ac:dyDescent="0.35">
      <c r="B2743" s="2">
        <v>42296</v>
      </c>
      <c r="C2743" s="4">
        <v>845.09</v>
      </c>
      <c r="D2743">
        <f t="shared" si="88"/>
        <v>6.504259716691041E-2</v>
      </c>
      <c r="E2743">
        <v>-1.5713239290185976E-3</v>
      </c>
      <c r="F2743">
        <v>2740</v>
      </c>
      <c r="G2743">
        <f t="shared" ca="1" si="89"/>
        <v>-1.5684467253190345E-3</v>
      </c>
    </row>
    <row r="2744" spans="2:7" x14ac:dyDescent="0.35">
      <c r="B2744" s="2">
        <v>42562</v>
      </c>
      <c r="C2744" s="4">
        <v>793.48</v>
      </c>
      <c r="D2744">
        <f t="shared" si="88"/>
        <v>3.6174141812754801E-3</v>
      </c>
      <c r="E2744">
        <v>-1.5854241638775246E-3</v>
      </c>
      <c r="F2744">
        <v>2741</v>
      </c>
      <c r="G2744">
        <f t="shared" ca="1" si="89"/>
        <v>2.0382718204934404E-2</v>
      </c>
    </row>
    <row r="2745" spans="2:7" x14ac:dyDescent="0.35">
      <c r="B2745" s="2">
        <v>43950</v>
      </c>
      <c r="C2745" s="4">
        <v>790.62</v>
      </c>
      <c r="D2745">
        <f t="shared" si="88"/>
        <v>9.0805814101746769</v>
      </c>
      <c r="E2745">
        <v>-1.5911501742688072E-3</v>
      </c>
      <c r="F2745">
        <v>2742</v>
      </c>
      <c r="G2745">
        <f t="shared" ca="1" si="89"/>
        <v>1.7741664587594817E-2</v>
      </c>
    </row>
    <row r="2746" spans="2:7" x14ac:dyDescent="0.35">
      <c r="B2746" s="2">
        <v>41438</v>
      </c>
      <c r="C2746" s="4">
        <v>78.430000000000007</v>
      </c>
      <c r="D2746">
        <f t="shared" si="88"/>
        <v>-0.71048357327427092</v>
      </c>
      <c r="E2746">
        <v>-1.6547861507127948E-3</v>
      </c>
      <c r="F2746">
        <v>2743</v>
      </c>
      <c r="G2746">
        <f t="shared" ca="1" si="89"/>
        <v>-3.982548927676785E-2</v>
      </c>
    </row>
    <row r="2747" spans="2:7" x14ac:dyDescent="0.35">
      <c r="B2747" s="2">
        <v>41933</v>
      </c>
      <c r="C2747" s="4">
        <v>270.89999999999998</v>
      </c>
      <c r="D2747">
        <f t="shared" si="88"/>
        <v>-0.67061827466715307</v>
      </c>
      <c r="E2747">
        <v>-1.6583747927033654E-3</v>
      </c>
      <c r="F2747">
        <v>2744</v>
      </c>
      <c r="G2747">
        <f t="shared" ca="1" si="89"/>
        <v>1.2198720794800192E-3</v>
      </c>
    </row>
    <row r="2748" spans="2:7" x14ac:dyDescent="0.35">
      <c r="B2748" s="2">
        <v>42534</v>
      </c>
      <c r="C2748" s="4">
        <v>822.45</v>
      </c>
      <c r="D2748">
        <f t="shared" si="88"/>
        <v>6.7145671137791956</v>
      </c>
      <c r="E2748">
        <v>-1.6629846325654229E-3</v>
      </c>
      <c r="F2748">
        <v>2745</v>
      </c>
      <c r="G2748">
        <f t="shared" ca="1" si="89"/>
        <v>3.1418337005744139E-2</v>
      </c>
    </row>
    <row r="2749" spans="2:7" x14ac:dyDescent="0.35">
      <c r="B2749" s="2">
        <v>39295</v>
      </c>
      <c r="C2749" s="4">
        <v>106.61</v>
      </c>
      <c r="D2749">
        <f t="shared" si="88"/>
        <v>3.507822410147992</v>
      </c>
      <c r="E2749">
        <v>-1.6855510815619867E-3</v>
      </c>
      <c r="F2749">
        <v>2746</v>
      </c>
      <c r="G2749">
        <f t="shared" ca="1" si="89"/>
        <v>-4.7365470731452032E-3</v>
      </c>
    </row>
    <row r="2750" spans="2:7" x14ac:dyDescent="0.35">
      <c r="B2750" s="2">
        <v>37792</v>
      </c>
      <c r="C2750" s="4">
        <v>23.65</v>
      </c>
      <c r="D2750">
        <f t="shared" si="88"/>
        <v>-0.9911804739796013</v>
      </c>
      <c r="E2750">
        <v>-1.6884761502744539E-3</v>
      </c>
      <c r="F2750">
        <v>2747</v>
      </c>
      <c r="G2750">
        <f t="shared" ca="1" si="89"/>
        <v>-2.5252654713365614E-3</v>
      </c>
    </row>
    <row r="2751" spans="2:7" x14ac:dyDescent="0.35">
      <c r="B2751" s="2">
        <v>44263</v>
      </c>
      <c r="C2751" s="4">
        <v>2681.55</v>
      </c>
      <c r="D2751">
        <f t="shared" si="88"/>
        <v>31.570751852301719</v>
      </c>
      <c r="E2751">
        <v>-1.6939056624845072E-3</v>
      </c>
      <c r="F2751">
        <v>2748</v>
      </c>
      <c r="G2751">
        <f t="shared" ca="1" si="89"/>
        <v>-3.8196167982051048E-2</v>
      </c>
    </row>
    <row r="2752" spans="2:7" x14ac:dyDescent="0.35">
      <c r="B2752" s="2">
        <v>38849</v>
      </c>
      <c r="C2752" s="4">
        <v>82.33</v>
      </c>
      <c r="D2752">
        <f t="shared" si="88"/>
        <v>1.8003401360544218</v>
      </c>
      <c r="E2752">
        <v>-1.6975870013338223E-3</v>
      </c>
      <c r="F2752">
        <v>2749</v>
      </c>
      <c r="G2752">
        <f t="shared" ca="1" si="89"/>
        <v>-7.0786643390704465E-2</v>
      </c>
    </row>
    <row r="2753" spans="2:7" x14ac:dyDescent="0.35">
      <c r="B2753" s="2">
        <v>37911</v>
      </c>
      <c r="C2753" s="4">
        <v>29.4</v>
      </c>
      <c r="D2753">
        <f t="shared" si="88"/>
        <v>-0.96827657645992493</v>
      </c>
      <c r="E2753">
        <v>-1.6977928692699651E-3</v>
      </c>
      <c r="F2753">
        <v>2750</v>
      </c>
      <c r="G2753">
        <f t="shared" ca="1" si="89"/>
        <v>-1.1043791756748782E-4</v>
      </c>
    </row>
    <row r="2754" spans="2:7" x14ac:dyDescent="0.35">
      <c r="B2754" s="2">
        <v>43181</v>
      </c>
      <c r="C2754" s="4">
        <v>926.76</v>
      </c>
      <c r="D2754">
        <f t="shared" si="88"/>
        <v>0.18132337382570007</v>
      </c>
      <c r="E2754">
        <v>-1.7127161092260756E-3</v>
      </c>
      <c r="F2754">
        <v>2751</v>
      </c>
      <c r="G2754">
        <f t="shared" ca="1" si="89"/>
        <v>2.9111035237374756E-2</v>
      </c>
    </row>
    <row r="2755" spans="2:7" x14ac:dyDescent="0.35">
      <c r="B2755" s="2">
        <v>42923</v>
      </c>
      <c r="C2755" s="4">
        <v>784.51</v>
      </c>
      <c r="D2755">
        <f t="shared" si="88"/>
        <v>6.5015299292407729</v>
      </c>
      <c r="E2755">
        <v>-1.7178632326368959E-3</v>
      </c>
      <c r="F2755">
        <v>2752</v>
      </c>
      <c r="G2755">
        <f t="shared" ca="1" si="89"/>
        <v>5.5627075429101917E-3</v>
      </c>
    </row>
    <row r="2756" spans="2:7" x14ac:dyDescent="0.35">
      <c r="B2756" s="2">
        <v>39317</v>
      </c>
      <c r="C2756" s="4">
        <v>104.58</v>
      </c>
      <c r="D2756">
        <f t="shared" ref="D2756:D2819" si="90">C2756/C2757-1</f>
        <v>-0.98420528000966589</v>
      </c>
      <c r="E2756">
        <v>-1.7182130584193489E-3</v>
      </c>
      <c r="F2756">
        <v>2753</v>
      </c>
      <c r="G2756">
        <f t="shared" ca="1" si="89"/>
        <v>1.0289588104344662E-3</v>
      </c>
    </row>
    <row r="2757" spans="2:7" x14ac:dyDescent="0.35">
      <c r="B2757" s="2">
        <v>44909</v>
      </c>
      <c r="C2757" s="4">
        <v>6621.2</v>
      </c>
      <c r="D2757">
        <f t="shared" si="90"/>
        <v>75.298686333256512</v>
      </c>
      <c r="E2757">
        <v>-1.7187829810331179E-3</v>
      </c>
      <c r="F2757">
        <v>2754</v>
      </c>
      <c r="G2757">
        <f t="shared" ref="G2757:G2820" ca="1" si="91">_xlfn.NORM.INV(RAND(),K$6,K$7)</f>
        <v>4.1575793318219E-2</v>
      </c>
    </row>
    <row r="2758" spans="2:7" x14ac:dyDescent="0.35">
      <c r="B2758" s="2">
        <v>41059</v>
      </c>
      <c r="C2758" s="4">
        <v>86.78</v>
      </c>
      <c r="D2758">
        <f t="shared" si="90"/>
        <v>0.50268398268398262</v>
      </c>
      <c r="E2758">
        <v>-1.7255262855171427E-3</v>
      </c>
      <c r="F2758">
        <v>2755</v>
      </c>
      <c r="G2758">
        <f t="shared" ca="1" si="91"/>
        <v>-6.9183610454299174E-2</v>
      </c>
    </row>
    <row r="2759" spans="2:7" x14ac:dyDescent="0.35">
      <c r="B2759" s="2">
        <v>38492</v>
      </c>
      <c r="C2759" s="4">
        <v>57.75</v>
      </c>
      <c r="D2759">
        <f t="shared" si="90"/>
        <v>-0.33275563258232232</v>
      </c>
      <c r="E2759">
        <v>-1.7286084701815252E-3</v>
      </c>
      <c r="F2759">
        <v>2756</v>
      </c>
      <c r="G2759">
        <f t="shared" ca="1" si="91"/>
        <v>1.3308997177345667E-2</v>
      </c>
    </row>
    <row r="2760" spans="2:7" x14ac:dyDescent="0.35">
      <c r="B2760" s="2">
        <v>40801</v>
      </c>
      <c r="C2760" s="4">
        <v>86.55</v>
      </c>
      <c r="D2760">
        <f t="shared" si="90"/>
        <v>0.36363636363636354</v>
      </c>
      <c r="E2760">
        <v>-1.7301038062284002E-3</v>
      </c>
      <c r="F2760">
        <v>2757</v>
      </c>
      <c r="G2760">
        <f t="shared" ca="1" si="91"/>
        <v>-2.4196299038146154E-2</v>
      </c>
    </row>
    <row r="2761" spans="2:7" x14ac:dyDescent="0.35">
      <c r="B2761" s="2">
        <v>39659</v>
      </c>
      <c r="C2761" s="4">
        <v>63.47</v>
      </c>
      <c r="D2761">
        <f t="shared" si="90"/>
        <v>0.10095403295750227</v>
      </c>
      <c r="E2761">
        <v>-1.7301038062284002E-3</v>
      </c>
      <c r="F2761">
        <v>2758</v>
      </c>
      <c r="G2761">
        <f t="shared" ca="1" si="91"/>
        <v>-1.4801521185582131E-2</v>
      </c>
    </row>
    <row r="2762" spans="2:7" x14ac:dyDescent="0.35">
      <c r="B2762" s="2">
        <v>38434</v>
      </c>
      <c r="C2762" s="4">
        <v>57.65</v>
      </c>
      <c r="D2762">
        <f t="shared" si="90"/>
        <v>-0.16388687454677309</v>
      </c>
      <c r="E2762">
        <v>-1.7316017316018062E-3</v>
      </c>
      <c r="F2762">
        <v>2759</v>
      </c>
      <c r="G2762">
        <f t="shared" ca="1" si="91"/>
        <v>3.670635117065721E-3</v>
      </c>
    </row>
    <row r="2763" spans="2:7" x14ac:dyDescent="0.35">
      <c r="B2763" s="2">
        <v>38686</v>
      </c>
      <c r="C2763" s="4">
        <v>68.95</v>
      </c>
      <c r="D2763">
        <f t="shared" si="90"/>
        <v>-0.93111681668781276</v>
      </c>
      <c r="E2763">
        <v>-1.7373678876501097E-3</v>
      </c>
      <c r="F2763">
        <v>2760</v>
      </c>
      <c r="G2763">
        <f t="shared" ca="1" si="91"/>
        <v>-2.1217118249729144E-2</v>
      </c>
    </row>
    <row r="2764" spans="2:7" x14ac:dyDescent="0.35">
      <c r="B2764" s="2">
        <v>43206</v>
      </c>
      <c r="C2764" s="4">
        <v>1000.97</v>
      </c>
      <c r="D2764">
        <f t="shared" si="90"/>
        <v>10.092309397163122</v>
      </c>
      <c r="E2764">
        <v>-1.7651634521410609E-3</v>
      </c>
      <c r="F2764">
        <v>2761</v>
      </c>
      <c r="G2764">
        <f t="shared" ca="1" si="91"/>
        <v>1.512171891109582E-2</v>
      </c>
    </row>
    <row r="2765" spans="2:7" x14ac:dyDescent="0.35">
      <c r="B2765" s="2">
        <v>41320</v>
      </c>
      <c r="C2765" s="4">
        <v>90.24</v>
      </c>
      <c r="D2765">
        <f t="shared" si="90"/>
        <v>0.1582595302271852</v>
      </c>
      <c r="E2765">
        <v>-1.7699115044248481E-3</v>
      </c>
      <c r="F2765">
        <v>2762</v>
      </c>
      <c r="G2765">
        <f t="shared" ca="1" si="91"/>
        <v>1.9124211327614733E-2</v>
      </c>
    </row>
    <row r="2766" spans="2:7" x14ac:dyDescent="0.35">
      <c r="B2766" s="2">
        <v>38966</v>
      </c>
      <c r="C2766" s="4">
        <v>77.91</v>
      </c>
      <c r="D2766">
        <f t="shared" si="90"/>
        <v>-0.22144498850804439</v>
      </c>
      <c r="E2766">
        <v>-1.7937219730941312E-3</v>
      </c>
      <c r="F2766">
        <v>2763</v>
      </c>
      <c r="G2766">
        <f t="shared" ca="1" si="91"/>
        <v>-1.4017700404336407E-2</v>
      </c>
    </row>
    <row r="2767" spans="2:7" x14ac:dyDescent="0.35">
      <c r="B2767" s="2">
        <v>40625</v>
      </c>
      <c r="C2767" s="4">
        <v>100.07</v>
      </c>
      <c r="D2767">
        <f t="shared" si="90"/>
        <v>-0.14080879196359586</v>
      </c>
      <c r="E2767">
        <v>-1.7955112219452118E-3</v>
      </c>
      <c r="F2767">
        <v>2764</v>
      </c>
      <c r="G2767">
        <f t="shared" ca="1" si="91"/>
        <v>-3.4130499143089361E-2</v>
      </c>
    </row>
    <row r="2768" spans="2:7" x14ac:dyDescent="0.35">
      <c r="B2768" s="2">
        <v>39191</v>
      </c>
      <c r="C2768" s="4">
        <v>116.47</v>
      </c>
      <c r="D2768">
        <f t="shared" si="90"/>
        <v>0.40359122680163884</v>
      </c>
      <c r="E2768">
        <v>-1.799794309221836E-3</v>
      </c>
      <c r="F2768">
        <v>2765</v>
      </c>
      <c r="G2768">
        <f t="shared" ca="1" si="91"/>
        <v>1.5124933703806727E-2</v>
      </c>
    </row>
    <row r="2769" spans="2:7" x14ac:dyDescent="0.35">
      <c r="B2769" s="2">
        <v>41555</v>
      </c>
      <c r="C2769" s="4">
        <v>82.98</v>
      </c>
      <c r="D2769">
        <f t="shared" si="90"/>
        <v>2.7615593834995469</v>
      </c>
      <c r="E2769">
        <v>-1.8044027426921128E-3</v>
      </c>
      <c r="F2769">
        <v>2766</v>
      </c>
      <c r="G2769">
        <f t="shared" ca="1" si="91"/>
        <v>1.004141835963499E-2</v>
      </c>
    </row>
    <row r="2770" spans="2:7" x14ac:dyDescent="0.35">
      <c r="B2770" s="2">
        <v>37708</v>
      </c>
      <c r="C2770" s="4">
        <v>22.06</v>
      </c>
      <c r="D2770">
        <f t="shared" si="90"/>
        <v>-0.99682279064408341</v>
      </c>
      <c r="E2770">
        <v>-1.8099547511313263E-3</v>
      </c>
      <c r="F2770">
        <v>2767</v>
      </c>
      <c r="G2770">
        <f t="shared" ca="1" si="91"/>
        <v>-2.0670057337548436E-2</v>
      </c>
    </row>
    <row r="2771" spans="2:7" x14ac:dyDescent="0.35">
      <c r="B2771" s="2">
        <v>44867</v>
      </c>
      <c r="C2771" s="4">
        <v>6943.2</v>
      </c>
      <c r="D2771">
        <f t="shared" si="90"/>
        <v>210.03951367781156</v>
      </c>
      <c r="E2771">
        <v>-1.8114379366860334E-3</v>
      </c>
      <c r="F2771">
        <v>2768</v>
      </c>
      <c r="G2771">
        <f t="shared" ca="1" si="91"/>
        <v>2.3810554553479978E-2</v>
      </c>
    </row>
    <row r="2772" spans="2:7" x14ac:dyDescent="0.35">
      <c r="B2772" s="2">
        <v>39778</v>
      </c>
      <c r="C2772" s="4">
        <v>32.9</v>
      </c>
      <c r="D2772">
        <f t="shared" si="90"/>
        <v>-0.57139134966128191</v>
      </c>
      <c r="E2772">
        <v>-1.8203883495145901E-3</v>
      </c>
      <c r="F2772">
        <v>2769</v>
      </c>
      <c r="G2772">
        <f t="shared" ca="1" si="91"/>
        <v>-1.4606903970181946E-2</v>
      </c>
    </row>
    <row r="2773" spans="2:7" x14ac:dyDescent="0.35">
      <c r="B2773" s="2">
        <v>38961</v>
      </c>
      <c r="C2773" s="4">
        <v>76.760000000000005</v>
      </c>
      <c r="D2773">
        <f t="shared" si="90"/>
        <v>-0.11126548570105355</v>
      </c>
      <c r="E2773">
        <v>-1.8205461638491904E-3</v>
      </c>
      <c r="F2773">
        <v>2770</v>
      </c>
      <c r="G2773">
        <f t="shared" ca="1" si="91"/>
        <v>7.0954550376092926E-2</v>
      </c>
    </row>
    <row r="2774" spans="2:7" x14ac:dyDescent="0.35">
      <c r="B2774" s="2">
        <v>39031</v>
      </c>
      <c r="C2774" s="4">
        <v>86.37</v>
      </c>
      <c r="D2774">
        <f t="shared" si="90"/>
        <v>0.33803253292021695</v>
      </c>
      <c r="E2774">
        <v>-1.8490696868137535E-3</v>
      </c>
      <c r="F2774">
        <v>2771</v>
      </c>
      <c r="G2774">
        <f t="shared" ca="1" si="91"/>
        <v>2.0410628261374891E-2</v>
      </c>
    </row>
    <row r="2775" spans="2:7" x14ac:dyDescent="0.35">
      <c r="B2775" s="2">
        <v>38748</v>
      </c>
      <c r="C2775" s="4">
        <v>64.55</v>
      </c>
      <c r="D2775">
        <f t="shared" si="90"/>
        <v>-0.96473756664627219</v>
      </c>
      <c r="E2775">
        <v>-1.8555744549251241E-3</v>
      </c>
      <c r="F2775">
        <v>2772</v>
      </c>
      <c r="G2775">
        <f t="shared" ca="1" si="91"/>
        <v>6.7446391891355165E-3</v>
      </c>
    </row>
    <row r="2776" spans="2:7" x14ac:dyDescent="0.35">
      <c r="B2776" s="2">
        <v>44195</v>
      </c>
      <c r="C2776" s="4">
        <v>1830.56</v>
      </c>
      <c r="D2776">
        <f t="shared" si="90"/>
        <v>1.3462701871315046</v>
      </c>
      <c r="E2776">
        <v>-1.8593542969623789E-3</v>
      </c>
      <c r="F2776">
        <v>2773</v>
      </c>
      <c r="G2776">
        <f t="shared" ca="1" si="91"/>
        <v>-1.8754840099747955E-2</v>
      </c>
    </row>
    <row r="2777" spans="2:7" x14ac:dyDescent="0.35">
      <c r="B2777" s="2">
        <v>42229</v>
      </c>
      <c r="C2777" s="4">
        <v>780.2</v>
      </c>
      <c r="D2777">
        <f t="shared" si="90"/>
        <v>0.2602367991729797</v>
      </c>
      <c r="E2777">
        <v>-1.867819768185508E-3</v>
      </c>
      <c r="F2777">
        <v>2774</v>
      </c>
      <c r="G2777">
        <f t="shared" ca="1" si="91"/>
        <v>1.5030742865671007E-2</v>
      </c>
    </row>
    <row r="2778" spans="2:7" x14ac:dyDescent="0.35">
      <c r="B2778" s="2">
        <v>43929</v>
      </c>
      <c r="C2778" s="4">
        <v>619.09</v>
      </c>
      <c r="D2778">
        <f t="shared" si="90"/>
        <v>8.0206906600611987</v>
      </c>
      <c r="E2778">
        <v>-1.8702136235388966E-3</v>
      </c>
      <c r="F2778">
        <v>2775</v>
      </c>
      <c r="G2778">
        <f t="shared" ca="1" si="91"/>
        <v>2.4768137034242286E-3</v>
      </c>
    </row>
    <row r="2779" spans="2:7" x14ac:dyDescent="0.35">
      <c r="B2779" s="2">
        <v>38560</v>
      </c>
      <c r="C2779" s="4">
        <v>68.63</v>
      </c>
      <c r="D2779">
        <f t="shared" si="90"/>
        <v>-0.91024299652114782</v>
      </c>
      <c r="E2779">
        <v>-1.8906340895871176E-3</v>
      </c>
      <c r="F2779">
        <v>2776</v>
      </c>
      <c r="G2779">
        <f t="shared" ca="1" si="91"/>
        <v>2.4236215720308193E-2</v>
      </c>
    </row>
    <row r="2780" spans="2:7" x14ac:dyDescent="0.35">
      <c r="B2780" s="2">
        <v>42971</v>
      </c>
      <c r="C2780" s="4">
        <v>764.62</v>
      </c>
      <c r="D2780">
        <f t="shared" si="90"/>
        <v>-0.88562410716289086</v>
      </c>
      <c r="E2780">
        <v>-1.8927774224287708E-3</v>
      </c>
      <c r="F2780">
        <v>2777</v>
      </c>
      <c r="G2780">
        <f t="shared" ca="1" si="91"/>
        <v>-8.193884852472437E-2</v>
      </c>
    </row>
    <row r="2781" spans="2:7" x14ac:dyDescent="0.35">
      <c r="B2781" s="2">
        <v>44966</v>
      </c>
      <c r="C2781" s="4">
        <v>6685.15</v>
      </c>
      <c r="D2781">
        <f t="shared" si="90"/>
        <v>7.0071266019882614</v>
      </c>
      <c r="E2781">
        <v>-1.8961308479588102E-3</v>
      </c>
      <c r="F2781">
        <v>2778</v>
      </c>
      <c r="G2781">
        <f t="shared" ca="1" si="91"/>
        <v>-3.4921903454343997E-2</v>
      </c>
    </row>
    <row r="2782" spans="2:7" x14ac:dyDescent="0.35">
      <c r="B2782" s="2">
        <v>43056</v>
      </c>
      <c r="C2782" s="4">
        <v>834.9</v>
      </c>
      <c r="D2782">
        <f t="shared" si="90"/>
        <v>9.7166736753574456E-2</v>
      </c>
      <c r="E2782">
        <v>-1.9007997704695301E-3</v>
      </c>
      <c r="F2782">
        <v>2779</v>
      </c>
      <c r="G2782">
        <f t="shared" ca="1" si="91"/>
        <v>-1.0020292181757809E-2</v>
      </c>
    </row>
    <row r="2783" spans="2:7" x14ac:dyDescent="0.35">
      <c r="B2783" s="2">
        <v>43964</v>
      </c>
      <c r="C2783" s="4">
        <v>760.96</v>
      </c>
      <c r="D2783">
        <f t="shared" si="90"/>
        <v>-0.21109705778680876</v>
      </c>
      <c r="E2783">
        <v>-1.9018638265498877E-3</v>
      </c>
      <c r="F2783">
        <v>2780</v>
      </c>
      <c r="G2783">
        <f t="shared" ca="1" si="91"/>
        <v>-1.893117446346167E-2</v>
      </c>
    </row>
    <row r="2784" spans="2:7" x14ac:dyDescent="0.35">
      <c r="B2784" s="2">
        <v>43467</v>
      </c>
      <c r="C2784" s="4">
        <v>964.58</v>
      </c>
      <c r="D2784">
        <f t="shared" si="90"/>
        <v>2.7693630324345446</v>
      </c>
      <c r="E2784">
        <v>-1.9039341073238125E-3</v>
      </c>
      <c r="F2784">
        <v>2781</v>
      </c>
      <c r="G2784">
        <f t="shared" ca="1" si="91"/>
        <v>-2.4486638070511352E-2</v>
      </c>
    </row>
    <row r="2785" spans="2:7" x14ac:dyDescent="0.35">
      <c r="B2785" s="2">
        <v>41718</v>
      </c>
      <c r="C2785" s="4">
        <v>255.9</v>
      </c>
      <c r="D2785">
        <f t="shared" si="90"/>
        <v>8.8008425890463435</v>
      </c>
      <c r="E2785">
        <v>-1.911150980927423E-3</v>
      </c>
      <c r="F2785">
        <v>2782</v>
      </c>
      <c r="G2785">
        <f t="shared" ca="1" si="91"/>
        <v>-2.9702644905102944E-2</v>
      </c>
    </row>
    <row r="2786" spans="2:7" x14ac:dyDescent="0.35">
      <c r="B2786" s="2">
        <v>37887</v>
      </c>
      <c r="C2786" s="4">
        <v>26.11</v>
      </c>
      <c r="D2786">
        <f t="shared" si="90"/>
        <v>-0.92408118167015585</v>
      </c>
      <c r="E2786">
        <v>-1.9113149847095334E-3</v>
      </c>
      <c r="F2786">
        <v>2783</v>
      </c>
      <c r="G2786">
        <f t="shared" ca="1" si="91"/>
        <v>2.9733147742142137E-2</v>
      </c>
    </row>
    <row r="2787" spans="2:7" x14ac:dyDescent="0.35">
      <c r="B2787" s="2">
        <v>42033</v>
      </c>
      <c r="C2787" s="4">
        <v>343.92</v>
      </c>
      <c r="D2787">
        <f t="shared" si="90"/>
        <v>3.7469979296066249</v>
      </c>
      <c r="E2787">
        <v>-1.9153752394218682E-3</v>
      </c>
      <c r="F2787">
        <v>2784</v>
      </c>
      <c r="G2787">
        <f t="shared" ca="1" si="91"/>
        <v>2.0124590724265117E-3</v>
      </c>
    </row>
    <row r="2788" spans="2:7" x14ac:dyDescent="0.35">
      <c r="B2788" s="2">
        <v>38586</v>
      </c>
      <c r="C2788" s="4">
        <v>72.45</v>
      </c>
      <c r="D2788">
        <f t="shared" si="90"/>
        <v>-0.99113278787841697</v>
      </c>
      <c r="E2788">
        <v>-1.9286403085824189E-3</v>
      </c>
      <c r="F2788">
        <v>2785</v>
      </c>
      <c r="G2788">
        <f t="shared" ca="1" si="91"/>
        <v>8.6284715682910483E-3</v>
      </c>
    </row>
    <row r="2789" spans="2:7" x14ac:dyDescent="0.35">
      <c r="B2789" s="2">
        <v>44742</v>
      </c>
      <c r="C2789" s="4">
        <v>8170.55</v>
      </c>
      <c r="D2789">
        <f t="shared" si="90"/>
        <v>262.82144010332581</v>
      </c>
      <c r="E2789">
        <v>-1.9300420822466746E-3</v>
      </c>
      <c r="F2789">
        <v>2786</v>
      </c>
      <c r="G2789">
        <f t="shared" ca="1" si="91"/>
        <v>1.9139264198740177E-2</v>
      </c>
    </row>
    <row r="2790" spans="2:7" x14ac:dyDescent="0.35">
      <c r="B2790" s="2">
        <v>37602</v>
      </c>
      <c r="C2790" s="4">
        <v>30.97</v>
      </c>
      <c r="D2790">
        <f t="shared" si="90"/>
        <v>-0.95997053045186642</v>
      </c>
      <c r="E2790">
        <v>-1.9336126329358994E-3</v>
      </c>
      <c r="F2790">
        <v>2787</v>
      </c>
      <c r="G2790">
        <f t="shared" ca="1" si="91"/>
        <v>-1.6292047218701821E-2</v>
      </c>
    </row>
    <row r="2791" spans="2:7" x14ac:dyDescent="0.35">
      <c r="B2791" s="2">
        <v>43795</v>
      </c>
      <c r="C2791" s="4">
        <v>773.68</v>
      </c>
      <c r="D2791">
        <f t="shared" si="90"/>
        <v>6.6594396594396583</v>
      </c>
      <c r="E2791">
        <v>-1.9350344436130928E-3</v>
      </c>
      <c r="F2791">
        <v>2788</v>
      </c>
      <c r="G2791">
        <f t="shared" ca="1" si="91"/>
        <v>-2.3526018033886067E-3</v>
      </c>
    </row>
    <row r="2792" spans="2:7" x14ac:dyDescent="0.35">
      <c r="B2792" s="2">
        <v>40673</v>
      </c>
      <c r="C2792" s="4">
        <v>101.01</v>
      </c>
      <c r="D2792">
        <f t="shared" si="90"/>
        <v>-0.97918002139504778</v>
      </c>
      <c r="E2792">
        <v>-1.9760893192370954E-3</v>
      </c>
      <c r="F2792">
        <v>2789</v>
      </c>
      <c r="G2792">
        <f t="shared" ca="1" si="91"/>
        <v>-2.4553574290565688E-2</v>
      </c>
    </row>
    <row r="2793" spans="2:7" x14ac:dyDescent="0.35">
      <c r="B2793" s="2">
        <v>44445</v>
      </c>
      <c r="C2793" s="4">
        <v>4851.59</v>
      </c>
      <c r="D2793">
        <f t="shared" si="90"/>
        <v>6.0162405275640651</v>
      </c>
      <c r="E2793">
        <v>-1.985090223893371E-3</v>
      </c>
      <c r="F2793">
        <v>2790</v>
      </c>
      <c r="G2793">
        <f t="shared" ca="1" si="91"/>
        <v>3.2878594990936989E-2</v>
      </c>
    </row>
    <row r="2794" spans="2:7" x14ac:dyDescent="0.35">
      <c r="B2794" s="2">
        <v>42641</v>
      </c>
      <c r="C2794" s="4">
        <v>691.48</v>
      </c>
      <c r="D2794">
        <f t="shared" si="90"/>
        <v>8.9307769639523205</v>
      </c>
      <c r="E2794">
        <v>-2.0061483395152901E-3</v>
      </c>
      <c r="F2794">
        <v>2791</v>
      </c>
      <c r="G2794">
        <f t="shared" ca="1" si="91"/>
        <v>-2.5528825841530014E-2</v>
      </c>
    </row>
    <row r="2795" spans="2:7" x14ac:dyDescent="0.35">
      <c r="B2795" s="2">
        <v>38677</v>
      </c>
      <c r="C2795" s="4">
        <v>69.63</v>
      </c>
      <c r="D2795">
        <f t="shared" si="90"/>
        <v>-0.29872091852150273</v>
      </c>
      <c r="E2795">
        <v>-2.0065930915866836E-3</v>
      </c>
      <c r="F2795">
        <v>2792</v>
      </c>
      <c r="G2795">
        <f t="shared" ca="1" si="91"/>
        <v>-8.789469525965975E-3</v>
      </c>
    </row>
    <row r="2796" spans="2:7" x14ac:dyDescent="0.35">
      <c r="B2796" s="2">
        <v>41260</v>
      </c>
      <c r="C2796" s="4">
        <v>99.29</v>
      </c>
      <c r="D2796">
        <f t="shared" si="90"/>
        <v>0.54705515736989718</v>
      </c>
      <c r="E2796">
        <v>-2.0102522866618511E-3</v>
      </c>
      <c r="F2796">
        <v>2793</v>
      </c>
      <c r="G2796">
        <f t="shared" ca="1" si="91"/>
        <v>-2.8785730078438494E-3</v>
      </c>
    </row>
    <row r="2797" spans="2:7" x14ac:dyDescent="0.35">
      <c r="B2797" s="2">
        <v>40044</v>
      </c>
      <c r="C2797" s="4">
        <v>64.180000000000007</v>
      </c>
      <c r="D2797">
        <f t="shared" si="90"/>
        <v>-0.23348859429117397</v>
      </c>
      <c r="E2797">
        <v>-2.0214585600994983E-3</v>
      </c>
      <c r="F2797">
        <v>2794</v>
      </c>
      <c r="G2797">
        <f t="shared" ca="1" si="91"/>
        <v>1.0769647064374719E-2</v>
      </c>
    </row>
    <row r="2798" spans="2:7" x14ac:dyDescent="0.35">
      <c r="B2798" s="2">
        <v>41393</v>
      </c>
      <c r="C2798" s="4">
        <v>83.73</v>
      </c>
      <c r="D2798">
        <f t="shared" si="90"/>
        <v>0.13655490701778206</v>
      </c>
      <c r="E2798">
        <v>-2.0262216924911147E-3</v>
      </c>
      <c r="F2798">
        <v>2795</v>
      </c>
      <c r="G2798">
        <f t="shared" ca="1" si="91"/>
        <v>-1.6151309839537827E-2</v>
      </c>
    </row>
    <row r="2799" spans="2:7" x14ac:dyDescent="0.35">
      <c r="B2799" s="2">
        <v>39496</v>
      </c>
      <c r="C2799" s="4">
        <v>73.67</v>
      </c>
      <c r="D2799">
        <f t="shared" si="90"/>
        <v>0.50101874490627551</v>
      </c>
      <c r="E2799">
        <v>-2.0319696559196743E-3</v>
      </c>
      <c r="F2799">
        <v>2796</v>
      </c>
      <c r="G2799">
        <f t="shared" ca="1" si="91"/>
        <v>-1.2338858065246282E-2</v>
      </c>
    </row>
    <row r="2800" spans="2:7" x14ac:dyDescent="0.35">
      <c r="B2800" s="2">
        <v>38245</v>
      </c>
      <c r="C2800" s="4">
        <v>49.08</v>
      </c>
      <c r="D2800">
        <f t="shared" si="90"/>
        <v>-0.94545878849167098</v>
      </c>
      <c r="E2800">
        <v>-2.0333468889792705E-3</v>
      </c>
      <c r="F2800">
        <v>2797</v>
      </c>
      <c r="G2800">
        <f t="shared" ca="1" si="91"/>
        <v>-2.396111785541612E-2</v>
      </c>
    </row>
    <row r="2801" spans="2:7" x14ac:dyDescent="0.35">
      <c r="B2801" s="2">
        <v>43535</v>
      </c>
      <c r="C2801" s="4">
        <v>899.87</v>
      </c>
      <c r="D2801">
        <f t="shared" si="90"/>
        <v>29.670415814587596</v>
      </c>
      <c r="E2801">
        <v>-2.0405673664481982E-3</v>
      </c>
      <c r="F2801">
        <v>2798</v>
      </c>
      <c r="G2801">
        <f t="shared" ca="1" si="91"/>
        <v>-1.6495608353220958E-2</v>
      </c>
    </row>
    <row r="2802" spans="2:7" x14ac:dyDescent="0.35">
      <c r="B2802" s="2">
        <v>38023</v>
      </c>
      <c r="C2802" s="4">
        <v>29.34</v>
      </c>
      <c r="D2802">
        <f t="shared" si="90"/>
        <v>-0.9696329876420543</v>
      </c>
      <c r="E2802">
        <v>-2.0408163265305257E-3</v>
      </c>
      <c r="F2802">
        <v>2799</v>
      </c>
      <c r="G2802">
        <f t="shared" ca="1" si="91"/>
        <v>-2.9130708596930739E-2</v>
      </c>
    </row>
    <row r="2803" spans="2:7" x14ac:dyDescent="0.35">
      <c r="B2803" s="2">
        <v>43447</v>
      </c>
      <c r="C2803" s="4">
        <v>966.18</v>
      </c>
      <c r="D2803">
        <f t="shared" si="90"/>
        <v>12.278999450247387</v>
      </c>
      <c r="E2803">
        <v>-2.0451165096678769E-3</v>
      </c>
      <c r="F2803">
        <v>2800</v>
      </c>
      <c r="G2803">
        <f t="shared" ca="1" si="91"/>
        <v>2.4245930965769123E-2</v>
      </c>
    </row>
    <row r="2804" spans="2:7" x14ac:dyDescent="0.35">
      <c r="B2804" s="2">
        <v>38723</v>
      </c>
      <c r="C2804" s="4">
        <v>72.760000000000005</v>
      </c>
      <c r="D2804">
        <f t="shared" si="90"/>
        <v>-0.9798592138007014</v>
      </c>
      <c r="E2804">
        <v>-2.0573309559730468E-3</v>
      </c>
      <c r="F2804">
        <v>2801</v>
      </c>
      <c r="G2804">
        <f t="shared" ca="1" si="91"/>
        <v>4.07047379201614E-3</v>
      </c>
    </row>
    <row r="2805" spans="2:7" x14ac:dyDescent="0.35">
      <c r="B2805" s="2">
        <v>44335</v>
      </c>
      <c r="C2805" s="4">
        <v>3612.57</v>
      </c>
      <c r="D2805">
        <f t="shared" si="90"/>
        <v>6.3189691849510732</v>
      </c>
      <c r="E2805">
        <v>-2.0607564025713065E-3</v>
      </c>
      <c r="F2805">
        <v>2802</v>
      </c>
      <c r="G2805">
        <f t="shared" ca="1" si="91"/>
        <v>-2.2824362655600061E-2</v>
      </c>
    </row>
    <row r="2806" spans="2:7" x14ac:dyDescent="0.35">
      <c r="B2806" s="2">
        <v>42691</v>
      </c>
      <c r="C2806" s="4">
        <v>493.59</v>
      </c>
      <c r="D2806">
        <f t="shared" si="90"/>
        <v>6.8509623031652618</v>
      </c>
      <c r="E2806">
        <v>-2.0622308485473972E-3</v>
      </c>
      <c r="F2806">
        <v>2803</v>
      </c>
      <c r="G2806">
        <f t="shared" ca="1" si="91"/>
        <v>1.881042940193314E-2</v>
      </c>
    </row>
    <row r="2807" spans="2:7" x14ac:dyDescent="0.35">
      <c r="B2807" s="2">
        <v>38517</v>
      </c>
      <c r="C2807" s="4">
        <v>62.87</v>
      </c>
      <c r="D2807">
        <f t="shared" si="90"/>
        <v>1.5931177314003619E-3</v>
      </c>
      <c r="E2807">
        <v>-2.0634920634921006E-3</v>
      </c>
      <c r="F2807">
        <v>2804</v>
      </c>
      <c r="G2807">
        <f t="shared" ca="1" si="91"/>
        <v>-1.4040078506718345E-2</v>
      </c>
    </row>
    <row r="2808" spans="2:7" x14ac:dyDescent="0.35">
      <c r="B2808" s="2">
        <v>38525</v>
      </c>
      <c r="C2808" s="4">
        <v>62.77</v>
      </c>
      <c r="D2808">
        <f t="shared" si="90"/>
        <v>0.62616580310880821</v>
      </c>
      <c r="E2808">
        <v>-2.0667726550078758E-3</v>
      </c>
      <c r="F2808">
        <v>2805</v>
      </c>
      <c r="G2808">
        <f t="shared" ca="1" si="91"/>
        <v>3.2357353691214842E-3</v>
      </c>
    </row>
    <row r="2809" spans="2:7" x14ac:dyDescent="0.35">
      <c r="B2809" s="2">
        <v>37986</v>
      </c>
      <c r="C2809" s="4">
        <v>38.6</v>
      </c>
      <c r="D2809">
        <f t="shared" si="90"/>
        <v>-0.95895581902280824</v>
      </c>
      <c r="E2809">
        <v>-2.0682523267838704E-3</v>
      </c>
      <c r="F2809">
        <v>2806</v>
      </c>
      <c r="G2809">
        <f t="shared" ca="1" si="91"/>
        <v>3.6539378052748966E-3</v>
      </c>
    </row>
    <row r="2810" spans="2:7" x14ac:dyDescent="0.35">
      <c r="B2810" s="2">
        <v>43109</v>
      </c>
      <c r="C2810" s="4">
        <v>940.45</v>
      </c>
      <c r="D2810">
        <f t="shared" si="90"/>
        <v>8.8383722146668067</v>
      </c>
      <c r="E2810">
        <v>-2.079774195944406E-3</v>
      </c>
      <c r="F2810">
        <v>2807</v>
      </c>
      <c r="G2810">
        <f t="shared" ca="1" si="91"/>
        <v>2.5499872805682795E-2</v>
      </c>
    </row>
    <row r="2811" spans="2:7" x14ac:dyDescent="0.35">
      <c r="B2811" s="2">
        <v>40715</v>
      </c>
      <c r="C2811" s="4">
        <v>95.59</v>
      </c>
      <c r="D2811">
        <f t="shared" si="90"/>
        <v>0.11488220200606492</v>
      </c>
      <c r="E2811">
        <v>-2.0879006159306712E-3</v>
      </c>
      <c r="F2811">
        <v>2808</v>
      </c>
      <c r="G2811">
        <f t="shared" ca="1" si="91"/>
        <v>7.8215537180163809E-3</v>
      </c>
    </row>
    <row r="2812" spans="2:7" x14ac:dyDescent="0.35">
      <c r="B2812" s="2">
        <v>41340</v>
      </c>
      <c r="C2812" s="4">
        <v>85.74</v>
      </c>
      <c r="D2812">
        <f t="shared" si="90"/>
        <v>-9.7093513058129743E-2</v>
      </c>
      <c r="E2812">
        <v>-2.0949720670392358E-3</v>
      </c>
      <c r="F2812">
        <v>2809</v>
      </c>
      <c r="G2812">
        <f t="shared" ca="1" si="91"/>
        <v>-1.4532840226237729E-3</v>
      </c>
    </row>
    <row r="2813" spans="2:7" x14ac:dyDescent="0.35">
      <c r="B2813" s="2">
        <v>41149</v>
      </c>
      <c r="C2813" s="4">
        <v>94.96</v>
      </c>
      <c r="D2813">
        <f t="shared" si="90"/>
        <v>-0.89632848237387686</v>
      </c>
      <c r="E2813">
        <v>-2.1017234131988083E-3</v>
      </c>
      <c r="F2813">
        <v>2810</v>
      </c>
      <c r="G2813">
        <f t="shared" ca="1" si="91"/>
        <v>2.0709868720375162E-2</v>
      </c>
    </row>
    <row r="2814" spans="2:7" x14ac:dyDescent="0.35">
      <c r="B2814" s="2">
        <v>43385</v>
      </c>
      <c r="C2814" s="4">
        <v>915.97</v>
      </c>
      <c r="D2814">
        <f t="shared" si="90"/>
        <v>9.171793448084399</v>
      </c>
      <c r="E2814">
        <v>-2.1026255583396214E-3</v>
      </c>
      <c r="F2814">
        <v>2811</v>
      </c>
      <c r="G2814">
        <f t="shared" ca="1" si="91"/>
        <v>1.3925908971236266E-2</v>
      </c>
    </row>
    <row r="2815" spans="2:7" x14ac:dyDescent="0.35">
      <c r="B2815" s="2">
        <v>41323</v>
      </c>
      <c r="C2815" s="4">
        <v>90.05</v>
      </c>
      <c r="D2815">
        <f t="shared" si="90"/>
        <v>2.817295464179737</v>
      </c>
      <c r="E2815">
        <v>-2.1054964539006793E-3</v>
      </c>
      <c r="F2815">
        <v>2812</v>
      </c>
      <c r="G2815">
        <f t="shared" ca="1" si="91"/>
        <v>2.5215629527991137E-2</v>
      </c>
    </row>
    <row r="2816" spans="2:7" x14ac:dyDescent="0.35">
      <c r="B2816" s="2">
        <v>37783</v>
      </c>
      <c r="C2816" s="4">
        <v>23.59</v>
      </c>
      <c r="D2816">
        <f t="shared" si="90"/>
        <v>-0.90173699337693169</v>
      </c>
      <c r="E2816">
        <v>-2.115059221658222E-3</v>
      </c>
      <c r="F2816">
        <v>2813</v>
      </c>
      <c r="G2816">
        <f t="shared" ca="1" si="91"/>
        <v>2.3429730068932661E-2</v>
      </c>
    </row>
    <row r="2817" spans="2:7" x14ac:dyDescent="0.35">
      <c r="B2817" s="2">
        <v>41765</v>
      </c>
      <c r="C2817" s="4">
        <v>240.07</v>
      </c>
      <c r="D2817">
        <f t="shared" si="90"/>
        <v>9.303433476394849</v>
      </c>
      <c r="E2817">
        <v>-2.1198769640037307E-3</v>
      </c>
      <c r="F2817">
        <v>2814</v>
      </c>
      <c r="G2817">
        <f t="shared" ca="1" si="91"/>
        <v>-3.8572404350779521E-2</v>
      </c>
    </row>
    <row r="2818" spans="2:7" x14ac:dyDescent="0.35">
      <c r="B2818" s="2">
        <v>37678</v>
      </c>
      <c r="C2818" s="4">
        <v>23.3</v>
      </c>
      <c r="D2818">
        <f t="shared" si="90"/>
        <v>-0.97354347159613486</v>
      </c>
      <c r="E2818">
        <v>-2.1413276231263545E-3</v>
      </c>
      <c r="F2818">
        <v>2815</v>
      </c>
      <c r="G2818">
        <f t="shared" ca="1" si="91"/>
        <v>-1.6127428354771805E-2</v>
      </c>
    </row>
    <row r="2819" spans="2:7" x14ac:dyDescent="0.35">
      <c r="B2819" s="2">
        <v>42508</v>
      </c>
      <c r="C2819" s="4">
        <v>880.69</v>
      </c>
      <c r="D2819">
        <f t="shared" si="90"/>
        <v>0.69801025720124965</v>
      </c>
      <c r="E2819">
        <v>-2.1527549598341356E-3</v>
      </c>
      <c r="F2819">
        <v>2816</v>
      </c>
      <c r="G2819">
        <f t="shared" ca="1" si="91"/>
        <v>6.3810267411330539E-3</v>
      </c>
    </row>
    <row r="2820" spans="2:7" x14ac:dyDescent="0.35">
      <c r="B2820" s="2">
        <v>42138</v>
      </c>
      <c r="C2820" s="4">
        <v>518.66</v>
      </c>
      <c r="D2820">
        <f t="shared" ref="D2820:D2883" si="92">C2820/C2821-1</f>
        <v>-0.43098189797037856</v>
      </c>
      <c r="E2820">
        <v>-2.1547577821385833E-3</v>
      </c>
      <c r="F2820">
        <v>2817</v>
      </c>
      <c r="G2820">
        <f t="shared" ca="1" si="91"/>
        <v>-4.0742344847405382E-2</v>
      </c>
    </row>
    <row r="2821" spans="2:7" x14ac:dyDescent="0.35">
      <c r="B2821" s="2">
        <v>43482</v>
      </c>
      <c r="C2821" s="4">
        <v>911.5</v>
      </c>
      <c r="D2821">
        <f t="shared" si="92"/>
        <v>-2.0429656854842992E-2</v>
      </c>
      <c r="E2821">
        <v>-2.1675351403424026E-3</v>
      </c>
      <c r="F2821">
        <v>2818</v>
      </c>
      <c r="G2821">
        <f t="shared" ref="G2821:G2884" ca="1" si="93">_xlfn.NORM.INV(RAND(),K$6,K$7)</f>
        <v>-1.1904157169252893E-2</v>
      </c>
    </row>
    <row r="2822" spans="2:7" x14ac:dyDescent="0.35">
      <c r="B2822" s="2">
        <v>43460</v>
      </c>
      <c r="C2822" s="4">
        <v>930.51</v>
      </c>
      <c r="D2822">
        <f t="shared" si="92"/>
        <v>8.689784442361761</v>
      </c>
      <c r="E2822">
        <v>-2.1768503227743707E-3</v>
      </c>
      <c r="F2822">
        <v>2819</v>
      </c>
      <c r="G2822">
        <f t="shared" ca="1" si="93"/>
        <v>-1.0858591319831455E-2</v>
      </c>
    </row>
    <row r="2823" spans="2:7" x14ac:dyDescent="0.35">
      <c r="B2823" s="2">
        <v>40855</v>
      </c>
      <c r="C2823" s="4">
        <v>96.03</v>
      </c>
      <c r="D2823">
        <f t="shared" si="92"/>
        <v>-4.3240011955763658E-2</v>
      </c>
      <c r="E2823">
        <v>-2.1820448877805099E-3</v>
      </c>
      <c r="F2823">
        <v>2820</v>
      </c>
      <c r="G2823">
        <f t="shared" ca="1" si="93"/>
        <v>4.61810342212432E-2</v>
      </c>
    </row>
    <row r="2824" spans="2:7" x14ac:dyDescent="0.35">
      <c r="B2824" s="2">
        <v>41295</v>
      </c>
      <c r="C2824" s="4">
        <v>100.37</v>
      </c>
      <c r="D2824">
        <f t="shared" si="92"/>
        <v>-0.87947163014109875</v>
      </c>
      <c r="E2824">
        <v>-2.187096132816424E-3</v>
      </c>
      <c r="F2824">
        <v>2821</v>
      </c>
      <c r="G2824">
        <f t="shared" ca="1" si="93"/>
        <v>-1.4893681535456803E-2</v>
      </c>
    </row>
    <row r="2825" spans="2:7" x14ac:dyDescent="0.35">
      <c r="B2825" s="2">
        <v>42311</v>
      </c>
      <c r="C2825" s="4">
        <v>832.75</v>
      </c>
      <c r="D2825">
        <f t="shared" si="92"/>
        <v>5.2634905386103048E-2</v>
      </c>
      <c r="E2825">
        <v>-2.1927196913418268E-3</v>
      </c>
      <c r="F2825">
        <v>2822</v>
      </c>
      <c r="G2825">
        <f t="shared" ca="1" si="93"/>
        <v>-7.8418411872674138E-3</v>
      </c>
    </row>
    <row r="2826" spans="2:7" x14ac:dyDescent="0.35">
      <c r="B2826" s="2">
        <v>43662</v>
      </c>
      <c r="C2826" s="4">
        <v>791.11</v>
      </c>
      <c r="D2826">
        <f t="shared" si="92"/>
        <v>0.10237723649740826</v>
      </c>
      <c r="E2826">
        <v>-2.1946143658951867E-3</v>
      </c>
      <c r="F2826">
        <v>2823</v>
      </c>
      <c r="G2826">
        <f t="shared" ca="1" si="93"/>
        <v>4.060732473344341E-2</v>
      </c>
    </row>
    <row r="2827" spans="2:7" x14ac:dyDescent="0.35">
      <c r="B2827" s="2">
        <v>42874</v>
      </c>
      <c r="C2827" s="4">
        <v>717.64</v>
      </c>
      <c r="D2827">
        <f t="shared" si="92"/>
        <v>21.832962138084632</v>
      </c>
      <c r="E2827">
        <v>-2.1968243374768104E-3</v>
      </c>
      <c r="F2827">
        <v>2824</v>
      </c>
      <c r="G2827">
        <f t="shared" ca="1" si="93"/>
        <v>1.0780842761657933E-2</v>
      </c>
    </row>
    <row r="2828" spans="2:7" x14ac:dyDescent="0.35">
      <c r="B2828" s="2">
        <v>39836</v>
      </c>
      <c r="C2828" s="4">
        <v>31.43</v>
      </c>
      <c r="D2828">
        <f t="shared" si="92"/>
        <v>-0.99536550300438675</v>
      </c>
      <c r="E2828">
        <v>-2.2222222222222365E-3</v>
      </c>
      <c r="F2828">
        <v>2825</v>
      </c>
      <c r="G2828">
        <f t="shared" ca="1" si="93"/>
        <v>-4.5655450008983682E-2</v>
      </c>
    </row>
    <row r="2829" spans="2:7" x14ac:dyDescent="0.35">
      <c r="B2829" s="2">
        <v>44894</v>
      </c>
      <c r="C2829" s="4">
        <v>6781.75</v>
      </c>
      <c r="D2829">
        <f t="shared" si="92"/>
        <v>25.490176164993557</v>
      </c>
      <c r="E2829">
        <v>-2.2362971626979089E-3</v>
      </c>
      <c r="F2829">
        <v>2826</v>
      </c>
      <c r="G2829">
        <f t="shared" ca="1" si="93"/>
        <v>2.7715394342442336E-2</v>
      </c>
    </row>
    <row r="2830" spans="2:7" x14ac:dyDescent="0.35">
      <c r="B2830" s="2">
        <v>41751</v>
      </c>
      <c r="C2830" s="4">
        <v>256.01</v>
      </c>
      <c r="D2830">
        <f t="shared" si="92"/>
        <v>8.6717038156403472</v>
      </c>
      <c r="E2830">
        <v>-2.2604154487703143E-3</v>
      </c>
      <c r="F2830">
        <v>2827</v>
      </c>
      <c r="G2830">
        <f t="shared" ca="1" si="93"/>
        <v>-1.796355354759822E-2</v>
      </c>
    </row>
    <row r="2831" spans="2:7" x14ac:dyDescent="0.35">
      <c r="B2831" s="2">
        <v>37573</v>
      </c>
      <c r="C2831" s="4">
        <v>26.47</v>
      </c>
      <c r="D2831">
        <f t="shared" si="92"/>
        <v>-0.97100925469579979</v>
      </c>
      <c r="E2831">
        <v>-2.2615906520920825E-3</v>
      </c>
      <c r="F2831">
        <v>2828</v>
      </c>
      <c r="G2831">
        <f t="shared" ca="1" si="93"/>
        <v>-5.981652563646675E-2</v>
      </c>
    </row>
    <row r="2832" spans="2:7" x14ac:dyDescent="0.35">
      <c r="B2832" s="2">
        <v>43474</v>
      </c>
      <c r="C2832" s="4">
        <v>913.05</v>
      </c>
      <c r="D2832">
        <f t="shared" si="92"/>
        <v>-0.88799749756196289</v>
      </c>
      <c r="E2832">
        <v>-2.2619984264359294E-3</v>
      </c>
      <c r="F2832">
        <v>2829</v>
      </c>
      <c r="G2832">
        <f t="shared" ca="1" si="93"/>
        <v>-4.6289257603669545E-2</v>
      </c>
    </row>
    <row r="2833" spans="2:7" x14ac:dyDescent="0.35">
      <c r="B2833" s="2">
        <v>44743</v>
      </c>
      <c r="C2833" s="4">
        <v>8152.05</v>
      </c>
      <c r="D2833">
        <f t="shared" si="92"/>
        <v>96.58259516399329</v>
      </c>
      <c r="E2833">
        <v>-2.2642294582372324E-3</v>
      </c>
      <c r="F2833">
        <v>2830</v>
      </c>
      <c r="G2833">
        <f t="shared" ca="1" si="93"/>
        <v>6.9814123094903517E-4</v>
      </c>
    </row>
    <row r="2834" spans="2:7" x14ac:dyDescent="0.35">
      <c r="B2834" s="2">
        <v>41416</v>
      </c>
      <c r="C2834" s="4">
        <v>83.54</v>
      </c>
      <c r="D2834">
        <f t="shared" si="92"/>
        <v>0.58760927404028895</v>
      </c>
      <c r="E2834">
        <v>-2.2691986145945142E-3</v>
      </c>
      <c r="F2834">
        <v>2831</v>
      </c>
      <c r="G2834">
        <f t="shared" ca="1" si="93"/>
        <v>9.5047968652350861E-3</v>
      </c>
    </row>
    <row r="2835" spans="2:7" x14ac:dyDescent="0.35">
      <c r="B2835" s="2">
        <v>38922</v>
      </c>
      <c r="C2835" s="4">
        <v>52.62</v>
      </c>
      <c r="D2835">
        <f t="shared" si="92"/>
        <v>-0.939625499105053</v>
      </c>
      <c r="E2835">
        <v>-2.2753128555177415E-3</v>
      </c>
      <c r="F2835">
        <v>2832</v>
      </c>
      <c r="G2835">
        <f t="shared" ca="1" si="93"/>
        <v>4.9491924126072978E-2</v>
      </c>
    </row>
    <row r="2836" spans="2:7" x14ac:dyDescent="0.35">
      <c r="B2836" s="2">
        <v>42506</v>
      </c>
      <c r="C2836" s="4">
        <v>871.56</v>
      </c>
      <c r="D2836">
        <f t="shared" si="92"/>
        <v>13.245831971232429</v>
      </c>
      <c r="E2836">
        <v>-2.2780607864461011E-3</v>
      </c>
      <c r="F2836">
        <v>2833</v>
      </c>
      <c r="G2836">
        <f t="shared" ca="1" si="93"/>
        <v>-3.0230902293221579E-2</v>
      </c>
    </row>
    <row r="2837" spans="2:7" x14ac:dyDescent="0.35">
      <c r="B2837" s="2">
        <v>40128</v>
      </c>
      <c r="C2837" s="4">
        <v>61.18</v>
      </c>
      <c r="D2837">
        <f t="shared" si="92"/>
        <v>0.16733447815302438</v>
      </c>
      <c r="E2837">
        <v>-2.2831050228310223E-3</v>
      </c>
      <c r="F2837">
        <v>2834</v>
      </c>
      <c r="G2837">
        <f t="shared" ca="1" si="93"/>
        <v>-8.7532838125467371E-3</v>
      </c>
    </row>
    <row r="2838" spans="2:7" x14ac:dyDescent="0.35">
      <c r="B2838" s="2">
        <v>38302</v>
      </c>
      <c r="C2838" s="4">
        <v>52.41</v>
      </c>
      <c r="D2838">
        <f t="shared" si="92"/>
        <v>-0.58582266477003331</v>
      </c>
      <c r="E2838">
        <v>-2.2844089091947906E-3</v>
      </c>
      <c r="F2838">
        <v>2835</v>
      </c>
      <c r="G2838">
        <f t="shared" ca="1" si="93"/>
        <v>4.2703731302915826E-2</v>
      </c>
    </row>
    <row r="2839" spans="2:7" x14ac:dyDescent="0.35">
      <c r="B2839" s="2">
        <v>40291</v>
      </c>
      <c r="C2839" s="4">
        <v>126.54</v>
      </c>
      <c r="D2839">
        <f t="shared" si="92"/>
        <v>1.077832512315271</v>
      </c>
      <c r="E2839">
        <v>-2.2865252700464689E-3</v>
      </c>
      <c r="F2839">
        <v>2836</v>
      </c>
      <c r="G2839">
        <f t="shared" ca="1" si="93"/>
        <v>-1.2840497127890305E-2</v>
      </c>
    </row>
    <row r="2840" spans="2:7" x14ac:dyDescent="0.35">
      <c r="B2840" s="2">
        <v>38936</v>
      </c>
      <c r="C2840" s="4">
        <v>60.9</v>
      </c>
      <c r="D2840">
        <f t="shared" si="92"/>
        <v>-0.38953488372093026</v>
      </c>
      <c r="E2840">
        <v>-2.2935779816514179E-3</v>
      </c>
      <c r="F2840">
        <v>2837</v>
      </c>
      <c r="G2840">
        <f t="shared" ca="1" si="93"/>
        <v>1.8213232008808616E-2</v>
      </c>
    </row>
    <row r="2841" spans="2:7" x14ac:dyDescent="0.35">
      <c r="B2841" s="2">
        <v>39098</v>
      </c>
      <c r="C2841" s="4">
        <v>99.76</v>
      </c>
      <c r="D2841">
        <f t="shared" si="92"/>
        <v>-0.88585028720507131</v>
      </c>
      <c r="E2841">
        <v>-2.3002300230021699E-3</v>
      </c>
      <c r="F2841">
        <v>2838</v>
      </c>
      <c r="G2841">
        <f t="shared" ca="1" si="93"/>
        <v>-3.2741153962834953E-2</v>
      </c>
    </row>
    <row r="2842" spans="2:7" x14ac:dyDescent="0.35">
      <c r="B2842" s="2">
        <v>42492</v>
      </c>
      <c r="C2842" s="4">
        <v>873.94</v>
      </c>
      <c r="D2842">
        <f t="shared" si="92"/>
        <v>0.61047433015147634</v>
      </c>
      <c r="E2842">
        <v>-2.3060413717521655E-3</v>
      </c>
      <c r="F2842">
        <v>2839</v>
      </c>
      <c r="G2842">
        <f t="shared" ca="1" si="93"/>
        <v>3.74621432500023E-2</v>
      </c>
    </row>
    <row r="2843" spans="2:7" x14ac:dyDescent="0.35">
      <c r="B2843" s="2">
        <v>42080</v>
      </c>
      <c r="C2843" s="4">
        <v>542.66</v>
      </c>
      <c r="D2843">
        <f t="shared" si="92"/>
        <v>13.014979338842975</v>
      </c>
      <c r="E2843">
        <v>-2.3165171348727975E-3</v>
      </c>
      <c r="F2843">
        <v>2840</v>
      </c>
      <c r="G2843">
        <f t="shared" ca="1" si="93"/>
        <v>-3.7046122491407193E-2</v>
      </c>
    </row>
    <row r="2844" spans="2:7" x14ac:dyDescent="0.35">
      <c r="B2844" s="2">
        <v>37999</v>
      </c>
      <c r="C2844" s="4">
        <v>38.72</v>
      </c>
      <c r="D2844">
        <f t="shared" si="92"/>
        <v>-0.86133791720383901</v>
      </c>
      <c r="E2844">
        <v>-2.3189899510436263E-3</v>
      </c>
      <c r="F2844">
        <v>2841</v>
      </c>
      <c r="G2844">
        <f t="shared" ca="1" si="93"/>
        <v>-2.478049491025325E-3</v>
      </c>
    </row>
    <row r="2845" spans="2:7" x14ac:dyDescent="0.35">
      <c r="B2845" s="2">
        <v>41946</v>
      </c>
      <c r="C2845" s="4">
        <v>279.24</v>
      </c>
      <c r="D2845">
        <f t="shared" si="92"/>
        <v>3.3536014967259122</v>
      </c>
      <c r="E2845">
        <v>-2.3223409196468925E-3</v>
      </c>
      <c r="F2845">
        <v>2842</v>
      </c>
      <c r="G2845">
        <f t="shared" ca="1" si="93"/>
        <v>-3.2771898522364088E-3</v>
      </c>
    </row>
    <row r="2846" spans="2:7" x14ac:dyDescent="0.35">
      <c r="B2846" s="2">
        <v>38755</v>
      </c>
      <c r="C2846" s="4">
        <v>64.14</v>
      </c>
      <c r="D2846">
        <f t="shared" si="92"/>
        <v>-0.9891903370309324</v>
      </c>
      <c r="E2846">
        <v>-2.3331777881475668E-3</v>
      </c>
      <c r="F2846">
        <v>2843</v>
      </c>
      <c r="G2846">
        <f t="shared" ca="1" si="93"/>
        <v>-8.4424245259336304E-3</v>
      </c>
    </row>
    <row r="2847" spans="2:7" x14ac:dyDescent="0.35">
      <c r="B2847" s="2">
        <v>44566</v>
      </c>
      <c r="C2847" s="4">
        <v>5933.58</v>
      </c>
      <c r="D2847">
        <f t="shared" si="92"/>
        <v>7.2860813584884578</v>
      </c>
      <c r="E2847">
        <v>-2.3337693738166854E-3</v>
      </c>
      <c r="F2847">
        <v>2844</v>
      </c>
      <c r="G2847">
        <f t="shared" ca="1" si="93"/>
        <v>1.5342739885293648E-2</v>
      </c>
    </row>
    <row r="2848" spans="2:7" x14ac:dyDescent="0.35">
      <c r="B2848" s="2">
        <v>42635</v>
      </c>
      <c r="C2848" s="4">
        <v>716.09</v>
      </c>
      <c r="D2848">
        <f t="shared" si="92"/>
        <v>6.0693763434818138E-3</v>
      </c>
      <c r="E2848">
        <v>-2.3544818746690233E-3</v>
      </c>
      <c r="F2848">
        <v>2845</v>
      </c>
      <c r="G2848">
        <f t="shared" ca="1" si="93"/>
        <v>1.8388099988308714E-2</v>
      </c>
    </row>
    <row r="2849" spans="2:7" x14ac:dyDescent="0.35">
      <c r="B2849" s="2">
        <v>42865</v>
      </c>
      <c r="C2849" s="4">
        <v>711.77</v>
      </c>
      <c r="D2849">
        <f t="shared" si="92"/>
        <v>-0.88217386626054284</v>
      </c>
      <c r="E2849">
        <v>-2.3687382614302477E-3</v>
      </c>
      <c r="F2849">
        <v>2846</v>
      </c>
      <c r="G2849">
        <f t="shared" ca="1" si="93"/>
        <v>-1.6468663028944258E-2</v>
      </c>
    </row>
    <row r="2850" spans="2:7" x14ac:dyDescent="0.35">
      <c r="B2850" s="2">
        <v>45008</v>
      </c>
      <c r="C2850" s="4">
        <v>6040.85</v>
      </c>
      <c r="D2850">
        <f t="shared" si="92"/>
        <v>6.0155155794534707</v>
      </c>
      <c r="E2850">
        <v>-2.4028140172407397E-3</v>
      </c>
      <c r="F2850">
        <v>2847</v>
      </c>
      <c r="G2850">
        <f t="shared" ca="1" si="93"/>
        <v>1.085147781072315E-2</v>
      </c>
    </row>
    <row r="2851" spans="2:7" x14ac:dyDescent="0.35">
      <c r="B2851" s="2">
        <v>43997</v>
      </c>
      <c r="C2851" s="4">
        <v>861.07</v>
      </c>
      <c r="D2851">
        <f t="shared" si="92"/>
        <v>11.357491389207807</v>
      </c>
      <c r="E2851">
        <v>-2.4213355577180629E-3</v>
      </c>
      <c r="F2851">
        <v>2848</v>
      </c>
      <c r="G2851">
        <f t="shared" ca="1" si="93"/>
        <v>4.0610379045310244E-2</v>
      </c>
    </row>
    <row r="2852" spans="2:7" x14ac:dyDescent="0.35">
      <c r="B2852" s="2">
        <v>39646</v>
      </c>
      <c r="C2852" s="4">
        <v>69.680000000000007</v>
      </c>
      <c r="D2852">
        <f t="shared" si="92"/>
        <v>7.2825250192455782E-2</v>
      </c>
      <c r="E2852">
        <v>-2.4337866857550017E-3</v>
      </c>
      <c r="F2852">
        <v>2849</v>
      </c>
      <c r="G2852">
        <f t="shared" ca="1" si="93"/>
        <v>9.9140078052240704E-3</v>
      </c>
    </row>
    <row r="2853" spans="2:7" x14ac:dyDescent="0.35">
      <c r="B2853" s="2">
        <v>39581</v>
      </c>
      <c r="C2853" s="4">
        <v>64.95</v>
      </c>
      <c r="D2853">
        <f t="shared" si="92"/>
        <v>-0.90924968562246755</v>
      </c>
      <c r="E2853">
        <v>-2.4573798187681462E-3</v>
      </c>
      <c r="F2853">
        <v>2850</v>
      </c>
      <c r="G2853">
        <f t="shared" ca="1" si="93"/>
        <v>-1.7018422030845158E-2</v>
      </c>
    </row>
    <row r="2854" spans="2:7" x14ac:dyDescent="0.35">
      <c r="B2854" s="2">
        <v>42633</v>
      </c>
      <c r="C2854" s="4">
        <v>715.7</v>
      </c>
      <c r="D2854">
        <f t="shared" si="92"/>
        <v>7.9473684210526319</v>
      </c>
      <c r="E2854">
        <v>-2.4809053910910261E-3</v>
      </c>
      <c r="F2854">
        <v>2851</v>
      </c>
      <c r="G2854">
        <f t="shared" ca="1" si="93"/>
        <v>2.97702869390758E-2</v>
      </c>
    </row>
    <row r="2855" spans="2:7" x14ac:dyDescent="0.35">
      <c r="B2855" s="2">
        <v>39016</v>
      </c>
      <c r="C2855" s="4">
        <v>79.989999999999995</v>
      </c>
      <c r="D2855">
        <f t="shared" si="92"/>
        <v>-0.9073460593986008</v>
      </c>
      <c r="E2855">
        <v>-2.4940765681507049E-3</v>
      </c>
      <c r="F2855">
        <v>2852</v>
      </c>
      <c r="G2855">
        <f t="shared" ca="1" si="93"/>
        <v>2.072987952167666E-2</v>
      </c>
    </row>
    <row r="2856" spans="2:7" x14ac:dyDescent="0.35">
      <c r="B2856" s="2">
        <v>42275</v>
      </c>
      <c r="C2856" s="4">
        <v>863.32</v>
      </c>
      <c r="D2856">
        <f t="shared" si="92"/>
        <v>7.0338730690489495</v>
      </c>
      <c r="E2856">
        <v>-2.495724915653752E-3</v>
      </c>
      <c r="F2856">
        <v>2853</v>
      </c>
      <c r="G2856">
        <f t="shared" ca="1" si="93"/>
        <v>-1.6365593243211674E-2</v>
      </c>
    </row>
    <row r="2857" spans="2:7" x14ac:dyDescent="0.35">
      <c r="B2857" s="2">
        <v>39346</v>
      </c>
      <c r="C2857" s="4">
        <v>107.46</v>
      </c>
      <c r="D2857">
        <f t="shared" si="92"/>
        <v>-0.859997915472406</v>
      </c>
      <c r="E2857">
        <v>-2.5062656641604564E-3</v>
      </c>
      <c r="F2857">
        <v>2854</v>
      </c>
      <c r="G2857">
        <f t="shared" ca="1" si="93"/>
        <v>-4.5727717462712963E-3</v>
      </c>
    </row>
    <row r="2858" spans="2:7" x14ac:dyDescent="0.35">
      <c r="B2858" s="2">
        <v>43787</v>
      </c>
      <c r="C2858" s="4">
        <v>767.56</v>
      </c>
      <c r="D2858">
        <f t="shared" si="92"/>
        <v>6.1862185188652745</v>
      </c>
      <c r="E2858">
        <v>-2.521117608836998E-3</v>
      </c>
      <c r="F2858">
        <v>2855</v>
      </c>
      <c r="G2858">
        <f t="shared" ca="1" si="93"/>
        <v>-3.7278792785471145E-2</v>
      </c>
    </row>
    <row r="2859" spans="2:7" x14ac:dyDescent="0.35">
      <c r="B2859" s="2">
        <v>39322</v>
      </c>
      <c r="C2859" s="4">
        <v>106.81</v>
      </c>
      <c r="D2859">
        <f t="shared" si="92"/>
        <v>0.69809220985691578</v>
      </c>
      <c r="E2859">
        <v>-2.521479267837079E-3</v>
      </c>
      <c r="F2859">
        <v>2856</v>
      </c>
      <c r="G2859">
        <f t="shared" ca="1" si="93"/>
        <v>1.0212302331337264E-2</v>
      </c>
    </row>
    <row r="2860" spans="2:7" x14ac:dyDescent="0.35">
      <c r="B2860" s="2">
        <v>38524</v>
      </c>
      <c r="C2860" s="4">
        <v>62.9</v>
      </c>
      <c r="D2860">
        <f t="shared" si="92"/>
        <v>1.0063795853269535</v>
      </c>
      <c r="E2860">
        <v>-2.5372660957818649E-3</v>
      </c>
      <c r="F2860">
        <v>2857</v>
      </c>
      <c r="G2860">
        <f t="shared" ca="1" si="93"/>
        <v>-2.6469342100428176E-2</v>
      </c>
    </row>
    <row r="2861" spans="2:7" x14ac:dyDescent="0.35">
      <c r="B2861" s="2">
        <v>39840</v>
      </c>
      <c r="C2861" s="4">
        <v>31.35</v>
      </c>
      <c r="D2861">
        <f t="shared" si="92"/>
        <v>-0.72354497354497349</v>
      </c>
      <c r="E2861">
        <v>-2.5453388482341577E-3</v>
      </c>
      <c r="F2861">
        <v>2858</v>
      </c>
      <c r="G2861">
        <f t="shared" ca="1" si="93"/>
        <v>2.7274334578653425E-2</v>
      </c>
    </row>
    <row r="2862" spans="2:7" x14ac:dyDescent="0.35">
      <c r="B2862" s="2">
        <v>40480</v>
      </c>
      <c r="C2862" s="4">
        <v>113.4</v>
      </c>
      <c r="D2862">
        <f t="shared" si="92"/>
        <v>-0.9827427467033929</v>
      </c>
      <c r="E2862">
        <v>-2.550796024276436E-3</v>
      </c>
      <c r="F2862">
        <v>2859</v>
      </c>
      <c r="G2862">
        <f t="shared" ca="1" si="93"/>
        <v>-1.4780541797539962E-2</v>
      </c>
    </row>
    <row r="2863" spans="2:7" x14ac:dyDescent="0.35">
      <c r="B2863" s="2">
        <v>44960</v>
      </c>
      <c r="C2863" s="4">
        <v>6571.15</v>
      </c>
      <c r="D2863">
        <f t="shared" si="92"/>
        <v>22.975299182720374</v>
      </c>
      <c r="E2863">
        <v>-2.59552992069223E-3</v>
      </c>
      <c r="F2863">
        <v>2860</v>
      </c>
      <c r="G2863">
        <f t="shared" ca="1" si="93"/>
        <v>-2.8108942753799247E-2</v>
      </c>
    </row>
    <row r="2864" spans="2:7" x14ac:dyDescent="0.35">
      <c r="B2864" s="2">
        <v>41964</v>
      </c>
      <c r="C2864" s="4">
        <v>274.08</v>
      </c>
      <c r="D2864">
        <f t="shared" si="92"/>
        <v>4.5448108436172365</v>
      </c>
      <c r="E2864">
        <v>-2.6200873362446364E-3</v>
      </c>
      <c r="F2864">
        <v>2861</v>
      </c>
      <c r="G2864">
        <f t="shared" ca="1" si="93"/>
        <v>3.3361607405649536E-2</v>
      </c>
    </row>
    <row r="2865" spans="2:7" x14ac:dyDescent="0.35">
      <c r="B2865" s="2">
        <v>40003</v>
      </c>
      <c r="C2865" s="4">
        <v>49.43</v>
      </c>
      <c r="D2865">
        <f t="shared" si="92"/>
        <v>0.4448991522946506</v>
      </c>
      <c r="E2865">
        <v>-2.6230831315577907E-3</v>
      </c>
      <c r="F2865">
        <v>2862</v>
      </c>
      <c r="G2865">
        <f t="shared" ca="1" si="93"/>
        <v>-4.1227876619062478E-2</v>
      </c>
    </row>
    <row r="2866" spans="2:7" x14ac:dyDescent="0.35">
      <c r="B2866" s="2">
        <v>39801</v>
      </c>
      <c r="C2866" s="4">
        <v>34.21</v>
      </c>
      <c r="D2866">
        <f t="shared" si="92"/>
        <v>-0.49919484702093397</v>
      </c>
      <c r="E2866">
        <v>-2.6239067055392473E-3</v>
      </c>
      <c r="F2866">
        <v>2863</v>
      </c>
      <c r="G2866">
        <f t="shared" ca="1" si="93"/>
        <v>-5.5384036538429431E-2</v>
      </c>
    </row>
    <row r="2867" spans="2:7" x14ac:dyDescent="0.35">
      <c r="B2867" s="2">
        <v>38643</v>
      </c>
      <c r="C2867" s="4">
        <v>68.31</v>
      </c>
      <c r="D2867">
        <f t="shared" si="92"/>
        <v>-0.92173554381824219</v>
      </c>
      <c r="E2867">
        <v>-2.6281208935610145E-3</v>
      </c>
      <c r="F2867">
        <v>2864</v>
      </c>
      <c r="G2867">
        <f t="shared" ca="1" si="93"/>
        <v>-1.2405393084391727E-2</v>
      </c>
    </row>
    <row r="2868" spans="2:7" x14ac:dyDescent="0.35">
      <c r="B2868" s="2">
        <v>43580</v>
      </c>
      <c r="C2868" s="4">
        <v>872.81</v>
      </c>
      <c r="D2868">
        <f t="shared" si="92"/>
        <v>8.2439101885193811</v>
      </c>
      <c r="E2868">
        <v>-2.6396379925039959E-3</v>
      </c>
      <c r="F2868">
        <v>2865</v>
      </c>
      <c r="G2868">
        <f t="shared" ca="1" si="93"/>
        <v>2.2840557187014259E-2</v>
      </c>
    </row>
    <row r="2869" spans="2:7" x14ac:dyDescent="0.35">
      <c r="B2869" s="2">
        <v>39090</v>
      </c>
      <c r="C2869" s="4">
        <v>94.42</v>
      </c>
      <c r="D2869">
        <f t="shared" si="92"/>
        <v>0.14559572919194363</v>
      </c>
      <c r="E2869">
        <v>-2.6407520861941869E-3</v>
      </c>
      <c r="F2869">
        <v>2866</v>
      </c>
      <c r="G2869">
        <f t="shared" ca="1" si="93"/>
        <v>-1.2396983761505664E-2</v>
      </c>
    </row>
    <row r="2870" spans="2:7" x14ac:dyDescent="0.35">
      <c r="B2870" s="2">
        <v>41486</v>
      </c>
      <c r="C2870" s="4">
        <v>82.42</v>
      </c>
      <c r="D2870">
        <f t="shared" si="92"/>
        <v>0.58286921451891693</v>
      </c>
      <c r="E2870">
        <v>-2.6621490803484527E-3</v>
      </c>
      <c r="F2870">
        <v>2867</v>
      </c>
      <c r="G2870">
        <f t="shared" ca="1" si="93"/>
        <v>-4.1486734081389566E-2</v>
      </c>
    </row>
    <row r="2871" spans="2:7" x14ac:dyDescent="0.35">
      <c r="B2871" s="2">
        <v>39714</v>
      </c>
      <c r="C2871" s="4">
        <v>52.07</v>
      </c>
      <c r="D2871">
        <f t="shared" si="92"/>
        <v>-0.22202300911399975</v>
      </c>
      <c r="E2871">
        <v>-2.6814786439379734E-3</v>
      </c>
      <c r="F2871">
        <v>2868</v>
      </c>
      <c r="G2871">
        <f t="shared" ca="1" si="93"/>
        <v>2.1351197022327364E-2</v>
      </c>
    </row>
    <row r="2872" spans="2:7" x14ac:dyDescent="0.35">
      <c r="B2872" s="2">
        <v>39590</v>
      </c>
      <c r="C2872" s="4">
        <v>66.930000000000007</v>
      </c>
      <c r="D2872">
        <f t="shared" si="92"/>
        <v>-0.92133286318758811</v>
      </c>
      <c r="E2872">
        <v>-2.6821636119802594E-3</v>
      </c>
      <c r="F2872">
        <v>2869</v>
      </c>
      <c r="G2872">
        <f t="shared" ca="1" si="93"/>
        <v>1.6340106323915488E-2</v>
      </c>
    </row>
    <row r="2873" spans="2:7" x14ac:dyDescent="0.35">
      <c r="B2873" s="2">
        <v>42306</v>
      </c>
      <c r="C2873" s="4">
        <v>850.8</v>
      </c>
      <c r="D2873">
        <f t="shared" si="92"/>
        <v>4.1587600847177386E-2</v>
      </c>
      <c r="E2873">
        <v>-2.6843592118065418E-3</v>
      </c>
      <c r="F2873">
        <v>2870</v>
      </c>
      <c r="G2873">
        <f t="shared" ca="1" si="93"/>
        <v>-7.0277408677550286E-3</v>
      </c>
    </row>
    <row r="2874" spans="2:7" x14ac:dyDescent="0.35">
      <c r="B2874" s="2">
        <v>42543</v>
      </c>
      <c r="C2874" s="4">
        <v>816.83</v>
      </c>
      <c r="D2874">
        <f t="shared" si="92"/>
        <v>10.617550846252312</v>
      </c>
      <c r="E2874">
        <v>-2.6861042941038749E-3</v>
      </c>
      <c r="F2874">
        <v>2871</v>
      </c>
      <c r="G2874">
        <f t="shared" ca="1" si="93"/>
        <v>-9.2572995599183028E-2</v>
      </c>
    </row>
    <row r="2875" spans="2:7" x14ac:dyDescent="0.35">
      <c r="B2875" s="2">
        <v>38737</v>
      </c>
      <c r="C2875" s="4">
        <v>70.31</v>
      </c>
      <c r="D2875">
        <f t="shared" si="92"/>
        <v>0.11816157760814239</v>
      </c>
      <c r="E2875">
        <v>-2.6950354609929228E-3</v>
      </c>
      <c r="F2875">
        <v>2872</v>
      </c>
      <c r="G2875">
        <f t="shared" ca="1" si="93"/>
        <v>2.6974751913671859E-2</v>
      </c>
    </row>
    <row r="2876" spans="2:7" x14ac:dyDescent="0.35">
      <c r="B2876" s="2">
        <v>38656</v>
      </c>
      <c r="C2876" s="4">
        <v>62.88</v>
      </c>
      <c r="D2876">
        <f t="shared" si="92"/>
        <v>-0.41222658440830062</v>
      </c>
      <c r="E2876">
        <v>-2.6962727993654623E-3</v>
      </c>
      <c r="F2876">
        <v>2873</v>
      </c>
      <c r="G2876">
        <f t="shared" ca="1" si="93"/>
        <v>9.7068263435152666E-4</v>
      </c>
    </row>
    <row r="2877" spans="2:7" x14ac:dyDescent="0.35">
      <c r="B2877" s="2">
        <v>40311</v>
      </c>
      <c r="C2877" s="4">
        <v>106.98</v>
      </c>
      <c r="D2877">
        <f t="shared" si="92"/>
        <v>-0.87475854318125945</v>
      </c>
      <c r="E2877">
        <v>-2.7034585625057561E-3</v>
      </c>
      <c r="F2877">
        <v>2874</v>
      </c>
      <c r="G2877">
        <f t="shared" ca="1" si="93"/>
        <v>-3.1663848255867488E-2</v>
      </c>
    </row>
    <row r="2878" spans="2:7" x14ac:dyDescent="0.35">
      <c r="B2878" s="2">
        <v>42298</v>
      </c>
      <c r="C2878" s="4">
        <v>854.19</v>
      </c>
      <c r="D2878">
        <f t="shared" si="92"/>
        <v>28.004753820033958</v>
      </c>
      <c r="E2878">
        <v>-2.708666565480744E-3</v>
      </c>
      <c r="F2878">
        <v>2875</v>
      </c>
      <c r="G2878">
        <f t="shared" ca="1" si="93"/>
        <v>-7.969995426120285E-4</v>
      </c>
    </row>
    <row r="2879" spans="2:7" x14ac:dyDescent="0.35">
      <c r="B2879" s="2">
        <v>37910</v>
      </c>
      <c r="C2879" s="4">
        <v>29.45</v>
      </c>
      <c r="D2879">
        <f t="shared" si="92"/>
        <v>-0.98913035454605847</v>
      </c>
      <c r="E2879">
        <v>-2.7091093802913413E-3</v>
      </c>
      <c r="F2879">
        <v>2876</v>
      </c>
      <c r="G2879">
        <f t="shared" ca="1" si="93"/>
        <v>-2.1497905272464691E-3</v>
      </c>
    </row>
    <row r="2880" spans="2:7" x14ac:dyDescent="0.35">
      <c r="B2880" s="2">
        <v>44246</v>
      </c>
      <c r="C2880" s="4">
        <v>2709.38</v>
      </c>
      <c r="D2880">
        <f t="shared" si="92"/>
        <v>32.45739688812052</v>
      </c>
      <c r="E2880">
        <v>-2.7091293241162662E-3</v>
      </c>
      <c r="F2880">
        <v>2877</v>
      </c>
      <c r="G2880">
        <f t="shared" ca="1" si="93"/>
        <v>2.3696224020255292E-2</v>
      </c>
    </row>
    <row r="2881" spans="2:7" x14ac:dyDescent="0.35">
      <c r="B2881" s="2">
        <v>41425</v>
      </c>
      <c r="C2881" s="4">
        <v>80.98</v>
      </c>
      <c r="D2881">
        <f t="shared" si="92"/>
        <v>0.15801515801515786</v>
      </c>
      <c r="E2881">
        <v>-2.7093596059113434E-3</v>
      </c>
      <c r="F2881">
        <v>2878</v>
      </c>
      <c r="G2881">
        <f t="shared" ca="1" si="93"/>
        <v>-3.0942792121418327E-2</v>
      </c>
    </row>
    <row r="2882" spans="2:7" x14ac:dyDescent="0.35">
      <c r="B2882" s="2">
        <v>40065</v>
      </c>
      <c r="C2882" s="4">
        <v>69.930000000000007</v>
      </c>
      <c r="D2882">
        <f t="shared" si="92"/>
        <v>-0.26828502668201304</v>
      </c>
      <c r="E2882">
        <v>-2.7096406160866948E-3</v>
      </c>
      <c r="F2882">
        <v>2879</v>
      </c>
      <c r="G2882">
        <f t="shared" ca="1" si="93"/>
        <v>-9.0391997949434023E-3</v>
      </c>
    </row>
    <row r="2883" spans="2:7" x14ac:dyDescent="0.35">
      <c r="B2883" s="2">
        <v>41303</v>
      </c>
      <c r="C2883" s="4">
        <v>95.57</v>
      </c>
      <c r="D2883">
        <f t="shared" si="92"/>
        <v>-6.9516113328789819E-2</v>
      </c>
      <c r="E2883">
        <v>-2.713137848272984E-3</v>
      </c>
      <c r="F2883">
        <v>2880</v>
      </c>
      <c r="G2883">
        <f t="shared" ca="1" si="93"/>
        <v>1.7289503014700201E-2</v>
      </c>
    </row>
    <row r="2884" spans="2:7" x14ac:dyDescent="0.35">
      <c r="B2884" s="2">
        <v>41249</v>
      </c>
      <c r="C2884" s="4">
        <v>102.71</v>
      </c>
      <c r="D2884">
        <f t="shared" ref="D2884:D2947" si="94">C2884/C2885-1</f>
        <v>7.7641380757528022E-2</v>
      </c>
      <c r="E2884">
        <v>-2.718710554422743E-3</v>
      </c>
      <c r="F2884">
        <v>2881</v>
      </c>
      <c r="G2884">
        <f t="shared" ca="1" si="93"/>
        <v>-2.1616767549322385E-2</v>
      </c>
    </row>
    <row r="2885" spans="2:7" x14ac:dyDescent="0.35">
      <c r="B2885" s="2">
        <v>41304</v>
      </c>
      <c r="C2885" s="4">
        <v>95.31</v>
      </c>
      <c r="D2885">
        <f t="shared" si="94"/>
        <v>2.7186890362856029</v>
      </c>
      <c r="E2885">
        <v>-2.7205189913152017E-3</v>
      </c>
      <c r="F2885">
        <v>2882</v>
      </c>
      <c r="G2885">
        <f t="shared" ref="G2885:G2948" ca="1" si="95">_xlfn.NORM.INV(RAND(),K$6,K$7)</f>
        <v>1.9935715836679932E-3</v>
      </c>
    </row>
    <row r="2886" spans="2:7" x14ac:dyDescent="0.35">
      <c r="B2886" s="2">
        <v>37851</v>
      </c>
      <c r="C2886" s="4">
        <v>25.63</v>
      </c>
      <c r="D2886">
        <f t="shared" si="94"/>
        <v>-0.97365743357829282</v>
      </c>
      <c r="E2886">
        <v>-2.7237354085603016E-3</v>
      </c>
      <c r="F2886">
        <v>2883</v>
      </c>
      <c r="G2886">
        <f t="shared" ca="1" si="95"/>
        <v>1.3238063142257062E-2</v>
      </c>
    </row>
    <row r="2887" spans="2:7" x14ac:dyDescent="0.35">
      <c r="B2887" s="2">
        <v>43164</v>
      </c>
      <c r="C2887" s="4">
        <v>972.95</v>
      </c>
      <c r="D2887">
        <f t="shared" si="94"/>
        <v>-0.74166268387233814</v>
      </c>
      <c r="E2887">
        <v>-2.7264993183750974E-3</v>
      </c>
      <c r="F2887">
        <v>2884</v>
      </c>
      <c r="G2887">
        <f t="shared" ca="1" si="95"/>
        <v>-2.2919274096843991E-2</v>
      </c>
    </row>
    <row r="2888" spans="2:7" x14ac:dyDescent="0.35">
      <c r="B2888" s="2">
        <v>44361</v>
      </c>
      <c r="C2888" s="4">
        <v>3766.2</v>
      </c>
      <c r="D2888">
        <f t="shared" si="94"/>
        <v>42.066895368782156</v>
      </c>
      <c r="E2888">
        <v>-2.7353152232341138E-3</v>
      </c>
      <c r="F2888">
        <v>2885</v>
      </c>
      <c r="G2888">
        <f t="shared" ca="1" si="95"/>
        <v>-5.0428285301832319E-2</v>
      </c>
    </row>
    <row r="2889" spans="2:7" x14ac:dyDescent="0.35">
      <c r="B2889" s="2">
        <v>41078</v>
      </c>
      <c r="C2889" s="4">
        <v>87.45</v>
      </c>
      <c r="D2889">
        <f t="shared" si="94"/>
        <v>-0.87429746007560838</v>
      </c>
      <c r="E2889">
        <v>-2.7369141293190902E-3</v>
      </c>
      <c r="F2889">
        <v>2886</v>
      </c>
      <c r="G2889">
        <f t="shared" ca="1" si="95"/>
        <v>-2.5053356549062086E-2</v>
      </c>
    </row>
    <row r="2890" spans="2:7" x14ac:dyDescent="0.35">
      <c r="B2890" s="2">
        <v>42794</v>
      </c>
      <c r="C2890" s="4">
        <v>695.69</v>
      </c>
      <c r="D2890">
        <f t="shared" si="94"/>
        <v>23.063991698374267</v>
      </c>
      <c r="E2890">
        <v>-2.7522541247975152E-3</v>
      </c>
      <c r="F2890">
        <v>2887</v>
      </c>
      <c r="G2890">
        <f t="shared" ca="1" si="95"/>
        <v>4.9875383244597313E-3</v>
      </c>
    </row>
    <row r="2891" spans="2:7" x14ac:dyDescent="0.35">
      <c r="B2891" s="2">
        <v>38128</v>
      </c>
      <c r="C2891" s="4">
        <v>28.91</v>
      </c>
      <c r="D2891">
        <f t="shared" si="94"/>
        <v>-0.96759804086390278</v>
      </c>
      <c r="E2891">
        <v>-2.7595722662986377E-3</v>
      </c>
      <c r="F2891">
        <v>2888</v>
      </c>
      <c r="G2891">
        <f t="shared" ca="1" si="95"/>
        <v>-1.0513136262393015E-2</v>
      </c>
    </row>
    <row r="2892" spans="2:7" x14ac:dyDescent="0.35">
      <c r="B2892" s="2">
        <v>42451</v>
      </c>
      <c r="C2892" s="4">
        <v>892.23</v>
      </c>
      <c r="D2892">
        <f t="shared" si="94"/>
        <v>12.004372540445999</v>
      </c>
      <c r="E2892">
        <v>-2.7607019112552145E-3</v>
      </c>
      <c r="F2892">
        <v>2889</v>
      </c>
      <c r="G2892">
        <f t="shared" ca="1" si="95"/>
        <v>-3.2276225097525486E-2</v>
      </c>
    </row>
    <row r="2893" spans="2:7" x14ac:dyDescent="0.35">
      <c r="B2893" s="2">
        <v>39575</v>
      </c>
      <c r="C2893" s="4">
        <v>68.61</v>
      </c>
      <c r="D2893">
        <f t="shared" si="94"/>
        <v>1.0213014298219303E-3</v>
      </c>
      <c r="E2893">
        <v>-2.7616279069767602E-3</v>
      </c>
      <c r="F2893">
        <v>2890</v>
      </c>
      <c r="G2893">
        <f t="shared" ca="1" si="95"/>
        <v>-3.143108936315659E-2</v>
      </c>
    </row>
    <row r="2894" spans="2:7" x14ac:dyDescent="0.35">
      <c r="B2894" s="2">
        <v>38638</v>
      </c>
      <c r="C2894" s="4">
        <v>68.540000000000006</v>
      </c>
      <c r="D2894">
        <f t="shared" si="94"/>
        <v>-0.93130474873213465</v>
      </c>
      <c r="E2894">
        <v>-2.764440564527848E-3</v>
      </c>
      <c r="F2894">
        <v>2891</v>
      </c>
      <c r="G2894">
        <f t="shared" ca="1" si="95"/>
        <v>4.8470504970251689E-2</v>
      </c>
    </row>
    <row r="2895" spans="2:7" x14ac:dyDescent="0.35">
      <c r="B2895" s="2">
        <v>43866</v>
      </c>
      <c r="C2895" s="4">
        <v>997.74</v>
      </c>
      <c r="D2895">
        <f t="shared" si="94"/>
        <v>1.0083737595362225</v>
      </c>
      <c r="E2895">
        <v>-2.7685880201097079E-3</v>
      </c>
      <c r="F2895">
        <v>2892</v>
      </c>
      <c r="G2895">
        <f t="shared" ca="1" si="95"/>
        <v>2.4169913112670246E-2</v>
      </c>
    </row>
    <row r="2896" spans="2:7" x14ac:dyDescent="0.35">
      <c r="B2896" s="2">
        <v>42087</v>
      </c>
      <c r="C2896" s="4">
        <v>496.79</v>
      </c>
      <c r="D2896">
        <f t="shared" si="94"/>
        <v>-0.43367684275324314</v>
      </c>
      <c r="E2896">
        <v>-2.7701387076700668E-3</v>
      </c>
      <c r="F2896">
        <v>2893</v>
      </c>
      <c r="G2896">
        <f t="shared" ca="1" si="95"/>
        <v>7.4869028504248184E-3</v>
      </c>
    </row>
    <row r="2897" spans="2:7" x14ac:dyDescent="0.35">
      <c r="B2897" s="2">
        <v>42446</v>
      </c>
      <c r="C2897" s="4">
        <v>877.22</v>
      </c>
      <c r="D2897">
        <f t="shared" si="94"/>
        <v>7.6924965625613906E-2</v>
      </c>
      <c r="E2897">
        <v>-2.7737989677829589E-3</v>
      </c>
      <c r="F2897">
        <v>2894</v>
      </c>
      <c r="G2897">
        <f t="shared" ca="1" si="95"/>
        <v>3.5830970322324025E-2</v>
      </c>
    </row>
    <row r="2898" spans="2:7" x14ac:dyDescent="0.35">
      <c r="B2898" s="2">
        <v>42544</v>
      </c>
      <c r="C2898" s="4">
        <v>814.56</v>
      </c>
      <c r="D2898">
        <f t="shared" si="94"/>
        <v>7.421836228287841</v>
      </c>
      <c r="E2898">
        <v>-2.7790360295288918E-3</v>
      </c>
      <c r="F2898">
        <v>2895</v>
      </c>
      <c r="G2898">
        <f t="shared" ca="1" si="95"/>
        <v>-1.1485519052211072E-2</v>
      </c>
    </row>
    <row r="2899" spans="2:7" x14ac:dyDescent="0.35">
      <c r="B2899" s="2">
        <v>40759</v>
      </c>
      <c r="C2899" s="4">
        <v>96.72</v>
      </c>
      <c r="D2899">
        <f t="shared" si="94"/>
        <v>2.0130841121495324</v>
      </c>
      <c r="E2899">
        <v>-2.7837921435198698E-3</v>
      </c>
      <c r="F2899">
        <v>2896</v>
      </c>
      <c r="G2899">
        <f t="shared" ca="1" si="95"/>
        <v>-4.4949043779981324E-2</v>
      </c>
    </row>
    <row r="2900" spans="2:7" x14ac:dyDescent="0.35">
      <c r="B2900" s="2">
        <v>39847</v>
      </c>
      <c r="C2900" s="4">
        <v>32.1</v>
      </c>
      <c r="D2900">
        <f t="shared" si="94"/>
        <v>0.1278988053408292</v>
      </c>
      <c r="E2900">
        <v>-2.7958993476233651E-3</v>
      </c>
      <c r="F2900">
        <v>2897</v>
      </c>
      <c r="G2900">
        <f t="shared" ca="1" si="95"/>
        <v>-1.0457787889607476E-2</v>
      </c>
    </row>
    <row r="2901" spans="2:7" x14ac:dyDescent="0.35">
      <c r="B2901" s="2">
        <v>38054</v>
      </c>
      <c r="C2901" s="4">
        <v>28.46</v>
      </c>
      <c r="D2901">
        <f t="shared" si="94"/>
        <v>-0.70329441201000842</v>
      </c>
      <c r="E2901">
        <v>-2.803083391730854E-3</v>
      </c>
      <c r="F2901">
        <v>2898</v>
      </c>
      <c r="G2901">
        <f t="shared" ca="1" si="95"/>
        <v>1.507263637917663E-2</v>
      </c>
    </row>
    <row r="2902" spans="2:7" x14ac:dyDescent="0.35">
      <c r="B2902" s="2">
        <v>39078</v>
      </c>
      <c r="C2902" s="4">
        <v>95.92</v>
      </c>
      <c r="D2902">
        <f t="shared" si="94"/>
        <v>2.3762759591693068</v>
      </c>
      <c r="E2902">
        <v>-2.8069445888345701E-3</v>
      </c>
      <c r="F2902">
        <v>2899</v>
      </c>
      <c r="G2902">
        <f t="shared" ca="1" si="95"/>
        <v>2.894022733008414E-2</v>
      </c>
    </row>
    <row r="2903" spans="2:7" x14ac:dyDescent="0.35">
      <c r="B2903" s="2">
        <v>37585</v>
      </c>
      <c r="C2903" s="4">
        <v>28.41</v>
      </c>
      <c r="D2903">
        <f t="shared" si="94"/>
        <v>-0.9821046133689435</v>
      </c>
      <c r="E2903">
        <v>-2.8080028080027519E-3</v>
      </c>
      <c r="F2903">
        <v>2900</v>
      </c>
      <c r="G2903">
        <f t="shared" ca="1" si="95"/>
        <v>6.6951750806010287E-3</v>
      </c>
    </row>
    <row r="2904" spans="2:7" x14ac:dyDescent="0.35">
      <c r="B2904" s="2">
        <v>44176</v>
      </c>
      <c r="C2904" s="4">
        <v>1587.56</v>
      </c>
      <c r="D2904">
        <f t="shared" si="94"/>
        <v>16.960855300373346</v>
      </c>
      <c r="E2904">
        <v>-2.8202631826890201E-3</v>
      </c>
      <c r="F2904">
        <v>2901</v>
      </c>
      <c r="G2904">
        <f t="shared" ca="1" si="95"/>
        <v>9.7352899334283306E-3</v>
      </c>
    </row>
    <row r="2905" spans="2:7" x14ac:dyDescent="0.35">
      <c r="B2905" s="2">
        <v>41570</v>
      </c>
      <c r="C2905" s="4">
        <v>88.39</v>
      </c>
      <c r="D2905">
        <f t="shared" si="94"/>
        <v>-0.90636553353319416</v>
      </c>
      <c r="E2905">
        <v>-2.8203971119133975E-3</v>
      </c>
      <c r="F2905">
        <v>2902</v>
      </c>
      <c r="G2905">
        <f t="shared" ca="1" si="95"/>
        <v>-1.4980668728233008E-2</v>
      </c>
    </row>
    <row r="2906" spans="2:7" x14ac:dyDescent="0.35">
      <c r="B2906" s="2">
        <v>43172</v>
      </c>
      <c r="C2906" s="4">
        <v>943.99</v>
      </c>
      <c r="D2906">
        <f t="shared" si="94"/>
        <v>15.737411347517732</v>
      </c>
      <c r="E2906">
        <v>-2.8204423974815818E-3</v>
      </c>
      <c r="F2906">
        <v>2903</v>
      </c>
      <c r="G2906">
        <f t="shared" ca="1" si="95"/>
        <v>3.6714186852569837E-2</v>
      </c>
    </row>
    <row r="2907" spans="2:7" x14ac:dyDescent="0.35">
      <c r="B2907" s="2">
        <v>38393</v>
      </c>
      <c r="C2907" s="4">
        <v>56.4</v>
      </c>
      <c r="D2907">
        <f t="shared" si="94"/>
        <v>-0.46590909090909094</v>
      </c>
      <c r="E2907">
        <v>-2.8288543140029265E-3</v>
      </c>
      <c r="F2907">
        <v>2904</v>
      </c>
      <c r="G2907">
        <f t="shared" ca="1" si="95"/>
        <v>1.6964605337047831E-2</v>
      </c>
    </row>
    <row r="2908" spans="2:7" x14ac:dyDescent="0.35">
      <c r="B2908" s="2">
        <v>39111</v>
      </c>
      <c r="C2908" s="4">
        <v>105.6</v>
      </c>
      <c r="D2908">
        <f t="shared" si="94"/>
        <v>1.1493995522084264</v>
      </c>
      <c r="E2908">
        <v>-2.8328611898018607E-3</v>
      </c>
      <c r="F2908">
        <v>2905</v>
      </c>
      <c r="G2908">
        <f t="shared" ca="1" si="95"/>
        <v>4.5578313257280803E-2</v>
      </c>
    </row>
    <row r="2909" spans="2:7" x14ac:dyDescent="0.35">
      <c r="B2909" s="2">
        <v>38371</v>
      </c>
      <c r="C2909" s="4">
        <v>49.13</v>
      </c>
      <c r="D2909">
        <f t="shared" si="94"/>
        <v>0.5557314756174796</v>
      </c>
      <c r="E2909">
        <v>-2.8414856910898845E-3</v>
      </c>
      <c r="F2909">
        <v>2906</v>
      </c>
      <c r="G2909">
        <f t="shared" ca="1" si="95"/>
        <v>-2.8207162459257886E-2</v>
      </c>
    </row>
    <row r="2910" spans="2:7" x14ac:dyDescent="0.35">
      <c r="B2910" s="2">
        <v>37475</v>
      </c>
      <c r="C2910" s="4">
        <v>31.58</v>
      </c>
      <c r="D2910">
        <f t="shared" si="94"/>
        <v>-0.62476235741444874</v>
      </c>
      <c r="E2910">
        <v>-2.8418061256710869E-3</v>
      </c>
      <c r="F2910">
        <v>2907</v>
      </c>
      <c r="G2910">
        <f t="shared" ca="1" si="95"/>
        <v>3.1449768012153982E-2</v>
      </c>
    </row>
    <row r="2911" spans="2:7" x14ac:dyDescent="0.35">
      <c r="B2911" s="2">
        <v>41414</v>
      </c>
      <c r="C2911" s="4">
        <v>84.16</v>
      </c>
      <c r="D2911">
        <f t="shared" si="94"/>
        <v>0.4204219409282699</v>
      </c>
      <c r="E2911">
        <v>-2.8436018957347375E-3</v>
      </c>
      <c r="F2911">
        <v>2908</v>
      </c>
      <c r="G2911">
        <f t="shared" ca="1" si="95"/>
        <v>2.5177751659324213E-3</v>
      </c>
    </row>
    <row r="2912" spans="2:7" x14ac:dyDescent="0.35">
      <c r="B2912" s="2">
        <v>39958</v>
      </c>
      <c r="C2912" s="4">
        <v>59.25</v>
      </c>
      <c r="D2912">
        <f t="shared" si="94"/>
        <v>-0.93429151279236122</v>
      </c>
      <c r="E2912">
        <v>-2.8609895658028295E-3</v>
      </c>
      <c r="F2912">
        <v>2909</v>
      </c>
      <c r="G2912">
        <f t="shared" ca="1" si="95"/>
        <v>-3.541308181944279E-2</v>
      </c>
    </row>
    <row r="2913" spans="2:7" x14ac:dyDescent="0.35">
      <c r="B2913" s="2">
        <v>43532</v>
      </c>
      <c r="C2913" s="4">
        <v>901.71</v>
      </c>
      <c r="D2913">
        <f t="shared" si="94"/>
        <v>0.38861340396698285</v>
      </c>
      <c r="E2913">
        <v>-2.8640937741898354E-3</v>
      </c>
      <c r="F2913">
        <v>2910</v>
      </c>
      <c r="G2913">
        <f t="shared" ca="1" si="95"/>
        <v>6.0123481725792172E-3</v>
      </c>
    </row>
    <row r="2914" spans="2:7" x14ac:dyDescent="0.35">
      <c r="B2914" s="2">
        <v>42208</v>
      </c>
      <c r="C2914" s="4">
        <v>649.36</v>
      </c>
      <c r="D2914">
        <f t="shared" si="94"/>
        <v>-0.17276873296134931</v>
      </c>
      <c r="E2914">
        <v>-2.8868005650758422E-3</v>
      </c>
      <c r="F2914">
        <v>2911</v>
      </c>
      <c r="G2914">
        <f t="shared" ca="1" si="95"/>
        <v>3.3854636350669556E-2</v>
      </c>
    </row>
    <row r="2915" spans="2:7" x14ac:dyDescent="0.35">
      <c r="B2915" s="2">
        <v>42965</v>
      </c>
      <c r="C2915" s="4">
        <v>784.98</v>
      </c>
      <c r="D2915">
        <f t="shared" si="94"/>
        <v>-5.8006991235624028E-3</v>
      </c>
      <c r="E2915">
        <v>-2.9087860581502589E-3</v>
      </c>
      <c r="F2915">
        <v>2912</v>
      </c>
      <c r="G2915">
        <f t="shared" ca="1" si="95"/>
        <v>-3.0371937812908294E-2</v>
      </c>
    </row>
    <row r="2916" spans="2:7" x14ac:dyDescent="0.35">
      <c r="B2916" s="2">
        <v>42933</v>
      </c>
      <c r="C2916" s="4">
        <v>789.56</v>
      </c>
      <c r="D2916">
        <f t="shared" si="94"/>
        <v>-0.16785059336860531</v>
      </c>
      <c r="E2916">
        <v>-2.9171454910529304E-3</v>
      </c>
      <c r="F2916">
        <v>2913</v>
      </c>
      <c r="G2916">
        <f t="shared" ca="1" si="95"/>
        <v>1.5787214869407613E-2</v>
      </c>
    </row>
    <row r="2917" spans="2:7" x14ac:dyDescent="0.35">
      <c r="B2917" s="2">
        <v>43441</v>
      </c>
      <c r="C2917" s="4">
        <v>948.82</v>
      </c>
      <c r="D2917">
        <f t="shared" si="94"/>
        <v>12.900087899208907</v>
      </c>
      <c r="E2917">
        <v>-2.9213955443463391E-3</v>
      </c>
      <c r="F2917">
        <v>2914</v>
      </c>
      <c r="G2917">
        <f t="shared" ca="1" si="95"/>
        <v>4.8315010486783647E-2</v>
      </c>
    </row>
    <row r="2918" spans="2:7" x14ac:dyDescent="0.35">
      <c r="B2918" s="2">
        <v>39561</v>
      </c>
      <c r="C2918" s="4">
        <v>68.260000000000005</v>
      </c>
      <c r="D2918">
        <f t="shared" si="94"/>
        <v>-0.37433547204399631</v>
      </c>
      <c r="E2918">
        <v>-2.9214139643586323E-3</v>
      </c>
      <c r="F2918">
        <v>2915</v>
      </c>
      <c r="G2918">
        <f t="shared" ca="1" si="95"/>
        <v>-8.2700568182315443E-2</v>
      </c>
    </row>
    <row r="2919" spans="2:7" x14ac:dyDescent="0.35">
      <c r="B2919" s="2">
        <v>39199</v>
      </c>
      <c r="C2919" s="4">
        <v>109.1</v>
      </c>
      <c r="D2919">
        <f t="shared" si="94"/>
        <v>-0.87493265163412937</v>
      </c>
      <c r="E2919">
        <v>-2.9245110583074885E-3</v>
      </c>
      <c r="F2919">
        <v>2916</v>
      </c>
      <c r="G2919">
        <f t="shared" ca="1" si="95"/>
        <v>6.5249384648468677E-3</v>
      </c>
    </row>
    <row r="2920" spans="2:7" x14ac:dyDescent="0.35">
      <c r="B2920" s="2">
        <v>44011</v>
      </c>
      <c r="C2920" s="4">
        <v>872.33</v>
      </c>
      <c r="D2920">
        <f t="shared" si="94"/>
        <v>14.202683861972814</v>
      </c>
      <c r="E2920">
        <v>-2.9488747414019301E-3</v>
      </c>
      <c r="F2920">
        <v>2917</v>
      </c>
      <c r="G2920">
        <f t="shared" ca="1" si="95"/>
        <v>3.3020023992171479E-2</v>
      </c>
    </row>
    <row r="2921" spans="2:7" x14ac:dyDescent="0.35">
      <c r="B2921" s="2">
        <v>39975</v>
      </c>
      <c r="C2921" s="4">
        <v>57.38</v>
      </c>
      <c r="D2921">
        <f t="shared" si="94"/>
        <v>-0.99351378236467736</v>
      </c>
      <c r="E2921">
        <v>-2.9539530842744854E-3</v>
      </c>
      <c r="F2921">
        <v>2918</v>
      </c>
      <c r="G2921">
        <f t="shared" ca="1" si="95"/>
        <v>3.1967140265313741E-2</v>
      </c>
    </row>
    <row r="2922" spans="2:7" x14ac:dyDescent="0.35">
      <c r="B2922" s="2">
        <v>44810</v>
      </c>
      <c r="C2922" s="4">
        <v>8846.4500000000007</v>
      </c>
      <c r="D2922">
        <f t="shared" si="94"/>
        <v>7.7472561156485451</v>
      </c>
      <c r="E2922">
        <v>-2.975368680863455E-3</v>
      </c>
      <c r="F2922">
        <v>2919</v>
      </c>
      <c r="G2922">
        <f t="shared" ca="1" si="95"/>
        <v>1.8282587565023996E-2</v>
      </c>
    </row>
    <row r="2923" spans="2:7" x14ac:dyDescent="0.35">
      <c r="B2923" s="2">
        <v>43130</v>
      </c>
      <c r="C2923" s="4">
        <v>1011.34</v>
      </c>
      <c r="D2923">
        <f t="shared" si="94"/>
        <v>-0.84597108397769694</v>
      </c>
      <c r="E2923">
        <v>-2.9870757218766197E-3</v>
      </c>
      <c r="F2923">
        <v>2920</v>
      </c>
      <c r="G2923">
        <f t="shared" ca="1" si="95"/>
        <v>-7.6189415028414011E-3</v>
      </c>
    </row>
    <row r="2924" spans="2:7" x14ac:dyDescent="0.35">
      <c r="B2924" s="2">
        <v>44516</v>
      </c>
      <c r="C2924" s="4">
        <v>6565.91</v>
      </c>
      <c r="D2924">
        <f t="shared" si="94"/>
        <v>-0.23206180080818239</v>
      </c>
      <c r="E2924">
        <v>-3.0140788610578673E-3</v>
      </c>
      <c r="F2924">
        <v>2921</v>
      </c>
      <c r="G2924">
        <f t="shared" ca="1" si="95"/>
        <v>1.6278267110253868E-2</v>
      </c>
    </row>
    <row r="2925" spans="2:7" x14ac:dyDescent="0.35">
      <c r="B2925" s="2">
        <v>44841</v>
      </c>
      <c r="C2925" s="4">
        <v>8550.0499999999993</v>
      </c>
      <c r="D2925">
        <f t="shared" si="94"/>
        <v>2.5024846217200913E-2</v>
      </c>
      <c r="E2925">
        <v>-3.0200735778544985E-3</v>
      </c>
      <c r="F2925">
        <v>2922</v>
      </c>
      <c r="G2925">
        <f t="shared" ca="1" si="95"/>
        <v>2.0971735232693651E-2</v>
      </c>
    </row>
    <row r="2926" spans="2:7" x14ac:dyDescent="0.35">
      <c r="B2926" s="2">
        <v>44664</v>
      </c>
      <c r="C2926" s="4">
        <v>8341.31</v>
      </c>
      <c r="D2926">
        <f t="shared" si="94"/>
        <v>64.029313167537211</v>
      </c>
      <c r="E2926">
        <v>-3.0274996892419859E-3</v>
      </c>
      <c r="F2926">
        <v>2923</v>
      </c>
      <c r="G2926">
        <f t="shared" ca="1" si="95"/>
        <v>2.1694947492172642E-2</v>
      </c>
    </row>
    <row r="2927" spans="2:7" x14ac:dyDescent="0.35">
      <c r="B2927" s="2">
        <v>40543</v>
      </c>
      <c r="C2927" s="4">
        <v>128.27000000000001</v>
      </c>
      <c r="D2927">
        <f t="shared" si="94"/>
        <v>-0.98412382107582241</v>
      </c>
      <c r="E2927">
        <v>-3.0312451422352948E-3</v>
      </c>
      <c r="F2927">
        <v>2924</v>
      </c>
      <c r="G2927">
        <f t="shared" ca="1" si="95"/>
        <v>3.1808790167509642E-2</v>
      </c>
    </row>
    <row r="2928" spans="2:7" x14ac:dyDescent="0.35">
      <c r="B2928" s="2">
        <v>44761</v>
      </c>
      <c r="C2928" s="4">
        <v>8079.4</v>
      </c>
      <c r="D2928">
        <f t="shared" si="94"/>
        <v>29.486001056524035</v>
      </c>
      <c r="E2928">
        <v>-3.0416890320272838E-3</v>
      </c>
      <c r="F2928">
        <v>2925</v>
      </c>
      <c r="G2928">
        <f t="shared" ca="1" si="95"/>
        <v>9.6776993666261892E-3</v>
      </c>
    </row>
    <row r="2929" spans="2:7" x14ac:dyDescent="0.35">
      <c r="B2929" s="2">
        <v>42002</v>
      </c>
      <c r="C2929" s="4">
        <v>265.02</v>
      </c>
      <c r="D2929">
        <f t="shared" si="94"/>
        <v>-0.61279859741398202</v>
      </c>
      <c r="E2929">
        <v>-3.0470601512244677E-3</v>
      </c>
      <c r="F2929">
        <v>2926</v>
      </c>
      <c r="G2929">
        <f t="shared" ca="1" si="95"/>
        <v>-5.4301109524491267E-3</v>
      </c>
    </row>
    <row r="2930" spans="2:7" x14ac:dyDescent="0.35">
      <c r="B2930" s="2">
        <v>42797</v>
      </c>
      <c r="C2930" s="4">
        <v>684.45</v>
      </c>
      <c r="D2930">
        <f t="shared" si="94"/>
        <v>6.6005264223526927E-2</v>
      </c>
      <c r="E2930">
        <v>-3.0587721214768715E-3</v>
      </c>
      <c r="F2930">
        <v>2927</v>
      </c>
      <c r="G2930">
        <f t="shared" ca="1" si="95"/>
        <v>-7.5370167111359528E-3</v>
      </c>
    </row>
    <row r="2931" spans="2:7" x14ac:dyDescent="0.35">
      <c r="B2931" s="2">
        <v>42744</v>
      </c>
      <c r="C2931" s="4">
        <v>642.07000000000005</v>
      </c>
      <c r="D2931">
        <f t="shared" si="94"/>
        <v>1.4557102424845105</v>
      </c>
      <c r="E2931">
        <v>-3.0588162225947402E-3</v>
      </c>
      <c r="F2931">
        <v>2928</v>
      </c>
      <c r="G2931">
        <f t="shared" ca="1" si="95"/>
        <v>3.1310149644238902E-4</v>
      </c>
    </row>
    <row r="2932" spans="2:7" x14ac:dyDescent="0.35">
      <c r="B2932" s="2">
        <v>41830</v>
      </c>
      <c r="C2932" s="4">
        <v>261.45999999999998</v>
      </c>
      <c r="D2932">
        <f t="shared" si="94"/>
        <v>-0.67535821599741741</v>
      </c>
      <c r="E2932">
        <v>-3.0884203301940749E-3</v>
      </c>
      <c r="F2932">
        <v>2929</v>
      </c>
      <c r="G2932">
        <f t="shared" ca="1" si="95"/>
        <v>2.2875960398195568E-3</v>
      </c>
    </row>
    <row r="2933" spans="2:7" x14ac:dyDescent="0.35">
      <c r="B2933" s="2">
        <v>42314</v>
      </c>
      <c r="C2933" s="4">
        <v>805.38</v>
      </c>
      <c r="D2933">
        <f t="shared" si="94"/>
        <v>-0.78548598459424046</v>
      </c>
      <c r="E2933">
        <v>-3.0945189879685309E-3</v>
      </c>
      <c r="F2933">
        <v>2930</v>
      </c>
      <c r="G2933">
        <f t="shared" ca="1" si="95"/>
        <v>-8.0390066226038084E-3</v>
      </c>
    </row>
    <row r="2934" spans="2:7" x14ac:dyDescent="0.35">
      <c r="B2934" s="2">
        <v>44362</v>
      </c>
      <c r="C2934" s="4">
        <v>3754.44</v>
      </c>
      <c r="D2934">
        <f t="shared" si="94"/>
        <v>52.543069024529373</v>
      </c>
      <c r="E2934">
        <v>-3.1225107535446384E-3</v>
      </c>
      <c r="F2934">
        <v>2931</v>
      </c>
      <c r="G2934">
        <f t="shared" ca="1" si="95"/>
        <v>2.0223219180720824E-2</v>
      </c>
    </row>
    <row r="2935" spans="2:7" x14ac:dyDescent="0.35">
      <c r="B2935" s="2">
        <v>40064</v>
      </c>
      <c r="C2935" s="4">
        <v>70.12</v>
      </c>
      <c r="D2935">
        <f t="shared" si="94"/>
        <v>-0.15242354647648981</v>
      </c>
      <c r="E2935">
        <v>-3.1276656241114864E-3</v>
      </c>
      <c r="F2935">
        <v>2932</v>
      </c>
      <c r="G2935">
        <f t="shared" ca="1" si="95"/>
        <v>-4.8252139800004489E-3</v>
      </c>
    </row>
    <row r="2936" spans="2:7" x14ac:dyDescent="0.35">
      <c r="B2936" s="2">
        <v>41375</v>
      </c>
      <c r="C2936" s="4">
        <v>82.73</v>
      </c>
      <c r="D2936">
        <f t="shared" si="94"/>
        <v>-0.86836075486108899</v>
      </c>
      <c r="E2936">
        <v>-3.1329075792263517E-3</v>
      </c>
      <c r="F2936">
        <v>2933</v>
      </c>
      <c r="G2936">
        <f t="shared" ca="1" si="95"/>
        <v>-1.3221559270911766E-2</v>
      </c>
    </row>
    <row r="2937" spans="2:7" x14ac:dyDescent="0.35">
      <c r="B2937" s="2">
        <v>43703</v>
      </c>
      <c r="C2937" s="4">
        <v>628.46</v>
      </c>
      <c r="D2937">
        <f t="shared" si="94"/>
        <v>-0.3212588560566787</v>
      </c>
      <c r="E2937">
        <v>-3.1564755333491901E-3</v>
      </c>
      <c r="F2937">
        <v>2934</v>
      </c>
      <c r="G2937">
        <f t="shared" ca="1" si="95"/>
        <v>-5.1726236234358514E-2</v>
      </c>
    </row>
    <row r="2938" spans="2:7" x14ac:dyDescent="0.35">
      <c r="B2938" s="2">
        <v>42381</v>
      </c>
      <c r="C2938" s="4">
        <v>925.92</v>
      </c>
      <c r="D2938">
        <f t="shared" si="94"/>
        <v>0.1671162427206494</v>
      </c>
      <c r="E2938">
        <v>-3.1651702086429312E-3</v>
      </c>
      <c r="F2938">
        <v>2935</v>
      </c>
      <c r="G2938">
        <f t="shared" ca="1" si="95"/>
        <v>-2.7334215609251908E-2</v>
      </c>
    </row>
    <row r="2939" spans="2:7" x14ac:dyDescent="0.35">
      <c r="B2939" s="2">
        <v>43985</v>
      </c>
      <c r="C2939" s="4">
        <v>793.34</v>
      </c>
      <c r="D2939">
        <f t="shared" si="94"/>
        <v>8.3565278924401465</v>
      </c>
      <c r="E2939">
        <v>-3.1663860477972872E-3</v>
      </c>
      <c r="F2939">
        <v>2936</v>
      </c>
      <c r="G2939">
        <f t="shared" ca="1" si="95"/>
        <v>-3.8081507120600669E-2</v>
      </c>
    </row>
    <row r="2940" spans="2:7" x14ac:dyDescent="0.35">
      <c r="B2940" s="2">
        <v>41018</v>
      </c>
      <c r="C2940" s="4">
        <v>84.79</v>
      </c>
      <c r="D2940">
        <f t="shared" si="94"/>
        <v>0.81097821443827445</v>
      </c>
      <c r="E2940">
        <v>-3.1742299553255693E-3</v>
      </c>
      <c r="F2940">
        <v>2937</v>
      </c>
      <c r="G2940">
        <f t="shared" ca="1" si="95"/>
        <v>5.5678581504338541E-2</v>
      </c>
    </row>
    <row r="2941" spans="2:7" x14ac:dyDescent="0.35">
      <c r="B2941" s="2">
        <v>39947</v>
      </c>
      <c r="C2941" s="4">
        <v>46.82</v>
      </c>
      <c r="D2941">
        <f t="shared" si="94"/>
        <v>-0.99382078154839437</v>
      </c>
      <c r="E2941">
        <v>-3.1935277836916409E-3</v>
      </c>
      <c r="F2941">
        <v>2938</v>
      </c>
      <c r="G2941">
        <f t="shared" ca="1" si="95"/>
        <v>-4.072067817640094E-3</v>
      </c>
    </row>
    <row r="2942" spans="2:7" x14ac:dyDescent="0.35">
      <c r="B2942" s="2">
        <v>44600</v>
      </c>
      <c r="C2942" s="4">
        <v>7577.01</v>
      </c>
      <c r="D2942">
        <f t="shared" si="94"/>
        <v>142.17857142857142</v>
      </c>
      <c r="E2942">
        <v>-3.1994400979827864E-3</v>
      </c>
      <c r="F2942">
        <v>2939</v>
      </c>
      <c r="G2942">
        <f t="shared" ca="1" si="95"/>
        <v>-1.8704790488407865E-2</v>
      </c>
    </row>
    <row r="2943" spans="2:7" x14ac:dyDescent="0.35">
      <c r="B2943" s="2">
        <v>39997</v>
      </c>
      <c r="C2943" s="4">
        <v>52.92</v>
      </c>
      <c r="D2943">
        <f t="shared" si="94"/>
        <v>-0.93367506799182842</v>
      </c>
      <c r="E2943">
        <v>-3.2021096251648729E-3</v>
      </c>
      <c r="F2943">
        <v>2940</v>
      </c>
      <c r="G2943">
        <f t="shared" ca="1" si="95"/>
        <v>1.2764843290106596E-2</v>
      </c>
    </row>
    <row r="2944" spans="2:7" x14ac:dyDescent="0.35">
      <c r="B2944" s="2">
        <v>43608</v>
      </c>
      <c r="C2944" s="4">
        <v>797.89</v>
      </c>
      <c r="D2944">
        <f t="shared" si="94"/>
        <v>-0.87123849176571211</v>
      </c>
      <c r="E2944">
        <v>-3.2355586648011858E-3</v>
      </c>
      <c r="F2944">
        <v>2941</v>
      </c>
      <c r="G2944">
        <f t="shared" ca="1" si="95"/>
        <v>3.4804667310226488E-2</v>
      </c>
    </row>
    <row r="2945" spans="2:7" x14ac:dyDescent="0.35">
      <c r="B2945" s="2">
        <v>44938</v>
      </c>
      <c r="C2945" s="4">
        <v>6196.65</v>
      </c>
      <c r="D2945">
        <f t="shared" si="94"/>
        <v>8.4533180778032033</v>
      </c>
      <c r="E2945">
        <v>-3.2412173465449223E-3</v>
      </c>
      <c r="F2945">
        <v>2942</v>
      </c>
      <c r="G2945">
        <f t="shared" ca="1" si="95"/>
        <v>1.1588550510426876E-2</v>
      </c>
    </row>
    <row r="2946" spans="2:7" x14ac:dyDescent="0.35">
      <c r="B2946" s="2">
        <v>43739</v>
      </c>
      <c r="C2946" s="4">
        <v>655.5</v>
      </c>
      <c r="D2946">
        <f t="shared" si="94"/>
        <v>8.7399702823179801</v>
      </c>
      <c r="E2946">
        <v>-3.2540599720211061E-3</v>
      </c>
      <c r="F2946">
        <v>2943</v>
      </c>
      <c r="G2946">
        <f t="shared" ca="1" si="95"/>
        <v>3.3953511100514727E-2</v>
      </c>
    </row>
    <row r="2947" spans="2:7" x14ac:dyDescent="0.35">
      <c r="B2947" s="2">
        <v>38667</v>
      </c>
      <c r="C2947" s="4">
        <v>67.3</v>
      </c>
      <c r="D2947">
        <f t="shared" si="94"/>
        <v>-0.15035980305516972</v>
      </c>
      <c r="E2947">
        <v>-3.2582938388625582E-3</v>
      </c>
      <c r="F2947">
        <v>2944</v>
      </c>
      <c r="G2947">
        <f t="shared" ca="1" si="95"/>
        <v>1.6008274400726285E-3</v>
      </c>
    </row>
    <row r="2948" spans="2:7" x14ac:dyDescent="0.35">
      <c r="B2948" s="2">
        <v>41446</v>
      </c>
      <c r="C2948" s="4">
        <v>79.209999999999994</v>
      </c>
      <c r="D2948">
        <f t="shared" ref="D2948:D3011" si="96">C2948/C2949-1</f>
        <v>-0.89595018850079478</v>
      </c>
      <c r="E2948">
        <v>-3.2716748458538891E-3</v>
      </c>
      <c r="F2948">
        <v>2945</v>
      </c>
      <c r="G2948">
        <f t="shared" ca="1" si="95"/>
        <v>6.0201441988100089E-2</v>
      </c>
    </row>
    <row r="2949" spans="2:7" x14ac:dyDescent="0.35">
      <c r="B2949" s="2">
        <v>42583</v>
      </c>
      <c r="C2949" s="4">
        <v>761.27</v>
      </c>
      <c r="D2949">
        <f t="shared" si="96"/>
        <v>5.7958400285663272</v>
      </c>
      <c r="E2949">
        <v>-3.2732367073857738E-3</v>
      </c>
      <c r="F2949">
        <v>2946</v>
      </c>
      <c r="G2949">
        <f t="shared" ref="G2949:G3012" ca="1" si="97">_xlfn.NORM.INV(RAND(),K$6,K$7)</f>
        <v>1.0441786638002888E-2</v>
      </c>
    </row>
    <row r="2950" spans="2:7" x14ac:dyDescent="0.35">
      <c r="B2950" s="2">
        <v>40249</v>
      </c>
      <c r="C2950" s="4">
        <v>112.02</v>
      </c>
      <c r="D2950">
        <f t="shared" si="96"/>
        <v>4.2939508506616253</v>
      </c>
      <c r="E2950">
        <v>-3.2921078387757596E-3</v>
      </c>
      <c r="F2950">
        <v>2947</v>
      </c>
      <c r="G2950">
        <f t="shared" ca="1" si="97"/>
        <v>-4.8011732999802104E-2</v>
      </c>
    </row>
    <row r="2951" spans="2:7" x14ac:dyDescent="0.35">
      <c r="B2951" s="2">
        <v>37746</v>
      </c>
      <c r="C2951" s="4">
        <v>21.16</v>
      </c>
      <c r="D2951">
        <f t="shared" si="96"/>
        <v>-0.83696740889128596</v>
      </c>
      <c r="E2951">
        <v>-3.2972209138012465E-3</v>
      </c>
      <c r="F2951">
        <v>2948</v>
      </c>
      <c r="G2951">
        <f t="shared" ca="1" si="97"/>
        <v>1.2137795728788869E-2</v>
      </c>
    </row>
    <row r="2952" spans="2:7" x14ac:dyDescent="0.35">
      <c r="B2952" s="2">
        <v>41611</v>
      </c>
      <c r="C2952" s="4">
        <v>129.79</v>
      </c>
      <c r="D2952">
        <f t="shared" si="96"/>
        <v>-0.98539264511409363</v>
      </c>
      <c r="E2952">
        <v>-3.3021041314699184E-3</v>
      </c>
      <c r="F2952">
        <v>2949</v>
      </c>
      <c r="G2952">
        <f t="shared" ca="1" si="97"/>
        <v>1.0661372101551173E-2</v>
      </c>
    </row>
    <row r="2953" spans="2:7" x14ac:dyDescent="0.35">
      <c r="B2953" s="2">
        <v>44819</v>
      </c>
      <c r="C2953" s="4">
        <v>8885.25</v>
      </c>
      <c r="D2953">
        <f t="shared" si="96"/>
        <v>10.465282527065563</v>
      </c>
      <c r="E2953">
        <v>-3.30353236788683E-3</v>
      </c>
      <c r="F2953">
        <v>2950</v>
      </c>
      <c r="G2953">
        <f t="shared" ca="1" si="97"/>
        <v>3.9090689472848078E-3</v>
      </c>
    </row>
    <row r="2954" spans="2:7" x14ac:dyDescent="0.35">
      <c r="B2954" s="2">
        <v>42549</v>
      </c>
      <c r="C2954" s="4">
        <v>774.97</v>
      </c>
      <c r="D2954">
        <f t="shared" si="96"/>
        <v>5.9504035874439465</v>
      </c>
      <c r="E2954">
        <v>-3.3052961905496447E-3</v>
      </c>
      <c r="F2954">
        <v>2951</v>
      </c>
      <c r="G2954">
        <f t="shared" ca="1" si="97"/>
        <v>-3.0855309712484003E-2</v>
      </c>
    </row>
    <row r="2955" spans="2:7" x14ac:dyDescent="0.35">
      <c r="B2955" s="2">
        <v>39205</v>
      </c>
      <c r="C2955" s="4">
        <v>111.5</v>
      </c>
      <c r="D2955">
        <f t="shared" si="96"/>
        <v>-0.60150107219442461</v>
      </c>
      <c r="E2955">
        <v>-3.3074103870563976E-3</v>
      </c>
      <c r="F2955">
        <v>2952</v>
      </c>
      <c r="G2955">
        <f t="shared" ca="1" si="97"/>
        <v>2.0578781229692394E-2</v>
      </c>
    </row>
    <row r="2956" spans="2:7" x14ac:dyDescent="0.35">
      <c r="B2956" s="2">
        <v>41955</v>
      </c>
      <c r="C2956" s="4">
        <v>279.8</v>
      </c>
      <c r="D2956">
        <f t="shared" si="96"/>
        <v>8.3142476697736356</v>
      </c>
      <c r="E2956">
        <v>-3.3127916503402632E-3</v>
      </c>
      <c r="F2956">
        <v>2953</v>
      </c>
      <c r="G2956">
        <f t="shared" ca="1" si="97"/>
        <v>-9.9636298305007549E-3</v>
      </c>
    </row>
    <row r="2957" spans="2:7" x14ac:dyDescent="0.35">
      <c r="B2957" s="2">
        <v>38146</v>
      </c>
      <c r="C2957" s="4">
        <v>30.04</v>
      </c>
      <c r="D2957">
        <f t="shared" si="96"/>
        <v>-0.96384512619302654</v>
      </c>
      <c r="E2957">
        <v>-3.3178500331785266E-3</v>
      </c>
      <c r="F2957">
        <v>2954</v>
      </c>
      <c r="G2957">
        <f t="shared" ca="1" si="97"/>
        <v>3.1765962461130386E-2</v>
      </c>
    </row>
    <row r="2958" spans="2:7" x14ac:dyDescent="0.35">
      <c r="B2958" s="2">
        <v>43822</v>
      </c>
      <c r="C2958" s="4">
        <v>830.87</v>
      </c>
      <c r="D2958">
        <f t="shared" si="96"/>
        <v>14.656114565667986</v>
      </c>
      <c r="E2958">
        <v>-3.3227772179837967E-3</v>
      </c>
      <c r="F2958">
        <v>2955</v>
      </c>
      <c r="G2958">
        <f t="shared" ca="1" si="97"/>
        <v>2.350854604158871E-2</v>
      </c>
    </row>
    <row r="2959" spans="2:7" x14ac:dyDescent="0.35">
      <c r="B2959" s="2">
        <v>38349</v>
      </c>
      <c r="C2959" s="4">
        <v>53.07</v>
      </c>
      <c r="D2959">
        <f t="shared" si="96"/>
        <v>-0.77456352746272461</v>
      </c>
      <c r="E2959">
        <v>-3.3802816901408184E-3</v>
      </c>
      <c r="F2959">
        <v>2956</v>
      </c>
      <c r="G2959">
        <f t="shared" ca="1" si="97"/>
        <v>2.6711951678734518E-2</v>
      </c>
    </row>
    <row r="2960" spans="2:7" x14ac:dyDescent="0.35">
      <c r="B2960" s="2">
        <v>41767</v>
      </c>
      <c r="C2960" s="4">
        <v>235.41</v>
      </c>
      <c r="D2960">
        <f t="shared" si="96"/>
        <v>1.1071428571428572</v>
      </c>
      <c r="E2960">
        <v>-3.3868168155455347E-3</v>
      </c>
      <c r="F2960">
        <v>2957</v>
      </c>
      <c r="G2960">
        <f t="shared" ca="1" si="97"/>
        <v>-4.8969028835255959E-2</v>
      </c>
    </row>
    <row r="2961" spans="2:7" x14ac:dyDescent="0.35">
      <c r="B2961" s="2">
        <v>39212</v>
      </c>
      <c r="C2961" s="4">
        <v>111.72</v>
      </c>
      <c r="D2961">
        <f t="shared" si="96"/>
        <v>2.9108327192336025E-2</v>
      </c>
      <c r="E2961">
        <v>-3.3898305084745228E-3</v>
      </c>
      <c r="F2961">
        <v>2958</v>
      </c>
      <c r="G2961">
        <f t="shared" ca="1" si="97"/>
        <v>-3.6144461323314038E-2</v>
      </c>
    </row>
    <row r="2962" spans="2:7" x14ac:dyDescent="0.35">
      <c r="B2962" s="2">
        <v>40241</v>
      </c>
      <c r="C2962" s="4">
        <v>108.56</v>
      </c>
      <c r="D2962">
        <f t="shared" si="96"/>
        <v>0.68283986978762967</v>
      </c>
      <c r="E2962">
        <v>-3.3966767648949681E-3</v>
      </c>
      <c r="F2962">
        <v>2959</v>
      </c>
      <c r="G2962">
        <f t="shared" ca="1" si="97"/>
        <v>-1.2943058285574332E-2</v>
      </c>
    </row>
    <row r="2963" spans="2:7" x14ac:dyDescent="0.35">
      <c r="B2963" s="2">
        <v>39517</v>
      </c>
      <c r="C2963" s="4">
        <v>64.510000000000005</v>
      </c>
      <c r="D2963">
        <f t="shared" si="96"/>
        <v>-0.9476180036215115</v>
      </c>
      <c r="E2963">
        <v>-3.3987331994438374E-3</v>
      </c>
      <c r="F2963">
        <v>2960</v>
      </c>
      <c r="G2963">
        <f t="shared" ca="1" si="97"/>
        <v>7.6331080334876115E-3</v>
      </c>
    </row>
    <row r="2964" spans="2:7" x14ac:dyDescent="0.35">
      <c r="B2964" s="2">
        <v>43273</v>
      </c>
      <c r="C2964" s="4">
        <v>1231.53</v>
      </c>
      <c r="D2964">
        <f t="shared" si="96"/>
        <v>1.2981879933565974</v>
      </c>
      <c r="E2964">
        <v>-3.3988007088927574E-3</v>
      </c>
      <c r="F2964">
        <v>2961</v>
      </c>
      <c r="G2964">
        <f t="shared" ca="1" si="97"/>
        <v>3.1057066817194535E-2</v>
      </c>
    </row>
    <row r="2965" spans="2:7" x14ac:dyDescent="0.35">
      <c r="B2965" s="2">
        <v>42144</v>
      </c>
      <c r="C2965" s="4">
        <v>535.87</v>
      </c>
      <c r="D2965">
        <f t="shared" si="96"/>
        <v>-0.91553107744495188</v>
      </c>
      <c r="E2965">
        <v>-3.4033847870560408E-3</v>
      </c>
      <c r="F2965">
        <v>2962</v>
      </c>
      <c r="G2965">
        <f t="shared" ca="1" si="97"/>
        <v>4.5023189282237357E-3</v>
      </c>
    </row>
    <row r="2966" spans="2:7" x14ac:dyDescent="0.35">
      <c r="B2966" s="2">
        <v>44579</v>
      </c>
      <c r="C2966" s="4">
        <v>6343.99</v>
      </c>
      <c r="D2966">
        <f t="shared" si="96"/>
        <v>97.601025800435181</v>
      </c>
      <c r="E2966">
        <v>-3.4073343303465675E-3</v>
      </c>
      <c r="F2966">
        <v>2963</v>
      </c>
      <c r="G2966">
        <f t="shared" ca="1" si="97"/>
        <v>-2.1580040255015438E-2</v>
      </c>
    </row>
    <row r="2967" spans="2:7" x14ac:dyDescent="0.35">
      <c r="B2967" s="2">
        <v>38786</v>
      </c>
      <c r="C2967" s="4">
        <v>64.34</v>
      </c>
      <c r="D2967">
        <f t="shared" si="96"/>
        <v>-0.7795367324561403</v>
      </c>
      <c r="E2967">
        <v>-3.4076827757124617E-3</v>
      </c>
      <c r="F2967">
        <v>2964</v>
      </c>
      <c r="G2967">
        <f t="shared" ca="1" si="97"/>
        <v>3.8799750800046516E-2</v>
      </c>
    </row>
    <row r="2968" spans="2:7" x14ac:dyDescent="0.35">
      <c r="B2968" s="2">
        <v>41703</v>
      </c>
      <c r="C2968" s="4">
        <v>291.83999999999997</v>
      </c>
      <c r="D2968">
        <f t="shared" si="96"/>
        <v>8.1000935453695035</v>
      </c>
      <c r="E2968">
        <v>-3.4148340390657284E-3</v>
      </c>
      <c r="F2968">
        <v>2965</v>
      </c>
      <c r="G2968">
        <f t="shared" ca="1" si="97"/>
        <v>1.2795220576694258E-2</v>
      </c>
    </row>
    <row r="2969" spans="2:7" x14ac:dyDescent="0.35">
      <c r="B2969" s="2">
        <v>38154</v>
      </c>
      <c r="C2969" s="4">
        <v>32.07</v>
      </c>
      <c r="D2969">
        <f t="shared" si="96"/>
        <v>-0.95144954961774275</v>
      </c>
      <c r="E2969">
        <v>-3.418272218769447E-3</v>
      </c>
      <c r="F2969">
        <v>2966</v>
      </c>
      <c r="G2969">
        <f t="shared" ca="1" si="97"/>
        <v>2.3245723862615992E-2</v>
      </c>
    </row>
    <row r="2970" spans="2:7" x14ac:dyDescent="0.35">
      <c r="B2970" s="2">
        <v>43745</v>
      </c>
      <c r="C2970" s="4">
        <v>660.55</v>
      </c>
      <c r="D2970">
        <f t="shared" si="96"/>
        <v>6.8786975190839685</v>
      </c>
      <c r="E2970">
        <v>-3.4397960261305371E-3</v>
      </c>
      <c r="F2970">
        <v>2967</v>
      </c>
      <c r="G2970">
        <f t="shared" ca="1" si="97"/>
        <v>-8.9824567420330598E-3</v>
      </c>
    </row>
    <row r="2971" spans="2:7" x14ac:dyDescent="0.35">
      <c r="B2971" s="2">
        <v>40919</v>
      </c>
      <c r="C2971" s="4">
        <v>83.84</v>
      </c>
      <c r="D2971">
        <f t="shared" si="96"/>
        <v>-0.11626436175819543</v>
      </c>
      <c r="E2971">
        <v>-3.4470462379649902E-3</v>
      </c>
      <c r="F2971">
        <v>2968</v>
      </c>
      <c r="G2971">
        <f t="shared" ca="1" si="97"/>
        <v>7.1104422514702836E-3</v>
      </c>
    </row>
    <row r="2972" spans="2:7" x14ac:dyDescent="0.35">
      <c r="B2972" s="2">
        <v>40423</v>
      </c>
      <c r="C2972" s="4">
        <v>94.87</v>
      </c>
      <c r="D2972">
        <f t="shared" si="96"/>
        <v>0.18026872356307555</v>
      </c>
      <c r="E2972">
        <v>-3.4663865546218364E-3</v>
      </c>
      <c r="F2972">
        <v>2969</v>
      </c>
      <c r="G2972">
        <f t="shared" ca="1" si="97"/>
        <v>5.4400934798627476E-3</v>
      </c>
    </row>
    <row r="2973" spans="2:7" x14ac:dyDescent="0.35">
      <c r="B2973" s="2">
        <v>41421</v>
      </c>
      <c r="C2973" s="4">
        <v>80.38</v>
      </c>
      <c r="D2973">
        <f t="shared" si="96"/>
        <v>1.5468948035487959</v>
      </c>
      <c r="E2973">
        <v>-3.4713612695264073E-3</v>
      </c>
      <c r="F2973">
        <v>2970</v>
      </c>
      <c r="G2973">
        <f t="shared" ca="1" si="97"/>
        <v>4.2829699076930024E-2</v>
      </c>
    </row>
    <row r="2974" spans="2:7" x14ac:dyDescent="0.35">
      <c r="B2974" s="2">
        <v>39862</v>
      </c>
      <c r="C2974" s="4">
        <v>31.56</v>
      </c>
      <c r="D2974">
        <f t="shared" si="96"/>
        <v>-0.67587552634281611</v>
      </c>
      <c r="E2974">
        <v>-3.4733185980424519E-3</v>
      </c>
      <c r="F2974">
        <v>2971</v>
      </c>
      <c r="G2974">
        <f t="shared" ca="1" si="97"/>
        <v>1.1773059514834346E-2</v>
      </c>
    </row>
    <row r="2975" spans="2:7" x14ac:dyDescent="0.35">
      <c r="B2975" s="2">
        <v>40948</v>
      </c>
      <c r="C2975" s="4">
        <v>97.37</v>
      </c>
      <c r="D2975">
        <f t="shared" si="96"/>
        <v>-0.87631943297725046</v>
      </c>
      <c r="E2975">
        <v>-3.479684781496184E-3</v>
      </c>
      <c r="F2975">
        <v>2972</v>
      </c>
      <c r="G2975">
        <f t="shared" ca="1" si="97"/>
        <v>-1.7950209869482384E-2</v>
      </c>
    </row>
    <row r="2976" spans="2:7" x14ac:dyDescent="0.35">
      <c r="B2976" s="2">
        <v>42964</v>
      </c>
      <c r="C2976" s="4">
        <v>787.27</v>
      </c>
      <c r="D2976">
        <f t="shared" si="96"/>
        <v>10.466210311680745</v>
      </c>
      <c r="E2976">
        <v>-3.4809245335560846E-3</v>
      </c>
      <c r="F2976">
        <v>2973</v>
      </c>
      <c r="G2976">
        <f t="shared" ca="1" si="97"/>
        <v>-1.6355722757425105E-2</v>
      </c>
    </row>
    <row r="2977" spans="2:7" x14ac:dyDescent="0.35">
      <c r="B2977" s="2">
        <v>40093</v>
      </c>
      <c r="C2977" s="4">
        <v>68.66</v>
      </c>
      <c r="D2977">
        <f t="shared" si="96"/>
        <v>-0.10808002078461942</v>
      </c>
      <c r="E2977">
        <v>-3.4833091436866637E-3</v>
      </c>
      <c r="F2977">
        <v>2974</v>
      </c>
      <c r="G2977">
        <f t="shared" ca="1" si="97"/>
        <v>1.3676937068793766E-2</v>
      </c>
    </row>
    <row r="2978" spans="2:7" x14ac:dyDescent="0.35">
      <c r="B2978" s="2">
        <v>41502</v>
      </c>
      <c r="C2978" s="4">
        <v>76.98</v>
      </c>
      <c r="D2978">
        <f t="shared" si="96"/>
        <v>1.7020007020007024</v>
      </c>
      <c r="E2978">
        <v>-3.4951456310678974E-3</v>
      </c>
      <c r="F2978">
        <v>2975</v>
      </c>
      <c r="G2978">
        <f t="shared" ca="1" si="97"/>
        <v>1.7565661446355873E-3</v>
      </c>
    </row>
    <row r="2979" spans="2:7" x14ac:dyDescent="0.35">
      <c r="B2979" s="2">
        <v>37897</v>
      </c>
      <c r="C2979" s="4">
        <v>28.49</v>
      </c>
      <c r="D2979">
        <f t="shared" si="96"/>
        <v>-0.2841708542713568</v>
      </c>
      <c r="E2979">
        <v>-3.4977264777894534E-3</v>
      </c>
      <c r="F2979">
        <v>2976</v>
      </c>
      <c r="G2979">
        <f t="shared" ca="1" si="97"/>
        <v>-7.4987468307334011E-3</v>
      </c>
    </row>
    <row r="2980" spans="2:7" x14ac:dyDescent="0.35">
      <c r="B2980" s="2">
        <v>38202</v>
      </c>
      <c r="C2980" s="4">
        <v>39.799999999999997</v>
      </c>
      <c r="D2980">
        <f t="shared" si="96"/>
        <v>-0.95187889926004743</v>
      </c>
      <c r="E2980">
        <v>-3.5052578868303153E-3</v>
      </c>
      <c r="F2980">
        <v>2977</v>
      </c>
      <c r="G2980">
        <f t="shared" ca="1" si="97"/>
        <v>-3.5983019978726515E-2</v>
      </c>
    </row>
    <row r="2981" spans="2:7" x14ac:dyDescent="0.35">
      <c r="B2981" s="2">
        <v>42530</v>
      </c>
      <c r="C2981" s="4">
        <v>827.08</v>
      </c>
      <c r="D2981">
        <f t="shared" si="96"/>
        <v>7.5663386846193692</v>
      </c>
      <c r="E2981">
        <v>-3.5060663381486501E-3</v>
      </c>
      <c r="F2981">
        <v>2978</v>
      </c>
      <c r="G2981">
        <f t="shared" ca="1" si="97"/>
        <v>-1.6011646916266303E-3</v>
      </c>
    </row>
    <row r="2982" spans="2:7" x14ac:dyDescent="0.35">
      <c r="B2982" s="2">
        <v>41096</v>
      </c>
      <c r="C2982" s="4">
        <v>96.55</v>
      </c>
      <c r="D2982">
        <f t="shared" si="96"/>
        <v>-0.57308984789529538</v>
      </c>
      <c r="E2982">
        <v>-3.5091340695634354E-3</v>
      </c>
      <c r="F2982">
        <v>2979</v>
      </c>
      <c r="G2982">
        <f t="shared" ca="1" si="97"/>
        <v>1.6298617887726272E-2</v>
      </c>
    </row>
    <row r="2983" spans="2:7" x14ac:dyDescent="0.35">
      <c r="B2983" s="2">
        <v>41789</v>
      </c>
      <c r="C2983" s="4">
        <v>226.16</v>
      </c>
      <c r="D2983">
        <f t="shared" si="96"/>
        <v>-0.76372753865440868</v>
      </c>
      <c r="E2983">
        <v>-3.5248501938668353E-3</v>
      </c>
      <c r="F2983">
        <v>2980</v>
      </c>
      <c r="G2983">
        <f t="shared" ca="1" si="97"/>
        <v>8.2791073289719921E-2</v>
      </c>
    </row>
    <row r="2984" spans="2:7" x14ac:dyDescent="0.35">
      <c r="B2984" s="2">
        <v>43896</v>
      </c>
      <c r="C2984" s="4">
        <v>957.2</v>
      </c>
      <c r="D2984">
        <f t="shared" si="96"/>
        <v>-0.39491251137857797</v>
      </c>
      <c r="E2984">
        <v>-3.5394545075994044E-3</v>
      </c>
      <c r="F2984">
        <v>2981</v>
      </c>
      <c r="G2984">
        <f t="shared" ca="1" si="97"/>
        <v>3.9309217931076716E-2</v>
      </c>
    </row>
    <row r="2985" spans="2:7" x14ac:dyDescent="0.35">
      <c r="B2985" s="2">
        <v>44179</v>
      </c>
      <c r="C2985" s="4">
        <v>1581.92</v>
      </c>
      <c r="D2985">
        <f t="shared" si="96"/>
        <v>50.311060655205971</v>
      </c>
      <c r="E2985">
        <v>-3.5526216331980276E-3</v>
      </c>
      <c r="F2985">
        <v>2982</v>
      </c>
      <c r="G2985">
        <f t="shared" ca="1" si="97"/>
        <v>1.0259963539112897E-2</v>
      </c>
    </row>
    <row r="2986" spans="2:7" x14ac:dyDescent="0.35">
      <c r="B2986" s="2">
        <v>37599</v>
      </c>
      <c r="C2986" s="4">
        <v>30.83</v>
      </c>
      <c r="D2986">
        <f t="shared" si="96"/>
        <v>-0.95652725683183393</v>
      </c>
      <c r="E2986">
        <v>-3.5552682611507125E-3</v>
      </c>
      <c r="F2986">
        <v>2983</v>
      </c>
      <c r="G2986">
        <f t="shared" ca="1" si="97"/>
        <v>-7.742659132748372E-3</v>
      </c>
    </row>
    <row r="2987" spans="2:7" x14ac:dyDescent="0.35">
      <c r="B2987" s="2">
        <v>42842</v>
      </c>
      <c r="C2987" s="4">
        <v>709.18</v>
      </c>
      <c r="D2987">
        <f t="shared" si="96"/>
        <v>-7.6203626511046285E-2</v>
      </c>
      <c r="E2987">
        <v>-3.5688191985613349E-3</v>
      </c>
      <c r="F2987">
        <v>2984</v>
      </c>
      <c r="G2987">
        <f t="shared" ca="1" si="97"/>
        <v>4.2217469699506488E-2</v>
      </c>
    </row>
    <row r="2988" spans="2:7" x14ac:dyDescent="0.35">
      <c r="B2988" s="2">
        <v>42572</v>
      </c>
      <c r="C2988" s="4">
        <v>767.68</v>
      </c>
      <c r="D2988">
        <f t="shared" si="96"/>
        <v>7.9506145062856692E-2</v>
      </c>
      <c r="E2988">
        <v>-3.5694352504445082E-3</v>
      </c>
      <c r="F2988">
        <v>2985</v>
      </c>
      <c r="G2988">
        <f t="shared" ca="1" si="97"/>
        <v>9.5468311602090149E-3</v>
      </c>
    </row>
    <row r="2989" spans="2:7" x14ac:dyDescent="0.35">
      <c r="B2989" s="2">
        <v>42899</v>
      </c>
      <c r="C2989" s="4">
        <v>711.14</v>
      </c>
      <c r="D2989">
        <f t="shared" si="96"/>
        <v>-0.13172899649585479</v>
      </c>
      <c r="E2989">
        <v>-3.5729798652076594E-3</v>
      </c>
      <c r="F2989">
        <v>2986</v>
      </c>
      <c r="G2989">
        <f t="shared" ca="1" si="97"/>
        <v>-3.6173404271362683E-3</v>
      </c>
    </row>
    <row r="2990" spans="2:7" x14ac:dyDescent="0.35">
      <c r="B2990" s="2">
        <v>42542</v>
      </c>
      <c r="C2990" s="4">
        <v>819.03</v>
      </c>
      <c r="D2990">
        <f t="shared" si="96"/>
        <v>9.5504315342006958</v>
      </c>
      <c r="E2990">
        <v>-3.5767728749225292E-3</v>
      </c>
      <c r="F2990">
        <v>2987</v>
      </c>
      <c r="G2990">
        <f t="shared" ca="1" si="97"/>
        <v>-3.2178371729803243E-2</v>
      </c>
    </row>
    <row r="2991" spans="2:7" x14ac:dyDescent="0.35">
      <c r="B2991" s="2">
        <v>38993</v>
      </c>
      <c r="C2991" s="4">
        <v>77.63</v>
      </c>
      <c r="D2991">
        <f t="shared" si="96"/>
        <v>0.27722935176044738</v>
      </c>
      <c r="E2991">
        <v>-3.5938903863432792E-3</v>
      </c>
      <c r="F2991">
        <v>2988</v>
      </c>
      <c r="G2991">
        <f t="shared" ca="1" si="97"/>
        <v>1.0429887942490907E-2</v>
      </c>
    </row>
    <row r="2992" spans="2:7" x14ac:dyDescent="0.35">
      <c r="B2992" s="2">
        <v>38504</v>
      </c>
      <c r="C2992" s="4">
        <v>60.78</v>
      </c>
      <c r="D2992">
        <f t="shared" si="96"/>
        <v>-0.92457559813362455</v>
      </c>
      <c r="E2992">
        <v>-3.6065573770491799E-3</v>
      </c>
      <c r="F2992">
        <v>2989</v>
      </c>
      <c r="G2992">
        <f t="shared" ca="1" si="97"/>
        <v>7.4863792951766536E-3</v>
      </c>
    </row>
    <row r="2993" spans="2:7" x14ac:dyDescent="0.35">
      <c r="B2993" s="2">
        <v>43515</v>
      </c>
      <c r="C2993" s="4">
        <v>805.84</v>
      </c>
      <c r="D2993">
        <f t="shared" si="96"/>
        <v>5.3828910891089112</v>
      </c>
      <c r="E2993">
        <v>-3.6104654038280337E-3</v>
      </c>
      <c r="F2993">
        <v>2990</v>
      </c>
      <c r="G2993">
        <f t="shared" ca="1" si="97"/>
        <v>5.2380943462466432E-2</v>
      </c>
    </row>
    <row r="2994" spans="2:7" x14ac:dyDescent="0.35">
      <c r="B2994" s="2">
        <v>40284</v>
      </c>
      <c r="C2994" s="4">
        <v>126.25</v>
      </c>
      <c r="D2994">
        <f t="shared" si="96"/>
        <v>0.44121004566210065</v>
      </c>
      <c r="E2994">
        <v>-3.6303369899770566E-3</v>
      </c>
      <c r="F2994">
        <v>2991</v>
      </c>
      <c r="G2994">
        <f t="shared" ca="1" si="97"/>
        <v>2.7380041481277657E-3</v>
      </c>
    </row>
    <row r="2995" spans="2:7" x14ac:dyDescent="0.35">
      <c r="B2995" s="2">
        <v>41057</v>
      </c>
      <c r="C2995" s="4">
        <v>87.6</v>
      </c>
      <c r="D2995">
        <f t="shared" si="96"/>
        <v>0.18650954896383576</v>
      </c>
      <c r="E2995">
        <v>-3.6396724294813776E-3</v>
      </c>
      <c r="F2995">
        <v>2992</v>
      </c>
      <c r="G2995">
        <f t="shared" ca="1" si="97"/>
        <v>5.1393463512637141E-2</v>
      </c>
    </row>
    <row r="2996" spans="2:7" x14ac:dyDescent="0.35">
      <c r="B2996" s="2">
        <v>38553</v>
      </c>
      <c r="C2996" s="4">
        <v>73.83</v>
      </c>
      <c r="D2996">
        <f t="shared" si="96"/>
        <v>0.12545731707317076</v>
      </c>
      <c r="E2996">
        <v>-3.6437246963562098E-3</v>
      </c>
      <c r="F2996">
        <v>2993</v>
      </c>
      <c r="G2996">
        <f t="shared" ca="1" si="97"/>
        <v>-1.9724740340711377E-2</v>
      </c>
    </row>
    <row r="2997" spans="2:7" x14ac:dyDescent="0.35">
      <c r="B2997" s="2">
        <v>38777</v>
      </c>
      <c r="C2997" s="4">
        <v>65.599999999999994</v>
      </c>
      <c r="D2997">
        <f t="shared" si="96"/>
        <v>0.5014877546349279</v>
      </c>
      <c r="E2997">
        <v>-3.6452004860269005E-3</v>
      </c>
      <c r="F2997">
        <v>2994</v>
      </c>
      <c r="G2997">
        <f t="shared" ca="1" si="97"/>
        <v>8.0905360088287161E-3</v>
      </c>
    </row>
    <row r="2998" spans="2:7" x14ac:dyDescent="0.35">
      <c r="B2998" s="2">
        <v>39938</v>
      </c>
      <c r="C2998" s="4">
        <v>43.69</v>
      </c>
      <c r="D2998">
        <f t="shared" si="96"/>
        <v>-0.40670831070070612</v>
      </c>
      <c r="E2998">
        <v>-3.6488027366021747E-3</v>
      </c>
      <c r="F2998">
        <v>2995</v>
      </c>
      <c r="G2998">
        <f t="shared" ca="1" si="97"/>
        <v>-4.1984217943942713E-2</v>
      </c>
    </row>
    <row r="2999" spans="2:7" x14ac:dyDescent="0.35">
      <c r="B2999" s="2">
        <v>39507</v>
      </c>
      <c r="C2999" s="4">
        <v>73.64</v>
      </c>
      <c r="D2999">
        <f t="shared" si="96"/>
        <v>-0.26915442635966658</v>
      </c>
      <c r="E2999">
        <v>-3.6530915978892908E-3</v>
      </c>
      <c r="F2999">
        <v>2996</v>
      </c>
      <c r="G2999">
        <f t="shared" ca="1" si="97"/>
        <v>1.3035426569982095E-3</v>
      </c>
    </row>
    <row r="3000" spans="2:7" x14ac:dyDescent="0.35">
      <c r="B3000" s="2">
        <v>40668</v>
      </c>
      <c r="C3000" s="4">
        <v>100.76</v>
      </c>
      <c r="D3000">
        <f t="shared" si="96"/>
        <v>-0.96382890887225603</v>
      </c>
      <c r="E3000">
        <v>-3.658657173934432E-3</v>
      </c>
      <c r="F3000">
        <v>2997</v>
      </c>
      <c r="G3000">
        <f t="shared" ca="1" si="97"/>
        <v>-4.8462620781178842E-2</v>
      </c>
    </row>
    <row r="3001" spans="2:7" x14ac:dyDescent="0.35">
      <c r="B3001" s="2">
        <v>44232</v>
      </c>
      <c r="C3001" s="4">
        <v>2785.65</v>
      </c>
      <c r="D3001">
        <f t="shared" si="96"/>
        <v>-0.65065181813051409</v>
      </c>
      <c r="E3001">
        <v>-3.6589553199708469E-3</v>
      </c>
      <c r="F3001">
        <v>2998</v>
      </c>
      <c r="G3001">
        <f t="shared" ca="1" si="97"/>
        <v>-2.2331462769505778E-2</v>
      </c>
    </row>
    <row r="3002" spans="2:7" x14ac:dyDescent="0.35">
      <c r="B3002" s="2">
        <v>44748</v>
      </c>
      <c r="C3002" s="4">
        <v>7973.85</v>
      </c>
      <c r="D3002">
        <f t="shared" si="96"/>
        <v>107.81345524017468</v>
      </c>
      <c r="E3002">
        <v>-3.6672830867652273E-3</v>
      </c>
      <c r="F3002">
        <v>2999</v>
      </c>
      <c r="G3002">
        <f t="shared" ca="1" si="97"/>
        <v>2.3373446465866015E-2</v>
      </c>
    </row>
    <row r="3003" spans="2:7" x14ac:dyDescent="0.35">
      <c r="B3003" s="2">
        <v>39629</v>
      </c>
      <c r="C3003" s="4">
        <v>73.28</v>
      </c>
      <c r="D3003">
        <f t="shared" si="96"/>
        <v>-6.720977596741351E-2</v>
      </c>
      <c r="E3003">
        <v>-3.6709721278042062E-3</v>
      </c>
      <c r="F3003">
        <v>3000</v>
      </c>
      <c r="G3003">
        <f t="shared" ca="1" si="97"/>
        <v>3.8773329943992017E-3</v>
      </c>
    </row>
    <row r="3004" spans="2:7" x14ac:dyDescent="0.35">
      <c r="B3004" s="2">
        <v>39616</v>
      </c>
      <c r="C3004" s="4">
        <v>78.56</v>
      </c>
      <c r="D3004">
        <f t="shared" si="96"/>
        <v>7.4986316365626804E-2</v>
      </c>
      <c r="E3004">
        <v>-3.677869372225695E-3</v>
      </c>
      <c r="F3004">
        <v>3001</v>
      </c>
      <c r="G3004">
        <f t="shared" ca="1" si="97"/>
        <v>-4.838802413652548E-2</v>
      </c>
    </row>
    <row r="3005" spans="2:7" x14ac:dyDescent="0.35">
      <c r="B3005" s="2">
        <v>39594</v>
      </c>
      <c r="C3005" s="4">
        <v>73.08</v>
      </c>
      <c r="D3005">
        <f t="shared" si="96"/>
        <v>-0.92462793551913691</v>
      </c>
      <c r="E3005">
        <v>-3.6809815950920033E-3</v>
      </c>
      <c r="F3005">
        <v>3002</v>
      </c>
      <c r="G3005">
        <f t="shared" ca="1" si="97"/>
        <v>-1.2915837175342525E-2</v>
      </c>
    </row>
    <row r="3006" spans="2:7" x14ac:dyDescent="0.35">
      <c r="B3006" s="2">
        <v>43111</v>
      </c>
      <c r="C3006" s="4">
        <v>969.59</v>
      </c>
      <c r="D3006">
        <f t="shared" si="96"/>
        <v>10.996906706260829</v>
      </c>
      <c r="E3006">
        <v>-3.6889372983414104E-3</v>
      </c>
      <c r="F3006">
        <v>3003</v>
      </c>
      <c r="G3006">
        <f t="shared" ca="1" si="97"/>
        <v>-2.1792554023136616E-2</v>
      </c>
    </row>
    <row r="3007" spans="2:7" x14ac:dyDescent="0.35">
      <c r="B3007" s="2">
        <v>38974</v>
      </c>
      <c r="C3007" s="4">
        <v>80.819999999999993</v>
      </c>
      <c r="D3007">
        <f t="shared" si="96"/>
        <v>-0.13865501438772254</v>
      </c>
      <c r="E3007">
        <v>-3.6982248520711636E-3</v>
      </c>
      <c r="F3007">
        <v>3004</v>
      </c>
      <c r="G3007">
        <f t="shared" ca="1" si="97"/>
        <v>-2.6798728375130039E-2</v>
      </c>
    </row>
    <row r="3008" spans="2:7" x14ac:dyDescent="0.35">
      <c r="B3008" s="2">
        <v>40602</v>
      </c>
      <c r="C3008" s="4">
        <v>93.83</v>
      </c>
      <c r="D3008">
        <f t="shared" si="96"/>
        <v>2.8901326699834162</v>
      </c>
      <c r="E3008">
        <v>-3.7162879592270714E-3</v>
      </c>
      <c r="F3008">
        <v>3005</v>
      </c>
      <c r="G3008">
        <f t="shared" ca="1" si="97"/>
        <v>4.235381795358862E-2</v>
      </c>
    </row>
    <row r="3009" spans="2:7" x14ac:dyDescent="0.35">
      <c r="B3009" s="2">
        <v>37683</v>
      </c>
      <c r="C3009" s="4">
        <v>24.12</v>
      </c>
      <c r="D3009">
        <f t="shared" si="96"/>
        <v>-0.66583541147132164</v>
      </c>
      <c r="E3009">
        <v>-3.7174721189591198E-3</v>
      </c>
      <c r="F3009">
        <v>3006</v>
      </c>
      <c r="G3009">
        <f t="shared" ca="1" si="97"/>
        <v>-1.6794465383626736E-2</v>
      </c>
    </row>
    <row r="3010" spans="2:7" x14ac:dyDescent="0.35">
      <c r="B3010" s="2">
        <v>38587</v>
      </c>
      <c r="C3010" s="4">
        <v>72.180000000000007</v>
      </c>
      <c r="D3010">
        <f t="shared" si="96"/>
        <v>-6.720082708710251E-2</v>
      </c>
      <c r="E3010">
        <v>-3.7267080745341241E-3</v>
      </c>
      <c r="F3010">
        <v>3007</v>
      </c>
      <c r="G3010">
        <f t="shared" ca="1" si="97"/>
        <v>1.7388611254244664E-3</v>
      </c>
    </row>
    <row r="3011" spans="2:7" x14ac:dyDescent="0.35">
      <c r="B3011" s="2">
        <v>41528</v>
      </c>
      <c r="C3011" s="4">
        <v>77.38</v>
      </c>
      <c r="D3011">
        <f t="shared" si="96"/>
        <v>7.6067306355166231E-2</v>
      </c>
      <c r="E3011">
        <v>-3.73374533281845E-3</v>
      </c>
      <c r="F3011">
        <v>3008</v>
      </c>
      <c r="G3011">
        <f t="shared" ca="1" si="97"/>
        <v>3.9124551725267034E-2</v>
      </c>
    </row>
    <row r="3012" spans="2:7" x14ac:dyDescent="0.35">
      <c r="B3012" s="2">
        <v>38588</v>
      </c>
      <c r="C3012" s="4">
        <v>71.91</v>
      </c>
      <c r="D3012">
        <f t="shared" ref="D3012:D3075" si="98">C3012/C3013-1</f>
        <v>-0.26987511422479438</v>
      </c>
      <c r="E3012">
        <v>-3.7406483790525247E-3</v>
      </c>
      <c r="F3012">
        <v>3009</v>
      </c>
      <c r="G3012">
        <f t="shared" ca="1" si="97"/>
        <v>-1.9093969239942766E-2</v>
      </c>
    </row>
    <row r="3013" spans="2:7" x14ac:dyDescent="0.35">
      <c r="B3013" s="2">
        <v>40451</v>
      </c>
      <c r="C3013" s="4">
        <v>98.49</v>
      </c>
      <c r="D3013">
        <f t="shared" si="98"/>
        <v>-0.87839990122847089</v>
      </c>
      <c r="E3013">
        <v>-3.7426663969249985E-3</v>
      </c>
      <c r="F3013">
        <v>3010</v>
      </c>
      <c r="G3013">
        <f t="shared" ref="G3013:G3076" ca="1" si="99">_xlfn.NORM.INV(RAND(),K$6,K$7)</f>
        <v>-6.2498688346012609E-3</v>
      </c>
    </row>
    <row r="3014" spans="2:7" x14ac:dyDescent="0.35">
      <c r="B3014" s="2">
        <v>42321</v>
      </c>
      <c r="C3014" s="4">
        <v>809.95</v>
      </c>
      <c r="D3014">
        <f t="shared" si="98"/>
        <v>7.7194531165895146</v>
      </c>
      <c r="E3014">
        <v>-3.7515375153750474E-3</v>
      </c>
      <c r="F3014">
        <v>3011</v>
      </c>
      <c r="G3014">
        <f t="shared" ca="1" si="99"/>
        <v>4.6765435499371101E-2</v>
      </c>
    </row>
    <row r="3015" spans="2:7" x14ac:dyDescent="0.35">
      <c r="B3015" s="2">
        <v>40162</v>
      </c>
      <c r="C3015" s="4">
        <v>92.89</v>
      </c>
      <c r="D3015">
        <f t="shared" si="98"/>
        <v>-0.9894601279898334</v>
      </c>
      <c r="E3015">
        <v>-3.7537537537536414E-3</v>
      </c>
      <c r="F3015">
        <v>3012</v>
      </c>
      <c r="G3015">
        <f t="shared" ca="1" si="99"/>
        <v>1.3564756730450015E-2</v>
      </c>
    </row>
    <row r="3016" spans="2:7" x14ac:dyDescent="0.35">
      <c r="B3016" s="2">
        <v>44811</v>
      </c>
      <c r="C3016" s="4">
        <v>8813.2000000000007</v>
      </c>
      <c r="D3016">
        <f t="shared" si="98"/>
        <v>127.09883720930233</v>
      </c>
      <c r="E3016">
        <v>-3.7585698217929009E-3</v>
      </c>
      <c r="F3016">
        <v>3013</v>
      </c>
      <c r="G3016">
        <f t="shared" ca="1" si="99"/>
        <v>-9.2816388202441782E-3</v>
      </c>
    </row>
    <row r="3017" spans="2:7" x14ac:dyDescent="0.35">
      <c r="B3017" s="2">
        <v>39574</v>
      </c>
      <c r="C3017" s="4">
        <v>68.8</v>
      </c>
      <c r="D3017">
        <f t="shared" si="98"/>
        <v>-0.99066007985088711</v>
      </c>
      <c r="E3017">
        <v>-3.7648421662322962E-3</v>
      </c>
      <c r="F3017">
        <v>3014</v>
      </c>
      <c r="G3017">
        <f t="shared" ca="1" si="99"/>
        <v>1.190616594244819E-2</v>
      </c>
    </row>
    <row r="3018" spans="2:7" x14ac:dyDescent="0.35">
      <c r="B3018" s="2">
        <v>44641</v>
      </c>
      <c r="C3018" s="4">
        <v>7366.23</v>
      </c>
      <c r="D3018">
        <f t="shared" si="98"/>
        <v>76.539263157894737</v>
      </c>
      <c r="E3018">
        <v>-3.7678740724010895E-3</v>
      </c>
      <c r="F3018">
        <v>3015</v>
      </c>
      <c r="G3018">
        <f t="shared" ca="1" si="99"/>
        <v>3.1727106820048687E-2</v>
      </c>
    </row>
    <row r="3019" spans="2:7" x14ac:dyDescent="0.35">
      <c r="B3019" s="2">
        <v>39430</v>
      </c>
      <c r="C3019" s="4">
        <v>95</v>
      </c>
      <c r="D3019">
        <f t="shared" si="98"/>
        <v>-0.24972358237245307</v>
      </c>
      <c r="E3019">
        <v>-3.7751677852349008E-3</v>
      </c>
      <c r="F3019">
        <v>3016</v>
      </c>
      <c r="G3019">
        <f t="shared" ca="1" si="99"/>
        <v>-9.8677721211778355E-3</v>
      </c>
    </row>
    <row r="3020" spans="2:7" x14ac:dyDescent="0.35">
      <c r="B3020" s="2">
        <v>40281</v>
      </c>
      <c r="C3020" s="4">
        <v>126.62</v>
      </c>
      <c r="D3020">
        <f t="shared" si="98"/>
        <v>0.72061421388775648</v>
      </c>
      <c r="E3020">
        <v>-3.7765538945710997E-3</v>
      </c>
      <c r="F3020">
        <v>3017</v>
      </c>
      <c r="G3020">
        <f t="shared" ca="1" si="99"/>
        <v>-2.5027389110828611E-2</v>
      </c>
    </row>
    <row r="3021" spans="2:7" x14ac:dyDescent="0.35">
      <c r="B3021" s="2">
        <v>38590</v>
      </c>
      <c r="C3021" s="4">
        <v>73.59</v>
      </c>
      <c r="D3021">
        <f t="shared" si="98"/>
        <v>1.159330985915493</v>
      </c>
      <c r="E3021">
        <v>-3.7904426695546389E-3</v>
      </c>
      <c r="F3021">
        <v>3018</v>
      </c>
      <c r="G3021">
        <f t="shared" ca="1" si="99"/>
        <v>-9.3867903672826651E-3</v>
      </c>
    </row>
    <row r="3022" spans="2:7" x14ac:dyDescent="0.35">
      <c r="B3022" s="2">
        <v>39804</v>
      </c>
      <c r="C3022" s="4">
        <v>34.08</v>
      </c>
      <c r="D3022">
        <f t="shared" si="98"/>
        <v>-0.65745301035279935</v>
      </c>
      <c r="E3022">
        <v>-3.8000584624379163E-3</v>
      </c>
      <c r="F3022">
        <v>3019</v>
      </c>
      <c r="G3022">
        <f t="shared" ca="1" si="99"/>
        <v>2.1727431683621155E-2</v>
      </c>
    </row>
    <row r="3023" spans="2:7" x14ac:dyDescent="0.35">
      <c r="B3023" s="2">
        <v>40753</v>
      </c>
      <c r="C3023" s="4">
        <v>99.49</v>
      </c>
      <c r="D3023">
        <f t="shared" si="98"/>
        <v>3.2228353140916806</v>
      </c>
      <c r="E3023">
        <v>-3.804946430359557E-3</v>
      </c>
      <c r="F3023">
        <v>3020</v>
      </c>
      <c r="G3023">
        <f t="shared" ca="1" si="99"/>
        <v>-1.4750113138305054E-2</v>
      </c>
    </row>
    <row r="3024" spans="2:7" x14ac:dyDescent="0.35">
      <c r="B3024" s="2">
        <v>37795</v>
      </c>
      <c r="C3024" s="4">
        <v>23.56</v>
      </c>
      <c r="D3024">
        <f t="shared" si="98"/>
        <v>-0.62436224489795922</v>
      </c>
      <c r="E3024">
        <v>-3.8054968287526414E-3</v>
      </c>
      <c r="F3024">
        <v>3021</v>
      </c>
      <c r="G3024">
        <f t="shared" ca="1" si="99"/>
        <v>3.1337987705492468E-2</v>
      </c>
    </row>
    <row r="3025" spans="2:7" x14ac:dyDescent="0.35">
      <c r="B3025" s="2">
        <v>39668</v>
      </c>
      <c r="C3025" s="4">
        <v>62.72</v>
      </c>
      <c r="D3025">
        <f t="shared" si="98"/>
        <v>-0.92610396342900225</v>
      </c>
      <c r="E3025">
        <v>-3.8119440914866631E-3</v>
      </c>
      <c r="F3025">
        <v>3022</v>
      </c>
      <c r="G3025">
        <f t="shared" ca="1" si="99"/>
        <v>6.1741296929680107E-3</v>
      </c>
    </row>
    <row r="3026" spans="2:7" x14ac:dyDescent="0.35">
      <c r="B3026" s="2">
        <v>43521</v>
      </c>
      <c r="C3026" s="4">
        <v>848.76</v>
      </c>
      <c r="D3026">
        <f t="shared" si="98"/>
        <v>15.256655813062633</v>
      </c>
      <c r="E3026">
        <v>-3.8145092193753172E-3</v>
      </c>
      <c r="F3026">
        <v>3023</v>
      </c>
      <c r="G3026">
        <f t="shared" ca="1" si="99"/>
        <v>1.8163851677108517E-2</v>
      </c>
    </row>
    <row r="3027" spans="2:7" x14ac:dyDescent="0.35">
      <c r="B3027" s="2">
        <v>38303</v>
      </c>
      <c r="C3027" s="4">
        <v>52.21</v>
      </c>
      <c r="D3027">
        <f t="shared" si="98"/>
        <v>-0.93893567251461985</v>
      </c>
      <c r="E3027">
        <v>-3.8160656363288581E-3</v>
      </c>
      <c r="F3027">
        <v>3024</v>
      </c>
      <c r="G3027">
        <f t="shared" ca="1" si="99"/>
        <v>-5.8835309568011961E-3</v>
      </c>
    </row>
    <row r="3028" spans="2:7" x14ac:dyDescent="0.35">
      <c r="B3028" s="2">
        <v>42467</v>
      </c>
      <c r="C3028" s="4">
        <v>855</v>
      </c>
      <c r="D3028">
        <f t="shared" si="98"/>
        <v>28.822113707708404</v>
      </c>
      <c r="E3028">
        <v>-3.8215966817355396E-3</v>
      </c>
      <c r="F3028">
        <v>3025</v>
      </c>
      <c r="G3028">
        <f t="shared" ca="1" si="99"/>
        <v>-2.9378990563871006E-3</v>
      </c>
    </row>
    <row r="3029" spans="2:7" x14ac:dyDescent="0.35">
      <c r="B3029" s="2">
        <v>37865</v>
      </c>
      <c r="C3029" s="4">
        <v>28.67</v>
      </c>
      <c r="D3029">
        <f t="shared" si="98"/>
        <v>-0.67597197106690776</v>
      </c>
      <c r="E3029">
        <v>-3.8220986796385636E-3</v>
      </c>
      <c r="F3029">
        <v>3026</v>
      </c>
      <c r="G3029">
        <f t="shared" ca="1" si="99"/>
        <v>-3.9703561580027476E-2</v>
      </c>
    </row>
    <row r="3030" spans="2:7" x14ac:dyDescent="0.35">
      <c r="B3030" s="2">
        <v>40969</v>
      </c>
      <c r="C3030" s="4">
        <v>88.48</v>
      </c>
      <c r="D3030">
        <f t="shared" si="98"/>
        <v>-0.87143272304562625</v>
      </c>
      <c r="E3030">
        <v>-3.8279666741724006E-3</v>
      </c>
      <c r="F3030">
        <v>3027</v>
      </c>
      <c r="G3030">
        <f t="shared" ca="1" si="99"/>
        <v>-6.1261823357110307E-2</v>
      </c>
    </row>
    <row r="3031" spans="2:7" x14ac:dyDescent="0.35">
      <c r="B3031" s="2">
        <v>42823</v>
      </c>
      <c r="C3031" s="4">
        <v>688.2</v>
      </c>
      <c r="D3031">
        <f t="shared" si="98"/>
        <v>-0.89671164207777387</v>
      </c>
      <c r="E3031">
        <v>-3.8502735720695735E-3</v>
      </c>
      <c r="F3031">
        <v>3028</v>
      </c>
      <c r="G3031">
        <f t="shared" ca="1" si="99"/>
        <v>-2.2958599945031331E-2</v>
      </c>
    </row>
    <row r="3032" spans="2:7" x14ac:dyDescent="0.35">
      <c r="B3032" s="2">
        <v>44974</v>
      </c>
      <c r="C3032" s="4">
        <v>6662.9</v>
      </c>
      <c r="D3032">
        <f t="shared" si="98"/>
        <v>85.318175929524543</v>
      </c>
      <c r="E3032">
        <v>-3.864698187254767E-3</v>
      </c>
      <c r="F3032">
        <v>3029</v>
      </c>
      <c r="G3032">
        <f t="shared" ca="1" si="99"/>
        <v>1.6999208748172248E-2</v>
      </c>
    </row>
    <row r="3033" spans="2:7" x14ac:dyDescent="0.35">
      <c r="B3033" s="2">
        <v>39483</v>
      </c>
      <c r="C3033" s="4">
        <v>77.19</v>
      </c>
      <c r="D3033">
        <f t="shared" si="98"/>
        <v>-0.99112391334345251</v>
      </c>
      <c r="E3033">
        <v>-3.8714672861014376E-3</v>
      </c>
      <c r="F3033">
        <v>3030</v>
      </c>
      <c r="G3033">
        <f t="shared" ca="1" si="99"/>
        <v>-8.3498249290079197E-3</v>
      </c>
    </row>
    <row r="3034" spans="2:7" x14ac:dyDescent="0.35">
      <c r="B3034" s="2">
        <v>44823</v>
      </c>
      <c r="C3034" s="4">
        <v>8696.4</v>
      </c>
      <c r="D3034">
        <f t="shared" si="98"/>
        <v>30.646288209606983</v>
      </c>
      <c r="E3034">
        <v>-3.8830280746365853E-3</v>
      </c>
      <c r="F3034">
        <v>3031</v>
      </c>
      <c r="G3034">
        <f t="shared" ca="1" si="99"/>
        <v>9.2244464013434314E-3</v>
      </c>
    </row>
    <row r="3035" spans="2:7" x14ac:dyDescent="0.35">
      <c r="B3035" s="2">
        <v>41963</v>
      </c>
      <c r="C3035" s="4">
        <v>274.8</v>
      </c>
      <c r="D3035">
        <f t="shared" si="98"/>
        <v>-0.66643198757010025</v>
      </c>
      <c r="E3035">
        <v>-3.9147455415396992E-3</v>
      </c>
      <c r="F3035">
        <v>3032</v>
      </c>
      <c r="G3035">
        <f t="shared" ca="1" si="99"/>
        <v>4.3043716599356359E-2</v>
      </c>
    </row>
    <row r="3036" spans="2:7" x14ac:dyDescent="0.35">
      <c r="B3036" s="2">
        <v>42531</v>
      </c>
      <c r="C3036" s="4">
        <v>823.82</v>
      </c>
      <c r="D3036">
        <f t="shared" si="98"/>
        <v>0.50370532617822072</v>
      </c>
      <c r="E3036">
        <v>-3.9415775982976076E-3</v>
      </c>
      <c r="F3036">
        <v>3033</v>
      </c>
      <c r="G3036">
        <f t="shared" ca="1" si="99"/>
        <v>-1.8278533815443219E-2</v>
      </c>
    </row>
    <row r="3037" spans="2:7" x14ac:dyDescent="0.35">
      <c r="B3037" s="2">
        <v>42191</v>
      </c>
      <c r="C3037" s="4">
        <v>547.86</v>
      </c>
      <c r="D3037">
        <f t="shared" si="98"/>
        <v>4.7128258602711153</v>
      </c>
      <c r="E3037">
        <v>-3.9452393505807759E-3</v>
      </c>
      <c r="F3037">
        <v>3034</v>
      </c>
      <c r="G3037">
        <f t="shared" ca="1" si="99"/>
        <v>2.8432864571236702E-2</v>
      </c>
    </row>
    <row r="3038" spans="2:7" x14ac:dyDescent="0.35">
      <c r="B3038" s="2">
        <v>40952</v>
      </c>
      <c r="C3038" s="4">
        <v>95.9</v>
      </c>
      <c r="D3038">
        <f t="shared" si="98"/>
        <v>-0.86557142656891739</v>
      </c>
      <c r="E3038">
        <v>-3.9468217698379604E-3</v>
      </c>
      <c r="F3038">
        <v>3035</v>
      </c>
      <c r="G3038">
        <f t="shared" ca="1" si="99"/>
        <v>1.1291621593086833E-2</v>
      </c>
    </row>
    <row r="3039" spans="2:7" x14ac:dyDescent="0.35">
      <c r="B3039" s="2">
        <v>42901</v>
      </c>
      <c r="C3039" s="4">
        <v>713.39</v>
      </c>
      <c r="D3039">
        <f t="shared" si="98"/>
        <v>-0.12012974999691661</v>
      </c>
      <c r="E3039">
        <v>-3.9652067073426833E-3</v>
      </c>
      <c r="F3039">
        <v>3036</v>
      </c>
      <c r="G3039">
        <f t="shared" ca="1" si="99"/>
        <v>4.6236224201797686E-3</v>
      </c>
    </row>
    <row r="3040" spans="2:7" x14ac:dyDescent="0.35">
      <c r="B3040" s="2">
        <v>43605</v>
      </c>
      <c r="C3040" s="4">
        <v>810.79</v>
      </c>
      <c r="D3040">
        <f t="shared" si="98"/>
        <v>7.1135795056539575</v>
      </c>
      <c r="E3040">
        <v>-3.9801972900261884E-3</v>
      </c>
      <c r="F3040">
        <v>3037</v>
      </c>
      <c r="G3040">
        <f t="shared" ca="1" si="99"/>
        <v>-1.2469006794894807E-2</v>
      </c>
    </row>
    <row r="3041" spans="2:7" x14ac:dyDescent="0.35">
      <c r="B3041" s="2">
        <v>40449</v>
      </c>
      <c r="C3041" s="4">
        <v>99.93</v>
      </c>
      <c r="D3041">
        <f t="shared" si="98"/>
        <v>-0.880263126362961</v>
      </c>
      <c r="E3041">
        <v>-3.986843416724728E-3</v>
      </c>
      <c r="F3041">
        <v>3038</v>
      </c>
      <c r="G3041">
        <f t="shared" ca="1" si="99"/>
        <v>-2.6052472021242886E-2</v>
      </c>
    </row>
    <row r="3042" spans="2:7" x14ac:dyDescent="0.35">
      <c r="B3042" s="2">
        <v>42310</v>
      </c>
      <c r="C3042" s="4">
        <v>834.58</v>
      </c>
      <c r="D3042">
        <f t="shared" si="98"/>
        <v>9.1703631489154276</v>
      </c>
      <c r="E3042">
        <v>-3.9979473225686402E-3</v>
      </c>
      <c r="F3042">
        <v>3039</v>
      </c>
      <c r="G3042">
        <f t="shared" ca="1" si="99"/>
        <v>4.2389070772122471E-3</v>
      </c>
    </row>
    <row r="3043" spans="2:7" x14ac:dyDescent="0.35">
      <c r="B3043" s="2">
        <v>41373</v>
      </c>
      <c r="C3043" s="4">
        <v>82.06</v>
      </c>
      <c r="D3043">
        <f t="shared" si="98"/>
        <v>6.4746334501103009E-2</v>
      </c>
      <c r="E3043">
        <v>-4.0053404539385218E-3</v>
      </c>
      <c r="F3043">
        <v>3040</v>
      </c>
      <c r="G3043">
        <f t="shared" ca="1" si="99"/>
        <v>-1.5461330281024983E-2</v>
      </c>
    </row>
    <row r="3044" spans="2:7" x14ac:dyDescent="0.35">
      <c r="B3044" s="2">
        <v>41529</v>
      </c>
      <c r="C3044" s="4">
        <v>77.069999999999993</v>
      </c>
      <c r="D3044">
        <f t="shared" si="98"/>
        <v>-0.87381088825214903</v>
      </c>
      <c r="E3044">
        <v>-4.0062031532696052E-3</v>
      </c>
      <c r="F3044">
        <v>3041</v>
      </c>
      <c r="G3044">
        <f t="shared" ca="1" si="99"/>
        <v>1.1693487487537289E-2</v>
      </c>
    </row>
    <row r="3045" spans="2:7" x14ac:dyDescent="0.35">
      <c r="B3045" s="2">
        <v>42657</v>
      </c>
      <c r="C3045" s="4">
        <v>610.75</v>
      </c>
      <c r="D3045">
        <f t="shared" si="98"/>
        <v>-0.7725749394898529</v>
      </c>
      <c r="E3045">
        <v>-4.0116762609873069E-3</v>
      </c>
      <c r="F3045">
        <v>3042</v>
      </c>
      <c r="G3045">
        <f t="shared" ca="1" si="99"/>
        <v>6.7636173373581701E-2</v>
      </c>
    </row>
    <row r="3046" spans="2:7" x14ac:dyDescent="0.35">
      <c r="B3046" s="2">
        <v>44270</v>
      </c>
      <c r="C3046" s="4">
        <v>2685.5</v>
      </c>
      <c r="D3046">
        <f t="shared" si="98"/>
        <v>8.1921957898339901</v>
      </c>
      <c r="E3046">
        <v>-4.0165706719874628E-3</v>
      </c>
      <c r="F3046">
        <v>3043</v>
      </c>
      <c r="G3046">
        <f t="shared" ca="1" si="99"/>
        <v>5.8857567777104254E-3</v>
      </c>
    </row>
    <row r="3047" spans="2:7" x14ac:dyDescent="0.35">
      <c r="B3047" s="2">
        <v>42012</v>
      </c>
      <c r="C3047" s="4">
        <v>292.14999999999998</v>
      </c>
      <c r="D3047">
        <f t="shared" si="98"/>
        <v>-0.66244165087581464</v>
      </c>
      <c r="E3047">
        <v>-4.0227729860566885E-3</v>
      </c>
      <c r="F3047">
        <v>3044</v>
      </c>
      <c r="G3047">
        <f t="shared" ca="1" si="99"/>
        <v>-3.5370932988313758E-2</v>
      </c>
    </row>
    <row r="3048" spans="2:7" x14ac:dyDescent="0.35">
      <c r="B3048" s="2">
        <v>42271</v>
      </c>
      <c r="C3048" s="4">
        <v>865.48</v>
      </c>
      <c r="D3048">
        <f t="shared" si="98"/>
        <v>15.733952049497294</v>
      </c>
      <c r="E3048">
        <v>-4.0391719122199188E-3</v>
      </c>
      <c r="F3048">
        <v>3045</v>
      </c>
      <c r="G3048">
        <f t="shared" ca="1" si="99"/>
        <v>3.3943686821952798E-2</v>
      </c>
    </row>
    <row r="3049" spans="2:7" x14ac:dyDescent="0.35">
      <c r="B3049" s="2">
        <v>38322</v>
      </c>
      <c r="C3049" s="4">
        <v>51.72</v>
      </c>
      <c r="D3049">
        <f t="shared" si="98"/>
        <v>0.91060214259327665</v>
      </c>
      <c r="E3049">
        <v>-4.0439052570768741E-3</v>
      </c>
      <c r="F3049">
        <v>3046</v>
      </c>
      <c r="G3049">
        <f t="shared" ca="1" si="99"/>
        <v>2.1973546434400779E-2</v>
      </c>
    </row>
    <row r="3050" spans="2:7" x14ac:dyDescent="0.35">
      <c r="B3050" s="2">
        <v>38085</v>
      </c>
      <c r="C3050" s="4">
        <v>27.07</v>
      </c>
      <c r="D3050">
        <f t="shared" si="98"/>
        <v>-0.64344046364594309</v>
      </c>
      <c r="E3050">
        <v>-4.0470934510669077E-3</v>
      </c>
      <c r="F3050">
        <v>3047</v>
      </c>
      <c r="G3050">
        <f t="shared" ca="1" si="99"/>
        <v>4.8882790313384751E-2</v>
      </c>
    </row>
    <row r="3051" spans="2:7" x14ac:dyDescent="0.35">
      <c r="B3051" s="2">
        <v>41512</v>
      </c>
      <c r="C3051" s="4">
        <v>75.92</v>
      </c>
      <c r="D3051">
        <f t="shared" si="98"/>
        <v>-0.91124205013093906</v>
      </c>
      <c r="E3051">
        <v>-4.0666404302768244E-3</v>
      </c>
      <c r="F3051">
        <v>3048</v>
      </c>
      <c r="G3051">
        <f t="shared" ca="1" si="99"/>
        <v>-1.5103315803739931E-2</v>
      </c>
    </row>
    <row r="3052" spans="2:7" x14ac:dyDescent="0.35">
      <c r="B3052" s="2">
        <v>43083</v>
      </c>
      <c r="C3052" s="4">
        <v>855.36</v>
      </c>
      <c r="D3052">
        <f t="shared" si="98"/>
        <v>28.173260572987722</v>
      </c>
      <c r="E3052">
        <v>-4.0751694106140324E-3</v>
      </c>
      <c r="F3052">
        <v>3049</v>
      </c>
      <c r="G3052">
        <f t="shared" ca="1" si="99"/>
        <v>3.6087930114808667E-2</v>
      </c>
    </row>
    <row r="3053" spans="2:7" x14ac:dyDescent="0.35">
      <c r="B3053" s="2">
        <v>38049</v>
      </c>
      <c r="C3053" s="4">
        <v>29.32</v>
      </c>
      <c r="D3053">
        <f t="shared" si="98"/>
        <v>-0.94946744338354416</v>
      </c>
      <c r="E3053">
        <v>-4.0760869565217295E-3</v>
      </c>
      <c r="F3053">
        <v>3050</v>
      </c>
      <c r="G3053">
        <f t="shared" ca="1" si="99"/>
        <v>-2.2987600217693509E-2</v>
      </c>
    </row>
    <row r="3054" spans="2:7" x14ac:dyDescent="0.35">
      <c r="B3054" s="2">
        <v>42703</v>
      </c>
      <c r="C3054" s="4">
        <v>580.22</v>
      </c>
      <c r="D3054">
        <f t="shared" si="98"/>
        <v>-0.1039488517906505</v>
      </c>
      <c r="E3054">
        <v>-4.0851355990387805E-3</v>
      </c>
      <c r="F3054">
        <v>3051</v>
      </c>
      <c r="G3054">
        <f t="shared" ca="1" si="99"/>
        <v>-3.0851717788168486E-2</v>
      </c>
    </row>
    <row r="3055" spans="2:7" x14ac:dyDescent="0.35">
      <c r="B3055" s="2">
        <v>42748</v>
      </c>
      <c r="C3055" s="4">
        <v>647.53</v>
      </c>
      <c r="D3055">
        <f t="shared" si="98"/>
        <v>9.6694677871148453</v>
      </c>
      <c r="E3055">
        <v>-4.0911118288501358E-3</v>
      </c>
      <c r="F3055">
        <v>3052</v>
      </c>
      <c r="G3055">
        <f t="shared" ca="1" si="99"/>
        <v>-1.4164912305289788E-2</v>
      </c>
    </row>
    <row r="3056" spans="2:7" x14ac:dyDescent="0.35">
      <c r="B3056" s="2">
        <v>39525</v>
      </c>
      <c r="C3056" s="4">
        <v>60.69</v>
      </c>
      <c r="D3056">
        <f t="shared" si="98"/>
        <v>-0.10697469099470269</v>
      </c>
      <c r="E3056">
        <v>-4.1023957991467297E-3</v>
      </c>
      <c r="F3056">
        <v>3053</v>
      </c>
      <c r="G3056">
        <f t="shared" ca="1" si="99"/>
        <v>3.6234493775496118E-2</v>
      </c>
    </row>
    <row r="3057" spans="2:7" x14ac:dyDescent="0.35">
      <c r="B3057" s="2">
        <v>40099</v>
      </c>
      <c r="C3057" s="4">
        <v>67.959999999999994</v>
      </c>
      <c r="D3057">
        <f t="shared" si="98"/>
        <v>0.76244813278008272</v>
      </c>
      <c r="E3057">
        <v>-4.1031652989449441E-3</v>
      </c>
      <c r="F3057">
        <v>3054</v>
      </c>
      <c r="G3057">
        <f t="shared" ca="1" si="99"/>
        <v>-1.6695996263997828E-2</v>
      </c>
    </row>
    <row r="3058" spans="2:7" x14ac:dyDescent="0.35">
      <c r="B3058" s="2">
        <v>38000</v>
      </c>
      <c r="C3058" s="4">
        <v>38.56</v>
      </c>
      <c r="D3058">
        <f t="shared" si="98"/>
        <v>-0.94982172136480758</v>
      </c>
      <c r="E3058">
        <v>-4.1322314049585529E-3</v>
      </c>
      <c r="F3058">
        <v>3055</v>
      </c>
      <c r="G3058">
        <f t="shared" ca="1" si="99"/>
        <v>-2.6786454440012319E-3</v>
      </c>
    </row>
    <row r="3059" spans="2:7" x14ac:dyDescent="0.35">
      <c r="B3059" s="2">
        <v>42593</v>
      </c>
      <c r="C3059" s="4">
        <v>768.46</v>
      </c>
      <c r="D3059">
        <f t="shared" si="98"/>
        <v>7.3993879112471319</v>
      </c>
      <c r="E3059">
        <v>-4.1339985744831553E-3</v>
      </c>
      <c r="F3059">
        <v>3056</v>
      </c>
      <c r="G3059">
        <f t="shared" ca="1" si="99"/>
        <v>-7.1954967266266753E-2</v>
      </c>
    </row>
    <row r="3060" spans="2:7" x14ac:dyDescent="0.35">
      <c r="B3060" s="2">
        <v>41087</v>
      </c>
      <c r="C3060" s="4">
        <v>91.49</v>
      </c>
      <c r="D3060">
        <f t="shared" si="98"/>
        <v>-0.15427990386393053</v>
      </c>
      <c r="E3060">
        <v>-4.1362795254165086E-3</v>
      </c>
      <c r="F3060">
        <v>3057</v>
      </c>
      <c r="G3060">
        <f t="shared" ca="1" si="99"/>
        <v>4.0366072383891831E-2</v>
      </c>
    </row>
    <row r="3061" spans="2:7" x14ac:dyDescent="0.35">
      <c r="B3061" s="2">
        <v>39356</v>
      </c>
      <c r="C3061" s="4">
        <v>108.18</v>
      </c>
      <c r="D3061">
        <f t="shared" si="98"/>
        <v>7.278857596192001E-2</v>
      </c>
      <c r="E3061">
        <v>-4.1425020712508864E-3</v>
      </c>
      <c r="F3061">
        <v>3058</v>
      </c>
      <c r="G3061">
        <f t="shared" ca="1" si="99"/>
        <v>1.7900111445632214E-3</v>
      </c>
    </row>
    <row r="3062" spans="2:7" x14ac:dyDescent="0.35">
      <c r="B3062" s="2">
        <v>40751</v>
      </c>
      <c r="C3062" s="4">
        <v>100.84</v>
      </c>
      <c r="D3062">
        <f t="shared" si="98"/>
        <v>-0.85157054961876999</v>
      </c>
      <c r="E3062">
        <v>-4.1477384949635265E-3</v>
      </c>
      <c r="F3062">
        <v>3059</v>
      </c>
      <c r="G3062">
        <f t="shared" ca="1" si="99"/>
        <v>-7.5103166182795417E-3</v>
      </c>
    </row>
    <row r="3063" spans="2:7" x14ac:dyDescent="0.35">
      <c r="B3063" s="2">
        <v>42772</v>
      </c>
      <c r="C3063" s="4">
        <v>679.38</v>
      </c>
      <c r="D3063">
        <f t="shared" si="98"/>
        <v>12.498509835088417</v>
      </c>
      <c r="E3063">
        <v>-4.1482827868252192E-3</v>
      </c>
      <c r="F3063">
        <v>3060</v>
      </c>
      <c r="G3063">
        <f t="shared" ca="1" si="99"/>
        <v>-2.4659300080391491E-3</v>
      </c>
    </row>
    <row r="3064" spans="2:7" x14ac:dyDescent="0.35">
      <c r="B3064" s="2">
        <v>38257</v>
      </c>
      <c r="C3064" s="4">
        <v>50.33</v>
      </c>
      <c r="D3064">
        <f t="shared" si="98"/>
        <v>-0.71184014657047978</v>
      </c>
      <c r="E3064">
        <v>-4.1551246537396835E-3</v>
      </c>
      <c r="F3064">
        <v>3061</v>
      </c>
      <c r="G3064">
        <f t="shared" ca="1" si="99"/>
        <v>-1.1331377836407676E-2</v>
      </c>
    </row>
    <row r="3065" spans="2:7" x14ac:dyDescent="0.35">
      <c r="B3065" s="2">
        <v>41648</v>
      </c>
      <c r="C3065" s="4">
        <v>174.66</v>
      </c>
      <c r="D3065">
        <f t="shared" si="98"/>
        <v>0.78406537282941757</v>
      </c>
      <c r="E3065">
        <v>-4.1621529163577975E-3</v>
      </c>
      <c r="F3065">
        <v>3062</v>
      </c>
      <c r="G3065">
        <f t="shared" ca="1" si="99"/>
        <v>2.360166450794696E-2</v>
      </c>
    </row>
    <row r="3066" spans="2:7" x14ac:dyDescent="0.35">
      <c r="B3066" s="2">
        <v>40427</v>
      </c>
      <c r="C3066" s="4">
        <v>97.9</v>
      </c>
      <c r="D3066">
        <f t="shared" si="98"/>
        <v>0.52349828820417055</v>
      </c>
      <c r="E3066">
        <v>-4.1704811311158441E-3</v>
      </c>
      <c r="F3066">
        <v>3063</v>
      </c>
      <c r="G3066">
        <f t="shared" ca="1" si="99"/>
        <v>-7.778929203522461E-4</v>
      </c>
    </row>
    <row r="3067" spans="2:7" x14ac:dyDescent="0.35">
      <c r="B3067" s="2">
        <v>38798</v>
      </c>
      <c r="C3067" s="4">
        <v>64.260000000000005</v>
      </c>
      <c r="D3067">
        <f t="shared" si="98"/>
        <v>-0.982180837051436</v>
      </c>
      <c r="E3067">
        <v>-4.1841004184099972E-3</v>
      </c>
      <c r="F3067">
        <v>3064</v>
      </c>
      <c r="G3067">
        <f t="shared" ca="1" si="99"/>
        <v>-2.0802388819770645E-2</v>
      </c>
    </row>
    <row r="3068" spans="2:7" x14ac:dyDescent="0.35">
      <c r="B3068" s="2">
        <v>44368</v>
      </c>
      <c r="C3068" s="4">
        <v>3606.23</v>
      </c>
      <c r="D3068">
        <f t="shared" si="98"/>
        <v>38.181116905693173</v>
      </c>
      <c r="E3068">
        <v>-4.2164848819550294E-3</v>
      </c>
      <c r="F3068">
        <v>3065</v>
      </c>
      <c r="G3068">
        <f t="shared" ca="1" si="99"/>
        <v>-4.4881368357778629E-3</v>
      </c>
    </row>
    <row r="3069" spans="2:7" x14ac:dyDescent="0.35">
      <c r="B3069" s="2">
        <v>41239</v>
      </c>
      <c r="C3069" s="4">
        <v>92.04</v>
      </c>
      <c r="D3069">
        <f t="shared" si="98"/>
        <v>0.14849014225106072</v>
      </c>
      <c r="E3069">
        <v>-4.2194092827004814E-3</v>
      </c>
      <c r="F3069">
        <v>3066</v>
      </c>
      <c r="G3069">
        <f t="shared" ca="1" si="99"/>
        <v>-4.0055426114113141E-2</v>
      </c>
    </row>
    <row r="3070" spans="2:7" x14ac:dyDescent="0.35">
      <c r="B3070" s="2">
        <v>41444</v>
      </c>
      <c r="C3070" s="4">
        <v>80.14</v>
      </c>
      <c r="D3070">
        <f t="shared" si="98"/>
        <v>-0.98826088548723767</v>
      </c>
      <c r="E3070">
        <v>-4.2246520874752447E-3</v>
      </c>
      <c r="F3070">
        <v>3067</v>
      </c>
      <c r="G3070">
        <f t="shared" ca="1" si="99"/>
        <v>5.6830442330455574E-2</v>
      </c>
    </row>
    <row r="3071" spans="2:7" x14ac:dyDescent="0.35">
      <c r="B3071" s="2">
        <v>44887</v>
      </c>
      <c r="C3071" s="4">
        <v>6826.75</v>
      </c>
      <c r="D3071">
        <f t="shared" si="98"/>
        <v>59.467227635075282</v>
      </c>
      <c r="E3071">
        <v>-4.2300258906756705E-3</v>
      </c>
      <c r="F3071">
        <v>3068</v>
      </c>
      <c r="G3071">
        <f t="shared" ca="1" si="99"/>
        <v>-1.7221648597347802E-2</v>
      </c>
    </row>
    <row r="3072" spans="2:7" x14ac:dyDescent="0.35">
      <c r="B3072" s="2">
        <v>40372</v>
      </c>
      <c r="C3072" s="4">
        <v>112.9</v>
      </c>
      <c r="D3072">
        <f t="shared" si="98"/>
        <v>0.23092019188835589</v>
      </c>
      <c r="E3072">
        <v>-4.2335508908095676E-3</v>
      </c>
      <c r="F3072">
        <v>3069</v>
      </c>
      <c r="G3072">
        <f t="shared" ca="1" si="99"/>
        <v>1.9204061833421694E-2</v>
      </c>
    </row>
    <row r="3073" spans="2:7" x14ac:dyDescent="0.35">
      <c r="B3073" s="2">
        <v>41157</v>
      </c>
      <c r="C3073" s="4">
        <v>91.72</v>
      </c>
      <c r="D3073">
        <f t="shared" si="98"/>
        <v>-9.2150846283282184E-2</v>
      </c>
      <c r="E3073">
        <v>-4.2340679622191457E-3</v>
      </c>
      <c r="F3073">
        <v>3070</v>
      </c>
      <c r="G3073">
        <f t="shared" ca="1" si="99"/>
        <v>-2.453381784697739E-2</v>
      </c>
    </row>
    <row r="3074" spans="2:7" x14ac:dyDescent="0.35">
      <c r="B3074" s="2">
        <v>40443</v>
      </c>
      <c r="C3074" s="4">
        <v>101.03</v>
      </c>
      <c r="D3074">
        <f t="shared" si="98"/>
        <v>3.3064791133844844</v>
      </c>
      <c r="E3074">
        <v>-4.2381233983834754E-3</v>
      </c>
      <c r="F3074">
        <v>3071</v>
      </c>
      <c r="G3074">
        <f t="shared" ca="1" si="99"/>
        <v>-2.7930288197284901E-2</v>
      </c>
    </row>
    <row r="3075" spans="2:7" x14ac:dyDescent="0.35">
      <c r="B3075" s="2">
        <v>37796</v>
      </c>
      <c r="C3075" s="4">
        <v>23.46</v>
      </c>
      <c r="D3075">
        <f t="shared" si="98"/>
        <v>-0.54464285714285721</v>
      </c>
      <c r="E3075">
        <v>-4.2444821731747462E-3</v>
      </c>
      <c r="F3075">
        <v>3072</v>
      </c>
      <c r="G3075">
        <f t="shared" ca="1" si="99"/>
        <v>7.4753423053192502E-3</v>
      </c>
    </row>
    <row r="3076" spans="2:7" x14ac:dyDescent="0.35">
      <c r="B3076" s="2">
        <v>38882</v>
      </c>
      <c r="C3076" s="4">
        <v>51.52</v>
      </c>
      <c r="D3076">
        <f t="shared" ref="D3076:D3139" si="100">C3076/C3077-1</f>
        <v>-0.93401216778738394</v>
      </c>
      <c r="E3076">
        <v>-4.2520293776574514E-3</v>
      </c>
      <c r="F3076">
        <v>3073</v>
      </c>
      <c r="G3076">
        <f t="shared" ca="1" si="99"/>
        <v>4.0163728670921266E-2</v>
      </c>
    </row>
    <row r="3077" spans="2:7" x14ac:dyDescent="0.35">
      <c r="B3077" s="2">
        <v>42935</v>
      </c>
      <c r="C3077" s="4">
        <v>780.75</v>
      </c>
      <c r="D3077">
        <f t="shared" si="100"/>
        <v>-0.86636805225124691</v>
      </c>
      <c r="E3077">
        <v>-4.2597150837276887E-3</v>
      </c>
      <c r="F3077">
        <v>3074</v>
      </c>
      <c r="G3077">
        <f t="shared" ref="G3077:G3140" ca="1" si="101">_xlfn.NORM.INV(RAND(),K$6,K$7)</f>
        <v>-2.7979958974194596E-2</v>
      </c>
    </row>
    <row r="3078" spans="2:7" x14ac:dyDescent="0.35">
      <c r="B3078" s="2">
        <v>44498</v>
      </c>
      <c r="C3078" s="4">
        <v>5842.54</v>
      </c>
      <c r="D3078">
        <f t="shared" si="100"/>
        <v>57.320423238171287</v>
      </c>
      <c r="E3078">
        <v>-4.2726084385293905E-3</v>
      </c>
      <c r="F3078">
        <v>3075</v>
      </c>
      <c r="G3078">
        <f t="shared" ca="1" si="101"/>
        <v>2.9007078453546182E-2</v>
      </c>
    </row>
    <row r="3079" spans="2:7" x14ac:dyDescent="0.35">
      <c r="B3079" s="2">
        <v>40171</v>
      </c>
      <c r="C3079" s="4">
        <v>100.18</v>
      </c>
      <c r="D3079">
        <f t="shared" si="100"/>
        <v>-4.3445049174066663E-2</v>
      </c>
      <c r="E3079">
        <v>-4.2739290328992485E-3</v>
      </c>
      <c r="F3079">
        <v>3076</v>
      </c>
      <c r="G3079">
        <f t="shared" ca="1" si="101"/>
        <v>1.1770369494790928E-2</v>
      </c>
    </row>
    <row r="3080" spans="2:7" x14ac:dyDescent="0.35">
      <c r="B3080" s="2">
        <v>40388</v>
      </c>
      <c r="C3080" s="4">
        <v>104.73</v>
      </c>
      <c r="D3080">
        <f t="shared" si="100"/>
        <v>7.980204144757197E-2</v>
      </c>
      <c r="E3080">
        <v>-4.2783799201369099E-3</v>
      </c>
      <c r="F3080">
        <v>3077</v>
      </c>
      <c r="G3080">
        <f t="shared" ca="1" si="101"/>
        <v>-1.1794785650601073E-3</v>
      </c>
    </row>
    <row r="3081" spans="2:7" x14ac:dyDescent="0.35">
      <c r="B3081" s="2">
        <v>40758</v>
      </c>
      <c r="C3081" s="4">
        <v>96.99</v>
      </c>
      <c r="D3081">
        <f t="shared" si="100"/>
        <v>1.0014444903012794</v>
      </c>
      <c r="E3081">
        <v>-4.3116723129041912E-3</v>
      </c>
      <c r="F3081">
        <v>3078</v>
      </c>
      <c r="G3081">
        <f t="shared" ca="1" si="101"/>
        <v>-9.8994737562104942E-3</v>
      </c>
    </row>
    <row r="3082" spans="2:7" x14ac:dyDescent="0.35">
      <c r="B3082" s="2">
        <v>40007</v>
      </c>
      <c r="C3082" s="4">
        <v>48.46</v>
      </c>
      <c r="D3082">
        <f t="shared" si="100"/>
        <v>-0.58725832552593471</v>
      </c>
      <c r="E3082">
        <v>-4.3147729607561081E-3</v>
      </c>
      <c r="F3082">
        <v>3079</v>
      </c>
      <c r="G3082">
        <f t="shared" ca="1" si="101"/>
        <v>-4.6109523413951851E-2</v>
      </c>
    </row>
    <row r="3083" spans="2:7" x14ac:dyDescent="0.35">
      <c r="B3083" s="2">
        <v>39283</v>
      </c>
      <c r="C3083" s="4">
        <v>117.41</v>
      </c>
      <c r="D3083">
        <f t="shared" si="100"/>
        <v>-0.9803720631651448</v>
      </c>
      <c r="E3083">
        <v>-4.3249660786974786E-3</v>
      </c>
      <c r="F3083">
        <v>3080</v>
      </c>
      <c r="G3083">
        <f t="shared" ca="1" si="101"/>
        <v>2.7603332111832961E-2</v>
      </c>
    </row>
    <row r="3084" spans="2:7" x14ac:dyDescent="0.35">
      <c r="B3084" s="2">
        <v>44524</v>
      </c>
      <c r="C3084" s="4">
        <v>5981.78</v>
      </c>
      <c r="D3084">
        <f t="shared" si="100"/>
        <v>63.02418923258054</v>
      </c>
      <c r="E3084">
        <v>-4.3393227194421513E-3</v>
      </c>
      <c r="F3084">
        <v>3081</v>
      </c>
      <c r="G3084">
        <f t="shared" ca="1" si="101"/>
        <v>-3.2984906859833622E-2</v>
      </c>
    </row>
    <row r="3085" spans="2:7" x14ac:dyDescent="0.35">
      <c r="B3085" s="2">
        <v>39127</v>
      </c>
      <c r="C3085" s="4">
        <v>93.43</v>
      </c>
      <c r="D3085">
        <f t="shared" si="100"/>
        <v>0.24258545019284483</v>
      </c>
      <c r="E3085">
        <v>-4.3691389599317398E-3</v>
      </c>
      <c r="F3085">
        <v>3082</v>
      </c>
      <c r="G3085">
        <f t="shared" ca="1" si="101"/>
        <v>1.0683675513774348E-2</v>
      </c>
    </row>
    <row r="3086" spans="2:7" x14ac:dyDescent="0.35">
      <c r="B3086" s="2">
        <v>41506</v>
      </c>
      <c r="C3086" s="4">
        <v>75.19</v>
      </c>
      <c r="D3086">
        <f t="shared" si="100"/>
        <v>-0.89991347753743756</v>
      </c>
      <c r="E3086">
        <v>-4.3697033898304483E-3</v>
      </c>
      <c r="F3086">
        <v>3083</v>
      </c>
      <c r="G3086">
        <f t="shared" ca="1" si="101"/>
        <v>9.9575029946519164E-3</v>
      </c>
    </row>
    <row r="3087" spans="2:7" x14ac:dyDescent="0.35">
      <c r="B3087" s="2">
        <v>42585</v>
      </c>
      <c r="C3087" s="4">
        <v>751.25</v>
      </c>
      <c r="D3087">
        <f t="shared" si="100"/>
        <v>10.43455098934551</v>
      </c>
      <c r="E3087">
        <v>-4.3866624257844489E-3</v>
      </c>
      <c r="F3087">
        <v>3084</v>
      </c>
      <c r="G3087">
        <f t="shared" ca="1" si="101"/>
        <v>-2.7828948325966264E-2</v>
      </c>
    </row>
    <row r="3088" spans="2:7" x14ac:dyDescent="0.35">
      <c r="B3088" s="2">
        <v>38807</v>
      </c>
      <c r="C3088" s="4">
        <v>65.7</v>
      </c>
      <c r="D3088">
        <f t="shared" si="100"/>
        <v>1.2331747110808973</v>
      </c>
      <c r="E3088">
        <v>-4.3946052432185523E-3</v>
      </c>
      <c r="F3088">
        <v>3085</v>
      </c>
      <c r="G3088">
        <f t="shared" ca="1" si="101"/>
        <v>-3.3186004289848574E-2</v>
      </c>
    </row>
    <row r="3089" spans="2:7" x14ac:dyDescent="0.35">
      <c r="B3089" s="2">
        <v>37630</v>
      </c>
      <c r="C3089" s="4">
        <v>29.42</v>
      </c>
      <c r="D3089">
        <f t="shared" si="100"/>
        <v>-0.53456731529821222</v>
      </c>
      <c r="E3089">
        <v>-4.3993231810490752E-3</v>
      </c>
      <c r="F3089">
        <v>3086</v>
      </c>
      <c r="G3089">
        <f t="shared" ca="1" si="101"/>
        <v>-2.2612035450400924E-2</v>
      </c>
    </row>
    <row r="3090" spans="2:7" x14ac:dyDescent="0.35">
      <c r="B3090" s="2">
        <v>39661</v>
      </c>
      <c r="C3090" s="4">
        <v>63.21</v>
      </c>
      <c r="D3090">
        <f t="shared" si="100"/>
        <v>0.2183885890516577</v>
      </c>
      <c r="E3090">
        <v>-4.4101433296582782E-3</v>
      </c>
      <c r="F3090">
        <v>3087</v>
      </c>
      <c r="G3090">
        <f t="shared" ca="1" si="101"/>
        <v>7.6565602042669824E-3</v>
      </c>
    </row>
    <row r="3091" spans="2:7" x14ac:dyDescent="0.35">
      <c r="B3091" s="2">
        <v>38320</v>
      </c>
      <c r="C3091" s="4">
        <v>51.88</v>
      </c>
      <c r="D3091">
        <f t="shared" si="100"/>
        <v>-0.47622412922766277</v>
      </c>
      <c r="E3091">
        <v>-4.4137401650354846E-3</v>
      </c>
      <c r="F3091">
        <v>3088</v>
      </c>
      <c r="G3091">
        <f t="shared" ca="1" si="101"/>
        <v>-6.6543985369017077E-3</v>
      </c>
    </row>
    <row r="3092" spans="2:7" x14ac:dyDescent="0.35">
      <c r="B3092" s="2">
        <v>40756</v>
      </c>
      <c r="C3092" s="4">
        <v>99.05</v>
      </c>
      <c r="D3092">
        <f t="shared" si="100"/>
        <v>-0.87402546199142783</v>
      </c>
      <c r="E3092">
        <v>-4.422555030656361E-3</v>
      </c>
      <c r="F3092">
        <v>3089</v>
      </c>
      <c r="G3092">
        <f t="shared" ca="1" si="101"/>
        <v>9.5582813523599174E-3</v>
      </c>
    </row>
    <row r="3093" spans="2:7" x14ac:dyDescent="0.35">
      <c r="B3093" s="2">
        <v>42937</v>
      </c>
      <c r="C3093" s="4">
        <v>786.27</v>
      </c>
      <c r="D3093">
        <f t="shared" si="100"/>
        <v>2.869824749368588E-3</v>
      </c>
      <c r="E3093">
        <v>-4.4316699798675474E-3</v>
      </c>
      <c r="F3093">
        <v>3090</v>
      </c>
      <c r="G3093">
        <f t="shared" ca="1" si="101"/>
        <v>1.790714131920737E-2</v>
      </c>
    </row>
    <row r="3094" spans="2:7" x14ac:dyDescent="0.35">
      <c r="B3094" s="2">
        <v>43780</v>
      </c>
      <c r="C3094" s="4">
        <v>784.02</v>
      </c>
      <c r="D3094">
        <f t="shared" si="100"/>
        <v>0.18274800868935559</v>
      </c>
      <c r="E3094">
        <v>-4.4316897563205782E-3</v>
      </c>
      <c r="F3094">
        <v>3091</v>
      </c>
      <c r="G3094">
        <f t="shared" ca="1" si="101"/>
        <v>1.5506388389486212E-2</v>
      </c>
    </row>
    <row r="3095" spans="2:7" x14ac:dyDescent="0.35">
      <c r="B3095" s="2">
        <v>43735</v>
      </c>
      <c r="C3095" s="4">
        <v>662.88</v>
      </c>
      <c r="D3095">
        <f t="shared" si="100"/>
        <v>-0.86640143659570357</v>
      </c>
      <c r="E3095">
        <v>-4.4455124354200182E-3</v>
      </c>
      <c r="F3095">
        <v>3092</v>
      </c>
      <c r="G3095">
        <f t="shared" ca="1" si="101"/>
        <v>2.0607520689273129E-2</v>
      </c>
    </row>
    <row r="3096" spans="2:7" x14ac:dyDescent="0.35">
      <c r="B3096" s="2">
        <v>44453</v>
      </c>
      <c r="C3096" s="4">
        <v>4961.7299999999996</v>
      </c>
      <c r="D3096">
        <f t="shared" si="100"/>
        <v>-0.20649773306999097</v>
      </c>
      <c r="E3096">
        <v>-4.4523186568004025E-3</v>
      </c>
      <c r="F3096">
        <v>3093</v>
      </c>
      <c r="G3096">
        <f t="shared" ca="1" si="101"/>
        <v>5.9079492438810173E-2</v>
      </c>
    </row>
    <row r="3097" spans="2:7" x14ac:dyDescent="0.35">
      <c r="B3097" s="2">
        <v>45040</v>
      </c>
      <c r="C3097" s="4">
        <v>6252.95</v>
      </c>
      <c r="D3097">
        <f t="shared" si="100"/>
        <v>62.968797953964192</v>
      </c>
      <c r="E3097">
        <v>-4.4658493870403104E-3</v>
      </c>
      <c r="F3097">
        <v>3094</v>
      </c>
      <c r="G3097">
        <f t="shared" ca="1" si="101"/>
        <v>-3.2440922358421449E-2</v>
      </c>
    </row>
    <row r="3098" spans="2:7" x14ac:dyDescent="0.35">
      <c r="B3098" s="2">
        <v>41172</v>
      </c>
      <c r="C3098" s="4">
        <v>97.75</v>
      </c>
      <c r="D3098">
        <f t="shared" si="100"/>
        <v>-0.97227209934956449</v>
      </c>
      <c r="E3098">
        <v>-4.4811080558101457E-3</v>
      </c>
      <c r="F3098">
        <v>3095</v>
      </c>
      <c r="G3098">
        <f t="shared" ca="1" si="101"/>
        <v>-4.8978510227623402E-2</v>
      </c>
    </row>
    <row r="3099" spans="2:7" x14ac:dyDescent="0.35">
      <c r="B3099" s="2">
        <v>44341</v>
      </c>
      <c r="C3099" s="4">
        <v>3525.33</v>
      </c>
      <c r="D3099">
        <f t="shared" si="100"/>
        <v>36.097021993054824</v>
      </c>
      <c r="E3099">
        <v>-4.4927765415503362E-3</v>
      </c>
      <c r="F3099">
        <v>3096</v>
      </c>
      <c r="G3099">
        <f t="shared" ca="1" si="101"/>
        <v>-1.8983683142360031E-2</v>
      </c>
    </row>
    <row r="3100" spans="2:7" x14ac:dyDescent="0.35">
      <c r="B3100" s="2">
        <v>41222</v>
      </c>
      <c r="C3100" s="4">
        <v>95.03</v>
      </c>
      <c r="D3100">
        <f t="shared" si="100"/>
        <v>3.3</v>
      </c>
      <c r="E3100">
        <v>-4.5045045045044585E-3</v>
      </c>
      <c r="F3100">
        <v>3097</v>
      </c>
      <c r="G3100">
        <f t="shared" ca="1" si="101"/>
        <v>-3.6096001019064197E-2</v>
      </c>
    </row>
    <row r="3101" spans="2:7" x14ac:dyDescent="0.35">
      <c r="B3101" s="2">
        <v>37707</v>
      </c>
      <c r="C3101" s="4">
        <v>22.1</v>
      </c>
      <c r="D3101">
        <f t="shared" si="100"/>
        <v>-0.70442690918817696</v>
      </c>
      <c r="E3101">
        <v>-4.5045045045044585E-3</v>
      </c>
      <c r="F3101">
        <v>3098</v>
      </c>
      <c r="G3101">
        <f t="shared" ca="1" si="101"/>
        <v>-1.9140355430257581E-2</v>
      </c>
    </row>
    <row r="3102" spans="2:7" x14ac:dyDescent="0.35">
      <c r="B3102" s="2">
        <v>38698</v>
      </c>
      <c r="C3102" s="4">
        <v>74.77</v>
      </c>
      <c r="D3102">
        <f t="shared" si="100"/>
        <v>-0.97987581518155364</v>
      </c>
      <c r="E3102">
        <v>-4.5266941818666862E-3</v>
      </c>
      <c r="F3102">
        <v>3099</v>
      </c>
      <c r="G3102">
        <f t="shared" ca="1" si="101"/>
        <v>-5.6684055207415563E-3</v>
      </c>
    </row>
    <row r="3103" spans="2:7" x14ac:dyDescent="0.35">
      <c r="B3103" s="2">
        <v>44364</v>
      </c>
      <c r="C3103" s="4">
        <v>3715.43</v>
      </c>
      <c r="D3103">
        <f t="shared" si="100"/>
        <v>0.46471682790484969</v>
      </c>
      <c r="E3103">
        <v>-4.5573405064783801E-3</v>
      </c>
      <c r="F3103">
        <v>3100</v>
      </c>
      <c r="G3103">
        <f t="shared" ca="1" si="101"/>
        <v>2.2456760163915089E-2</v>
      </c>
    </row>
    <row r="3104" spans="2:7" x14ac:dyDescent="0.35">
      <c r="B3104" s="2">
        <v>44218</v>
      </c>
      <c r="C3104" s="4">
        <v>2536.62</v>
      </c>
      <c r="D3104">
        <f t="shared" si="100"/>
        <v>2.3160598731943263</v>
      </c>
      <c r="E3104">
        <v>-4.5600100461494764E-3</v>
      </c>
      <c r="F3104">
        <v>3101</v>
      </c>
      <c r="G3104">
        <f t="shared" ca="1" si="101"/>
        <v>2.3087871583566545E-2</v>
      </c>
    </row>
    <row r="3105" spans="2:7" x14ac:dyDescent="0.35">
      <c r="B3105" s="2">
        <v>42594</v>
      </c>
      <c r="C3105" s="4">
        <v>764.95</v>
      </c>
      <c r="D3105">
        <f t="shared" si="100"/>
        <v>0.13324247048191884</v>
      </c>
      <c r="E3105">
        <v>-4.567576711865251E-3</v>
      </c>
      <c r="F3105">
        <v>3102</v>
      </c>
      <c r="G3105">
        <f t="shared" ca="1" si="101"/>
        <v>1.4987132105081158E-2</v>
      </c>
    </row>
    <row r="3106" spans="2:7" x14ac:dyDescent="0.35">
      <c r="B3106" s="2">
        <v>42783</v>
      </c>
      <c r="C3106" s="4">
        <v>675.01</v>
      </c>
      <c r="D3106">
        <f t="shared" si="100"/>
        <v>10.094838921761998</v>
      </c>
      <c r="E3106">
        <v>-4.5715296928227067E-3</v>
      </c>
      <c r="F3106">
        <v>3103</v>
      </c>
      <c r="G3106">
        <f t="shared" ca="1" si="101"/>
        <v>-2.8329726053529528E-2</v>
      </c>
    </row>
    <row r="3107" spans="2:7" x14ac:dyDescent="0.35">
      <c r="B3107" s="2">
        <v>39680</v>
      </c>
      <c r="C3107" s="4">
        <v>60.84</v>
      </c>
      <c r="D3107">
        <f t="shared" si="100"/>
        <v>-0.99027723620371144</v>
      </c>
      <c r="E3107">
        <v>-4.5811518324606615E-3</v>
      </c>
      <c r="F3107">
        <v>3104</v>
      </c>
      <c r="G3107">
        <f t="shared" ca="1" si="101"/>
        <v>3.2565252953297825E-2</v>
      </c>
    </row>
    <row r="3108" spans="2:7" x14ac:dyDescent="0.35">
      <c r="B3108" s="2">
        <v>44488</v>
      </c>
      <c r="C3108" s="4">
        <v>6257.48</v>
      </c>
      <c r="D3108">
        <f t="shared" si="100"/>
        <v>73.061782459462663</v>
      </c>
      <c r="E3108">
        <v>-4.5814058552912096E-3</v>
      </c>
      <c r="F3108">
        <v>3105</v>
      </c>
      <c r="G3108">
        <f t="shared" ca="1" si="101"/>
        <v>-2.514871599594079E-2</v>
      </c>
    </row>
    <row r="3109" spans="2:7" x14ac:dyDescent="0.35">
      <c r="B3109" s="2">
        <v>41400</v>
      </c>
      <c r="C3109" s="4">
        <v>84.49</v>
      </c>
      <c r="D3109">
        <f t="shared" si="100"/>
        <v>0.18366489212664616</v>
      </c>
      <c r="E3109">
        <v>-4.5947219604146605E-3</v>
      </c>
      <c r="F3109">
        <v>3106</v>
      </c>
      <c r="G3109">
        <f t="shared" ca="1" si="101"/>
        <v>-1.4602032747215592E-2</v>
      </c>
    </row>
    <row r="3110" spans="2:7" x14ac:dyDescent="0.35">
      <c r="B3110" s="2">
        <v>38730</v>
      </c>
      <c r="C3110" s="4">
        <v>71.38</v>
      </c>
      <c r="D3110">
        <f t="shared" si="100"/>
        <v>0.18120139003806046</v>
      </c>
      <c r="E3110">
        <v>-4.6018686375679518E-3</v>
      </c>
      <c r="F3110">
        <v>3107</v>
      </c>
      <c r="G3110">
        <f t="shared" ca="1" si="101"/>
        <v>4.5790528970790917E-2</v>
      </c>
    </row>
    <row r="3111" spans="2:7" x14ac:dyDescent="0.35">
      <c r="B3111" s="2">
        <v>39686</v>
      </c>
      <c r="C3111" s="4">
        <v>60.43</v>
      </c>
      <c r="D3111">
        <f t="shared" si="100"/>
        <v>-0.92741402712214571</v>
      </c>
      <c r="E3111">
        <v>-4.6120902651951567E-3</v>
      </c>
      <c r="F3111">
        <v>3108</v>
      </c>
      <c r="G3111">
        <f t="shared" ca="1" si="101"/>
        <v>-2.6867591636358292E-2</v>
      </c>
    </row>
    <row r="3112" spans="2:7" x14ac:dyDescent="0.35">
      <c r="B3112" s="2">
        <v>43615</v>
      </c>
      <c r="C3112" s="4">
        <v>832.53</v>
      </c>
      <c r="D3112">
        <f t="shared" si="100"/>
        <v>11.873511674655944</v>
      </c>
      <c r="E3112">
        <v>-4.6150719162113552E-3</v>
      </c>
      <c r="F3112">
        <v>3109</v>
      </c>
      <c r="G3112">
        <f t="shared" ca="1" si="101"/>
        <v>-5.3420856551147922E-2</v>
      </c>
    </row>
    <row r="3113" spans="2:7" x14ac:dyDescent="0.35">
      <c r="B3113" s="2">
        <v>38790</v>
      </c>
      <c r="C3113" s="4">
        <v>64.67</v>
      </c>
      <c r="D3113">
        <f t="shared" si="100"/>
        <v>0.21446009389671361</v>
      </c>
      <c r="E3113">
        <v>-4.6175157765121488E-3</v>
      </c>
      <c r="F3113">
        <v>3110</v>
      </c>
      <c r="G3113">
        <f t="shared" ca="1" si="101"/>
        <v>3.1922842086202372E-2</v>
      </c>
    </row>
    <row r="3114" spans="2:7" x14ac:dyDescent="0.35">
      <c r="B3114" s="2">
        <v>38348</v>
      </c>
      <c r="C3114" s="4">
        <v>53.25</v>
      </c>
      <c r="D3114">
        <f t="shared" si="100"/>
        <v>1.5070621468926557</v>
      </c>
      <c r="E3114">
        <v>-4.6728971962616273E-3</v>
      </c>
      <c r="F3114">
        <v>3111</v>
      </c>
      <c r="G3114">
        <f t="shared" ca="1" si="101"/>
        <v>-2.6760484447129623E-2</v>
      </c>
    </row>
    <row r="3115" spans="2:7" x14ac:dyDescent="0.35">
      <c r="B3115" s="2">
        <v>37749</v>
      </c>
      <c r="C3115" s="4">
        <v>21.24</v>
      </c>
      <c r="D3115">
        <f t="shared" si="100"/>
        <v>-0.76102610261026105</v>
      </c>
      <c r="E3115">
        <v>-4.6860356138707093E-3</v>
      </c>
      <c r="F3115">
        <v>3112</v>
      </c>
      <c r="G3115">
        <f t="shared" ca="1" si="101"/>
        <v>-2.0909176441745989E-4</v>
      </c>
    </row>
    <row r="3116" spans="2:7" x14ac:dyDescent="0.35">
      <c r="B3116" s="2">
        <v>41471</v>
      </c>
      <c r="C3116" s="4">
        <v>88.88</v>
      </c>
      <c r="D3116">
        <f t="shared" si="100"/>
        <v>-0.90812012198273639</v>
      </c>
      <c r="E3116">
        <v>-4.7032474804031832E-3</v>
      </c>
      <c r="F3116">
        <v>3113</v>
      </c>
      <c r="G3116">
        <f t="shared" ca="1" si="101"/>
        <v>-1.865923550866393E-2</v>
      </c>
    </row>
    <row r="3117" spans="2:7" x14ac:dyDescent="0.35">
      <c r="B3117" s="2">
        <v>42408</v>
      </c>
      <c r="C3117" s="4">
        <v>967.35</v>
      </c>
      <c r="D3117">
        <f t="shared" si="100"/>
        <v>-3.1216199975964365E-2</v>
      </c>
      <c r="E3117">
        <v>-4.7225137354157676E-3</v>
      </c>
      <c r="F3117">
        <v>3114</v>
      </c>
      <c r="G3117">
        <f t="shared" ca="1" si="101"/>
        <v>-7.0296280017394519E-3</v>
      </c>
    </row>
    <row r="3118" spans="2:7" x14ac:dyDescent="0.35">
      <c r="B3118" s="2">
        <v>42354</v>
      </c>
      <c r="C3118" s="4">
        <v>998.52</v>
      </c>
      <c r="D3118">
        <f t="shared" si="100"/>
        <v>-2.1385885315691189E-3</v>
      </c>
      <c r="E3118">
        <v>-4.7543581616481534E-3</v>
      </c>
      <c r="F3118">
        <v>3115</v>
      </c>
      <c r="G3118">
        <f t="shared" ca="1" si="101"/>
        <v>1.9721053155137981E-2</v>
      </c>
    </row>
    <row r="3119" spans="2:7" x14ac:dyDescent="0.35">
      <c r="B3119" s="2">
        <v>43868</v>
      </c>
      <c r="C3119" s="4">
        <v>1000.66</v>
      </c>
      <c r="D3119">
        <f t="shared" si="100"/>
        <v>15.002878618263232</v>
      </c>
      <c r="E3119">
        <v>-4.7739343186203875E-3</v>
      </c>
      <c r="F3119">
        <v>3116</v>
      </c>
      <c r="G3119">
        <f t="shared" ca="1" si="101"/>
        <v>5.5676856048777852E-3</v>
      </c>
    </row>
    <row r="3120" spans="2:7" x14ac:dyDescent="0.35">
      <c r="B3120" s="2">
        <v>39673</v>
      </c>
      <c r="C3120" s="4">
        <v>62.53</v>
      </c>
      <c r="D3120">
        <f t="shared" si="100"/>
        <v>-3.1443618339529134E-2</v>
      </c>
      <c r="E3120">
        <v>-4.7747891134807263E-3</v>
      </c>
      <c r="F3120">
        <v>3117</v>
      </c>
      <c r="G3120">
        <f t="shared" ca="1" si="101"/>
        <v>5.6894039998694051E-3</v>
      </c>
    </row>
    <row r="3121" spans="2:7" x14ac:dyDescent="0.35">
      <c r="B3121" s="2">
        <v>40053</v>
      </c>
      <c r="C3121" s="4">
        <v>64.56</v>
      </c>
      <c r="D3121">
        <f t="shared" si="100"/>
        <v>-0.91453760821794494</v>
      </c>
      <c r="E3121">
        <v>-4.7787883459226022E-3</v>
      </c>
      <c r="F3121">
        <v>3118</v>
      </c>
      <c r="G3121">
        <f t="shared" ca="1" si="101"/>
        <v>1.1727725539963034E-2</v>
      </c>
    </row>
    <row r="3122" spans="2:7" x14ac:dyDescent="0.35">
      <c r="B3122" s="2">
        <v>42600</v>
      </c>
      <c r="C3122" s="4">
        <v>755.42</v>
      </c>
      <c r="D3122">
        <f t="shared" si="100"/>
        <v>8.0872127992301213</v>
      </c>
      <c r="E3122">
        <v>-4.7822936565443674E-3</v>
      </c>
      <c r="F3122">
        <v>3119</v>
      </c>
      <c r="G3122">
        <f t="shared" ca="1" si="101"/>
        <v>3.314029512370744E-2</v>
      </c>
    </row>
    <row r="3123" spans="2:7" x14ac:dyDescent="0.35">
      <c r="B3123" s="2">
        <v>41554</v>
      </c>
      <c r="C3123" s="4">
        <v>83.13</v>
      </c>
      <c r="D3123">
        <f t="shared" si="100"/>
        <v>-0.14528069093152385</v>
      </c>
      <c r="E3123">
        <v>-4.7886986711361823E-3</v>
      </c>
      <c r="F3123">
        <v>3120</v>
      </c>
      <c r="G3123">
        <f t="shared" ca="1" si="101"/>
        <v>2.634252768605384E-2</v>
      </c>
    </row>
    <row r="3124" spans="2:7" x14ac:dyDescent="0.35">
      <c r="B3124" s="2">
        <v>41180</v>
      </c>
      <c r="C3124" s="4">
        <v>97.26</v>
      </c>
      <c r="D3124">
        <f t="shared" si="100"/>
        <v>0.14788150596010863</v>
      </c>
      <c r="E3124">
        <v>-4.8091681162386601E-3</v>
      </c>
      <c r="F3124">
        <v>3121</v>
      </c>
      <c r="G3124">
        <f t="shared" ca="1" si="101"/>
        <v>2.363404236908442E-2</v>
      </c>
    </row>
    <row r="3125" spans="2:7" x14ac:dyDescent="0.35">
      <c r="B3125" s="2">
        <v>41403</v>
      </c>
      <c r="C3125" s="4">
        <v>84.73</v>
      </c>
      <c r="D3125">
        <f t="shared" si="100"/>
        <v>-0.10791745630659089</v>
      </c>
      <c r="E3125">
        <v>-4.815597838853658E-3</v>
      </c>
      <c r="F3125">
        <v>3122</v>
      </c>
      <c r="G3125">
        <f t="shared" ca="1" si="101"/>
        <v>4.8668401054187606E-2</v>
      </c>
    </row>
    <row r="3126" spans="2:7" x14ac:dyDescent="0.35">
      <c r="B3126" s="2">
        <v>41138</v>
      </c>
      <c r="C3126" s="4">
        <v>94.98</v>
      </c>
      <c r="D3126">
        <f t="shared" si="100"/>
        <v>-0.86794026862434304</v>
      </c>
      <c r="E3126">
        <v>-4.8197820620284881E-3</v>
      </c>
      <c r="F3126">
        <v>3123</v>
      </c>
      <c r="G3126">
        <f t="shared" ca="1" si="101"/>
        <v>-9.4198542666685241E-3</v>
      </c>
    </row>
    <row r="3127" spans="2:7" x14ac:dyDescent="0.35">
      <c r="B3127" s="2">
        <v>42873</v>
      </c>
      <c r="C3127" s="4">
        <v>719.22</v>
      </c>
      <c r="D3127">
        <f t="shared" si="100"/>
        <v>5.5916964531207043</v>
      </c>
      <c r="E3127">
        <v>-4.829046228777778E-3</v>
      </c>
      <c r="F3127">
        <v>3124</v>
      </c>
      <c r="G3127">
        <f t="shared" ca="1" si="101"/>
        <v>-5.086070189792545E-2</v>
      </c>
    </row>
    <row r="3128" spans="2:7" x14ac:dyDescent="0.35">
      <c r="B3128" s="2">
        <v>40568</v>
      </c>
      <c r="C3128" s="4">
        <v>109.11</v>
      </c>
      <c r="D3128">
        <f t="shared" si="100"/>
        <v>-0.82676002667428794</v>
      </c>
      <c r="E3128">
        <v>-4.8340021889821116E-3</v>
      </c>
      <c r="F3128">
        <v>3125</v>
      </c>
      <c r="G3128">
        <f t="shared" ca="1" si="101"/>
        <v>-3.4528128508156661E-2</v>
      </c>
    </row>
    <row r="3129" spans="2:7" x14ac:dyDescent="0.35">
      <c r="B3129" s="2">
        <v>43705</v>
      </c>
      <c r="C3129" s="4">
        <v>629.82000000000005</v>
      </c>
      <c r="D3129">
        <f t="shared" si="100"/>
        <v>1.2714223889209468</v>
      </c>
      <c r="E3129">
        <v>-4.8350398179748399E-3</v>
      </c>
      <c r="F3129">
        <v>3126</v>
      </c>
      <c r="G3129">
        <f t="shared" ca="1" si="101"/>
        <v>-6.6664110404774463E-2</v>
      </c>
    </row>
    <row r="3130" spans="2:7" x14ac:dyDescent="0.35">
      <c r="B3130" s="2">
        <v>41975</v>
      </c>
      <c r="C3130" s="4">
        <v>277.27999999999997</v>
      </c>
      <c r="D3130">
        <f t="shared" si="100"/>
        <v>4.4050682261208571</v>
      </c>
      <c r="E3130">
        <v>-4.8451351254352737E-3</v>
      </c>
      <c r="F3130">
        <v>3127</v>
      </c>
      <c r="G3130">
        <f t="shared" ca="1" si="101"/>
        <v>3.5641401531257052E-3</v>
      </c>
    </row>
    <row r="3131" spans="2:7" x14ac:dyDescent="0.35">
      <c r="B3131" s="2">
        <v>38352</v>
      </c>
      <c r="C3131" s="4">
        <v>51.3</v>
      </c>
      <c r="D3131">
        <f t="shared" si="100"/>
        <v>-0.93120188826006489</v>
      </c>
      <c r="E3131">
        <v>-4.8496605237633439E-3</v>
      </c>
      <c r="F3131">
        <v>3128</v>
      </c>
      <c r="G3131">
        <f t="shared" ca="1" si="101"/>
        <v>-2.2746407058845921E-2</v>
      </c>
    </row>
    <row r="3132" spans="2:7" x14ac:dyDescent="0.35">
      <c r="B3132" s="2">
        <v>43012</v>
      </c>
      <c r="C3132" s="4">
        <v>745.66</v>
      </c>
      <c r="D3132">
        <f t="shared" si="100"/>
        <v>11.181996405816042</v>
      </c>
      <c r="E3132">
        <v>-4.857867342853317E-3</v>
      </c>
      <c r="F3132">
        <v>3129</v>
      </c>
      <c r="G3132">
        <f t="shared" ca="1" si="101"/>
        <v>-5.5567335982228475E-3</v>
      </c>
    </row>
    <row r="3133" spans="2:7" x14ac:dyDescent="0.35">
      <c r="B3133" s="2">
        <v>39678</v>
      </c>
      <c r="C3133" s="4">
        <v>61.21</v>
      </c>
      <c r="D3133">
        <f t="shared" si="100"/>
        <v>-0.44222708219427731</v>
      </c>
      <c r="E3133">
        <v>-4.8772557307754649E-3</v>
      </c>
      <c r="F3133">
        <v>3130</v>
      </c>
      <c r="G3133">
        <f t="shared" ca="1" si="101"/>
        <v>-2.5936031544218058E-2</v>
      </c>
    </row>
    <row r="3134" spans="2:7" x14ac:dyDescent="0.35">
      <c r="B3134" s="2">
        <v>40380</v>
      </c>
      <c r="C3134" s="4">
        <v>109.74</v>
      </c>
      <c r="D3134">
        <f t="shared" si="100"/>
        <v>0.12704118311594947</v>
      </c>
      <c r="E3134">
        <v>-4.8966267682264419E-3</v>
      </c>
      <c r="F3134">
        <v>3131</v>
      </c>
      <c r="G3134">
        <f t="shared" ca="1" si="101"/>
        <v>6.9749236915751887E-3</v>
      </c>
    </row>
    <row r="3135" spans="2:7" x14ac:dyDescent="0.35">
      <c r="B3135" s="2">
        <v>39086</v>
      </c>
      <c r="C3135" s="4">
        <v>97.37</v>
      </c>
      <c r="D3135">
        <f t="shared" si="100"/>
        <v>4.3846483704974348E-2</v>
      </c>
      <c r="E3135">
        <v>-4.905467552375975E-3</v>
      </c>
      <c r="F3135">
        <v>3132</v>
      </c>
      <c r="G3135">
        <f t="shared" ca="1" si="101"/>
        <v>-4.4987259369306927E-2</v>
      </c>
    </row>
    <row r="3136" spans="2:7" x14ac:dyDescent="0.35">
      <c r="B3136" s="2">
        <v>40164</v>
      </c>
      <c r="C3136" s="4">
        <v>93.28</v>
      </c>
      <c r="D3136">
        <f t="shared" si="100"/>
        <v>0.84566679857538585</v>
      </c>
      <c r="E3136">
        <v>-4.9071901002772922E-3</v>
      </c>
      <c r="F3136">
        <v>3133</v>
      </c>
      <c r="G3136">
        <f t="shared" ca="1" si="101"/>
        <v>1.2602790791289464E-2</v>
      </c>
    </row>
    <row r="3137" spans="2:7" x14ac:dyDescent="0.35">
      <c r="B3137" s="2">
        <v>38254</v>
      </c>
      <c r="C3137" s="4">
        <v>50.54</v>
      </c>
      <c r="D3137">
        <f t="shared" si="100"/>
        <v>-0.38776499091459715</v>
      </c>
      <c r="E3137">
        <v>-4.9222287851938828E-3</v>
      </c>
      <c r="F3137">
        <v>3134</v>
      </c>
      <c r="G3137">
        <f t="shared" ca="1" si="101"/>
        <v>1.4777188134805828E-2</v>
      </c>
    </row>
    <row r="3138" spans="2:7" x14ac:dyDescent="0.35">
      <c r="B3138" s="2">
        <v>39020</v>
      </c>
      <c r="C3138" s="4">
        <v>82.55</v>
      </c>
      <c r="D3138">
        <f t="shared" si="100"/>
        <v>-0.92603576804530141</v>
      </c>
      <c r="E3138">
        <v>-4.9421407907425108E-3</v>
      </c>
      <c r="F3138">
        <v>3135</v>
      </c>
      <c r="G3138">
        <f t="shared" ca="1" si="101"/>
        <v>1.4785295672131387E-2</v>
      </c>
    </row>
    <row r="3139" spans="2:7" x14ac:dyDescent="0.35">
      <c r="B3139" s="2">
        <v>43244</v>
      </c>
      <c r="C3139" s="4">
        <v>1116.08</v>
      </c>
      <c r="D3139">
        <f t="shared" si="100"/>
        <v>9.9408881482207612</v>
      </c>
      <c r="E3139">
        <v>-4.9570272101566726E-3</v>
      </c>
      <c r="F3139">
        <v>3136</v>
      </c>
      <c r="G3139">
        <f t="shared" ca="1" si="101"/>
        <v>7.1937413319241427E-3</v>
      </c>
    </row>
    <row r="3140" spans="2:7" x14ac:dyDescent="0.35">
      <c r="B3140" s="2">
        <v>40407</v>
      </c>
      <c r="C3140" s="4">
        <v>102.01</v>
      </c>
      <c r="D3140">
        <f t="shared" ref="D3140:D3203" si="102">C3140/C3141-1</f>
        <v>-0.87635750993891204</v>
      </c>
      <c r="E3140">
        <v>-4.9746390948106622E-3</v>
      </c>
      <c r="F3140">
        <v>3137</v>
      </c>
      <c r="G3140">
        <f t="shared" ca="1" si="101"/>
        <v>2.1715908455886331E-2</v>
      </c>
    </row>
    <row r="3141" spans="2:7" x14ac:dyDescent="0.35">
      <c r="B3141" s="2">
        <v>43656</v>
      </c>
      <c r="C3141" s="4">
        <v>825.04</v>
      </c>
      <c r="D3141">
        <f t="shared" si="102"/>
        <v>6.2480014056048487</v>
      </c>
      <c r="E3141">
        <v>-4.980884498956728E-3</v>
      </c>
      <c r="F3141">
        <v>3138</v>
      </c>
      <c r="G3141">
        <f t="shared" ref="G3141:G3204" ca="1" si="103">_xlfn.NORM.INV(RAND(),K$6,K$7)</f>
        <v>-1.9168670432583499E-2</v>
      </c>
    </row>
    <row r="3142" spans="2:7" x14ac:dyDescent="0.35">
      <c r="B3142" s="2">
        <v>40458</v>
      </c>
      <c r="C3142" s="4">
        <v>113.83</v>
      </c>
      <c r="D3142">
        <f t="shared" si="102"/>
        <v>0.29573136027319302</v>
      </c>
      <c r="E3142">
        <v>-4.9825174825175456E-3</v>
      </c>
      <c r="F3142">
        <v>3139</v>
      </c>
      <c r="G3142">
        <f t="shared" ca="1" si="103"/>
        <v>-1.1081921760875192E-2</v>
      </c>
    </row>
    <row r="3143" spans="2:7" x14ac:dyDescent="0.35">
      <c r="B3143" s="2">
        <v>41073</v>
      </c>
      <c r="C3143" s="4">
        <v>87.85</v>
      </c>
      <c r="D3143">
        <f t="shared" si="102"/>
        <v>-0.97525693636652966</v>
      </c>
      <c r="E3143">
        <v>-4.9835768490203991E-3</v>
      </c>
      <c r="F3143">
        <v>3140</v>
      </c>
      <c r="G3143">
        <f t="shared" ca="1" si="103"/>
        <v>-4.0166111180952747E-3</v>
      </c>
    </row>
    <row r="3144" spans="2:7" x14ac:dyDescent="0.35">
      <c r="B3144" s="2">
        <v>44349</v>
      </c>
      <c r="C3144" s="4">
        <v>3550.49</v>
      </c>
      <c r="D3144">
        <f t="shared" si="102"/>
        <v>54.948471478096437</v>
      </c>
      <c r="E3144">
        <v>-4.9855953008173248E-3</v>
      </c>
      <c r="F3144">
        <v>3141</v>
      </c>
      <c r="G3144">
        <f t="shared" ca="1" si="103"/>
        <v>2.1079400122835358E-2</v>
      </c>
    </row>
    <row r="3145" spans="2:7" x14ac:dyDescent="0.35">
      <c r="B3145" s="2">
        <v>38772</v>
      </c>
      <c r="C3145" s="4">
        <v>63.46</v>
      </c>
      <c r="D3145">
        <f t="shared" si="102"/>
        <v>-0.95243948137600243</v>
      </c>
      <c r="E3145">
        <v>-5.0172467858262682E-3</v>
      </c>
      <c r="F3145">
        <v>3142</v>
      </c>
      <c r="G3145">
        <f t="shared" ca="1" si="103"/>
        <v>-3.3637278450620679E-2</v>
      </c>
    </row>
    <row r="3146" spans="2:7" x14ac:dyDescent="0.35">
      <c r="B3146" s="2">
        <v>43340</v>
      </c>
      <c r="C3146" s="4">
        <v>1334.3</v>
      </c>
      <c r="D3146">
        <f t="shared" si="102"/>
        <v>12.529709997972013</v>
      </c>
      <c r="E3146">
        <v>-5.0185305325011198E-3</v>
      </c>
      <c r="F3146">
        <v>3143</v>
      </c>
      <c r="G3146">
        <f t="shared" ca="1" si="103"/>
        <v>4.1111023042683444E-2</v>
      </c>
    </row>
    <row r="3147" spans="2:7" x14ac:dyDescent="0.35">
      <c r="B3147" s="2">
        <v>41192</v>
      </c>
      <c r="C3147" s="4">
        <v>98.62</v>
      </c>
      <c r="D3147">
        <f t="shared" si="102"/>
        <v>-0.88308100866637418</v>
      </c>
      <c r="E3147">
        <v>-5.0443906376109737E-3</v>
      </c>
      <c r="F3147">
        <v>3144</v>
      </c>
      <c r="G3147">
        <f t="shared" ca="1" si="103"/>
        <v>2.1791211437062717E-2</v>
      </c>
    </row>
    <row r="3148" spans="2:7" x14ac:dyDescent="0.35">
      <c r="B3148" s="2">
        <v>44007</v>
      </c>
      <c r="C3148" s="4">
        <v>843.49</v>
      </c>
      <c r="D3148">
        <f t="shared" si="102"/>
        <v>-0.85766644448756779</v>
      </c>
      <c r="E3148">
        <v>-5.0485391084845732E-3</v>
      </c>
      <c r="F3148">
        <v>3145</v>
      </c>
      <c r="G3148">
        <f t="shared" ca="1" si="103"/>
        <v>1.9713474016519548E-2</v>
      </c>
    </row>
    <row r="3149" spans="2:7" x14ac:dyDescent="0.35">
      <c r="B3149" s="2">
        <v>45013</v>
      </c>
      <c r="C3149" s="4">
        <v>5926.15</v>
      </c>
      <c r="D3149">
        <f t="shared" si="102"/>
        <v>56.075508041991718</v>
      </c>
      <c r="E3149">
        <v>-5.0785709488953001E-3</v>
      </c>
      <c r="F3149">
        <v>3146</v>
      </c>
      <c r="G3149">
        <f t="shared" ca="1" si="103"/>
        <v>8.6098423631159396E-5</v>
      </c>
    </row>
    <row r="3150" spans="2:7" x14ac:dyDescent="0.35">
      <c r="B3150" s="2">
        <v>40206</v>
      </c>
      <c r="C3150" s="4">
        <v>103.83</v>
      </c>
      <c r="D3150">
        <f t="shared" si="102"/>
        <v>-0.9828893484834752</v>
      </c>
      <c r="E3150">
        <v>-5.0785741663472717E-3</v>
      </c>
      <c r="F3150">
        <v>3147</v>
      </c>
      <c r="G3150">
        <f t="shared" ca="1" si="103"/>
        <v>1.6185985481141828E-2</v>
      </c>
    </row>
    <row r="3151" spans="2:7" x14ac:dyDescent="0.35">
      <c r="B3151" s="2">
        <v>45022</v>
      </c>
      <c r="C3151" s="4">
        <v>6068.15</v>
      </c>
      <c r="D3151">
        <f t="shared" si="102"/>
        <v>6.7054894541021701</v>
      </c>
      <c r="E3151">
        <v>-5.0908315844701013E-3</v>
      </c>
      <c r="F3151">
        <v>3148</v>
      </c>
      <c r="G3151">
        <f t="shared" ca="1" si="103"/>
        <v>1.6808912321423647E-2</v>
      </c>
    </row>
    <row r="3152" spans="2:7" x14ac:dyDescent="0.35">
      <c r="B3152" s="2">
        <v>43777</v>
      </c>
      <c r="C3152" s="4">
        <v>787.51</v>
      </c>
      <c r="D3152">
        <f t="shared" si="102"/>
        <v>0.45592530966907008</v>
      </c>
      <c r="E3152">
        <v>-5.0913409303382506E-3</v>
      </c>
      <c r="F3152">
        <v>3149</v>
      </c>
      <c r="G3152">
        <f t="shared" ca="1" si="103"/>
        <v>4.3798521150017131E-2</v>
      </c>
    </row>
    <row r="3153" spans="2:7" x14ac:dyDescent="0.35">
      <c r="B3153" s="2">
        <v>42194</v>
      </c>
      <c r="C3153" s="4">
        <v>540.9</v>
      </c>
      <c r="D3153">
        <f t="shared" si="102"/>
        <v>-0.41063023012552302</v>
      </c>
      <c r="E3153">
        <v>-5.0950024831238894E-3</v>
      </c>
      <c r="F3153">
        <v>3150</v>
      </c>
      <c r="G3153">
        <f t="shared" ca="1" si="103"/>
        <v>-2.3772077702919347E-2</v>
      </c>
    </row>
    <row r="3154" spans="2:7" x14ac:dyDescent="0.35">
      <c r="B3154" s="2">
        <v>43558</v>
      </c>
      <c r="C3154" s="4">
        <v>917.76</v>
      </c>
      <c r="D3154">
        <f t="shared" si="102"/>
        <v>13.695916733386708</v>
      </c>
      <c r="E3154">
        <v>-5.0950718730351507E-3</v>
      </c>
      <c r="F3154">
        <v>3151</v>
      </c>
      <c r="G3154">
        <f t="shared" ca="1" si="103"/>
        <v>-6.0697293968715468E-2</v>
      </c>
    </row>
    <row r="3155" spans="2:7" x14ac:dyDescent="0.35">
      <c r="B3155" s="2">
        <v>38526</v>
      </c>
      <c r="C3155" s="4">
        <v>62.45</v>
      </c>
      <c r="D3155">
        <f t="shared" si="102"/>
        <v>-0.92146926046552569</v>
      </c>
      <c r="E3155">
        <v>-5.0979767404811804E-3</v>
      </c>
      <c r="F3155">
        <v>3152</v>
      </c>
      <c r="G3155">
        <f t="shared" ca="1" si="103"/>
        <v>-2.2173398434526256E-2</v>
      </c>
    </row>
    <row r="3156" spans="2:7" x14ac:dyDescent="0.35">
      <c r="B3156" s="2">
        <v>43769</v>
      </c>
      <c r="C3156" s="4">
        <v>795.23</v>
      </c>
      <c r="D3156">
        <f t="shared" si="102"/>
        <v>8.497551654126358</v>
      </c>
      <c r="E3156">
        <v>-5.1044025471969068E-3</v>
      </c>
      <c r="F3156">
        <v>3153</v>
      </c>
      <c r="G3156">
        <f t="shared" ca="1" si="103"/>
        <v>6.7862075833831524E-3</v>
      </c>
    </row>
    <row r="3157" spans="2:7" x14ac:dyDescent="0.35">
      <c r="B3157" s="2">
        <v>41415</v>
      </c>
      <c r="C3157" s="4">
        <v>83.73</v>
      </c>
      <c r="D3157">
        <f t="shared" si="102"/>
        <v>-0.89707437000614632</v>
      </c>
      <c r="E3157">
        <v>-5.1093155893535691E-3</v>
      </c>
      <c r="F3157">
        <v>3154</v>
      </c>
      <c r="G3157">
        <f t="shared" ca="1" si="103"/>
        <v>1.0819128417150593E-2</v>
      </c>
    </row>
    <row r="3158" spans="2:7" x14ac:dyDescent="0.35">
      <c r="B3158" s="2">
        <v>42538</v>
      </c>
      <c r="C3158" s="4">
        <v>813.5</v>
      </c>
      <c r="D3158">
        <f t="shared" si="102"/>
        <v>12.488642016249377</v>
      </c>
      <c r="E3158">
        <v>-5.1120242637705537E-3</v>
      </c>
      <c r="F3158">
        <v>3155</v>
      </c>
      <c r="G3158">
        <f t="shared" ca="1" si="103"/>
        <v>6.1976030378179036E-3</v>
      </c>
    </row>
    <row r="3159" spans="2:7" x14ac:dyDescent="0.35">
      <c r="B3159" s="2">
        <v>38904</v>
      </c>
      <c r="C3159" s="4">
        <v>60.31</v>
      </c>
      <c r="D3159">
        <f t="shared" si="102"/>
        <v>-0.95250320924261878</v>
      </c>
      <c r="E3159">
        <v>-5.1138238205211684E-3</v>
      </c>
      <c r="F3159">
        <v>3156</v>
      </c>
      <c r="G3159">
        <f t="shared" ca="1" si="103"/>
        <v>-2.3794956896197896E-2</v>
      </c>
    </row>
    <row r="3160" spans="2:7" x14ac:dyDescent="0.35">
      <c r="B3160" s="2">
        <v>43285</v>
      </c>
      <c r="C3160" s="4">
        <v>1269.77</v>
      </c>
      <c r="D3160">
        <f t="shared" si="102"/>
        <v>26.259982825246887</v>
      </c>
      <c r="E3160">
        <v>-5.1241469548933827E-3</v>
      </c>
      <c r="F3160">
        <v>3157</v>
      </c>
      <c r="G3160">
        <f t="shared" ca="1" si="103"/>
        <v>1.4750934833952416E-3</v>
      </c>
    </row>
    <row r="3161" spans="2:7" x14ac:dyDescent="0.35">
      <c r="B3161" s="2">
        <v>39948</v>
      </c>
      <c r="C3161" s="4">
        <v>46.58</v>
      </c>
      <c r="D3161">
        <f t="shared" si="102"/>
        <v>-0.83328561202576945</v>
      </c>
      <c r="E3161">
        <v>-5.1260145237078669E-3</v>
      </c>
      <c r="F3161">
        <v>3158</v>
      </c>
      <c r="G3161">
        <f t="shared" ca="1" si="103"/>
        <v>3.1219810877197085E-3</v>
      </c>
    </row>
    <row r="3162" spans="2:7" x14ac:dyDescent="0.35">
      <c r="B3162" s="2">
        <v>41887</v>
      </c>
      <c r="C3162" s="4">
        <v>279.39999999999998</v>
      </c>
      <c r="D3162">
        <f t="shared" si="102"/>
        <v>10.078509119746233</v>
      </c>
      <c r="E3162">
        <v>-5.1274747187010083E-3</v>
      </c>
      <c r="F3162">
        <v>3159</v>
      </c>
      <c r="G3162">
        <f t="shared" ca="1" si="103"/>
        <v>8.3764737511909243E-3</v>
      </c>
    </row>
    <row r="3163" spans="2:7" x14ac:dyDescent="0.35">
      <c r="B3163" s="2">
        <v>37831</v>
      </c>
      <c r="C3163" s="4">
        <v>25.22</v>
      </c>
      <c r="D3163">
        <f t="shared" si="102"/>
        <v>-0.99611072557637448</v>
      </c>
      <c r="E3163">
        <v>-5.128205128205221E-3</v>
      </c>
      <c r="F3163">
        <v>3160</v>
      </c>
      <c r="G3163">
        <f t="shared" ca="1" si="103"/>
        <v>-1.466040018676303E-3</v>
      </c>
    </row>
    <row r="3164" spans="2:7" x14ac:dyDescent="0.35">
      <c r="B3164" s="2">
        <v>44980</v>
      </c>
      <c r="C3164" s="4">
        <v>6484.5</v>
      </c>
      <c r="D3164">
        <f t="shared" si="102"/>
        <v>53.8836225137537</v>
      </c>
      <c r="E3164">
        <v>-5.1319816813568675E-3</v>
      </c>
      <c r="F3164">
        <v>3161</v>
      </c>
      <c r="G3164">
        <f t="shared" ca="1" si="103"/>
        <v>-5.8773630845191391E-3</v>
      </c>
    </row>
    <row r="3165" spans="2:7" x14ac:dyDescent="0.35">
      <c r="B3165" s="2">
        <v>40535</v>
      </c>
      <c r="C3165" s="4">
        <v>118.15</v>
      </c>
      <c r="D3165">
        <f t="shared" si="102"/>
        <v>2.8860028860029363E-3</v>
      </c>
      <c r="E3165">
        <v>-5.1364095655103137E-3</v>
      </c>
      <c r="F3165">
        <v>3162</v>
      </c>
      <c r="G3165">
        <f t="shared" ca="1" si="103"/>
        <v>3.7647554049102507E-2</v>
      </c>
    </row>
    <row r="3166" spans="2:7" x14ac:dyDescent="0.35">
      <c r="B3166" s="2">
        <v>39280</v>
      </c>
      <c r="C3166" s="4">
        <v>117.81</v>
      </c>
      <c r="D3166">
        <f t="shared" si="102"/>
        <v>-0.89712085090775717</v>
      </c>
      <c r="E3166">
        <v>-5.1511568991724488E-3</v>
      </c>
      <c r="F3166">
        <v>3163</v>
      </c>
      <c r="G3166">
        <f t="shared" ca="1" si="103"/>
        <v>2.5272488074756929E-2</v>
      </c>
    </row>
    <row r="3167" spans="2:7" x14ac:dyDescent="0.35">
      <c r="B3167" s="2">
        <v>43262</v>
      </c>
      <c r="C3167" s="4">
        <v>1145.1300000000001</v>
      </c>
      <c r="D3167">
        <f t="shared" si="102"/>
        <v>52.939236928874237</v>
      </c>
      <c r="E3167">
        <v>-5.1517731482284557E-3</v>
      </c>
      <c r="F3167">
        <v>3164</v>
      </c>
      <c r="G3167">
        <f t="shared" ca="1" si="103"/>
        <v>3.2770286743641047E-2</v>
      </c>
    </row>
    <row r="3168" spans="2:7" x14ac:dyDescent="0.35">
      <c r="B3168" s="2">
        <v>37743</v>
      </c>
      <c r="C3168" s="4">
        <v>21.23</v>
      </c>
      <c r="D3168">
        <f t="shared" si="102"/>
        <v>-0.99657569599019324</v>
      </c>
      <c r="E3168">
        <v>-5.1546391752577136E-3</v>
      </c>
      <c r="F3168">
        <v>3165</v>
      </c>
      <c r="G3168">
        <f t="shared" ca="1" si="103"/>
        <v>-2.6022093416804455E-2</v>
      </c>
    </row>
    <row r="3169" spans="2:7" x14ac:dyDescent="0.35">
      <c r="B3169" s="2">
        <v>44936</v>
      </c>
      <c r="C3169" s="4">
        <v>6199.8</v>
      </c>
      <c r="D3169">
        <f t="shared" si="102"/>
        <v>6.3554081790031915</v>
      </c>
      <c r="E3169">
        <v>-5.1668806161745406E-3</v>
      </c>
      <c r="F3169">
        <v>3166</v>
      </c>
      <c r="G3169">
        <f t="shared" ca="1" si="103"/>
        <v>2.0343469484012201E-2</v>
      </c>
    </row>
    <row r="3170" spans="2:7" x14ac:dyDescent="0.35">
      <c r="B3170" s="2">
        <v>42495</v>
      </c>
      <c r="C3170" s="4">
        <v>842.89</v>
      </c>
      <c r="D3170">
        <f t="shared" si="102"/>
        <v>14.176269355419517</v>
      </c>
      <c r="E3170">
        <v>-5.1695445371605642E-3</v>
      </c>
      <c r="F3170">
        <v>3167</v>
      </c>
      <c r="G3170">
        <f t="shared" ca="1" si="103"/>
        <v>5.1902244756274248E-3</v>
      </c>
    </row>
    <row r="3171" spans="2:7" x14ac:dyDescent="0.35">
      <c r="B3171" s="2">
        <v>38412</v>
      </c>
      <c r="C3171" s="4">
        <v>55.54</v>
      </c>
      <c r="D3171">
        <f t="shared" si="102"/>
        <v>3.6580813736468931E-2</v>
      </c>
      <c r="E3171">
        <v>-5.1943399605945961E-3</v>
      </c>
      <c r="F3171">
        <v>3168</v>
      </c>
      <c r="G3171">
        <f t="shared" ca="1" si="103"/>
        <v>2.5893733673427215E-2</v>
      </c>
    </row>
    <row r="3172" spans="2:7" x14ac:dyDescent="0.35">
      <c r="B3172" s="2">
        <v>39987</v>
      </c>
      <c r="C3172" s="4">
        <v>53.58</v>
      </c>
      <c r="D3172">
        <f t="shared" si="102"/>
        <v>1.0014942099364958</v>
      </c>
      <c r="E3172">
        <v>-5.1986632008912403E-3</v>
      </c>
      <c r="F3172">
        <v>3169</v>
      </c>
      <c r="G3172">
        <f t="shared" ca="1" si="103"/>
        <v>5.0322527481123341E-2</v>
      </c>
    </row>
    <row r="3173" spans="2:7" x14ac:dyDescent="0.35">
      <c r="B3173" s="2">
        <v>37643</v>
      </c>
      <c r="C3173" s="4">
        <v>26.77</v>
      </c>
      <c r="D3173">
        <f t="shared" si="102"/>
        <v>-0.96551679719703221</v>
      </c>
      <c r="E3173">
        <v>-5.2025269416573483E-3</v>
      </c>
      <c r="F3173">
        <v>3170</v>
      </c>
      <c r="G3173">
        <f t="shared" ca="1" si="103"/>
        <v>3.9052787405063696E-2</v>
      </c>
    </row>
    <row r="3174" spans="2:7" x14ac:dyDescent="0.35">
      <c r="B3174" s="2">
        <v>42941</v>
      </c>
      <c r="C3174" s="4">
        <v>776.32</v>
      </c>
      <c r="D3174">
        <f t="shared" si="102"/>
        <v>5.1588258627528765</v>
      </c>
      <c r="E3174">
        <v>-5.2025936082420454E-3</v>
      </c>
      <c r="F3174">
        <v>3171</v>
      </c>
      <c r="G3174">
        <f t="shared" ca="1" si="103"/>
        <v>4.4908849314518155E-3</v>
      </c>
    </row>
    <row r="3175" spans="2:7" x14ac:dyDescent="0.35">
      <c r="B3175" s="2">
        <v>40295</v>
      </c>
      <c r="C3175" s="4">
        <v>126.05</v>
      </c>
      <c r="D3175">
        <f t="shared" si="102"/>
        <v>-0.47588357588357588</v>
      </c>
      <c r="E3175">
        <v>-5.2087443769236463E-3</v>
      </c>
      <c r="F3175">
        <v>3172</v>
      </c>
      <c r="G3175">
        <f t="shared" ca="1" si="103"/>
        <v>3.7071571924859673E-3</v>
      </c>
    </row>
    <row r="3176" spans="2:7" x14ac:dyDescent="0.35">
      <c r="B3176" s="2">
        <v>41809</v>
      </c>
      <c r="C3176" s="4">
        <v>240.5</v>
      </c>
      <c r="D3176">
        <f t="shared" si="102"/>
        <v>2.3195307108350587</v>
      </c>
      <c r="E3176">
        <v>-5.2117802779615419E-3</v>
      </c>
      <c r="F3176">
        <v>3173</v>
      </c>
      <c r="G3176">
        <f t="shared" ca="1" si="103"/>
        <v>-1.3710789791562017E-2</v>
      </c>
    </row>
    <row r="3177" spans="2:7" x14ac:dyDescent="0.35">
      <c r="B3177" s="2">
        <v>40899</v>
      </c>
      <c r="C3177" s="4">
        <v>72.45</v>
      </c>
      <c r="D3177">
        <f t="shared" si="102"/>
        <v>-0.9225423638210295</v>
      </c>
      <c r="E3177">
        <v>-5.2176300974872136E-3</v>
      </c>
      <c r="F3177">
        <v>3174</v>
      </c>
      <c r="G3177">
        <f t="shared" ca="1" si="103"/>
        <v>2.0362874995546749E-2</v>
      </c>
    </row>
    <row r="3178" spans="2:7" x14ac:dyDescent="0.35">
      <c r="B3178" s="2">
        <v>43854</v>
      </c>
      <c r="C3178" s="4">
        <v>935.35</v>
      </c>
      <c r="D3178">
        <f t="shared" si="102"/>
        <v>7.7281888856896019E-2</v>
      </c>
      <c r="E3178">
        <v>-5.2219598834364334E-3</v>
      </c>
      <c r="F3178">
        <v>3175</v>
      </c>
      <c r="G3178">
        <f t="shared" ca="1" si="103"/>
        <v>-1.7762345635364503E-2</v>
      </c>
    </row>
    <row r="3179" spans="2:7" x14ac:dyDescent="0.35">
      <c r="B3179" s="2">
        <v>43581</v>
      </c>
      <c r="C3179" s="4">
        <v>868.25</v>
      </c>
      <c r="D3179">
        <f t="shared" si="102"/>
        <v>0.18819536627755795</v>
      </c>
      <c r="E3179">
        <v>-5.2245047604861927E-3</v>
      </c>
      <c r="F3179">
        <v>3176</v>
      </c>
      <c r="G3179">
        <f t="shared" ca="1" si="103"/>
        <v>2.10285244392482E-2</v>
      </c>
    </row>
    <row r="3180" spans="2:7" x14ac:dyDescent="0.35">
      <c r="B3180" s="2">
        <v>42613</v>
      </c>
      <c r="C3180" s="4">
        <v>730.73</v>
      </c>
      <c r="D3180">
        <f t="shared" si="102"/>
        <v>-0.73189533083352287</v>
      </c>
      <c r="E3180">
        <v>-5.2275480893584358E-3</v>
      </c>
      <c r="F3180">
        <v>3177</v>
      </c>
      <c r="G3180">
        <f t="shared" ca="1" si="103"/>
        <v>9.7301907340396274E-3</v>
      </c>
    </row>
    <row r="3181" spans="2:7" x14ac:dyDescent="0.35">
      <c r="B3181" s="2">
        <v>44272</v>
      </c>
      <c r="C3181" s="4">
        <v>2725.54</v>
      </c>
      <c r="D3181">
        <f t="shared" si="102"/>
        <v>9.0119017007677318</v>
      </c>
      <c r="E3181">
        <v>-5.2338058601106852E-3</v>
      </c>
      <c r="F3181">
        <v>3178</v>
      </c>
      <c r="G3181">
        <f t="shared" ca="1" si="103"/>
        <v>2.4986575946095699E-2</v>
      </c>
    </row>
    <row r="3182" spans="2:7" x14ac:dyDescent="0.35">
      <c r="B3182" s="2">
        <v>41968</v>
      </c>
      <c r="C3182" s="4">
        <v>272.23</v>
      </c>
      <c r="D3182">
        <f t="shared" si="102"/>
        <v>2.352586206896552</v>
      </c>
      <c r="E3182">
        <v>-5.2618116709906015E-3</v>
      </c>
      <c r="F3182">
        <v>3179</v>
      </c>
      <c r="G3182">
        <f t="shared" ca="1" si="103"/>
        <v>3.187348952106854E-2</v>
      </c>
    </row>
    <row r="3183" spans="2:7" x14ac:dyDescent="0.35">
      <c r="B3183" s="2">
        <v>41424</v>
      </c>
      <c r="C3183" s="4">
        <v>81.2</v>
      </c>
      <c r="D3183">
        <f t="shared" si="102"/>
        <v>-0.5370317577969097</v>
      </c>
      <c r="E3183">
        <v>-5.267671199313928E-3</v>
      </c>
      <c r="F3183">
        <v>3180</v>
      </c>
      <c r="G3183">
        <f t="shared" ca="1" si="103"/>
        <v>3.8039884455434228E-3</v>
      </c>
    </row>
    <row r="3184" spans="2:7" x14ac:dyDescent="0.35">
      <c r="B3184" s="2">
        <v>41647</v>
      </c>
      <c r="C3184" s="4">
        <v>175.39</v>
      </c>
      <c r="D3184">
        <f t="shared" si="102"/>
        <v>-0.87273703534397062</v>
      </c>
      <c r="E3184">
        <v>-5.274500907441082E-3</v>
      </c>
      <c r="F3184">
        <v>3181</v>
      </c>
      <c r="G3184">
        <f t="shared" ca="1" si="103"/>
        <v>5.3637132948334915E-2</v>
      </c>
    </row>
    <row r="3185" spans="2:7" x14ac:dyDescent="0.35">
      <c r="B3185" s="2">
        <v>44113</v>
      </c>
      <c r="C3185" s="4">
        <v>1378.17</v>
      </c>
      <c r="D3185">
        <f t="shared" si="102"/>
        <v>10.808499700111389</v>
      </c>
      <c r="E3185">
        <v>-5.2761497820249526E-3</v>
      </c>
      <c r="F3185">
        <v>3182</v>
      </c>
      <c r="G3185">
        <f t="shared" ca="1" si="103"/>
        <v>-1.0280751969176654E-3</v>
      </c>
    </row>
    <row r="3186" spans="2:7" x14ac:dyDescent="0.35">
      <c r="B3186" s="2">
        <v>39253</v>
      </c>
      <c r="C3186" s="4">
        <v>116.71</v>
      </c>
      <c r="D3186">
        <f t="shared" si="102"/>
        <v>0.17119919719016541</v>
      </c>
      <c r="E3186">
        <v>-5.2842410295746989E-3</v>
      </c>
      <c r="F3186">
        <v>3183</v>
      </c>
      <c r="G3186">
        <f t="shared" ca="1" si="103"/>
        <v>2.0296868835775805E-2</v>
      </c>
    </row>
    <row r="3187" spans="2:7" x14ac:dyDescent="0.35">
      <c r="B3187" s="2">
        <v>40318</v>
      </c>
      <c r="C3187" s="4">
        <v>99.65</v>
      </c>
      <c r="D3187">
        <f t="shared" si="102"/>
        <v>0.66221851542952459</v>
      </c>
      <c r="E3187">
        <v>-5.2904771411459439E-3</v>
      </c>
      <c r="F3187">
        <v>3184</v>
      </c>
      <c r="G3187">
        <f t="shared" ca="1" si="103"/>
        <v>-9.3184001404196179E-3</v>
      </c>
    </row>
    <row r="3188" spans="2:7" x14ac:dyDescent="0.35">
      <c r="B3188" s="2">
        <v>38485</v>
      </c>
      <c r="C3188" s="4">
        <v>59.95</v>
      </c>
      <c r="D3188">
        <f t="shared" si="102"/>
        <v>-0.9931613889395875</v>
      </c>
      <c r="E3188">
        <v>-5.3094408495105716E-3</v>
      </c>
      <c r="F3188">
        <v>3185</v>
      </c>
      <c r="G3188">
        <f t="shared" ca="1" si="103"/>
        <v>2.504483390947412E-2</v>
      </c>
    </row>
    <row r="3189" spans="2:7" x14ac:dyDescent="0.35">
      <c r="B3189" s="2">
        <v>44812</v>
      </c>
      <c r="C3189" s="4">
        <v>8766.4</v>
      </c>
      <c r="D3189">
        <f t="shared" si="102"/>
        <v>12.808181202450895</v>
      </c>
      <c r="E3189">
        <v>-5.3102164934417662E-3</v>
      </c>
      <c r="F3189">
        <v>3186</v>
      </c>
      <c r="G3189">
        <f t="shared" ca="1" si="103"/>
        <v>-2.4417476666239744E-2</v>
      </c>
    </row>
    <row r="3190" spans="2:7" x14ac:dyDescent="0.35">
      <c r="B3190" s="2">
        <v>43671</v>
      </c>
      <c r="C3190" s="4">
        <v>634.87</v>
      </c>
      <c r="D3190">
        <f t="shared" si="102"/>
        <v>16.848467809952208</v>
      </c>
      <c r="E3190">
        <v>-5.3113151380315138E-3</v>
      </c>
      <c r="F3190">
        <v>3187</v>
      </c>
      <c r="G3190">
        <f t="shared" ca="1" si="103"/>
        <v>-6.1804539121115285E-3</v>
      </c>
    </row>
    <row r="3191" spans="2:7" x14ac:dyDescent="0.35">
      <c r="B3191" s="2">
        <v>37974</v>
      </c>
      <c r="C3191" s="4">
        <v>35.57</v>
      </c>
      <c r="D3191">
        <f t="shared" si="102"/>
        <v>-0.64081591436938301</v>
      </c>
      <c r="E3191">
        <v>-5.3131991051453831E-3</v>
      </c>
      <c r="F3191">
        <v>3188</v>
      </c>
      <c r="G3191">
        <f t="shared" ca="1" si="103"/>
        <v>-7.9253823612823696E-2</v>
      </c>
    </row>
    <row r="3192" spans="2:7" x14ac:dyDescent="0.35">
      <c r="B3192" s="2">
        <v>40707</v>
      </c>
      <c r="C3192" s="4">
        <v>99.03</v>
      </c>
      <c r="D3192">
        <f t="shared" si="102"/>
        <v>6.0732647814909946E-2</v>
      </c>
      <c r="E3192">
        <v>-5.3234230614704892E-3</v>
      </c>
      <c r="F3192">
        <v>3189</v>
      </c>
      <c r="G3192">
        <f t="shared" ca="1" si="103"/>
        <v>4.0461572663655888E-2</v>
      </c>
    </row>
    <row r="3193" spans="2:7" x14ac:dyDescent="0.35">
      <c r="B3193" s="2">
        <v>41122</v>
      </c>
      <c r="C3193" s="4">
        <v>93.36</v>
      </c>
      <c r="D3193">
        <f t="shared" si="102"/>
        <v>-0.98672723007698382</v>
      </c>
      <c r="E3193">
        <v>-5.3270828894097511E-3</v>
      </c>
      <c r="F3193">
        <v>3190</v>
      </c>
      <c r="G3193">
        <f t="shared" ca="1" si="103"/>
        <v>5.232409343081184E-2</v>
      </c>
    </row>
    <row r="3194" spans="2:7" x14ac:dyDescent="0.35">
      <c r="B3194" s="2">
        <v>44897</v>
      </c>
      <c r="C3194" s="4">
        <v>7033.95</v>
      </c>
      <c r="D3194">
        <f t="shared" si="102"/>
        <v>113.3174061433447</v>
      </c>
      <c r="E3194">
        <v>-5.3311461964321571E-3</v>
      </c>
      <c r="F3194">
        <v>3191</v>
      </c>
      <c r="G3194">
        <f t="shared" ca="1" si="103"/>
        <v>-1.1202510459376931E-2</v>
      </c>
    </row>
    <row r="3195" spans="2:7" x14ac:dyDescent="0.35">
      <c r="B3195" s="2">
        <v>40130</v>
      </c>
      <c r="C3195" s="4">
        <v>61.53</v>
      </c>
      <c r="D3195">
        <f t="shared" si="102"/>
        <v>-0.10462747380675197</v>
      </c>
      <c r="E3195">
        <v>-5.3346265761395895E-3</v>
      </c>
      <c r="F3195">
        <v>3192</v>
      </c>
      <c r="G3195">
        <f t="shared" ca="1" si="103"/>
        <v>1.2460889874000059E-2</v>
      </c>
    </row>
    <row r="3196" spans="2:7" x14ac:dyDescent="0.35">
      <c r="B3196" s="2">
        <v>40073</v>
      </c>
      <c r="C3196" s="4">
        <v>68.72</v>
      </c>
      <c r="D3196">
        <f t="shared" si="102"/>
        <v>-0.31430852125324282</v>
      </c>
      <c r="E3196">
        <v>-5.3553336228109316E-3</v>
      </c>
      <c r="F3196">
        <v>3193</v>
      </c>
      <c r="G3196">
        <f t="shared" ca="1" si="103"/>
        <v>1.8023821120096959E-2</v>
      </c>
    </row>
    <row r="3197" spans="2:7" x14ac:dyDescent="0.35">
      <c r="B3197" s="2">
        <v>40232</v>
      </c>
      <c r="C3197" s="4">
        <v>100.22</v>
      </c>
      <c r="D3197">
        <f t="shared" si="102"/>
        <v>-0.98480859158879208</v>
      </c>
      <c r="E3197">
        <v>-5.3592695514093069E-3</v>
      </c>
      <c r="F3197">
        <v>3194</v>
      </c>
      <c r="G3197">
        <f t="shared" ca="1" si="103"/>
        <v>2.3722675265879799E-2</v>
      </c>
    </row>
    <row r="3198" spans="2:7" x14ac:dyDescent="0.35">
      <c r="B3198" s="2">
        <v>44958</v>
      </c>
      <c r="C3198" s="4">
        <v>6597.15</v>
      </c>
      <c r="D3198">
        <f t="shared" si="102"/>
        <v>273.08184461985871</v>
      </c>
      <c r="E3198">
        <v>-5.3598082228957233E-3</v>
      </c>
      <c r="F3198">
        <v>3195</v>
      </c>
      <c r="G3198">
        <f t="shared" ca="1" si="103"/>
        <v>7.5843127291754988E-3</v>
      </c>
    </row>
    <row r="3199" spans="2:7" x14ac:dyDescent="0.35">
      <c r="B3199" s="2">
        <v>37672</v>
      </c>
      <c r="C3199" s="4">
        <v>24.07</v>
      </c>
      <c r="D3199">
        <f t="shared" si="102"/>
        <v>-0.23221690590111643</v>
      </c>
      <c r="E3199">
        <v>-5.3719008264462298E-3</v>
      </c>
      <c r="F3199">
        <v>3196</v>
      </c>
      <c r="G3199">
        <f t="shared" ca="1" si="103"/>
        <v>3.7470016958688285E-3</v>
      </c>
    </row>
    <row r="3200" spans="2:7" x14ac:dyDescent="0.35">
      <c r="B3200" s="2">
        <v>39870</v>
      </c>
      <c r="C3200" s="4">
        <v>31.35</v>
      </c>
      <c r="D3200">
        <f t="shared" si="102"/>
        <v>-0.96487473670057811</v>
      </c>
      <c r="E3200">
        <v>-5.3934010152283385E-3</v>
      </c>
      <c r="F3200">
        <v>3197</v>
      </c>
      <c r="G3200">
        <f t="shared" ca="1" si="103"/>
        <v>2.4628736457014546E-2</v>
      </c>
    </row>
    <row r="3201" spans="2:7" x14ac:dyDescent="0.35">
      <c r="B3201" s="2">
        <v>44039</v>
      </c>
      <c r="C3201" s="4">
        <v>892.52</v>
      </c>
      <c r="D3201">
        <f t="shared" si="102"/>
        <v>36.281537176274014</v>
      </c>
      <c r="E3201">
        <v>-5.3935990015155921E-3</v>
      </c>
      <c r="F3201">
        <v>3198</v>
      </c>
      <c r="G3201">
        <f t="shared" ca="1" si="103"/>
        <v>1.0127821625360313E-2</v>
      </c>
    </row>
    <row r="3202" spans="2:7" x14ac:dyDescent="0.35">
      <c r="B3202" s="2">
        <v>37673</v>
      </c>
      <c r="C3202" s="4">
        <v>23.94</v>
      </c>
      <c r="D3202">
        <f t="shared" si="102"/>
        <v>-0.56661839246922518</v>
      </c>
      <c r="E3202">
        <v>-5.4009140008308698E-3</v>
      </c>
      <c r="F3202">
        <v>3199</v>
      </c>
      <c r="G3202">
        <f t="shared" ca="1" si="103"/>
        <v>5.9511509755574843E-2</v>
      </c>
    </row>
    <row r="3203" spans="2:7" x14ac:dyDescent="0.35">
      <c r="B3203" s="2">
        <v>38413</v>
      </c>
      <c r="C3203" s="4">
        <v>55.24</v>
      </c>
      <c r="D3203">
        <f t="shared" si="102"/>
        <v>-0.92168315989451899</v>
      </c>
      <c r="E3203">
        <v>-5.4015124234785272E-3</v>
      </c>
      <c r="F3203">
        <v>3200</v>
      </c>
      <c r="G3203">
        <f t="shared" ca="1" si="103"/>
        <v>1.2216854042851116E-2</v>
      </c>
    </row>
    <row r="3204" spans="2:7" x14ac:dyDescent="0.35">
      <c r="B3204" s="2">
        <v>42843</v>
      </c>
      <c r="C3204" s="4">
        <v>705.34</v>
      </c>
      <c r="D3204">
        <f t="shared" ref="D3204:D3267" si="104">C3204/C3205-1</f>
        <v>-0.29090890812397585</v>
      </c>
      <c r="E3204">
        <v>-5.4147043063819122E-3</v>
      </c>
      <c r="F3204">
        <v>3201</v>
      </c>
      <c r="G3204">
        <f t="shared" ca="1" si="103"/>
        <v>1.2550605414363189E-2</v>
      </c>
    </row>
    <row r="3205" spans="2:7" x14ac:dyDescent="0.35">
      <c r="B3205" s="2">
        <v>42375</v>
      </c>
      <c r="C3205" s="4">
        <v>994.71</v>
      </c>
      <c r="D3205">
        <f t="shared" si="104"/>
        <v>0.40107893402445205</v>
      </c>
      <c r="E3205">
        <v>-5.4192954915860403E-3</v>
      </c>
      <c r="F3205">
        <v>3202</v>
      </c>
      <c r="G3205">
        <f t="shared" ref="G3205:G3268" ca="1" si="105">_xlfn.NORM.INV(RAND(),K$6,K$7)</f>
        <v>3.0865686943831915E-2</v>
      </c>
    </row>
    <row r="3206" spans="2:7" x14ac:dyDescent="0.35">
      <c r="B3206" s="2">
        <v>42621</v>
      </c>
      <c r="C3206" s="4">
        <v>709.96</v>
      </c>
      <c r="D3206">
        <f t="shared" si="104"/>
        <v>0.19024946351931327</v>
      </c>
      <c r="E3206">
        <v>-5.4493240876934967E-3</v>
      </c>
      <c r="F3206">
        <v>3203</v>
      </c>
      <c r="G3206">
        <f t="shared" ca="1" si="105"/>
        <v>-7.0651064265576263E-4</v>
      </c>
    </row>
    <row r="3207" spans="2:7" x14ac:dyDescent="0.35">
      <c r="B3207" s="2">
        <v>42107</v>
      </c>
      <c r="C3207" s="4">
        <v>596.48</v>
      </c>
      <c r="D3207">
        <f t="shared" si="104"/>
        <v>-0.3009153452175849</v>
      </c>
      <c r="E3207">
        <v>-5.4522717799082576E-3</v>
      </c>
      <c r="F3207">
        <v>3204</v>
      </c>
      <c r="G3207">
        <f t="shared" ca="1" si="105"/>
        <v>-3.5224537899795932E-2</v>
      </c>
    </row>
    <row r="3208" spans="2:7" x14ac:dyDescent="0.35">
      <c r="B3208" s="2">
        <v>42501</v>
      </c>
      <c r="C3208" s="4">
        <v>853.23</v>
      </c>
      <c r="D3208">
        <f t="shared" si="104"/>
        <v>-5.4519464113560012E-2</v>
      </c>
      <c r="E3208">
        <v>-5.4551176696855386E-3</v>
      </c>
      <c r="F3208">
        <v>3205</v>
      </c>
      <c r="G3208">
        <f t="shared" ca="1" si="105"/>
        <v>8.2671866820906038E-3</v>
      </c>
    </row>
    <row r="3209" spans="2:7" x14ac:dyDescent="0.35">
      <c r="B3209" s="2">
        <v>43067</v>
      </c>
      <c r="C3209" s="4">
        <v>902.43</v>
      </c>
      <c r="D3209">
        <f t="shared" si="104"/>
        <v>7.2049704198246634E-2</v>
      </c>
      <c r="E3209">
        <v>-5.4552668121404801E-3</v>
      </c>
      <c r="F3209">
        <v>3206</v>
      </c>
      <c r="G3209">
        <f t="shared" ca="1" si="105"/>
        <v>3.5779574582648285E-2</v>
      </c>
    </row>
    <row r="3210" spans="2:7" x14ac:dyDescent="0.35">
      <c r="B3210" s="2">
        <v>42513</v>
      </c>
      <c r="C3210" s="4">
        <v>841.78</v>
      </c>
      <c r="D3210">
        <f t="shared" si="104"/>
        <v>7.5869631745384059</v>
      </c>
      <c r="E3210">
        <v>-5.4584120982986706E-3</v>
      </c>
      <c r="F3210">
        <v>3207</v>
      </c>
      <c r="G3210">
        <f t="shared" ca="1" si="105"/>
        <v>-1.4542078538396471E-3</v>
      </c>
    </row>
    <row r="3211" spans="2:7" x14ac:dyDescent="0.35">
      <c r="B3211" s="2">
        <v>39456</v>
      </c>
      <c r="C3211" s="4">
        <v>98.03</v>
      </c>
      <c r="D3211">
        <f t="shared" si="104"/>
        <v>-0.72705757879496602</v>
      </c>
      <c r="E3211">
        <v>-5.4783402658008518E-3</v>
      </c>
      <c r="F3211">
        <v>3208</v>
      </c>
      <c r="G3211">
        <f t="shared" ca="1" si="105"/>
        <v>-6.3924701868976423E-3</v>
      </c>
    </row>
    <row r="3212" spans="2:7" x14ac:dyDescent="0.35">
      <c r="B3212" s="2">
        <v>42026</v>
      </c>
      <c r="C3212" s="4">
        <v>359.16</v>
      </c>
      <c r="D3212">
        <f t="shared" si="104"/>
        <v>4.2233856893542754</v>
      </c>
      <c r="E3212">
        <v>-5.4826383120119004E-3</v>
      </c>
      <c r="F3212">
        <v>3209</v>
      </c>
      <c r="G3212">
        <f t="shared" ca="1" si="105"/>
        <v>-1.687055967763752E-3</v>
      </c>
    </row>
    <row r="3213" spans="2:7" x14ac:dyDescent="0.35">
      <c r="B3213" s="2">
        <v>38559</v>
      </c>
      <c r="C3213" s="4">
        <v>68.760000000000005</v>
      </c>
      <c r="D3213">
        <f t="shared" si="104"/>
        <v>0.15330426031533051</v>
      </c>
      <c r="E3213">
        <v>-5.4960948799536169E-3</v>
      </c>
      <c r="F3213">
        <v>3210</v>
      </c>
      <c r="G3213">
        <f t="shared" ca="1" si="105"/>
        <v>3.3489474394790796E-2</v>
      </c>
    </row>
    <row r="3214" spans="2:7" x14ac:dyDescent="0.35">
      <c r="B3214" s="2">
        <v>38488</v>
      </c>
      <c r="C3214" s="4">
        <v>59.62</v>
      </c>
      <c r="D3214">
        <f t="shared" si="104"/>
        <v>-0.77380681387055161</v>
      </c>
      <c r="E3214">
        <v>-5.5045871559633586E-3</v>
      </c>
      <c r="F3214">
        <v>3211</v>
      </c>
      <c r="G3214">
        <f t="shared" ca="1" si="105"/>
        <v>2.438153715688713E-2</v>
      </c>
    </row>
    <row r="3215" spans="2:7" x14ac:dyDescent="0.35">
      <c r="B3215" s="2">
        <v>41996</v>
      </c>
      <c r="C3215" s="4">
        <v>263.58</v>
      </c>
      <c r="D3215">
        <f t="shared" si="104"/>
        <v>-0.69580020081480032</v>
      </c>
      <c r="E3215">
        <v>-5.5086024750982121E-3</v>
      </c>
      <c r="F3215">
        <v>3212</v>
      </c>
      <c r="G3215">
        <f t="shared" ca="1" si="105"/>
        <v>-3.8917013165752634E-2</v>
      </c>
    </row>
    <row r="3216" spans="2:7" x14ac:dyDescent="0.35">
      <c r="B3216" s="2">
        <v>43077</v>
      </c>
      <c r="C3216" s="4">
        <v>866.47</v>
      </c>
      <c r="D3216">
        <f t="shared" si="104"/>
        <v>7.0206424141442199</v>
      </c>
      <c r="E3216">
        <v>-5.520613350472825E-3</v>
      </c>
      <c r="F3216">
        <v>3213</v>
      </c>
      <c r="G3216">
        <f t="shared" ca="1" si="105"/>
        <v>2.9468996402046567E-2</v>
      </c>
    </row>
    <row r="3217" spans="2:7" x14ac:dyDescent="0.35">
      <c r="B3217" s="2">
        <v>40360</v>
      </c>
      <c r="C3217" s="4">
        <v>108.03</v>
      </c>
      <c r="D3217">
        <f t="shared" si="104"/>
        <v>0.15441333618294517</v>
      </c>
      <c r="E3217">
        <v>-5.5233360950013299E-3</v>
      </c>
      <c r="F3217">
        <v>3214</v>
      </c>
      <c r="G3217">
        <f t="shared" ca="1" si="105"/>
        <v>2.4821904255399072E-2</v>
      </c>
    </row>
    <row r="3218" spans="2:7" x14ac:dyDescent="0.35">
      <c r="B3218" s="2">
        <v>39462</v>
      </c>
      <c r="C3218" s="4">
        <v>93.58</v>
      </c>
      <c r="D3218">
        <f t="shared" si="104"/>
        <v>0.53284193284193293</v>
      </c>
      <c r="E3218">
        <v>-5.5260361317747142E-3</v>
      </c>
      <c r="F3218">
        <v>3215</v>
      </c>
      <c r="G3218">
        <f t="shared" ca="1" si="105"/>
        <v>-3.8665531119208849E-3</v>
      </c>
    </row>
    <row r="3219" spans="2:7" x14ac:dyDescent="0.35">
      <c r="B3219" s="2">
        <v>38531</v>
      </c>
      <c r="C3219" s="4">
        <v>61.05</v>
      </c>
      <c r="D3219">
        <f t="shared" si="104"/>
        <v>-0.65928116977341222</v>
      </c>
      <c r="E3219">
        <v>-5.5383612966282136E-3</v>
      </c>
      <c r="F3219">
        <v>3216</v>
      </c>
      <c r="G3219">
        <f t="shared" ca="1" si="105"/>
        <v>-1.3930288677782534E-2</v>
      </c>
    </row>
    <row r="3220" spans="2:7" x14ac:dyDescent="0.35">
      <c r="B3220" s="2">
        <v>41676</v>
      </c>
      <c r="C3220" s="4">
        <v>179.18</v>
      </c>
      <c r="D3220">
        <f t="shared" si="104"/>
        <v>0.81871701177425926</v>
      </c>
      <c r="E3220">
        <v>-5.5500055500055101E-3</v>
      </c>
      <c r="F3220">
        <v>3217</v>
      </c>
      <c r="G3220">
        <f t="shared" ca="1" si="105"/>
        <v>3.0223332445979453E-2</v>
      </c>
    </row>
    <row r="3221" spans="2:7" x14ac:dyDescent="0.35">
      <c r="B3221" s="2">
        <v>41590</v>
      </c>
      <c r="C3221" s="4">
        <v>98.52</v>
      </c>
      <c r="D3221">
        <f t="shared" si="104"/>
        <v>-0.97628646870088265</v>
      </c>
      <c r="E3221">
        <v>-5.5516301604925378E-3</v>
      </c>
      <c r="F3221">
        <v>3218</v>
      </c>
      <c r="G3221">
        <f t="shared" ca="1" si="105"/>
        <v>-1.6217013794176106E-2</v>
      </c>
    </row>
    <row r="3222" spans="2:7" x14ac:dyDescent="0.35">
      <c r="B3222" s="2">
        <v>44404</v>
      </c>
      <c r="C3222" s="4">
        <v>4154.59</v>
      </c>
      <c r="D3222">
        <f t="shared" si="104"/>
        <v>3.3433520814602637</v>
      </c>
      <c r="E3222">
        <v>-5.5603161457409289E-3</v>
      </c>
      <c r="F3222">
        <v>3219</v>
      </c>
      <c r="G3222">
        <f t="shared" ca="1" si="105"/>
        <v>-1.1229210732188341E-2</v>
      </c>
    </row>
    <row r="3223" spans="2:7" x14ac:dyDescent="0.35">
      <c r="B3223" s="2">
        <v>43452</v>
      </c>
      <c r="C3223" s="4">
        <v>956.54</v>
      </c>
      <c r="D3223">
        <f t="shared" si="104"/>
        <v>7.8095238095237995E-2</v>
      </c>
      <c r="E3223">
        <v>-5.5723048133902164E-3</v>
      </c>
      <c r="F3223">
        <v>3220</v>
      </c>
      <c r="G3223">
        <f t="shared" ca="1" si="105"/>
        <v>-1.820871815135738E-2</v>
      </c>
    </row>
    <row r="3224" spans="2:7" x14ac:dyDescent="0.35">
      <c r="B3224" s="2">
        <v>42452</v>
      </c>
      <c r="C3224" s="4">
        <v>887.25</v>
      </c>
      <c r="D3224">
        <f t="shared" si="104"/>
        <v>25.226721844516703</v>
      </c>
      <c r="E3224">
        <v>-5.5815204599710677E-3</v>
      </c>
      <c r="F3224">
        <v>3221</v>
      </c>
      <c r="G3224">
        <f t="shared" ca="1" si="105"/>
        <v>-1.126994177820439E-2</v>
      </c>
    </row>
    <row r="3225" spans="2:7" x14ac:dyDescent="0.35">
      <c r="B3225" s="2">
        <v>37501</v>
      </c>
      <c r="C3225" s="4">
        <v>33.83</v>
      </c>
      <c r="D3225">
        <f t="shared" si="104"/>
        <v>-0.99458659369849423</v>
      </c>
      <c r="E3225">
        <v>-5.5849500293946308E-3</v>
      </c>
      <c r="F3225">
        <v>3222</v>
      </c>
      <c r="G3225">
        <f t="shared" ca="1" si="105"/>
        <v>-9.6353530081768283E-3</v>
      </c>
    </row>
    <row r="3226" spans="2:7" x14ac:dyDescent="0.35">
      <c r="B3226" s="2">
        <v>44995</v>
      </c>
      <c r="C3226" s="4">
        <v>6249.3</v>
      </c>
      <c r="D3226">
        <f t="shared" si="104"/>
        <v>71.237891573228524</v>
      </c>
      <c r="E3226">
        <v>-5.6089934840203304E-3</v>
      </c>
      <c r="F3226">
        <v>3223</v>
      </c>
      <c r="G3226">
        <f t="shared" ca="1" si="105"/>
        <v>-2.0332313396108272E-3</v>
      </c>
    </row>
    <row r="3227" spans="2:7" x14ac:dyDescent="0.35">
      <c r="B3227" s="2">
        <v>41564</v>
      </c>
      <c r="C3227" s="4">
        <v>86.51</v>
      </c>
      <c r="D3227">
        <f t="shared" si="104"/>
        <v>-0.98571357796347059</v>
      </c>
      <c r="E3227">
        <v>-5.6321839080458735E-3</v>
      </c>
      <c r="F3227">
        <v>3224</v>
      </c>
      <c r="G3227">
        <f t="shared" ca="1" si="105"/>
        <v>-3.0155117896664776E-2</v>
      </c>
    </row>
    <row r="3228" spans="2:7" x14ac:dyDescent="0.35">
      <c r="B3228" s="2">
        <v>45007</v>
      </c>
      <c r="C3228" s="4">
        <v>6055.4</v>
      </c>
      <c r="D3228">
        <f t="shared" si="104"/>
        <v>-0.11674142143456223</v>
      </c>
      <c r="E3228">
        <v>-5.6324613691971503E-3</v>
      </c>
      <c r="F3228">
        <v>3225</v>
      </c>
      <c r="G3228">
        <f t="shared" ca="1" si="105"/>
        <v>2.4755636493099628E-2</v>
      </c>
    </row>
    <row r="3229" spans="2:7" x14ac:dyDescent="0.35">
      <c r="B3229" s="2">
        <v>44886</v>
      </c>
      <c r="C3229" s="4">
        <v>6855.75</v>
      </c>
      <c r="D3229">
        <f t="shared" si="104"/>
        <v>12.293293002152289</v>
      </c>
      <c r="E3229">
        <v>-5.6348446610391401E-3</v>
      </c>
      <c r="F3229">
        <v>3226</v>
      </c>
      <c r="G3229">
        <f t="shared" ca="1" si="105"/>
        <v>3.5378425063514502E-4</v>
      </c>
    </row>
    <row r="3230" spans="2:7" x14ac:dyDescent="0.35">
      <c r="B3230" s="2">
        <v>42139</v>
      </c>
      <c r="C3230" s="4">
        <v>515.73</v>
      </c>
      <c r="D3230">
        <f t="shared" si="104"/>
        <v>6.5223162193698947</v>
      </c>
      <c r="E3230">
        <v>-5.6491728685458265E-3</v>
      </c>
      <c r="F3230">
        <v>3227</v>
      </c>
      <c r="G3230">
        <f t="shared" ca="1" si="105"/>
        <v>-2.2259136971136101E-2</v>
      </c>
    </row>
    <row r="3231" spans="2:7" x14ac:dyDescent="0.35">
      <c r="B3231" s="2">
        <v>38687</v>
      </c>
      <c r="C3231" s="4">
        <v>68.56</v>
      </c>
      <c r="D3231">
        <f t="shared" si="104"/>
        <v>-0.92435342925236119</v>
      </c>
      <c r="E3231">
        <v>-5.6562726613488268E-3</v>
      </c>
      <c r="F3231">
        <v>3228</v>
      </c>
      <c r="G3231">
        <f t="shared" ca="1" si="105"/>
        <v>4.5734890656125661E-2</v>
      </c>
    </row>
    <row r="3232" spans="2:7" x14ac:dyDescent="0.35">
      <c r="B3232" s="2">
        <v>43483</v>
      </c>
      <c r="C3232" s="4">
        <v>906.32</v>
      </c>
      <c r="D3232">
        <f t="shared" si="104"/>
        <v>-0.85270777366610273</v>
      </c>
      <c r="E3232">
        <v>-5.6829402084475067E-3</v>
      </c>
      <c r="F3232">
        <v>3229</v>
      </c>
      <c r="G3232">
        <f t="shared" ca="1" si="105"/>
        <v>-4.8761256214862481E-3</v>
      </c>
    </row>
    <row r="3233" spans="2:7" x14ac:dyDescent="0.35">
      <c r="B3233" s="2">
        <v>44508</v>
      </c>
      <c r="C3233" s="4">
        <v>6153.21</v>
      </c>
      <c r="D3233">
        <f t="shared" si="104"/>
        <v>-0.25979537703675637</v>
      </c>
      <c r="E3233">
        <v>-5.7153660451993993E-3</v>
      </c>
      <c r="F3233">
        <v>3230</v>
      </c>
      <c r="G3233">
        <f t="shared" ca="1" si="105"/>
        <v>-3.9466828127700353E-2</v>
      </c>
    </row>
    <row r="3234" spans="2:7" x14ac:dyDescent="0.35">
      <c r="B3234" s="2">
        <v>44847</v>
      </c>
      <c r="C3234" s="4">
        <v>8312.85</v>
      </c>
      <c r="D3234">
        <f t="shared" si="104"/>
        <v>0.19509617872854301</v>
      </c>
      <c r="E3234">
        <v>-5.7172588255697265E-3</v>
      </c>
      <c r="F3234">
        <v>3231</v>
      </c>
      <c r="G3234">
        <f t="shared" ca="1" si="105"/>
        <v>5.5369061891986961E-2</v>
      </c>
    </row>
    <row r="3235" spans="2:7" x14ac:dyDescent="0.35">
      <c r="B3235" s="2">
        <v>44866</v>
      </c>
      <c r="C3235" s="4">
        <v>6955.8</v>
      </c>
      <c r="D3235">
        <f t="shared" si="104"/>
        <v>26.334459857743546</v>
      </c>
      <c r="E3235">
        <v>-5.724822573382804E-3</v>
      </c>
      <c r="F3235">
        <v>3232</v>
      </c>
      <c r="G3235">
        <f t="shared" ca="1" si="105"/>
        <v>2.0374944674900603E-2</v>
      </c>
    </row>
    <row r="3236" spans="2:7" x14ac:dyDescent="0.35">
      <c r="B3236" s="2">
        <v>41990</v>
      </c>
      <c r="C3236" s="4">
        <v>254.47</v>
      </c>
      <c r="D3236">
        <f t="shared" si="104"/>
        <v>3.915395016418775</v>
      </c>
      <c r="E3236">
        <v>-5.7435336406970183E-3</v>
      </c>
      <c r="F3236">
        <v>3233</v>
      </c>
      <c r="G3236">
        <f t="shared" ca="1" si="105"/>
        <v>1.0652955670405874E-2</v>
      </c>
    </row>
    <row r="3237" spans="2:7" x14ac:dyDescent="0.35">
      <c r="B3237" s="2">
        <v>39715</v>
      </c>
      <c r="C3237" s="4">
        <v>51.77</v>
      </c>
      <c r="D3237">
        <f t="shared" si="104"/>
        <v>-0.93707381701936288</v>
      </c>
      <c r="E3237">
        <v>-5.7614749375839436E-3</v>
      </c>
      <c r="F3237">
        <v>3234</v>
      </c>
      <c r="G3237">
        <f t="shared" ca="1" si="105"/>
        <v>2.7693951990457079E-2</v>
      </c>
    </row>
    <row r="3238" spans="2:7" x14ac:dyDescent="0.35">
      <c r="B3238" s="2">
        <v>42998</v>
      </c>
      <c r="C3238" s="4">
        <v>822.71</v>
      </c>
      <c r="D3238">
        <f t="shared" si="104"/>
        <v>12.636830764130616</v>
      </c>
      <c r="E3238">
        <v>-5.764489776187931E-3</v>
      </c>
      <c r="F3238">
        <v>3235</v>
      </c>
      <c r="G3238">
        <f t="shared" ca="1" si="105"/>
        <v>-1.3150885467760158E-2</v>
      </c>
    </row>
    <row r="3239" spans="2:7" x14ac:dyDescent="0.35">
      <c r="B3239" s="2">
        <v>38499</v>
      </c>
      <c r="C3239" s="4">
        <v>60.33</v>
      </c>
      <c r="D3239">
        <f t="shared" si="104"/>
        <v>-0.91277632396952302</v>
      </c>
      <c r="E3239">
        <v>-5.7679630850362429E-3</v>
      </c>
      <c r="F3239">
        <v>3236</v>
      </c>
      <c r="G3239">
        <f t="shared" ca="1" si="105"/>
        <v>2.6010302776597664E-2</v>
      </c>
    </row>
    <row r="3240" spans="2:7" x14ac:dyDescent="0.35">
      <c r="B3240" s="2">
        <v>42795</v>
      </c>
      <c r="C3240" s="4">
        <v>691.67</v>
      </c>
      <c r="D3240">
        <f t="shared" si="104"/>
        <v>5.7113332039588585</v>
      </c>
      <c r="E3240">
        <v>-5.7784357975536604E-3</v>
      </c>
      <c r="F3240">
        <v>3237</v>
      </c>
      <c r="G3240">
        <f t="shared" ca="1" si="105"/>
        <v>2.8830121721186076E-2</v>
      </c>
    </row>
    <row r="3241" spans="2:7" x14ac:dyDescent="0.35">
      <c r="B3241" s="2">
        <v>39380</v>
      </c>
      <c r="C3241" s="4">
        <v>103.06</v>
      </c>
      <c r="D3241">
        <f t="shared" si="104"/>
        <v>7.275944623711883E-2</v>
      </c>
      <c r="E3241">
        <v>-5.7881535790081928E-3</v>
      </c>
      <c r="F3241">
        <v>3238</v>
      </c>
      <c r="G3241">
        <f t="shared" ca="1" si="105"/>
        <v>-1.8327328356706737E-2</v>
      </c>
    </row>
    <row r="3242" spans="2:7" x14ac:dyDescent="0.35">
      <c r="B3242" s="2">
        <v>41212</v>
      </c>
      <c r="C3242" s="4">
        <v>96.07</v>
      </c>
      <c r="D3242">
        <f t="shared" si="104"/>
        <v>0.47550299493165404</v>
      </c>
      <c r="E3242">
        <v>-5.7953016661492773E-3</v>
      </c>
      <c r="F3242">
        <v>3239</v>
      </c>
      <c r="G3242">
        <f t="shared" ca="1" si="105"/>
        <v>-2.6089020860104586E-2</v>
      </c>
    </row>
    <row r="3243" spans="2:7" x14ac:dyDescent="0.35">
      <c r="B3243" s="2">
        <v>39580</v>
      </c>
      <c r="C3243" s="4">
        <v>65.11</v>
      </c>
      <c r="D3243">
        <f t="shared" si="104"/>
        <v>-0.70933035714285708</v>
      </c>
      <c r="E3243">
        <v>-5.8024125820734795E-3</v>
      </c>
      <c r="F3243">
        <v>3240</v>
      </c>
      <c r="G3243">
        <f t="shared" ca="1" si="105"/>
        <v>-1.1591254875120613E-3</v>
      </c>
    </row>
    <row r="3244" spans="2:7" x14ac:dyDescent="0.35">
      <c r="B3244" s="2">
        <v>41694</v>
      </c>
      <c r="C3244" s="4">
        <v>224</v>
      </c>
      <c r="D3244">
        <f t="shared" si="104"/>
        <v>6.7134986225895323</v>
      </c>
      <c r="E3244">
        <v>-5.8142115307798781E-3</v>
      </c>
      <c r="F3244">
        <v>3241</v>
      </c>
      <c r="G3244">
        <f t="shared" ca="1" si="105"/>
        <v>-4.5419791474897095E-2</v>
      </c>
    </row>
    <row r="3245" spans="2:7" x14ac:dyDescent="0.35">
      <c r="B3245" s="2">
        <v>37636</v>
      </c>
      <c r="C3245" s="4">
        <v>29.04</v>
      </c>
      <c r="D3245">
        <f t="shared" si="104"/>
        <v>-0.74115340048132627</v>
      </c>
      <c r="E3245">
        <v>-5.8199246833277041E-3</v>
      </c>
      <c r="F3245">
        <v>3242</v>
      </c>
      <c r="G3245">
        <f t="shared" ca="1" si="105"/>
        <v>5.361848266004856E-2</v>
      </c>
    </row>
    <row r="3246" spans="2:7" x14ac:dyDescent="0.35">
      <c r="B3246" s="2">
        <v>39217</v>
      </c>
      <c r="C3246" s="4">
        <v>112.19</v>
      </c>
      <c r="D3246">
        <f t="shared" si="104"/>
        <v>2.8887348353552857</v>
      </c>
      <c r="E3246">
        <v>-5.8484714222418743E-3</v>
      </c>
      <c r="F3246">
        <v>3243</v>
      </c>
      <c r="G3246">
        <f t="shared" ca="1" si="105"/>
        <v>-5.0075293076889842E-2</v>
      </c>
    </row>
    <row r="3247" spans="2:7" x14ac:dyDescent="0.35">
      <c r="B3247" s="2">
        <v>39896</v>
      </c>
      <c r="C3247" s="4">
        <v>28.85</v>
      </c>
      <c r="D3247">
        <f t="shared" si="104"/>
        <v>-0.99227047186291006</v>
      </c>
      <c r="E3247">
        <v>-5.8580289455547607E-3</v>
      </c>
      <c r="F3247">
        <v>3244</v>
      </c>
      <c r="G3247">
        <f t="shared" ca="1" si="105"/>
        <v>-2.8007024638616426E-2</v>
      </c>
    </row>
    <row r="3248" spans="2:7" x14ac:dyDescent="0.35">
      <c r="B3248" s="2">
        <v>44363</v>
      </c>
      <c r="C3248" s="4">
        <v>3732.44</v>
      </c>
      <c r="D3248">
        <f t="shared" si="104"/>
        <v>58.528548644338116</v>
      </c>
      <c r="E3248">
        <v>-5.8597287478292515E-3</v>
      </c>
      <c r="F3248">
        <v>3245</v>
      </c>
      <c r="G3248">
        <f t="shared" ca="1" si="105"/>
        <v>-5.3536458113328828E-2</v>
      </c>
    </row>
    <row r="3249" spans="2:7" x14ac:dyDescent="0.35">
      <c r="B3249" s="2">
        <v>40058</v>
      </c>
      <c r="C3249" s="4">
        <v>62.7</v>
      </c>
      <c r="D3249">
        <f t="shared" si="104"/>
        <v>0.19474085365853666</v>
      </c>
      <c r="E3249">
        <v>-5.866497542413196E-3</v>
      </c>
      <c r="F3249">
        <v>3246</v>
      </c>
      <c r="G3249">
        <f t="shared" ca="1" si="105"/>
        <v>-3.5605764771720234E-2</v>
      </c>
    </row>
    <row r="3250" spans="2:7" x14ac:dyDescent="0.35">
      <c r="B3250" s="2">
        <v>38267</v>
      </c>
      <c r="C3250" s="4">
        <v>52.48</v>
      </c>
      <c r="D3250">
        <f t="shared" si="104"/>
        <v>-0.18420643556660965</v>
      </c>
      <c r="E3250">
        <v>-5.8723243038454331E-3</v>
      </c>
      <c r="F3250">
        <v>3247</v>
      </c>
      <c r="G3250">
        <f t="shared" ca="1" si="105"/>
        <v>2.4197911074039197E-2</v>
      </c>
    </row>
    <row r="3251" spans="2:7" x14ac:dyDescent="0.35">
      <c r="B3251" s="2">
        <v>39554</v>
      </c>
      <c r="C3251" s="4">
        <v>64.33</v>
      </c>
      <c r="D3251">
        <f t="shared" si="104"/>
        <v>-0.46445221445221452</v>
      </c>
      <c r="E3251">
        <v>-5.8723535774994895E-3</v>
      </c>
      <c r="F3251">
        <v>3248</v>
      </c>
      <c r="G3251">
        <f t="shared" ca="1" si="105"/>
        <v>1.4039356846478161E-2</v>
      </c>
    </row>
    <row r="3252" spans="2:7" x14ac:dyDescent="0.35">
      <c r="B3252" s="2">
        <v>39241</v>
      </c>
      <c r="C3252" s="4">
        <v>120.12</v>
      </c>
      <c r="D3252">
        <f t="shared" si="104"/>
        <v>2.3922620728607744</v>
      </c>
      <c r="E3252">
        <v>-5.8760241661838242E-3</v>
      </c>
      <c r="F3252">
        <v>3249</v>
      </c>
      <c r="G3252">
        <f t="shared" ca="1" si="105"/>
        <v>-1.7534824448243243E-4</v>
      </c>
    </row>
    <row r="3253" spans="2:7" x14ac:dyDescent="0.35">
      <c r="B3253" s="2">
        <v>38006</v>
      </c>
      <c r="C3253" s="4">
        <v>35.409999999999997</v>
      </c>
      <c r="D3253">
        <f t="shared" si="104"/>
        <v>-0.896546686922987</v>
      </c>
      <c r="E3253">
        <v>-5.8955642897249305E-3</v>
      </c>
      <c r="F3253">
        <v>3250</v>
      </c>
      <c r="G3253">
        <f t="shared" ca="1" si="105"/>
        <v>8.3738863430152365E-3</v>
      </c>
    </row>
    <row r="3254" spans="2:7" x14ac:dyDescent="0.35">
      <c r="B3254" s="2">
        <v>42037</v>
      </c>
      <c r="C3254" s="4">
        <v>342.28</v>
      </c>
      <c r="D3254">
        <f t="shared" si="104"/>
        <v>1.7814074435234843</v>
      </c>
      <c r="E3254">
        <v>-5.8958496703552798E-3</v>
      </c>
      <c r="F3254">
        <v>3251</v>
      </c>
      <c r="G3254">
        <f t="shared" ca="1" si="105"/>
        <v>-5.5948848542029914E-4</v>
      </c>
    </row>
    <row r="3255" spans="2:7" x14ac:dyDescent="0.35">
      <c r="B3255" s="2">
        <v>40549</v>
      </c>
      <c r="C3255" s="4">
        <v>123.06</v>
      </c>
      <c r="D3255">
        <f t="shared" si="104"/>
        <v>-0.8252236898167874</v>
      </c>
      <c r="E3255">
        <v>-5.8970837709023671E-3</v>
      </c>
      <c r="F3255">
        <v>3252</v>
      </c>
      <c r="G3255">
        <f t="shared" ca="1" si="105"/>
        <v>-2.1569875834091767E-2</v>
      </c>
    </row>
    <row r="3256" spans="2:7" x14ac:dyDescent="0.35">
      <c r="B3256" s="2">
        <v>43942</v>
      </c>
      <c r="C3256" s="4">
        <v>704.1</v>
      </c>
      <c r="D3256">
        <f t="shared" si="104"/>
        <v>5.0604234808056461</v>
      </c>
      <c r="E3256">
        <v>-5.9016208279211169E-3</v>
      </c>
      <c r="F3256">
        <v>3253</v>
      </c>
      <c r="G3256">
        <f t="shared" ca="1" si="105"/>
        <v>-9.8383651839221084E-3</v>
      </c>
    </row>
    <row r="3257" spans="2:7" x14ac:dyDescent="0.35">
      <c r="B3257" s="2">
        <v>39269</v>
      </c>
      <c r="C3257" s="4">
        <v>116.18</v>
      </c>
      <c r="D3257">
        <f t="shared" si="104"/>
        <v>3.0608178958406151</v>
      </c>
      <c r="E3257">
        <v>-5.9039958928723824E-3</v>
      </c>
      <c r="F3257">
        <v>3254</v>
      </c>
      <c r="G3257">
        <f t="shared" ca="1" si="105"/>
        <v>2.4472623699724382E-2</v>
      </c>
    </row>
    <row r="3258" spans="2:7" x14ac:dyDescent="0.35">
      <c r="B3258" s="2">
        <v>39878</v>
      </c>
      <c r="C3258" s="4">
        <v>28.61</v>
      </c>
      <c r="D3258">
        <f t="shared" si="104"/>
        <v>-0.52695105820105814</v>
      </c>
      <c r="E3258">
        <v>-5.9068797776233861E-3</v>
      </c>
      <c r="F3258">
        <v>3255</v>
      </c>
      <c r="G3258">
        <f t="shared" ca="1" si="105"/>
        <v>3.9010191251198558E-4</v>
      </c>
    </row>
    <row r="3259" spans="2:7" x14ac:dyDescent="0.35">
      <c r="B3259" s="2">
        <v>39681</v>
      </c>
      <c r="C3259" s="4">
        <v>60.48</v>
      </c>
      <c r="D3259">
        <f t="shared" si="104"/>
        <v>-0.99072327188728038</v>
      </c>
      <c r="E3259">
        <v>-5.9171597633137507E-3</v>
      </c>
      <c r="F3259">
        <v>3256</v>
      </c>
      <c r="G3259">
        <f t="shared" ca="1" si="105"/>
        <v>3.0833767639936983E-2</v>
      </c>
    </row>
    <row r="3260" spans="2:7" x14ac:dyDescent="0.35">
      <c r="B3260" s="2">
        <v>44512</v>
      </c>
      <c r="C3260" s="4">
        <v>6519.54</v>
      </c>
      <c r="D3260">
        <f t="shared" si="104"/>
        <v>69.756891686563918</v>
      </c>
      <c r="E3260">
        <v>-5.925225664796252E-3</v>
      </c>
      <c r="F3260">
        <v>3257</v>
      </c>
      <c r="G3260">
        <f t="shared" ca="1" si="105"/>
        <v>-1.8284238829526418E-2</v>
      </c>
    </row>
    <row r="3261" spans="2:7" x14ac:dyDescent="0.35">
      <c r="B3261" s="2">
        <v>39387</v>
      </c>
      <c r="C3261" s="4">
        <v>92.14</v>
      </c>
      <c r="D3261">
        <f t="shared" si="104"/>
        <v>0.44783155248271522</v>
      </c>
      <c r="E3261">
        <v>-5.933757686913288E-3</v>
      </c>
      <c r="F3261">
        <v>3258</v>
      </c>
      <c r="G3261">
        <f t="shared" ca="1" si="105"/>
        <v>-8.0972793255695581E-3</v>
      </c>
    </row>
    <row r="3262" spans="2:7" x14ac:dyDescent="0.35">
      <c r="B3262" s="2">
        <v>38510</v>
      </c>
      <c r="C3262" s="4">
        <v>63.64</v>
      </c>
      <c r="D3262">
        <f t="shared" si="104"/>
        <v>-0.38583285080100371</v>
      </c>
      <c r="E3262">
        <v>-5.9356451109027208E-3</v>
      </c>
      <c r="F3262">
        <v>3259</v>
      </c>
      <c r="G3262">
        <f t="shared" ca="1" si="105"/>
        <v>-4.9603846677470451E-3</v>
      </c>
    </row>
    <row r="3263" spans="2:7" x14ac:dyDescent="0.35">
      <c r="B3263" s="2">
        <v>41584</v>
      </c>
      <c r="C3263" s="4">
        <v>103.62</v>
      </c>
      <c r="D3263">
        <f t="shared" si="104"/>
        <v>2.4528490503165612</v>
      </c>
      <c r="E3263">
        <v>-5.9478127398310265E-3</v>
      </c>
      <c r="F3263">
        <v>3260</v>
      </c>
      <c r="G3263">
        <f t="shared" ca="1" si="105"/>
        <v>-6.2066274193081084E-2</v>
      </c>
    </row>
    <row r="3264" spans="2:7" x14ac:dyDescent="0.35">
      <c r="B3264" s="2">
        <v>37620</v>
      </c>
      <c r="C3264" s="4">
        <v>30.01</v>
      </c>
      <c r="D3264">
        <f t="shared" si="104"/>
        <v>-0.68943392321225283</v>
      </c>
      <c r="E3264">
        <v>-5.9622391520370854E-3</v>
      </c>
      <c r="F3264">
        <v>3261</v>
      </c>
      <c r="G3264">
        <f t="shared" ca="1" si="105"/>
        <v>-5.9799506532578887E-4</v>
      </c>
    </row>
    <row r="3265" spans="2:7" x14ac:dyDescent="0.35">
      <c r="B3265" s="2">
        <v>41211</v>
      </c>
      <c r="C3265" s="4">
        <v>96.63</v>
      </c>
      <c r="D3265">
        <f t="shared" si="104"/>
        <v>0.11698069587330928</v>
      </c>
      <c r="E3265">
        <v>-5.9664643555189523E-3</v>
      </c>
      <c r="F3265">
        <v>3262</v>
      </c>
      <c r="G3265">
        <f t="shared" ca="1" si="105"/>
        <v>-1.4233718017015562E-2</v>
      </c>
    </row>
    <row r="3266" spans="2:7" x14ac:dyDescent="0.35">
      <c r="B3266" s="2">
        <v>40974</v>
      </c>
      <c r="C3266" s="4">
        <v>86.51</v>
      </c>
      <c r="D3266">
        <f t="shared" si="104"/>
        <v>2.0646531382727762E-2</v>
      </c>
      <c r="E3266">
        <v>-5.9749511662644528E-3</v>
      </c>
      <c r="F3266">
        <v>3263</v>
      </c>
      <c r="G3266">
        <f t="shared" ca="1" si="105"/>
        <v>-3.9944748878033134E-2</v>
      </c>
    </row>
    <row r="3267" spans="2:7" x14ac:dyDescent="0.35">
      <c r="B3267" s="2">
        <v>41022</v>
      </c>
      <c r="C3267" s="4">
        <v>84.76</v>
      </c>
      <c r="D3267">
        <f t="shared" si="104"/>
        <v>-5.3066696458496265E-2</v>
      </c>
      <c r="E3267">
        <v>-5.9810015245689296E-3</v>
      </c>
      <c r="F3267">
        <v>3264</v>
      </c>
      <c r="G3267">
        <f t="shared" ca="1" si="105"/>
        <v>-5.0542200098605466E-2</v>
      </c>
    </row>
    <row r="3268" spans="2:7" x14ac:dyDescent="0.35">
      <c r="B3268" s="2">
        <v>41324</v>
      </c>
      <c r="C3268" s="4">
        <v>89.51</v>
      </c>
      <c r="D3268">
        <f t="shared" ref="D3268:D3331" si="106">C3268/C3269-1</f>
        <v>-0.88926963234202583</v>
      </c>
      <c r="E3268">
        <v>-5.9966685174901446E-3</v>
      </c>
      <c r="F3268">
        <v>3265</v>
      </c>
      <c r="G3268">
        <f t="shared" ca="1" si="105"/>
        <v>5.5069543929817298E-2</v>
      </c>
    </row>
    <row r="3269" spans="2:7" x14ac:dyDescent="0.35">
      <c r="B3269" s="2">
        <v>42328</v>
      </c>
      <c r="C3269" s="4">
        <v>808.36</v>
      </c>
      <c r="D3269">
        <f t="shared" si="106"/>
        <v>-1.7370692274965016E-2</v>
      </c>
      <c r="E3269">
        <v>-6.012911158930212E-3</v>
      </c>
      <c r="F3269">
        <v>3266</v>
      </c>
      <c r="G3269">
        <f t="shared" ref="G3269:G3332" ca="1" si="107">_xlfn.NORM.INV(RAND(),K$6,K$7)</f>
        <v>8.9316044613874952E-3</v>
      </c>
    </row>
    <row r="3270" spans="2:7" x14ac:dyDescent="0.35">
      <c r="B3270" s="2">
        <v>43496</v>
      </c>
      <c r="C3270" s="4">
        <v>822.65</v>
      </c>
      <c r="D3270">
        <f t="shared" si="106"/>
        <v>8.9618551707435206</v>
      </c>
      <c r="E3270">
        <v>-6.0171815908075521E-3</v>
      </c>
      <c r="F3270">
        <v>3267</v>
      </c>
      <c r="G3270">
        <f t="shared" ca="1" si="107"/>
        <v>1.2192655257736802E-3</v>
      </c>
    </row>
    <row r="3271" spans="2:7" x14ac:dyDescent="0.35">
      <c r="B3271" s="2">
        <v>40994</v>
      </c>
      <c r="C3271" s="4">
        <v>82.58</v>
      </c>
      <c r="D3271">
        <f t="shared" si="106"/>
        <v>0.22358867980441555</v>
      </c>
      <c r="E3271">
        <v>-6.0182956186808356E-3</v>
      </c>
      <c r="F3271">
        <v>3268</v>
      </c>
      <c r="G3271">
        <f t="shared" ca="1" si="107"/>
        <v>-7.1130278463711477E-3</v>
      </c>
    </row>
    <row r="3272" spans="2:7" x14ac:dyDescent="0.35">
      <c r="B3272" s="2">
        <v>38545</v>
      </c>
      <c r="C3272" s="4">
        <v>67.489999999999995</v>
      </c>
      <c r="D3272">
        <f t="shared" si="106"/>
        <v>0.14022638959283662</v>
      </c>
      <c r="E3272">
        <v>-6.0382916053021152E-3</v>
      </c>
      <c r="F3272">
        <v>3269</v>
      </c>
      <c r="G3272">
        <f t="shared" ca="1" si="107"/>
        <v>-5.4959331752514979E-3</v>
      </c>
    </row>
    <row r="3273" spans="2:7" x14ac:dyDescent="0.35">
      <c r="B3273" s="2">
        <v>38909</v>
      </c>
      <c r="C3273" s="4">
        <v>59.19</v>
      </c>
      <c r="D3273">
        <f t="shared" si="106"/>
        <v>1.4021915584415581</v>
      </c>
      <c r="E3273">
        <v>-6.0453400503778232E-3</v>
      </c>
      <c r="F3273">
        <v>3270</v>
      </c>
      <c r="G3273">
        <f t="shared" ca="1" si="107"/>
        <v>9.5270347514905696E-3</v>
      </c>
    </row>
    <row r="3274" spans="2:7" x14ac:dyDescent="0.35">
      <c r="B3274" s="2">
        <v>37826</v>
      </c>
      <c r="C3274" s="4">
        <v>24.64</v>
      </c>
      <c r="D3274">
        <f t="shared" si="106"/>
        <v>-0.78221672264451125</v>
      </c>
      <c r="E3274">
        <v>-6.0508269463492859E-3</v>
      </c>
      <c r="F3274">
        <v>3271</v>
      </c>
      <c r="G3274">
        <f t="shared" ca="1" si="107"/>
        <v>2.3608557856278824E-3</v>
      </c>
    </row>
    <row r="3275" spans="2:7" x14ac:dyDescent="0.35">
      <c r="B3275" s="2">
        <v>40459</v>
      </c>
      <c r="C3275" s="4">
        <v>113.14</v>
      </c>
      <c r="D3275">
        <f t="shared" si="106"/>
        <v>-0.8735498580593245</v>
      </c>
      <c r="E3275">
        <v>-6.0616709127646606E-3</v>
      </c>
      <c r="F3275">
        <v>3272</v>
      </c>
      <c r="G3275">
        <f t="shared" ca="1" si="107"/>
        <v>-4.8034624501751338E-3</v>
      </c>
    </row>
    <row r="3276" spans="2:7" x14ac:dyDescent="0.35">
      <c r="B3276" s="2">
        <v>43578</v>
      </c>
      <c r="C3276" s="4">
        <v>894.74</v>
      </c>
      <c r="D3276">
        <f t="shared" si="106"/>
        <v>2.3093168620778934</v>
      </c>
      <c r="E3276">
        <v>-6.0653188180405104E-3</v>
      </c>
      <c r="F3276">
        <v>3273</v>
      </c>
      <c r="G3276">
        <f t="shared" ca="1" si="107"/>
        <v>1.1072471949941359E-5</v>
      </c>
    </row>
    <row r="3277" spans="2:7" x14ac:dyDescent="0.35">
      <c r="B3277" s="2">
        <v>41823</v>
      </c>
      <c r="C3277" s="4">
        <v>270.37</v>
      </c>
      <c r="D3277">
        <f t="shared" si="106"/>
        <v>-0.67936387462495407</v>
      </c>
      <c r="E3277">
        <v>-6.0657304609954554E-3</v>
      </c>
      <c r="F3277">
        <v>3274</v>
      </c>
      <c r="G3277">
        <f t="shared" ca="1" si="107"/>
        <v>1.8742937189608687E-3</v>
      </c>
    </row>
    <row r="3278" spans="2:7" x14ac:dyDescent="0.35">
      <c r="B3278" s="2">
        <v>42303</v>
      </c>
      <c r="C3278" s="4">
        <v>843.23</v>
      </c>
      <c r="D3278">
        <f t="shared" si="106"/>
        <v>26.174669674508539</v>
      </c>
      <c r="E3278">
        <v>-6.0821084642675993E-3</v>
      </c>
      <c r="F3278">
        <v>3275</v>
      </c>
      <c r="G3278">
        <f t="shared" ca="1" si="107"/>
        <v>2.7185629338057501E-2</v>
      </c>
    </row>
    <row r="3279" spans="2:7" x14ac:dyDescent="0.35">
      <c r="B3279" s="2">
        <v>37601</v>
      </c>
      <c r="C3279" s="4">
        <v>31.03</v>
      </c>
      <c r="D3279">
        <f t="shared" si="106"/>
        <v>-0.69832782422710471</v>
      </c>
      <c r="E3279">
        <v>-6.0858424087122387E-3</v>
      </c>
      <c r="F3279">
        <v>3276</v>
      </c>
      <c r="G3279">
        <f t="shared" ca="1" si="107"/>
        <v>-1.1160852147559984E-2</v>
      </c>
    </row>
    <row r="3280" spans="2:7" x14ac:dyDescent="0.35">
      <c r="B3280" s="2">
        <v>40739</v>
      </c>
      <c r="C3280" s="4">
        <v>102.86</v>
      </c>
      <c r="D3280">
        <f t="shared" si="106"/>
        <v>0.10996007337865543</v>
      </c>
      <c r="E3280">
        <v>-6.0875446903081443E-3</v>
      </c>
      <c r="F3280">
        <v>3277</v>
      </c>
      <c r="G3280">
        <f t="shared" ca="1" si="107"/>
        <v>3.0985167765228867E-3</v>
      </c>
    </row>
    <row r="3281" spans="2:7" x14ac:dyDescent="0.35">
      <c r="B3281" s="2">
        <v>39080</v>
      </c>
      <c r="C3281" s="4">
        <v>92.67</v>
      </c>
      <c r="D3281">
        <f t="shared" si="106"/>
        <v>-0.96500298345128666</v>
      </c>
      <c r="E3281">
        <v>-6.1132561132560825E-3</v>
      </c>
      <c r="F3281">
        <v>3278</v>
      </c>
      <c r="G3281">
        <f t="shared" ca="1" si="107"/>
        <v>4.3682428254194446E-2</v>
      </c>
    </row>
    <row r="3282" spans="2:7" x14ac:dyDescent="0.35">
      <c r="B3282" s="2">
        <v>44252</v>
      </c>
      <c r="C3282" s="4">
        <v>2647.94</v>
      </c>
      <c r="D3282">
        <f t="shared" si="106"/>
        <v>1.6064710456634939</v>
      </c>
      <c r="E3282">
        <v>-6.1217978793280947E-3</v>
      </c>
      <c r="F3282">
        <v>3279</v>
      </c>
      <c r="G3282">
        <f t="shared" ca="1" si="107"/>
        <v>-1.0030490130153294E-2</v>
      </c>
    </row>
    <row r="3283" spans="2:7" x14ac:dyDescent="0.35">
      <c r="B3283" s="2">
        <v>43125</v>
      </c>
      <c r="C3283" s="4">
        <v>1015.91</v>
      </c>
      <c r="D3283">
        <f t="shared" si="106"/>
        <v>0.18400289034182959</v>
      </c>
      <c r="E3283">
        <v>-6.124225911541159E-3</v>
      </c>
      <c r="F3283">
        <v>3280</v>
      </c>
      <c r="G3283">
        <f t="shared" ca="1" si="107"/>
        <v>-5.269784018613391E-2</v>
      </c>
    </row>
    <row r="3284" spans="2:7" x14ac:dyDescent="0.35">
      <c r="B3284" s="2">
        <v>42276</v>
      </c>
      <c r="C3284" s="4">
        <v>858.03</v>
      </c>
      <c r="D3284">
        <f t="shared" si="106"/>
        <v>-0.86411212733103693</v>
      </c>
      <c r="E3284">
        <v>-6.1275077607376716E-3</v>
      </c>
      <c r="F3284">
        <v>3281</v>
      </c>
      <c r="G3284">
        <f t="shared" ca="1" si="107"/>
        <v>-1.7397397600184359E-2</v>
      </c>
    </row>
    <row r="3285" spans="2:7" x14ac:dyDescent="0.35">
      <c r="B3285" s="2">
        <v>44915</v>
      </c>
      <c r="C3285" s="4">
        <v>6314.25</v>
      </c>
      <c r="D3285">
        <f t="shared" si="106"/>
        <v>59.089931480776549</v>
      </c>
      <c r="E3285">
        <v>-6.1464121007980266E-3</v>
      </c>
      <c r="F3285">
        <v>3282</v>
      </c>
      <c r="G3285">
        <f t="shared" ca="1" si="107"/>
        <v>1.5826207644850928E-2</v>
      </c>
    </row>
    <row r="3286" spans="2:7" x14ac:dyDescent="0.35">
      <c r="B3286" s="2">
        <v>40393</v>
      </c>
      <c r="C3286" s="4">
        <v>105.08</v>
      </c>
      <c r="D3286">
        <f t="shared" si="106"/>
        <v>-9.5202186822509471E-3</v>
      </c>
      <c r="E3286">
        <v>-6.1477347961790274E-3</v>
      </c>
      <c r="F3286">
        <v>3283</v>
      </c>
      <c r="G3286">
        <f t="shared" ca="1" si="107"/>
        <v>-3.0077388346049286E-2</v>
      </c>
    </row>
    <row r="3287" spans="2:7" x14ac:dyDescent="0.35">
      <c r="B3287" s="2">
        <v>40344</v>
      </c>
      <c r="C3287" s="4">
        <v>106.09</v>
      </c>
      <c r="D3287">
        <f t="shared" si="106"/>
        <v>0.27267274472168901</v>
      </c>
      <c r="E3287">
        <v>-6.1826697892271021E-3</v>
      </c>
      <c r="F3287">
        <v>3284</v>
      </c>
      <c r="G3287">
        <f t="shared" ca="1" si="107"/>
        <v>-2.6998670371395431E-2</v>
      </c>
    </row>
    <row r="3288" spans="2:7" x14ac:dyDescent="0.35">
      <c r="B3288" s="2">
        <v>40987</v>
      </c>
      <c r="C3288" s="4">
        <v>83.36</v>
      </c>
      <c r="D3288">
        <f t="shared" si="106"/>
        <v>6.1640346408558422E-2</v>
      </c>
      <c r="E3288">
        <v>-6.1993323795898059E-3</v>
      </c>
      <c r="F3288">
        <v>3285</v>
      </c>
      <c r="G3288">
        <f t="shared" ca="1" si="107"/>
        <v>-2.1267654499508064E-2</v>
      </c>
    </row>
    <row r="3289" spans="2:7" x14ac:dyDescent="0.35">
      <c r="B3289" s="2">
        <v>40891</v>
      </c>
      <c r="C3289" s="4">
        <v>78.52</v>
      </c>
      <c r="D3289">
        <f t="shared" si="106"/>
        <v>4.3455149501661072E-2</v>
      </c>
      <c r="E3289">
        <v>-6.2017466143526878E-3</v>
      </c>
      <c r="F3289">
        <v>3286</v>
      </c>
      <c r="G3289">
        <f t="shared" ca="1" si="107"/>
        <v>-6.0667405537141103E-3</v>
      </c>
    </row>
    <row r="3290" spans="2:7" x14ac:dyDescent="0.35">
      <c r="B3290" s="2">
        <v>41542</v>
      </c>
      <c r="C3290" s="4">
        <v>75.25</v>
      </c>
      <c r="D3290">
        <f t="shared" si="106"/>
        <v>1.6119402985074629</v>
      </c>
      <c r="E3290">
        <v>-6.2070787110406478E-3</v>
      </c>
      <c r="F3290">
        <v>3287</v>
      </c>
      <c r="G3290">
        <f t="shared" ca="1" si="107"/>
        <v>1.8353315985428095E-2</v>
      </c>
    </row>
    <row r="3291" spans="2:7" x14ac:dyDescent="0.35">
      <c r="B3291" s="2">
        <v>38043</v>
      </c>
      <c r="C3291" s="4">
        <v>28.81</v>
      </c>
      <c r="D3291">
        <f t="shared" si="106"/>
        <v>-0.56068923452272035</v>
      </c>
      <c r="E3291">
        <v>-6.2090375991721292E-3</v>
      </c>
      <c r="F3291">
        <v>3288</v>
      </c>
      <c r="G3291">
        <f t="shared" ca="1" si="107"/>
        <v>-2.1050197761265214E-2</v>
      </c>
    </row>
    <row r="3292" spans="2:7" x14ac:dyDescent="0.35">
      <c r="B3292" s="2">
        <v>38784</v>
      </c>
      <c r="C3292" s="4">
        <v>65.58</v>
      </c>
      <c r="D3292">
        <f t="shared" si="106"/>
        <v>1.1679338842975207</v>
      </c>
      <c r="E3292">
        <v>-6.2130625852401256E-3</v>
      </c>
      <c r="F3292">
        <v>3289</v>
      </c>
      <c r="G3292">
        <f t="shared" ca="1" si="107"/>
        <v>-1.5394218584694416E-2</v>
      </c>
    </row>
    <row r="3293" spans="2:7" x14ac:dyDescent="0.35">
      <c r="B3293" s="2">
        <v>39875</v>
      </c>
      <c r="C3293" s="4">
        <v>30.25</v>
      </c>
      <c r="D3293">
        <f t="shared" si="106"/>
        <v>-0.68304694048616932</v>
      </c>
      <c r="E3293">
        <v>-6.2417871222076871E-3</v>
      </c>
      <c r="F3293">
        <v>3290</v>
      </c>
      <c r="G3293">
        <f t="shared" ca="1" si="107"/>
        <v>-1.6672890143600478E-2</v>
      </c>
    </row>
    <row r="3294" spans="2:7" x14ac:dyDescent="0.35">
      <c r="B3294" s="2">
        <v>41137</v>
      </c>
      <c r="C3294" s="4">
        <v>95.44</v>
      </c>
      <c r="D3294">
        <f t="shared" si="106"/>
        <v>0.30471633629528361</v>
      </c>
      <c r="E3294">
        <v>-6.2473969179509536E-3</v>
      </c>
      <c r="F3294">
        <v>3291</v>
      </c>
      <c r="G3294">
        <f t="shared" ca="1" si="107"/>
        <v>1.3245463620288766E-2</v>
      </c>
    </row>
    <row r="3295" spans="2:7" x14ac:dyDescent="0.35">
      <c r="B3295" s="2">
        <v>38693</v>
      </c>
      <c r="C3295" s="4">
        <v>73.150000000000006</v>
      </c>
      <c r="D3295">
        <f t="shared" si="106"/>
        <v>-0.89399626124885878</v>
      </c>
      <c r="E3295">
        <v>-6.2491509305799831E-3</v>
      </c>
      <c r="F3295">
        <v>3292</v>
      </c>
      <c r="G3295">
        <f t="shared" ca="1" si="107"/>
        <v>-1.9111028151231852E-2</v>
      </c>
    </row>
    <row r="3296" spans="2:7" x14ac:dyDescent="0.35">
      <c r="B3296" s="2">
        <v>42776</v>
      </c>
      <c r="C3296" s="4">
        <v>690.07</v>
      </c>
      <c r="D3296">
        <f t="shared" si="106"/>
        <v>-0.3418941987659383</v>
      </c>
      <c r="E3296">
        <v>-6.2642205005615237E-3</v>
      </c>
      <c r="F3296">
        <v>3293</v>
      </c>
      <c r="G3296">
        <f t="shared" ca="1" si="107"/>
        <v>4.1145050608670332E-2</v>
      </c>
    </row>
    <row r="3297" spans="2:7" x14ac:dyDescent="0.35">
      <c r="B3297" s="2">
        <v>44064</v>
      </c>
      <c r="C3297" s="4">
        <v>1048.57</v>
      </c>
      <c r="D3297">
        <f t="shared" si="106"/>
        <v>7.9460796860336149</v>
      </c>
      <c r="E3297">
        <v>-6.273751646623027E-3</v>
      </c>
      <c r="F3297">
        <v>3294</v>
      </c>
      <c r="G3297">
        <f t="shared" ca="1" si="107"/>
        <v>-2.3040642016514255E-2</v>
      </c>
    </row>
    <row r="3298" spans="2:7" x14ac:dyDescent="0.35">
      <c r="B3298" s="2">
        <v>39258</v>
      </c>
      <c r="C3298" s="4">
        <v>117.21</v>
      </c>
      <c r="D3298">
        <f t="shared" si="106"/>
        <v>1.1160859360895468</v>
      </c>
      <c r="E3298">
        <v>-6.2738448495125443E-3</v>
      </c>
      <c r="F3298">
        <v>3295</v>
      </c>
      <c r="G3298">
        <f t="shared" ca="1" si="107"/>
        <v>4.4043195560698134E-2</v>
      </c>
    </row>
    <row r="3299" spans="2:7" x14ac:dyDescent="0.35">
      <c r="B3299" s="2">
        <v>39979</v>
      </c>
      <c r="C3299" s="4">
        <v>55.39</v>
      </c>
      <c r="D3299">
        <f t="shared" si="106"/>
        <v>1.0591078066914501</v>
      </c>
      <c r="E3299">
        <v>-6.2791532113384285E-3</v>
      </c>
      <c r="F3299">
        <v>3296</v>
      </c>
      <c r="G3299">
        <f t="shared" ca="1" si="107"/>
        <v>1.2223222179753208E-2</v>
      </c>
    </row>
    <row r="3300" spans="2:7" x14ac:dyDescent="0.35">
      <c r="B3300" s="2">
        <v>38089</v>
      </c>
      <c r="C3300" s="4">
        <v>26.9</v>
      </c>
      <c r="D3300">
        <f t="shared" si="106"/>
        <v>-0.97385836872333598</v>
      </c>
      <c r="E3300">
        <v>-6.280014776505416E-3</v>
      </c>
      <c r="F3300">
        <v>3297</v>
      </c>
      <c r="G3300">
        <f t="shared" ca="1" si="107"/>
        <v>1.1707744753898268E-2</v>
      </c>
    </row>
    <row r="3301" spans="2:7" x14ac:dyDescent="0.35">
      <c r="B3301" s="2">
        <v>42368</v>
      </c>
      <c r="C3301" s="4">
        <v>1029.01</v>
      </c>
      <c r="D3301">
        <f t="shared" si="106"/>
        <v>9.34180904522613</v>
      </c>
      <c r="E3301">
        <v>-6.2866965389369867E-3</v>
      </c>
      <c r="F3301">
        <v>3298</v>
      </c>
      <c r="G3301">
        <f t="shared" ca="1" si="107"/>
        <v>-1.8783328762932539E-2</v>
      </c>
    </row>
    <row r="3302" spans="2:7" x14ac:dyDescent="0.35">
      <c r="B3302" s="2">
        <v>40697</v>
      </c>
      <c r="C3302" s="4">
        <v>99.5</v>
      </c>
      <c r="D3302">
        <f t="shared" si="106"/>
        <v>-0.9717977715987971</v>
      </c>
      <c r="E3302">
        <v>-6.2918206331767923E-3</v>
      </c>
      <c r="F3302">
        <v>3299</v>
      </c>
      <c r="G3302">
        <f t="shared" ca="1" si="107"/>
        <v>-6.5036896779965395E-2</v>
      </c>
    </row>
    <row r="3303" spans="2:7" x14ac:dyDescent="0.35">
      <c r="B3303" s="2">
        <v>44350</v>
      </c>
      <c r="C3303" s="4">
        <v>3528.09</v>
      </c>
      <c r="D3303">
        <f t="shared" si="106"/>
        <v>42.930892790437056</v>
      </c>
      <c r="E3303">
        <v>-6.3089883368210309E-3</v>
      </c>
      <c r="F3303">
        <v>3300</v>
      </c>
      <c r="G3303">
        <f t="shared" ca="1" si="107"/>
        <v>2.9938265933731539E-2</v>
      </c>
    </row>
    <row r="3304" spans="2:7" x14ac:dyDescent="0.35">
      <c r="B3304" s="2">
        <v>39022</v>
      </c>
      <c r="C3304" s="4">
        <v>80.31</v>
      </c>
      <c r="D3304">
        <f t="shared" si="106"/>
        <v>-0.91224101757146603</v>
      </c>
      <c r="E3304">
        <v>-6.3103192279138076E-3</v>
      </c>
      <c r="F3304">
        <v>3301</v>
      </c>
      <c r="G3304">
        <f t="shared" ca="1" si="107"/>
        <v>-3.8991261483463657E-3</v>
      </c>
    </row>
    <row r="3305" spans="2:7" x14ac:dyDescent="0.35">
      <c r="B3305" s="2">
        <v>43473</v>
      </c>
      <c r="C3305" s="4">
        <v>915.12</v>
      </c>
      <c r="D3305">
        <f t="shared" si="106"/>
        <v>7.8751818446319461</v>
      </c>
      <c r="E3305">
        <v>-6.3412091730368214E-3</v>
      </c>
      <c r="F3305">
        <v>3302</v>
      </c>
      <c r="G3305">
        <f t="shared" ca="1" si="107"/>
        <v>2.2367370023970854E-2</v>
      </c>
    </row>
    <row r="3306" spans="2:7" x14ac:dyDescent="0.35">
      <c r="B3306" s="2">
        <v>40333</v>
      </c>
      <c r="C3306" s="4">
        <v>103.11</v>
      </c>
      <c r="D3306">
        <f t="shared" si="106"/>
        <v>0.94217366735731756</v>
      </c>
      <c r="E3306">
        <v>-6.3602197166811036E-3</v>
      </c>
      <c r="F3306">
        <v>3303</v>
      </c>
      <c r="G3306">
        <f t="shared" ca="1" si="107"/>
        <v>1.5173238939942052E-3</v>
      </c>
    </row>
    <row r="3307" spans="2:7" x14ac:dyDescent="0.35">
      <c r="B3307" s="2">
        <v>39996</v>
      </c>
      <c r="C3307" s="4">
        <v>53.09</v>
      </c>
      <c r="D3307">
        <f t="shared" si="106"/>
        <v>-0.93585297777992582</v>
      </c>
      <c r="E3307">
        <v>-6.3634662174807399E-3</v>
      </c>
      <c r="F3307">
        <v>3304</v>
      </c>
      <c r="G3307">
        <f t="shared" ca="1" si="107"/>
        <v>2.0111003439833301E-2</v>
      </c>
    </row>
    <row r="3308" spans="2:7" x14ac:dyDescent="0.35">
      <c r="B3308" s="2">
        <v>43495</v>
      </c>
      <c r="C3308" s="4">
        <v>827.63</v>
      </c>
      <c r="D3308">
        <f t="shared" si="106"/>
        <v>5.8224383810073368</v>
      </c>
      <c r="E3308">
        <v>-6.3869379914761604E-3</v>
      </c>
      <c r="F3308">
        <v>3305</v>
      </c>
      <c r="G3308">
        <f t="shared" ca="1" si="107"/>
        <v>-3.2116862685052754E-2</v>
      </c>
    </row>
    <row r="3309" spans="2:7" x14ac:dyDescent="0.35">
      <c r="B3309" s="2">
        <v>40259</v>
      </c>
      <c r="C3309" s="4">
        <v>121.31</v>
      </c>
      <c r="D3309">
        <f t="shared" si="106"/>
        <v>-0.86481456717482397</v>
      </c>
      <c r="E3309">
        <v>-6.3887296256859294E-3</v>
      </c>
      <c r="F3309">
        <v>3306</v>
      </c>
      <c r="G3309">
        <f t="shared" ca="1" si="107"/>
        <v>-1.6300220913172986E-2</v>
      </c>
    </row>
    <row r="3310" spans="2:7" x14ac:dyDescent="0.35">
      <c r="B3310" s="2">
        <v>44036</v>
      </c>
      <c r="C3310" s="4">
        <v>897.36</v>
      </c>
      <c r="D3310">
        <f t="shared" si="106"/>
        <v>7</v>
      </c>
      <c r="E3310">
        <v>-6.399893704187587E-3</v>
      </c>
      <c r="F3310">
        <v>3307</v>
      </c>
      <c r="G3310">
        <f t="shared" ca="1" si="107"/>
        <v>-3.8621532933831776E-2</v>
      </c>
    </row>
    <row r="3311" spans="2:7" x14ac:dyDescent="0.35">
      <c r="B3311" s="2">
        <v>40373</v>
      </c>
      <c r="C3311" s="4">
        <v>112.17</v>
      </c>
      <c r="D3311">
        <f t="shared" si="106"/>
        <v>-0.88716426918821045</v>
      </c>
      <c r="E3311">
        <v>-6.4658990256865057E-3</v>
      </c>
      <c r="F3311">
        <v>3308</v>
      </c>
      <c r="G3311">
        <f t="shared" ca="1" si="107"/>
        <v>5.4916526584426638E-3</v>
      </c>
    </row>
    <row r="3312" spans="2:7" x14ac:dyDescent="0.35">
      <c r="B3312" s="2">
        <v>43208</v>
      </c>
      <c r="C3312" s="4">
        <v>994.1</v>
      </c>
      <c r="D3312">
        <f t="shared" si="106"/>
        <v>16.104267033723332</v>
      </c>
      <c r="E3312">
        <v>-6.4861731578368387E-3</v>
      </c>
      <c r="F3312">
        <v>3309</v>
      </c>
      <c r="G3312">
        <f t="shared" ca="1" si="107"/>
        <v>-3.6591981571420414E-3</v>
      </c>
    </row>
    <row r="3313" spans="2:7" x14ac:dyDescent="0.35">
      <c r="B3313" s="2">
        <v>38426</v>
      </c>
      <c r="C3313" s="4">
        <v>58.12</v>
      </c>
      <c r="D3313">
        <f t="shared" si="106"/>
        <v>-0.92983642180237824</v>
      </c>
      <c r="E3313">
        <v>-6.4957264957264949E-3</v>
      </c>
      <c r="F3313">
        <v>3310</v>
      </c>
      <c r="G3313">
        <f t="shared" ca="1" si="107"/>
        <v>7.3189948728086152E-2</v>
      </c>
    </row>
    <row r="3314" spans="2:7" x14ac:dyDescent="0.35">
      <c r="B3314" s="2">
        <v>43815</v>
      </c>
      <c r="C3314" s="4">
        <v>828.35</v>
      </c>
      <c r="D3314">
        <f t="shared" si="106"/>
        <v>14.535446361590399</v>
      </c>
      <c r="E3314">
        <v>-6.5125092950177876E-3</v>
      </c>
      <c r="F3314">
        <v>3311</v>
      </c>
      <c r="G3314">
        <f t="shared" ca="1" si="107"/>
        <v>6.7772521362569463E-2</v>
      </c>
    </row>
    <row r="3315" spans="2:7" x14ac:dyDescent="0.35">
      <c r="B3315" s="2">
        <v>38362</v>
      </c>
      <c r="C3315" s="4">
        <v>53.32</v>
      </c>
      <c r="D3315">
        <f t="shared" si="106"/>
        <v>-0.27058823529411757</v>
      </c>
      <c r="E3315">
        <v>-6.5213340786286489E-3</v>
      </c>
      <c r="F3315">
        <v>3312</v>
      </c>
      <c r="G3315">
        <f t="shared" ca="1" si="107"/>
        <v>-1.2239349825273924E-2</v>
      </c>
    </row>
    <row r="3316" spans="2:7" x14ac:dyDescent="0.35">
      <c r="B3316" s="2">
        <v>39633</v>
      </c>
      <c r="C3316" s="4">
        <v>73.099999999999994</v>
      </c>
      <c r="D3316">
        <f t="shared" si="106"/>
        <v>0.26470588235294112</v>
      </c>
      <c r="E3316">
        <v>-6.5235118238652356E-3</v>
      </c>
      <c r="F3316">
        <v>3313</v>
      </c>
      <c r="G3316">
        <f t="shared" ca="1" si="107"/>
        <v>-3.8801840680242226E-3</v>
      </c>
    </row>
    <row r="3317" spans="2:7" x14ac:dyDescent="0.35">
      <c r="B3317" s="2">
        <v>38400</v>
      </c>
      <c r="C3317" s="4">
        <v>57.8</v>
      </c>
      <c r="D3317">
        <f t="shared" si="106"/>
        <v>-0.93735775441638669</v>
      </c>
      <c r="E3317">
        <v>-6.5314541079408706E-3</v>
      </c>
      <c r="F3317">
        <v>3314</v>
      </c>
      <c r="G3317">
        <f t="shared" ca="1" si="107"/>
        <v>-3.9974975768936334E-2</v>
      </c>
    </row>
    <row r="3318" spans="2:7" x14ac:dyDescent="0.35">
      <c r="B3318" s="2">
        <v>43546</v>
      </c>
      <c r="C3318" s="4">
        <v>922.7</v>
      </c>
      <c r="D3318">
        <f t="shared" si="106"/>
        <v>30.949445983379505</v>
      </c>
      <c r="E3318">
        <v>-6.5355254799357443E-3</v>
      </c>
      <c r="F3318">
        <v>3315</v>
      </c>
      <c r="G3318">
        <f t="shared" ca="1" si="107"/>
        <v>-2.0100913697466877E-2</v>
      </c>
    </row>
    <row r="3319" spans="2:7" x14ac:dyDescent="0.35">
      <c r="B3319" s="2">
        <v>37875</v>
      </c>
      <c r="C3319" s="4">
        <v>28.88</v>
      </c>
      <c r="D3319">
        <f t="shared" si="106"/>
        <v>0</v>
      </c>
      <c r="E3319">
        <v>-6.5359477124183885E-3</v>
      </c>
      <c r="F3319">
        <v>3316</v>
      </c>
      <c r="G3319">
        <f t="shared" ca="1" si="107"/>
        <v>1.7843647186261725E-2</v>
      </c>
    </row>
    <row r="3320" spans="2:7" x14ac:dyDescent="0.35">
      <c r="B3320" s="2">
        <v>37634</v>
      </c>
      <c r="C3320" s="4">
        <v>28.88</v>
      </c>
      <c r="D3320">
        <f t="shared" si="106"/>
        <v>-0.57684981684981684</v>
      </c>
      <c r="E3320">
        <v>-6.5359477124183885E-3</v>
      </c>
      <c r="F3320">
        <v>3317</v>
      </c>
      <c r="G3320">
        <f t="shared" ca="1" si="107"/>
        <v>-2.8066961481384288E-2</v>
      </c>
    </row>
    <row r="3321" spans="2:7" x14ac:dyDescent="0.35">
      <c r="B3321" s="2">
        <v>38622</v>
      </c>
      <c r="C3321" s="4">
        <v>68.25</v>
      </c>
      <c r="D3321">
        <f t="shared" si="106"/>
        <v>0.36472705458908217</v>
      </c>
      <c r="E3321">
        <v>-6.5502183406114245E-3</v>
      </c>
      <c r="F3321">
        <v>3318</v>
      </c>
      <c r="G3321">
        <f t="shared" ca="1" si="107"/>
        <v>3.4936122052722056E-2</v>
      </c>
    </row>
    <row r="3322" spans="2:7" x14ac:dyDescent="0.35">
      <c r="B3322" s="2">
        <v>38243</v>
      </c>
      <c r="C3322" s="4">
        <v>50.01</v>
      </c>
      <c r="D3322">
        <f t="shared" si="106"/>
        <v>-0.69440879926672783</v>
      </c>
      <c r="E3322">
        <v>-6.5554231227653581E-3</v>
      </c>
      <c r="F3322">
        <v>3319</v>
      </c>
      <c r="G3322">
        <f t="shared" ca="1" si="107"/>
        <v>3.9148469383462225E-2</v>
      </c>
    </row>
    <row r="3323" spans="2:7" x14ac:dyDescent="0.35">
      <c r="B3323" s="2">
        <v>41634</v>
      </c>
      <c r="C3323" s="4">
        <v>163.65</v>
      </c>
      <c r="D3323">
        <f t="shared" si="106"/>
        <v>-0.75852146967684819</v>
      </c>
      <c r="E3323">
        <v>-6.5561828446547565E-3</v>
      </c>
      <c r="F3323">
        <v>3320</v>
      </c>
      <c r="G3323">
        <f t="shared" ca="1" si="107"/>
        <v>2.9520100943071392E-2</v>
      </c>
    </row>
    <row r="3324" spans="2:7" x14ac:dyDescent="0.35">
      <c r="B3324" s="2">
        <v>42825</v>
      </c>
      <c r="C3324" s="4">
        <v>677.7</v>
      </c>
      <c r="D3324">
        <f t="shared" si="106"/>
        <v>5.9019248395967008</v>
      </c>
      <c r="E3324">
        <v>-6.5671816822537865E-3</v>
      </c>
      <c r="F3324">
        <v>3321</v>
      </c>
      <c r="G3324">
        <f t="shared" ca="1" si="107"/>
        <v>-2.3040398944955694E-2</v>
      </c>
    </row>
    <row r="3325" spans="2:7" x14ac:dyDescent="0.35">
      <c r="B3325" s="2">
        <v>41170</v>
      </c>
      <c r="C3325" s="4">
        <v>98.19</v>
      </c>
      <c r="D3325">
        <f t="shared" si="106"/>
        <v>-0.88972495816533959</v>
      </c>
      <c r="E3325">
        <v>-6.5762849048968119E-3</v>
      </c>
      <c r="F3325">
        <v>3322</v>
      </c>
      <c r="G3325">
        <f t="shared" ca="1" si="107"/>
        <v>2.3161117299083055E-2</v>
      </c>
    </row>
    <row r="3326" spans="2:7" x14ac:dyDescent="0.35">
      <c r="B3326" s="2">
        <v>42485</v>
      </c>
      <c r="C3326" s="4">
        <v>890.41</v>
      </c>
      <c r="D3326">
        <f t="shared" si="106"/>
        <v>7.4655828104202318</v>
      </c>
      <c r="E3326">
        <v>-6.6047103187443224E-3</v>
      </c>
      <c r="F3326">
        <v>3323</v>
      </c>
      <c r="G3326">
        <f t="shared" ca="1" si="107"/>
        <v>-1.6613711710407645E-4</v>
      </c>
    </row>
    <row r="3327" spans="2:7" x14ac:dyDescent="0.35">
      <c r="B3327" s="2">
        <v>40387</v>
      </c>
      <c r="C3327" s="4">
        <v>105.18</v>
      </c>
      <c r="D3327">
        <f t="shared" si="106"/>
        <v>-0.88249882699912863</v>
      </c>
      <c r="E3327">
        <v>-6.6112580279560351E-3</v>
      </c>
      <c r="F3327">
        <v>3324</v>
      </c>
      <c r="G3327">
        <f t="shared" ca="1" si="107"/>
        <v>-3.2495639191662276E-2</v>
      </c>
    </row>
    <row r="3328" spans="2:7" x14ac:dyDescent="0.35">
      <c r="B3328" s="2">
        <v>42440</v>
      </c>
      <c r="C3328" s="4">
        <v>895.14</v>
      </c>
      <c r="D3328">
        <f t="shared" si="106"/>
        <v>12.871687587168758</v>
      </c>
      <c r="E3328">
        <v>-6.614138275441217E-3</v>
      </c>
      <c r="F3328">
        <v>3325</v>
      </c>
      <c r="G3328">
        <f t="shared" ca="1" si="107"/>
        <v>-3.1605549812610953E-3</v>
      </c>
    </row>
    <row r="3329" spans="2:7" x14ac:dyDescent="0.35">
      <c r="B3329" s="2">
        <v>38797</v>
      </c>
      <c r="C3329" s="4">
        <v>64.53</v>
      </c>
      <c r="D3329">
        <f t="shared" si="106"/>
        <v>-0.99392037987026749</v>
      </c>
      <c r="E3329">
        <v>-6.6194581280787368E-3</v>
      </c>
      <c r="F3329">
        <v>3326</v>
      </c>
      <c r="G3329">
        <f t="shared" ca="1" si="107"/>
        <v>-6.3898205738273893E-3</v>
      </c>
    </row>
    <row r="3330" spans="2:7" x14ac:dyDescent="0.35">
      <c r="B3330" s="2">
        <v>44791</v>
      </c>
      <c r="C3330" s="4">
        <v>10614.15</v>
      </c>
      <c r="D3330">
        <f t="shared" si="106"/>
        <v>98.728929813022631</v>
      </c>
      <c r="E3330">
        <v>-6.6214938838922155E-3</v>
      </c>
      <c r="F3330">
        <v>3327</v>
      </c>
      <c r="G3330">
        <f t="shared" ca="1" si="107"/>
        <v>-6.4265398747909257E-3</v>
      </c>
    </row>
    <row r="3331" spans="2:7" x14ac:dyDescent="0.35">
      <c r="B3331" s="2">
        <v>40662</v>
      </c>
      <c r="C3331" s="4">
        <v>106.43</v>
      </c>
      <c r="D3331">
        <f t="shared" si="106"/>
        <v>0.39415771548336398</v>
      </c>
      <c r="E3331">
        <v>-6.6268433824900885E-3</v>
      </c>
      <c r="F3331">
        <v>3328</v>
      </c>
      <c r="G3331">
        <f t="shared" ca="1" si="107"/>
        <v>-2.0029141382248559E-2</v>
      </c>
    </row>
    <row r="3332" spans="2:7" x14ac:dyDescent="0.35">
      <c r="B3332" s="2">
        <v>39603</v>
      </c>
      <c r="C3332" s="4">
        <v>76.34</v>
      </c>
      <c r="D3332">
        <f t="shared" ref="D3332:D3395" si="108">C3332/C3333-1</f>
        <v>-0.98914329597815576</v>
      </c>
      <c r="E3332">
        <v>-6.6363044892646661E-3</v>
      </c>
      <c r="F3332">
        <v>3329</v>
      </c>
      <c r="G3332">
        <f t="shared" ca="1" si="107"/>
        <v>2.1498691065857396E-2</v>
      </c>
    </row>
    <row r="3333" spans="2:7" x14ac:dyDescent="0.35">
      <c r="B3333" s="2">
        <v>45061</v>
      </c>
      <c r="C3333" s="4">
        <v>7031.6</v>
      </c>
      <c r="D3333">
        <f t="shared" si="108"/>
        <v>0.17179662372723192</v>
      </c>
      <c r="E3333">
        <v>-6.6397310202582771E-3</v>
      </c>
      <c r="F3333">
        <v>3330</v>
      </c>
      <c r="G3333">
        <f t="shared" ref="G3333:G3396" ca="1" si="109">_xlfn.NORM.INV(RAND(),K$6,K$7)</f>
        <v>-4.4721209236277891E-2</v>
      </c>
    </row>
    <row r="3334" spans="2:7" x14ac:dyDescent="0.35">
      <c r="B3334" s="2">
        <v>45009</v>
      </c>
      <c r="C3334" s="4">
        <v>6000.7</v>
      </c>
      <c r="D3334">
        <f t="shared" si="108"/>
        <v>80.987976499521793</v>
      </c>
      <c r="E3334">
        <v>-6.6464156534263852E-3</v>
      </c>
      <c r="F3334">
        <v>3331</v>
      </c>
      <c r="G3334">
        <f t="shared" ca="1" si="109"/>
        <v>-1.5019941069435518E-2</v>
      </c>
    </row>
    <row r="3335" spans="2:7" x14ac:dyDescent="0.35">
      <c r="B3335" s="2">
        <v>38582</v>
      </c>
      <c r="C3335" s="4">
        <v>73.19</v>
      </c>
      <c r="D3335">
        <f t="shared" si="108"/>
        <v>-0.90823260945884954</v>
      </c>
      <c r="E3335">
        <v>-6.6503800217156961E-3</v>
      </c>
      <c r="F3335">
        <v>3332</v>
      </c>
      <c r="G3335">
        <f t="shared" ca="1" si="109"/>
        <v>-5.9559289755195845E-2</v>
      </c>
    </row>
    <row r="3336" spans="2:7" x14ac:dyDescent="0.35">
      <c r="B3336" s="2">
        <v>43838</v>
      </c>
      <c r="C3336" s="4">
        <v>797.56</v>
      </c>
      <c r="D3336">
        <f t="shared" si="108"/>
        <v>0.11635849558389211</v>
      </c>
      <c r="E3336">
        <v>-6.6508905218582992E-3</v>
      </c>
      <c r="F3336">
        <v>3333</v>
      </c>
      <c r="G3336">
        <f t="shared" ca="1" si="109"/>
        <v>7.5755788158509329E-4</v>
      </c>
    </row>
    <row r="3337" spans="2:7" x14ac:dyDescent="0.35">
      <c r="B3337" s="2">
        <v>42860</v>
      </c>
      <c r="C3337" s="4">
        <v>714.43</v>
      </c>
      <c r="D3337">
        <f t="shared" si="108"/>
        <v>1.5632534443168766</v>
      </c>
      <c r="E3337">
        <v>-6.6599927699453332E-3</v>
      </c>
      <c r="F3337">
        <v>3334</v>
      </c>
      <c r="G3337">
        <f t="shared" ca="1" si="109"/>
        <v>-4.8592268282466475E-2</v>
      </c>
    </row>
    <row r="3338" spans="2:7" x14ac:dyDescent="0.35">
      <c r="B3338" s="2">
        <v>41926</v>
      </c>
      <c r="C3338" s="4">
        <v>278.72000000000003</v>
      </c>
      <c r="D3338">
        <f t="shared" si="108"/>
        <v>-0.54819989949911652</v>
      </c>
      <c r="E3338">
        <v>-6.6645283153353718E-3</v>
      </c>
      <c r="F3338">
        <v>3335</v>
      </c>
      <c r="G3338">
        <f t="shared" ca="1" si="109"/>
        <v>-7.7813608896141768E-3</v>
      </c>
    </row>
    <row r="3339" spans="2:7" x14ac:dyDescent="0.35">
      <c r="B3339" s="2">
        <v>42667</v>
      </c>
      <c r="C3339" s="4">
        <v>616.91</v>
      </c>
      <c r="D3339">
        <f t="shared" si="108"/>
        <v>8.6392187499999995</v>
      </c>
      <c r="E3339">
        <v>-6.6661299412285047E-3</v>
      </c>
      <c r="F3339">
        <v>3336</v>
      </c>
      <c r="G3339">
        <f t="shared" ca="1" si="109"/>
        <v>-1.2633861502823069E-2</v>
      </c>
    </row>
    <row r="3340" spans="2:7" x14ac:dyDescent="0.35">
      <c r="B3340" s="2">
        <v>38800</v>
      </c>
      <c r="C3340" s="4">
        <v>64</v>
      </c>
      <c r="D3340">
        <f t="shared" si="108"/>
        <v>-0.9471196747859999</v>
      </c>
      <c r="E3340">
        <v>-6.6739096694087285E-3</v>
      </c>
      <c r="F3340">
        <v>3337</v>
      </c>
      <c r="G3340">
        <f t="shared" ca="1" si="109"/>
        <v>-2.8201685515656393E-2</v>
      </c>
    </row>
    <row r="3341" spans="2:7" x14ac:dyDescent="0.35">
      <c r="B3341" s="2">
        <v>43269</v>
      </c>
      <c r="C3341" s="4">
        <v>1210.28</v>
      </c>
      <c r="D3341">
        <f t="shared" si="108"/>
        <v>22.477788554801165</v>
      </c>
      <c r="E3341">
        <v>-6.705240264270218E-3</v>
      </c>
      <c r="F3341">
        <v>3338</v>
      </c>
      <c r="G3341">
        <f t="shared" ca="1" si="109"/>
        <v>-6.1712725729183198E-3</v>
      </c>
    </row>
    <row r="3342" spans="2:7" x14ac:dyDescent="0.35">
      <c r="B3342" s="2">
        <v>38351</v>
      </c>
      <c r="C3342" s="4">
        <v>51.55</v>
      </c>
      <c r="D3342">
        <f t="shared" si="108"/>
        <v>-0.85221180585418999</v>
      </c>
      <c r="E3342">
        <v>-6.7437379576108514E-3</v>
      </c>
      <c r="F3342">
        <v>3339</v>
      </c>
      <c r="G3342">
        <f t="shared" ca="1" si="109"/>
        <v>-1.1403157506437885E-2</v>
      </c>
    </row>
    <row r="3343" spans="2:7" x14ac:dyDescent="0.35">
      <c r="B3343" s="2">
        <v>42031</v>
      </c>
      <c r="C3343" s="4">
        <v>348.81</v>
      </c>
      <c r="D3343">
        <f t="shared" si="108"/>
        <v>9.3045790251107832</v>
      </c>
      <c r="E3343">
        <v>-6.7486758927045587E-3</v>
      </c>
      <c r="F3343">
        <v>3340</v>
      </c>
      <c r="G3343">
        <f t="shared" ca="1" si="109"/>
        <v>2.458787251788095E-2</v>
      </c>
    </row>
    <row r="3344" spans="2:7" x14ac:dyDescent="0.35">
      <c r="B3344" s="2">
        <v>39805</v>
      </c>
      <c r="C3344" s="4">
        <v>33.85</v>
      </c>
      <c r="D3344">
        <f t="shared" si="108"/>
        <v>0.21239255014326641</v>
      </c>
      <c r="E3344">
        <v>-6.748826291079757E-3</v>
      </c>
      <c r="F3344">
        <v>3341</v>
      </c>
      <c r="G3344">
        <f t="shared" ca="1" si="109"/>
        <v>-2.2567583956938586E-2</v>
      </c>
    </row>
    <row r="3345" spans="2:7" x14ac:dyDescent="0.35">
      <c r="B3345" s="2">
        <v>37867</v>
      </c>
      <c r="C3345" s="4">
        <v>27.92</v>
      </c>
      <c r="D3345">
        <f t="shared" si="108"/>
        <v>-0.45649211602102391</v>
      </c>
      <c r="E3345">
        <v>-6.7591604411241235E-3</v>
      </c>
      <c r="F3345">
        <v>3342</v>
      </c>
      <c r="G3345">
        <f t="shared" ca="1" si="109"/>
        <v>2.9061402731467584E-3</v>
      </c>
    </row>
    <row r="3346" spans="2:7" x14ac:dyDescent="0.35">
      <c r="B3346" s="2">
        <v>38323</v>
      </c>
      <c r="C3346" s="4">
        <v>51.37</v>
      </c>
      <c r="D3346">
        <f t="shared" si="108"/>
        <v>-0.96919137094500984</v>
      </c>
      <c r="E3346">
        <v>-6.7672080433102133E-3</v>
      </c>
      <c r="F3346">
        <v>3343</v>
      </c>
      <c r="G3346">
        <f t="shared" ca="1" si="109"/>
        <v>5.5442355260260819E-2</v>
      </c>
    </row>
    <row r="3347" spans="2:7" x14ac:dyDescent="0.35">
      <c r="B3347" s="2">
        <v>44173</v>
      </c>
      <c r="C3347" s="4">
        <v>1667.39</v>
      </c>
      <c r="D3347">
        <f t="shared" si="108"/>
        <v>1.4739825214772173</v>
      </c>
      <c r="E3347">
        <v>-6.772856155733975E-3</v>
      </c>
      <c r="F3347">
        <v>3344</v>
      </c>
      <c r="G3347">
        <f t="shared" ca="1" si="109"/>
        <v>1.0441588987795989E-2</v>
      </c>
    </row>
    <row r="3348" spans="2:7" x14ac:dyDescent="0.35">
      <c r="B3348" s="2">
        <v>42801</v>
      </c>
      <c r="C3348" s="4">
        <v>673.97</v>
      </c>
      <c r="D3348">
        <f t="shared" si="108"/>
        <v>8.398549714126343</v>
      </c>
      <c r="E3348">
        <v>-6.778961639919312E-3</v>
      </c>
      <c r="F3348">
        <v>3345</v>
      </c>
      <c r="G3348">
        <f t="shared" ca="1" si="109"/>
        <v>-2.0843763094279343E-2</v>
      </c>
    </row>
    <row r="3349" spans="2:7" x14ac:dyDescent="0.35">
      <c r="B3349" s="2">
        <v>38729</v>
      </c>
      <c r="C3349" s="4">
        <v>71.709999999999994</v>
      </c>
      <c r="D3349">
        <f t="shared" si="108"/>
        <v>-0.93107524918061146</v>
      </c>
      <c r="E3349">
        <v>-6.7867036011081128E-3</v>
      </c>
      <c r="F3349">
        <v>3346</v>
      </c>
      <c r="G3349">
        <f t="shared" ca="1" si="109"/>
        <v>1.3618181706712995E-2</v>
      </c>
    </row>
    <row r="3350" spans="2:7" x14ac:dyDescent="0.35">
      <c r="B3350" s="2">
        <v>42362</v>
      </c>
      <c r="C3350" s="4">
        <v>1040.4100000000001</v>
      </c>
      <c r="D3350">
        <f t="shared" si="108"/>
        <v>0.22633458668772621</v>
      </c>
      <c r="E3350">
        <v>-6.7874599053000528E-3</v>
      </c>
      <c r="F3350">
        <v>3347</v>
      </c>
      <c r="G3350">
        <f t="shared" ca="1" si="109"/>
        <v>-1.5249431614593592E-2</v>
      </c>
    </row>
    <row r="3351" spans="2:7" x14ac:dyDescent="0.35">
      <c r="B3351" s="2">
        <v>42300</v>
      </c>
      <c r="C3351" s="4">
        <v>848.39</v>
      </c>
      <c r="D3351">
        <f t="shared" si="108"/>
        <v>7.9360648830840539</v>
      </c>
      <c r="E3351">
        <v>-6.7900584179164669E-3</v>
      </c>
      <c r="F3351">
        <v>3348</v>
      </c>
      <c r="G3351">
        <f t="shared" ca="1" si="109"/>
        <v>-1.7082971765992144E-2</v>
      </c>
    </row>
    <row r="3352" spans="2:7" x14ac:dyDescent="0.35">
      <c r="B3352" s="2">
        <v>40716</v>
      </c>
      <c r="C3352" s="4">
        <v>94.94</v>
      </c>
      <c r="D3352">
        <f t="shared" si="108"/>
        <v>0.54827136333985638</v>
      </c>
      <c r="E3352">
        <v>-6.7998744638561037E-3</v>
      </c>
      <c r="F3352">
        <v>3349</v>
      </c>
      <c r="G3352">
        <f t="shared" ca="1" si="109"/>
        <v>-3.2578488222613597E-2</v>
      </c>
    </row>
    <row r="3353" spans="2:7" x14ac:dyDescent="0.35">
      <c r="B3353" s="2">
        <v>40127</v>
      </c>
      <c r="C3353" s="4">
        <v>61.32</v>
      </c>
      <c r="D3353">
        <f t="shared" si="108"/>
        <v>1.1000000000000001</v>
      </c>
      <c r="E3353">
        <v>-6.8027210884353817E-3</v>
      </c>
      <c r="F3353">
        <v>3350</v>
      </c>
      <c r="G3353">
        <f t="shared" ca="1" si="109"/>
        <v>-3.5557319147999637E-2</v>
      </c>
    </row>
    <row r="3354" spans="2:7" x14ac:dyDescent="0.35">
      <c r="B3354" s="2">
        <v>37872</v>
      </c>
      <c r="C3354" s="4">
        <v>29.2</v>
      </c>
      <c r="D3354">
        <f t="shared" si="108"/>
        <v>-0.60545872179435212</v>
      </c>
      <c r="E3354">
        <v>-6.8027210884353817E-3</v>
      </c>
      <c r="F3354">
        <v>3351</v>
      </c>
      <c r="G3354">
        <f t="shared" ca="1" si="109"/>
        <v>-2.7021596856555037E-2</v>
      </c>
    </row>
    <row r="3355" spans="2:7" x14ac:dyDescent="0.35">
      <c r="B3355" s="2">
        <v>39500</v>
      </c>
      <c r="C3355" s="4">
        <v>74.010000000000005</v>
      </c>
      <c r="D3355">
        <f t="shared" si="108"/>
        <v>-0.71341723136495649</v>
      </c>
      <c r="E3355">
        <v>-6.843800322061111E-3</v>
      </c>
      <c r="F3355">
        <v>3352</v>
      </c>
      <c r="G3355">
        <f t="shared" ca="1" si="109"/>
        <v>-3.5436930999043603E-2</v>
      </c>
    </row>
    <row r="3356" spans="2:7" x14ac:dyDescent="0.35">
      <c r="B3356" s="2">
        <v>41722</v>
      </c>
      <c r="C3356" s="4">
        <v>258.25</v>
      </c>
      <c r="D3356">
        <f t="shared" si="108"/>
        <v>-0.61038275274203047</v>
      </c>
      <c r="E3356">
        <v>-6.8453639964618507E-3</v>
      </c>
      <c r="F3356">
        <v>3353</v>
      </c>
      <c r="G3356">
        <f t="shared" ca="1" si="109"/>
        <v>1.1661106399087722E-2</v>
      </c>
    </row>
    <row r="3357" spans="2:7" x14ac:dyDescent="0.35">
      <c r="B3357" s="2">
        <v>43742</v>
      </c>
      <c r="C3357" s="4">
        <v>662.83</v>
      </c>
      <c r="D3357">
        <f t="shared" si="108"/>
        <v>-0.84534348152745564</v>
      </c>
      <c r="E3357">
        <v>-6.847467785435879E-3</v>
      </c>
      <c r="F3357">
        <v>3354</v>
      </c>
      <c r="G3357">
        <f t="shared" ca="1" si="109"/>
        <v>-2.516261023431051E-2</v>
      </c>
    </row>
    <row r="3358" spans="2:7" x14ac:dyDescent="0.35">
      <c r="B3358" s="2">
        <v>44390</v>
      </c>
      <c r="C3358" s="4">
        <v>4285.82</v>
      </c>
      <c r="D3358">
        <f t="shared" si="108"/>
        <v>39.200919238345371</v>
      </c>
      <c r="E3358">
        <v>-6.8706305454563354E-3</v>
      </c>
      <c r="F3358">
        <v>3355</v>
      </c>
      <c r="G3358">
        <f t="shared" ca="1" si="109"/>
        <v>4.5529529071963795E-2</v>
      </c>
    </row>
    <row r="3359" spans="2:7" x14ac:dyDescent="0.35">
      <c r="B3359" s="2">
        <v>40638</v>
      </c>
      <c r="C3359" s="4">
        <v>106.61</v>
      </c>
      <c r="D3359">
        <f t="shared" si="108"/>
        <v>2.9153393184670362E-2</v>
      </c>
      <c r="E3359">
        <v>-6.893339543549093E-3</v>
      </c>
      <c r="F3359">
        <v>3356</v>
      </c>
      <c r="G3359">
        <f t="shared" ca="1" si="109"/>
        <v>2.807816588786303E-3</v>
      </c>
    </row>
    <row r="3360" spans="2:7" x14ac:dyDescent="0.35">
      <c r="B3360" s="2">
        <v>39182</v>
      </c>
      <c r="C3360" s="4">
        <v>103.59</v>
      </c>
      <c r="D3360">
        <f t="shared" si="108"/>
        <v>8.6956521739134374E-4</v>
      </c>
      <c r="E3360">
        <v>-6.90250215703192E-3</v>
      </c>
      <c r="F3360">
        <v>3357</v>
      </c>
      <c r="G3360">
        <f t="shared" ca="1" si="109"/>
        <v>-4.7265700830982769E-2</v>
      </c>
    </row>
    <row r="3361" spans="2:7" x14ac:dyDescent="0.35">
      <c r="B3361" s="2">
        <v>40395</v>
      </c>
      <c r="C3361" s="4">
        <v>103.5</v>
      </c>
      <c r="D3361">
        <f t="shared" si="108"/>
        <v>-0.86799984695634436</v>
      </c>
      <c r="E3361">
        <v>-6.9084628670120773E-3</v>
      </c>
      <c r="F3361">
        <v>3358</v>
      </c>
      <c r="G3361">
        <f t="shared" ca="1" si="109"/>
        <v>-4.9100044626186563E-2</v>
      </c>
    </row>
    <row r="3362" spans="2:7" x14ac:dyDescent="0.35">
      <c r="B3362" s="2">
        <v>42934</v>
      </c>
      <c r="C3362" s="4">
        <v>784.09</v>
      </c>
      <c r="D3362">
        <f t="shared" si="108"/>
        <v>8.2857650402652769</v>
      </c>
      <c r="E3362">
        <v>-6.9279092152589872E-3</v>
      </c>
      <c r="F3362">
        <v>3359</v>
      </c>
      <c r="G3362">
        <f t="shared" ca="1" si="109"/>
        <v>1.7952788815949014E-2</v>
      </c>
    </row>
    <row r="3363" spans="2:7" x14ac:dyDescent="0.35">
      <c r="B3363" s="2">
        <v>41369</v>
      </c>
      <c r="C3363" s="4">
        <v>84.44</v>
      </c>
      <c r="D3363">
        <f t="shared" si="108"/>
        <v>-0.11931581143095538</v>
      </c>
      <c r="E3363">
        <v>-6.9387275079384469E-3</v>
      </c>
      <c r="F3363">
        <v>3360</v>
      </c>
      <c r="G3363">
        <f t="shared" ca="1" si="109"/>
        <v>1.9521206852581574E-3</v>
      </c>
    </row>
    <row r="3364" spans="2:7" x14ac:dyDescent="0.35">
      <c r="B3364" s="2">
        <v>41099</v>
      </c>
      <c r="C3364" s="4">
        <v>95.88</v>
      </c>
      <c r="D3364">
        <f t="shared" si="108"/>
        <v>-0.87722802704363856</v>
      </c>
      <c r="E3364">
        <v>-6.9394096323148746E-3</v>
      </c>
      <c r="F3364">
        <v>3361</v>
      </c>
      <c r="G3364">
        <f t="shared" ca="1" si="109"/>
        <v>-2.42357374731513E-2</v>
      </c>
    </row>
    <row r="3365" spans="2:7" x14ac:dyDescent="0.35">
      <c r="B3365" s="2">
        <v>43038</v>
      </c>
      <c r="C3365" s="4">
        <v>780.96</v>
      </c>
      <c r="D3365">
        <f t="shared" si="108"/>
        <v>-0.81481200440110779</v>
      </c>
      <c r="E3365">
        <v>-6.9554823696958978E-3</v>
      </c>
      <c r="F3365">
        <v>3362</v>
      </c>
      <c r="G3365">
        <f t="shared" ca="1" si="109"/>
        <v>1.4348812922577121E-2</v>
      </c>
    </row>
    <row r="3366" spans="2:7" x14ac:dyDescent="0.35">
      <c r="B3366" s="2">
        <v>44418</v>
      </c>
      <c r="C3366" s="4">
        <v>4217.12</v>
      </c>
      <c r="D3366">
        <f t="shared" si="108"/>
        <v>4.186981870064697</v>
      </c>
      <c r="E3366">
        <v>-6.9583932822658845E-3</v>
      </c>
      <c r="F3366">
        <v>3363</v>
      </c>
      <c r="G3366">
        <f t="shared" ca="1" si="109"/>
        <v>9.5497987156223235E-3</v>
      </c>
    </row>
    <row r="3367" spans="2:7" x14ac:dyDescent="0.35">
      <c r="B3367" s="2">
        <v>42948</v>
      </c>
      <c r="C3367" s="4">
        <v>813.02</v>
      </c>
      <c r="D3367">
        <f t="shared" si="108"/>
        <v>-0.88108005324206129</v>
      </c>
      <c r="E3367">
        <v>-6.9620871604456624E-3</v>
      </c>
      <c r="F3367">
        <v>3364</v>
      </c>
      <c r="G3367">
        <f t="shared" ca="1" si="109"/>
        <v>1.9430110262213744E-2</v>
      </c>
    </row>
    <row r="3368" spans="2:7" x14ac:dyDescent="0.35">
      <c r="B3368" s="2">
        <v>44902</v>
      </c>
      <c r="C3368" s="4">
        <v>6836.7</v>
      </c>
      <c r="D3368">
        <f t="shared" si="108"/>
        <v>93.364389233954441</v>
      </c>
      <c r="E3368">
        <v>-6.9647694508798708E-3</v>
      </c>
      <c r="F3368">
        <v>3365</v>
      </c>
      <c r="G3368">
        <f t="shared" ca="1" si="109"/>
        <v>1.2697349489046569E-2</v>
      </c>
    </row>
    <row r="3369" spans="2:7" x14ac:dyDescent="0.35">
      <c r="B3369" s="2">
        <v>38701</v>
      </c>
      <c r="C3369" s="4">
        <v>72.45</v>
      </c>
      <c r="D3369">
        <f t="shared" si="108"/>
        <v>-0.86682719702957556</v>
      </c>
      <c r="E3369">
        <v>-6.990131578947234E-3</v>
      </c>
      <c r="F3369">
        <v>3366</v>
      </c>
      <c r="G3369">
        <f t="shared" ca="1" si="109"/>
        <v>3.2427063853356815E-2</v>
      </c>
    </row>
    <row r="3370" spans="2:7" x14ac:dyDescent="0.35">
      <c r="B3370" s="2">
        <v>42187</v>
      </c>
      <c r="C3370" s="4">
        <v>544.03</v>
      </c>
      <c r="D3370">
        <f t="shared" si="108"/>
        <v>-0.39848302245613254</v>
      </c>
      <c r="E3370">
        <v>-6.9908370751652349E-3</v>
      </c>
      <c r="F3370">
        <v>3367</v>
      </c>
      <c r="G3370">
        <f t="shared" ca="1" si="109"/>
        <v>-4.5807191539304876E-2</v>
      </c>
    </row>
    <row r="3371" spans="2:7" x14ac:dyDescent="0.35">
      <c r="B3371" s="2">
        <v>44034</v>
      </c>
      <c r="C3371" s="4">
        <v>904.43</v>
      </c>
      <c r="D3371">
        <f t="shared" si="108"/>
        <v>8.8083721939052158</v>
      </c>
      <c r="E3371">
        <v>-6.9938515590689532E-3</v>
      </c>
      <c r="F3371">
        <v>3368</v>
      </c>
      <c r="G3371">
        <f t="shared" ca="1" si="109"/>
        <v>-2.085723458075571E-2</v>
      </c>
    </row>
    <row r="3372" spans="2:7" x14ac:dyDescent="0.35">
      <c r="B3372" s="2">
        <v>41155</v>
      </c>
      <c r="C3372" s="4">
        <v>92.21</v>
      </c>
      <c r="D3372">
        <f t="shared" si="108"/>
        <v>-0.84625260525218837</v>
      </c>
      <c r="E3372">
        <v>-6.9997846220116733E-3</v>
      </c>
      <c r="F3372">
        <v>3369</v>
      </c>
      <c r="G3372">
        <f t="shared" ca="1" si="109"/>
        <v>-1.3959501260942796E-2</v>
      </c>
    </row>
    <row r="3373" spans="2:7" x14ac:dyDescent="0.35">
      <c r="B3373" s="2">
        <v>42104</v>
      </c>
      <c r="C3373" s="4">
        <v>599.75</v>
      </c>
      <c r="D3373">
        <f t="shared" si="108"/>
        <v>-0.5922703015058296</v>
      </c>
      <c r="E3373">
        <v>-7.0364238410596247E-3</v>
      </c>
      <c r="F3373">
        <v>3370</v>
      </c>
      <c r="G3373">
        <f t="shared" ca="1" si="109"/>
        <v>-1.3910589590825233E-2</v>
      </c>
    </row>
    <row r="3374" spans="2:7" x14ac:dyDescent="0.35">
      <c r="B3374" s="2">
        <v>44147</v>
      </c>
      <c r="C3374" s="4">
        <v>1470.95</v>
      </c>
      <c r="D3374">
        <f t="shared" si="108"/>
        <v>16.10406976744186</v>
      </c>
      <c r="E3374">
        <v>-7.0407322901618885E-3</v>
      </c>
      <c r="F3374">
        <v>3371</v>
      </c>
      <c r="G3374">
        <f t="shared" ca="1" si="109"/>
        <v>-2.0704084711643669E-2</v>
      </c>
    </row>
    <row r="3375" spans="2:7" x14ac:dyDescent="0.35">
      <c r="B3375" s="2">
        <v>41345</v>
      </c>
      <c r="C3375" s="4">
        <v>86</v>
      </c>
      <c r="D3375">
        <f t="shared" si="108"/>
        <v>1.5443786982248522</v>
      </c>
      <c r="E3375">
        <v>-7.0430666204825965E-3</v>
      </c>
      <c r="F3375">
        <v>3372</v>
      </c>
      <c r="G3375">
        <f t="shared" ca="1" si="109"/>
        <v>-1.6710507962562189E-2</v>
      </c>
    </row>
    <row r="3376" spans="2:7" x14ac:dyDescent="0.35">
      <c r="B3376" s="2">
        <v>37959</v>
      </c>
      <c r="C3376" s="4">
        <v>33.799999999999997</v>
      </c>
      <c r="D3376">
        <f t="shared" si="108"/>
        <v>-0.71397139713971403</v>
      </c>
      <c r="E3376">
        <v>-7.0505287896592828E-3</v>
      </c>
      <c r="F3376">
        <v>3373</v>
      </c>
      <c r="G3376">
        <f t="shared" ca="1" si="109"/>
        <v>-2.7243651843298798E-3</v>
      </c>
    </row>
    <row r="3377" spans="2:7" x14ac:dyDescent="0.35">
      <c r="B3377" s="2">
        <v>40556</v>
      </c>
      <c r="C3377" s="4">
        <v>118.17</v>
      </c>
      <c r="D3377">
        <f t="shared" si="108"/>
        <v>0.10864058542077126</v>
      </c>
      <c r="E3377">
        <v>-7.0582304008066643E-3</v>
      </c>
      <c r="F3377">
        <v>3374</v>
      </c>
      <c r="G3377">
        <f t="shared" ca="1" si="109"/>
        <v>-2.4218853459371668E-2</v>
      </c>
    </row>
    <row r="3378" spans="2:7" x14ac:dyDescent="0.35">
      <c r="B3378" s="2">
        <v>40658</v>
      </c>
      <c r="C3378" s="4">
        <v>106.59</v>
      </c>
      <c r="D3378">
        <f t="shared" si="108"/>
        <v>-0.98080106342547646</v>
      </c>
      <c r="E3378">
        <v>-7.0796460176990594E-3</v>
      </c>
      <c r="F3378">
        <v>3375</v>
      </c>
      <c r="G3378">
        <f t="shared" ca="1" si="109"/>
        <v>-5.2109049885347841E-2</v>
      </c>
    </row>
    <row r="3379" spans="2:7" x14ac:dyDescent="0.35">
      <c r="B3379" s="2">
        <v>44461</v>
      </c>
      <c r="C3379" s="4">
        <v>5551.87</v>
      </c>
      <c r="D3379">
        <f t="shared" si="108"/>
        <v>83.387748898008809</v>
      </c>
      <c r="E3379">
        <v>-7.0822163044781394E-3</v>
      </c>
      <c r="F3379">
        <v>3376</v>
      </c>
      <c r="G3379">
        <f t="shared" ca="1" si="109"/>
        <v>-5.9558272108897747E-2</v>
      </c>
    </row>
    <row r="3380" spans="2:7" x14ac:dyDescent="0.35">
      <c r="B3380" s="2">
        <v>38869</v>
      </c>
      <c r="C3380" s="4">
        <v>65.790000000000006</v>
      </c>
      <c r="D3380">
        <f t="shared" si="108"/>
        <v>-0.989303395631285</v>
      </c>
      <c r="E3380">
        <v>-7.0932689405373006E-3</v>
      </c>
      <c r="F3380">
        <v>3377</v>
      </c>
      <c r="G3380">
        <f t="shared" ca="1" si="109"/>
        <v>-3.4818436065722533E-2</v>
      </c>
    </row>
    <row r="3381" spans="2:7" x14ac:dyDescent="0.35">
      <c r="B3381" s="2">
        <v>44987</v>
      </c>
      <c r="C3381" s="4">
        <v>6150.55</v>
      </c>
      <c r="D3381">
        <f t="shared" si="108"/>
        <v>258.62642465175179</v>
      </c>
      <c r="E3381">
        <v>-7.111032189326183E-3</v>
      </c>
      <c r="F3381">
        <v>3378</v>
      </c>
      <c r="G3381">
        <f t="shared" ca="1" si="109"/>
        <v>2.14964692405861E-2</v>
      </c>
    </row>
    <row r="3382" spans="2:7" x14ac:dyDescent="0.35">
      <c r="B3382" s="2">
        <v>37791</v>
      </c>
      <c r="C3382" s="4">
        <v>23.69</v>
      </c>
      <c r="D3382">
        <f t="shared" si="108"/>
        <v>-0.99725847944553936</v>
      </c>
      <c r="E3382">
        <v>-7.1248952221290018E-3</v>
      </c>
      <c r="F3382">
        <v>3379</v>
      </c>
      <c r="G3382">
        <f t="shared" ca="1" si="109"/>
        <v>3.7557428370469199E-3</v>
      </c>
    </row>
    <row r="3383" spans="2:7" x14ac:dyDescent="0.35">
      <c r="B3383" s="2">
        <v>44659</v>
      </c>
      <c r="C3383" s="4">
        <v>8641.19</v>
      </c>
      <c r="D3383">
        <f t="shared" si="108"/>
        <v>134.52681932245923</v>
      </c>
      <c r="E3383">
        <v>-7.1557666080309668E-3</v>
      </c>
      <c r="F3383">
        <v>3380</v>
      </c>
      <c r="G3383">
        <f t="shared" ca="1" si="109"/>
        <v>-3.5029872227344237E-2</v>
      </c>
    </row>
    <row r="3384" spans="2:7" x14ac:dyDescent="0.35">
      <c r="B3384" s="2">
        <v>38769</v>
      </c>
      <c r="C3384" s="4">
        <v>63.76</v>
      </c>
      <c r="D3384">
        <f t="shared" si="108"/>
        <v>1.0006275494195167</v>
      </c>
      <c r="E3384">
        <v>-7.1628776082217627E-3</v>
      </c>
      <c r="F3384">
        <v>3381</v>
      </c>
      <c r="G3384">
        <f t="shared" ca="1" si="109"/>
        <v>-2.4050023210472539E-2</v>
      </c>
    </row>
    <row r="3385" spans="2:7" x14ac:dyDescent="0.35">
      <c r="B3385" s="2">
        <v>39848</v>
      </c>
      <c r="C3385" s="4">
        <v>31.87</v>
      </c>
      <c r="D3385">
        <f t="shared" si="108"/>
        <v>-0.81111835476797245</v>
      </c>
      <c r="E3385">
        <v>-7.1651090342679247E-3</v>
      </c>
      <c r="F3385">
        <v>3382</v>
      </c>
      <c r="G3385">
        <f t="shared" ca="1" si="109"/>
        <v>6.693415970594134E-2</v>
      </c>
    </row>
    <row r="3386" spans="2:7" x14ac:dyDescent="0.35">
      <c r="B3386" s="2">
        <v>41655</v>
      </c>
      <c r="C3386" s="4">
        <v>168.73</v>
      </c>
      <c r="D3386">
        <f t="shared" si="108"/>
        <v>-0.87289450688522618</v>
      </c>
      <c r="E3386">
        <v>-7.178581935863515E-3</v>
      </c>
      <c r="F3386">
        <v>3383</v>
      </c>
      <c r="G3386">
        <f t="shared" ca="1" si="109"/>
        <v>-3.1057361373403435E-3</v>
      </c>
    </row>
    <row r="3387" spans="2:7" x14ac:dyDescent="0.35">
      <c r="B3387" s="2">
        <v>43298</v>
      </c>
      <c r="C3387" s="4">
        <v>1327.48</v>
      </c>
      <c r="D3387">
        <f t="shared" si="108"/>
        <v>24.952688172043011</v>
      </c>
      <c r="E3387">
        <v>-7.1798246926136899E-3</v>
      </c>
      <c r="F3387">
        <v>3384</v>
      </c>
      <c r="G3387">
        <f t="shared" ca="1" si="109"/>
        <v>5.6372604703572644E-2</v>
      </c>
    </row>
    <row r="3388" spans="2:7" x14ac:dyDescent="0.35">
      <c r="B3388" s="2">
        <v>38281</v>
      </c>
      <c r="C3388" s="4">
        <v>51.15</v>
      </c>
      <c r="D3388">
        <f t="shared" si="108"/>
        <v>-0.78597430854847483</v>
      </c>
      <c r="E3388">
        <v>-7.1816770186335921E-3</v>
      </c>
      <c r="F3388">
        <v>3385</v>
      </c>
      <c r="G3388">
        <f t="shared" ca="1" si="109"/>
        <v>2.7655779911538145E-2</v>
      </c>
    </row>
    <row r="3389" spans="2:7" x14ac:dyDescent="0.35">
      <c r="B3389" s="2">
        <v>41782</v>
      </c>
      <c r="C3389" s="4">
        <v>238.99</v>
      </c>
      <c r="D3389">
        <f t="shared" si="108"/>
        <v>7.2438771990341504</v>
      </c>
      <c r="E3389">
        <v>-7.1867730142903818E-3</v>
      </c>
      <c r="F3389">
        <v>3386</v>
      </c>
      <c r="G3389">
        <f t="shared" ca="1" si="109"/>
        <v>9.5619086175909116E-3</v>
      </c>
    </row>
    <row r="3390" spans="2:7" x14ac:dyDescent="0.35">
      <c r="B3390" s="2">
        <v>37893</v>
      </c>
      <c r="C3390" s="4">
        <v>28.99</v>
      </c>
      <c r="D3390">
        <f t="shared" si="108"/>
        <v>-0.7498058168637266</v>
      </c>
      <c r="E3390">
        <v>-7.1917808219178481E-3</v>
      </c>
      <c r="F3390">
        <v>3387</v>
      </c>
      <c r="G3390">
        <f t="shared" ca="1" si="109"/>
        <v>-2.8855841464470663E-3</v>
      </c>
    </row>
    <row r="3391" spans="2:7" x14ac:dyDescent="0.35">
      <c r="B3391" s="2">
        <v>39254</v>
      </c>
      <c r="C3391" s="4">
        <v>115.87</v>
      </c>
      <c r="D3391">
        <f t="shared" si="108"/>
        <v>0.53024300052826212</v>
      </c>
      <c r="E3391">
        <v>-7.1973267072229508E-3</v>
      </c>
      <c r="F3391">
        <v>3388</v>
      </c>
      <c r="G3391">
        <f t="shared" ca="1" si="109"/>
        <v>2.8633337878518572E-2</v>
      </c>
    </row>
    <row r="3392" spans="2:7" x14ac:dyDescent="0.35">
      <c r="B3392" s="2">
        <v>41541</v>
      </c>
      <c r="C3392" s="4">
        <v>75.72</v>
      </c>
      <c r="D3392">
        <f t="shared" si="108"/>
        <v>-0.17579187983019484</v>
      </c>
      <c r="E3392">
        <v>-7.2112232856955671E-3</v>
      </c>
      <c r="F3392">
        <v>3389</v>
      </c>
      <c r="G3392">
        <f t="shared" ca="1" si="109"/>
        <v>-3.7911171345241419E-2</v>
      </c>
    </row>
    <row r="3393" spans="2:7" x14ac:dyDescent="0.35">
      <c r="B3393" s="2">
        <v>41086</v>
      </c>
      <c r="C3393" s="4">
        <v>91.87</v>
      </c>
      <c r="D3393">
        <f t="shared" si="108"/>
        <v>-0.88511079985993701</v>
      </c>
      <c r="E3393">
        <v>-7.2401123838340409E-3</v>
      </c>
      <c r="F3393">
        <v>3390</v>
      </c>
      <c r="G3393">
        <f t="shared" ca="1" si="109"/>
        <v>1.1145900857150721E-3</v>
      </c>
    </row>
    <row r="3394" spans="2:7" x14ac:dyDescent="0.35">
      <c r="B3394" s="2">
        <v>43024</v>
      </c>
      <c r="C3394" s="4">
        <v>799.64</v>
      </c>
      <c r="D3394">
        <f t="shared" si="108"/>
        <v>6.4928785607196398</v>
      </c>
      <c r="E3394">
        <v>-7.2503352038536528E-3</v>
      </c>
      <c r="F3394">
        <v>3391</v>
      </c>
      <c r="G3394">
        <f t="shared" ca="1" si="109"/>
        <v>-3.5140655627228887E-2</v>
      </c>
    </row>
    <row r="3395" spans="2:7" x14ac:dyDescent="0.35">
      <c r="B3395" s="2">
        <v>39366</v>
      </c>
      <c r="C3395" s="4">
        <v>106.72</v>
      </c>
      <c r="D3395">
        <f t="shared" si="108"/>
        <v>-0.87142633398792813</v>
      </c>
      <c r="E3395">
        <v>-7.2558139534883992E-3</v>
      </c>
      <c r="F3395">
        <v>3392</v>
      </c>
      <c r="G3395">
        <f t="shared" ca="1" si="109"/>
        <v>3.0401863088839708E-3</v>
      </c>
    </row>
    <row r="3396" spans="2:7" x14ac:dyDescent="0.35">
      <c r="B3396" s="2">
        <v>43510</v>
      </c>
      <c r="C3396" s="4">
        <v>830.03</v>
      </c>
      <c r="D3396">
        <f t="shared" ref="D3396:D3459" si="110">C3396/C3397-1</f>
        <v>22.400902170848603</v>
      </c>
      <c r="E3396">
        <v>-7.2717704608246114E-3</v>
      </c>
      <c r="F3396">
        <v>3393</v>
      </c>
      <c r="G3396">
        <f t="shared" ca="1" si="109"/>
        <v>-5.869077124546828E-2</v>
      </c>
    </row>
    <row r="3397" spans="2:7" x14ac:dyDescent="0.35">
      <c r="B3397" s="2">
        <v>37972</v>
      </c>
      <c r="C3397" s="4">
        <v>35.47</v>
      </c>
      <c r="D3397">
        <f t="shared" si="110"/>
        <v>-0.99485393861577187</v>
      </c>
      <c r="E3397">
        <v>-7.2767982087881267E-3</v>
      </c>
      <c r="F3397">
        <v>3394</v>
      </c>
      <c r="G3397">
        <f t="shared" ref="G3397:G3460" ca="1" si="111">_xlfn.NORM.INV(RAND(),K$6,K$7)</f>
        <v>7.3049190845558606E-3</v>
      </c>
    </row>
    <row r="3398" spans="2:7" x14ac:dyDescent="0.35">
      <c r="B3398" s="2">
        <v>44868</v>
      </c>
      <c r="C3398" s="4">
        <v>6892.65</v>
      </c>
      <c r="D3398">
        <f t="shared" si="110"/>
        <v>61.501360174102281</v>
      </c>
      <c r="E3398">
        <v>-7.2805046664362605E-3</v>
      </c>
      <c r="F3398">
        <v>3395</v>
      </c>
      <c r="G3398">
        <f t="shared" ca="1" si="111"/>
        <v>2.7842860435442238E-2</v>
      </c>
    </row>
    <row r="3399" spans="2:7" x14ac:dyDescent="0.35">
      <c r="B3399" s="2">
        <v>40379</v>
      </c>
      <c r="C3399" s="4">
        <v>110.28</v>
      </c>
      <c r="D3399">
        <f t="shared" si="110"/>
        <v>1.7933130699088147</v>
      </c>
      <c r="E3399">
        <v>-7.2913853632190495E-3</v>
      </c>
      <c r="F3399">
        <v>3396</v>
      </c>
      <c r="G3399">
        <f t="shared" ca="1" si="111"/>
        <v>1.7747168733894533E-2</v>
      </c>
    </row>
    <row r="3400" spans="2:7" x14ac:dyDescent="0.35">
      <c r="B3400" s="2">
        <v>37981</v>
      </c>
      <c r="C3400" s="4">
        <v>39.479999999999997</v>
      </c>
      <c r="D3400">
        <f t="shared" si="110"/>
        <v>-0.60265700483091789</v>
      </c>
      <c r="E3400">
        <v>-7.2919285893890962E-3</v>
      </c>
      <c r="F3400">
        <v>3397</v>
      </c>
      <c r="G3400">
        <f t="shared" ca="1" si="111"/>
        <v>1.7002228995964645E-2</v>
      </c>
    </row>
    <row r="3401" spans="2:7" x14ac:dyDescent="0.35">
      <c r="B3401" s="2">
        <v>41271</v>
      </c>
      <c r="C3401" s="4">
        <v>99.36</v>
      </c>
      <c r="D3401">
        <f t="shared" si="110"/>
        <v>-1.2620490907284121E-2</v>
      </c>
      <c r="E3401">
        <v>-7.2934359076831656E-3</v>
      </c>
      <c r="F3401">
        <v>3398</v>
      </c>
      <c r="G3401">
        <f t="shared" ca="1" si="111"/>
        <v>-3.2009410045028379E-3</v>
      </c>
    </row>
    <row r="3402" spans="2:7" x14ac:dyDescent="0.35">
      <c r="B3402" s="2">
        <v>41164</v>
      </c>
      <c r="C3402" s="4">
        <v>100.63</v>
      </c>
      <c r="D3402">
        <f t="shared" si="110"/>
        <v>2.7023546725533478</v>
      </c>
      <c r="E3402">
        <v>-7.299990135148593E-3</v>
      </c>
      <c r="F3402">
        <v>3399</v>
      </c>
      <c r="G3402">
        <f t="shared" ca="1" si="111"/>
        <v>-4.5351102147208944E-2</v>
      </c>
    </row>
    <row r="3403" spans="2:7" x14ac:dyDescent="0.35">
      <c r="B3403" s="2">
        <v>38084</v>
      </c>
      <c r="C3403" s="4">
        <v>27.18</v>
      </c>
      <c r="D3403">
        <f t="shared" si="110"/>
        <v>-0.74916943521594681</v>
      </c>
      <c r="E3403">
        <v>-7.3046018991964612E-3</v>
      </c>
      <c r="F3403">
        <v>3400</v>
      </c>
      <c r="G3403">
        <f t="shared" ca="1" si="111"/>
        <v>1.3161295191515916E-2</v>
      </c>
    </row>
    <row r="3404" spans="2:7" x14ac:dyDescent="0.35">
      <c r="B3404" s="2">
        <v>40351</v>
      </c>
      <c r="C3404" s="4">
        <v>108.36</v>
      </c>
      <c r="D3404">
        <f t="shared" si="110"/>
        <v>-0.98298780918589224</v>
      </c>
      <c r="E3404">
        <v>-7.3286918285085934E-3</v>
      </c>
      <c r="F3404">
        <v>3401</v>
      </c>
      <c r="G3404">
        <f t="shared" ca="1" si="111"/>
        <v>1.2432043372165816E-2</v>
      </c>
    </row>
    <row r="3405" spans="2:7" x14ac:dyDescent="0.35">
      <c r="B3405" s="2">
        <v>44930</v>
      </c>
      <c r="C3405" s="4">
        <v>6369.55</v>
      </c>
      <c r="D3405">
        <f t="shared" si="110"/>
        <v>8.8180374868980831</v>
      </c>
      <c r="E3405">
        <v>-7.3402788059189206E-3</v>
      </c>
      <c r="F3405">
        <v>3402</v>
      </c>
      <c r="G3405">
        <f t="shared" ca="1" si="111"/>
        <v>2.5114161098214729E-3</v>
      </c>
    </row>
    <row r="3406" spans="2:7" x14ac:dyDescent="0.35">
      <c r="B3406" s="2">
        <v>42738</v>
      </c>
      <c r="C3406" s="4">
        <v>648.76</v>
      </c>
      <c r="D3406">
        <f t="shared" si="110"/>
        <v>-0.8910818615270969</v>
      </c>
      <c r="E3406">
        <v>-7.3595789280415103E-3</v>
      </c>
      <c r="F3406">
        <v>3403</v>
      </c>
      <c r="G3406">
        <f t="shared" ca="1" si="111"/>
        <v>-1.6663935430326193E-2</v>
      </c>
    </row>
    <row r="3407" spans="2:7" x14ac:dyDescent="0.35">
      <c r="B3407" s="2">
        <v>45012</v>
      </c>
      <c r="C3407" s="4">
        <v>5956.4</v>
      </c>
      <c r="D3407">
        <f t="shared" si="110"/>
        <v>58.126464165177687</v>
      </c>
      <c r="E3407">
        <v>-7.3824720449281456E-3</v>
      </c>
      <c r="F3407">
        <v>3404</v>
      </c>
      <c r="G3407">
        <f t="shared" ca="1" si="111"/>
        <v>-4.4237406857127681E-2</v>
      </c>
    </row>
    <row r="3408" spans="2:7" x14ac:dyDescent="0.35">
      <c r="B3408" s="2">
        <v>41599</v>
      </c>
      <c r="C3408" s="4">
        <v>100.74</v>
      </c>
      <c r="D3408">
        <f t="shared" si="110"/>
        <v>-1.2836844683978499E-2</v>
      </c>
      <c r="E3408">
        <v>-7.3898906296187006E-3</v>
      </c>
      <c r="F3408">
        <v>3405</v>
      </c>
      <c r="G3408">
        <f t="shared" ca="1" si="111"/>
        <v>2.5765246458441405E-2</v>
      </c>
    </row>
    <row r="3409" spans="2:7" x14ac:dyDescent="0.35">
      <c r="B3409" s="2">
        <v>40679</v>
      </c>
      <c r="C3409" s="4">
        <v>102.05</v>
      </c>
      <c r="D3409">
        <f t="shared" si="110"/>
        <v>0.20655001182312605</v>
      </c>
      <c r="E3409">
        <v>-7.3922770158545426E-3</v>
      </c>
      <c r="F3409">
        <v>3406</v>
      </c>
      <c r="G3409">
        <f t="shared" ca="1" si="111"/>
        <v>-3.1430489909883862E-2</v>
      </c>
    </row>
    <row r="3410" spans="2:7" x14ac:dyDescent="0.35">
      <c r="B3410" s="2">
        <v>40791</v>
      </c>
      <c r="C3410" s="4">
        <v>84.58</v>
      </c>
      <c r="D3410">
        <f t="shared" si="110"/>
        <v>-0.70666574183255881</v>
      </c>
      <c r="E3410">
        <v>-7.393498415678823E-3</v>
      </c>
      <c r="F3410">
        <v>3407</v>
      </c>
      <c r="G3410">
        <f t="shared" ca="1" si="111"/>
        <v>2.9591098513126853E-2</v>
      </c>
    </row>
    <row r="3411" spans="2:7" x14ac:dyDescent="0.35">
      <c r="B3411" s="2">
        <v>41913</v>
      </c>
      <c r="C3411" s="4">
        <v>288.33999999999997</v>
      </c>
      <c r="D3411">
        <f t="shared" si="110"/>
        <v>-0.58001602213968395</v>
      </c>
      <c r="E3411">
        <v>-7.4012874797756423E-3</v>
      </c>
      <c r="F3411">
        <v>3408</v>
      </c>
      <c r="G3411">
        <f t="shared" ca="1" si="111"/>
        <v>4.1404596594177549E-2</v>
      </c>
    </row>
    <row r="3412" spans="2:7" x14ac:dyDescent="0.35">
      <c r="B3412" s="2">
        <v>42796</v>
      </c>
      <c r="C3412" s="4">
        <v>686.55</v>
      </c>
      <c r="D3412">
        <f t="shared" si="110"/>
        <v>9.4545454545454533</v>
      </c>
      <c r="E3412">
        <v>-7.4023739644628606E-3</v>
      </c>
      <c r="F3412">
        <v>3409</v>
      </c>
      <c r="G3412">
        <f t="shared" ca="1" si="111"/>
        <v>2.8175388767400968E-2</v>
      </c>
    </row>
    <row r="3413" spans="2:7" x14ac:dyDescent="0.35">
      <c r="B3413" s="2">
        <v>38649</v>
      </c>
      <c r="C3413" s="4">
        <v>65.67</v>
      </c>
      <c r="D3413">
        <f t="shared" si="110"/>
        <v>-0.19571341090018379</v>
      </c>
      <c r="E3413">
        <v>-7.4062877871825528E-3</v>
      </c>
      <c r="F3413">
        <v>3410</v>
      </c>
      <c r="G3413">
        <f t="shared" ca="1" si="111"/>
        <v>-5.6898921421540911E-2</v>
      </c>
    </row>
    <row r="3414" spans="2:7" x14ac:dyDescent="0.35">
      <c r="B3414" s="2">
        <v>40997</v>
      </c>
      <c r="C3414" s="4">
        <v>81.650000000000006</v>
      </c>
      <c r="D3414">
        <f t="shared" si="110"/>
        <v>-3.1205505457997051E-2</v>
      </c>
      <c r="E3414">
        <v>-7.4155117918793811E-3</v>
      </c>
      <c r="F3414">
        <v>3411</v>
      </c>
      <c r="G3414">
        <f t="shared" ca="1" si="111"/>
        <v>-3.0493796696148542E-2</v>
      </c>
    </row>
    <row r="3415" spans="2:7" x14ac:dyDescent="0.35">
      <c r="B3415" s="2">
        <v>41038</v>
      </c>
      <c r="C3415" s="4">
        <v>84.28</v>
      </c>
      <c r="D3415">
        <f t="shared" si="110"/>
        <v>-0.21063969279760231</v>
      </c>
      <c r="E3415">
        <v>-7.4196207749380738E-3</v>
      </c>
      <c r="F3415">
        <v>3412</v>
      </c>
      <c r="G3415">
        <f t="shared" ca="1" si="111"/>
        <v>-5.4962856329617603E-3</v>
      </c>
    </row>
    <row r="3416" spans="2:7" x14ac:dyDescent="0.35">
      <c r="B3416" s="2">
        <v>40315</v>
      </c>
      <c r="C3416" s="4">
        <v>106.77</v>
      </c>
      <c r="D3416">
        <f t="shared" si="110"/>
        <v>2.6390593047034763</v>
      </c>
      <c r="E3416">
        <v>-7.4370177558799044E-3</v>
      </c>
      <c r="F3416">
        <v>3413</v>
      </c>
      <c r="G3416">
        <f t="shared" ca="1" si="111"/>
        <v>2.4673888278241449E-2</v>
      </c>
    </row>
    <row r="3417" spans="2:7" x14ac:dyDescent="0.35">
      <c r="B3417" s="2">
        <v>37533</v>
      </c>
      <c r="C3417" s="4">
        <v>29.34</v>
      </c>
      <c r="D3417">
        <f t="shared" si="110"/>
        <v>-0.56852941176470595</v>
      </c>
      <c r="E3417">
        <v>-7.4424898511501469E-3</v>
      </c>
      <c r="F3417">
        <v>3414</v>
      </c>
      <c r="G3417">
        <f t="shared" ca="1" si="111"/>
        <v>-3.2703931793208151E-3</v>
      </c>
    </row>
    <row r="3418" spans="2:7" x14ac:dyDescent="0.35">
      <c r="B3418" s="2">
        <v>38635</v>
      </c>
      <c r="C3418" s="4">
        <v>68</v>
      </c>
      <c r="D3418">
        <f t="shared" si="110"/>
        <v>-1.861740510896237E-2</v>
      </c>
      <c r="E3418">
        <v>-7.4441687344913854E-3</v>
      </c>
      <c r="F3418">
        <v>3415</v>
      </c>
      <c r="G3418">
        <f t="shared" ca="1" si="111"/>
        <v>-7.0438406945952294E-3</v>
      </c>
    </row>
    <row r="3419" spans="2:7" x14ac:dyDescent="0.35">
      <c r="B3419" s="2">
        <v>39512</v>
      </c>
      <c r="C3419" s="4">
        <v>69.290000000000006</v>
      </c>
      <c r="D3419">
        <f t="shared" si="110"/>
        <v>6.3056152193924575E-2</v>
      </c>
      <c r="E3419">
        <v>-7.4487895716945918E-3</v>
      </c>
      <c r="F3419">
        <v>3416</v>
      </c>
      <c r="G3419">
        <f t="shared" ca="1" si="111"/>
        <v>2.8635013795455827E-2</v>
      </c>
    </row>
    <row r="3420" spans="2:7" x14ac:dyDescent="0.35">
      <c r="B3420" s="2">
        <v>38650</v>
      </c>
      <c r="C3420" s="4">
        <v>65.180000000000007</v>
      </c>
      <c r="D3420">
        <f t="shared" si="110"/>
        <v>-0.91647658832876289</v>
      </c>
      <c r="E3420">
        <v>-7.4615501751179591E-3</v>
      </c>
      <c r="F3420">
        <v>3417</v>
      </c>
      <c r="G3420">
        <f t="shared" ca="1" si="111"/>
        <v>-4.2961715690904727E-2</v>
      </c>
    </row>
    <row r="3421" spans="2:7" x14ac:dyDescent="0.35">
      <c r="B3421" s="2">
        <v>42940</v>
      </c>
      <c r="C3421" s="4">
        <v>780.38</v>
      </c>
      <c r="D3421">
        <f t="shared" si="110"/>
        <v>-0.83946894208062139</v>
      </c>
      <c r="E3421">
        <v>-7.4910654101008056E-3</v>
      </c>
      <c r="F3421">
        <v>3418</v>
      </c>
      <c r="G3421">
        <f t="shared" ca="1" si="111"/>
        <v>3.4422340973511009E-3</v>
      </c>
    </row>
    <row r="3422" spans="2:7" x14ac:dyDescent="0.35">
      <c r="B3422" s="2">
        <v>44442</v>
      </c>
      <c r="C3422" s="4">
        <v>4861.24</v>
      </c>
      <c r="D3422">
        <f t="shared" si="110"/>
        <v>4.6485324533475865</v>
      </c>
      <c r="E3422">
        <v>-7.4949723864066176E-3</v>
      </c>
      <c r="F3422">
        <v>3419</v>
      </c>
      <c r="G3422">
        <f t="shared" ca="1" si="111"/>
        <v>-4.5686141330463309E-2</v>
      </c>
    </row>
    <row r="3423" spans="2:7" x14ac:dyDescent="0.35">
      <c r="B3423" s="2">
        <v>43650</v>
      </c>
      <c r="C3423" s="4">
        <v>860.62</v>
      </c>
      <c r="D3423">
        <f t="shared" si="110"/>
        <v>39.633616619452312</v>
      </c>
      <c r="E3423">
        <v>-7.4960789740751155E-3</v>
      </c>
      <c r="F3423">
        <v>3420</v>
      </c>
      <c r="G3423">
        <f t="shared" ca="1" si="111"/>
        <v>2.2794481177386559E-2</v>
      </c>
    </row>
    <row r="3424" spans="2:7" x14ac:dyDescent="0.35">
      <c r="B3424" s="2">
        <v>37691</v>
      </c>
      <c r="C3424" s="4">
        <v>21.18</v>
      </c>
      <c r="D3424">
        <f t="shared" si="110"/>
        <v>-0.96969133240795069</v>
      </c>
      <c r="E3424">
        <v>-7.4976569821930683E-3</v>
      </c>
      <c r="F3424">
        <v>3421</v>
      </c>
      <c r="G3424">
        <f t="shared" ca="1" si="111"/>
        <v>-2.147197793405882E-2</v>
      </c>
    </row>
    <row r="3425" spans="2:7" x14ac:dyDescent="0.35">
      <c r="B3425" s="2">
        <v>43943</v>
      </c>
      <c r="C3425" s="4">
        <v>698.81</v>
      </c>
      <c r="D3425">
        <f t="shared" si="110"/>
        <v>-5.9589013443862915E-2</v>
      </c>
      <c r="E3425">
        <v>-7.5131373384463851E-3</v>
      </c>
      <c r="F3425">
        <v>3422</v>
      </c>
      <c r="G3425">
        <f t="shared" ca="1" si="111"/>
        <v>-1.4247248344628649E-2</v>
      </c>
    </row>
    <row r="3426" spans="2:7" x14ac:dyDescent="0.35">
      <c r="B3426" s="2">
        <v>43957</v>
      </c>
      <c r="C3426" s="4">
        <v>743.09</v>
      </c>
      <c r="D3426">
        <f t="shared" si="110"/>
        <v>24.606133700895935</v>
      </c>
      <c r="E3426">
        <v>-7.5194999465755252E-3</v>
      </c>
      <c r="F3426">
        <v>3423</v>
      </c>
      <c r="G3426">
        <f t="shared" ca="1" si="111"/>
        <v>1.2226908637543806E-2</v>
      </c>
    </row>
    <row r="3427" spans="2:7" x14ac:dyDescent="0.35">
      <c r="B3427" s="2">
        <v>39892</v>
      </c>
      <c r="C3427" s="4">
        <v>29.02</v>
      </c>
      <c r="D3427">
        <f t="shared" si="110"/>
        <v>0.10468214693566802</v>
      </c>
      <c r="E3427">
        <v>-7.523939808481539E-3</v>
      </c>
      <c r="F3427">
        <v>3424</v>
      </c>
      <c r="G3427">
        <f t="shared" ca="1" si="111"/>
        <v>-4.9440123669140919E-2</v>
      </c>
    </row>
    <row r="3428" spans="2:7" x14ac:dyDescent="0.35">
      <c r="B3428" s="2">
        <v>37574</v>
      </c>
      <c r="C3428" s="4">
        <v>26.27</v>
      </c>
      <c r="D3428">
        <f t="shared" si="110"/>
        <v>-0.68211519845111335</v>
      </c>
      <c r="E3428">
        <v>-7.5557234605213575E-3</v>
      </c>
      <c r="F3428">
        <v>3425</v>
      </c>
      <c r="G3428">
        <f t="shared" ca="1" si="111"/>
        <v>2.6921656110645224E-2</v>
      </c>
    </row>
    <row r="3429" spans="2:7" x14ac:dyDescent="0.35">
      <c r="B3429" s="2">
        <v>41485</v>
      </c>
      <c r="C3429" s="4">
        <v>82.64</v>
      </c>
      <c r="D3429">
        <f t="shared" si="110"/>
        <v>0.19077809798270895</v>
      </c>
      <c r="E3429">
        <v>-7.5657499699771646E-3</v>
      </c>
      <c r="F3429">
        <v>3426</v>
      </c>
      <c r="G3429">
        <f t="shared" ca="1" si="111"/>
        <v>-2.7532278269797286E-2</v>
      </c>
    </row>
    <row r="3430" spans="2:7" x14ac:dyDescent="0.35">
      <c r="B3430" s="2">
        <v>40101</v>
      </c>
      <c r="C3430" s="4">
        <v>69.400000000000006</v>
      </c>
      <c r="D3430">
        <f t="shared" si="110"/>
        <v>-0.9382781928139452</v>
      </c>
      <c r="E3430">
        <v>-7.5790075790076461E-3</v>
      </c>
      <c r="F3430">
        <v>3427</v>
      </c>
      <c r="G3430">
        <f t="shared" ca="1" si="111"/>
        <v>3.0964402023894586E-2</v>
      </c>
    </row>
    <row r="3431" spans="2:7" x14ac:dyDescent="0.35">
      <c r="B3431" s="2">
        <v>43255</v>
      </c>
      <c r="C3431" s="4">
        <v>1124.4000000000001</v>
      </c>
      <c r="D3431">
        <f t="shared" si="110"/>
        <v>0.63625251025932106</v>
      </c>
      <c r="E3431">
        <v>-7.5817085764215975E-3</v>
      </c>
      <c r="F3431">
        <v>3428</v>
      </c>
      <c r="G3431">
        <f t="shared" ca="1" si="111"/>
        <v>1.3210297094889854E-2</v>
      </c>
    </row>
    <row r="3432" spans="2:7" x14ac:dyDescent="0.35">
      <c r="B3432" s="2">
        <v>42788</v>
      </c>
      <c r="C3432" s="4">
        <v>687.18</v>
      </c>
      <c r="D3432">
        <f t="shared" si="110"/>
        <v>0.12785582983193278</v>
      </c>
      <c r="E3432">
        <v>-7.5819938477535986E-3</v>
      </c>
      <c r="F3432">
        <v>3429</v>
      </c>
      <c r="G3432">
        <f t="shared" ca="1" si="111"/>
        <v>1.3953800091776013E-2</v>
      </c>
    </row>
    <row r="3433" spans="2:7" x14ac:dyDescent="0.35">
      <c r="B3433" s="2">
        <v>43711</v>
      </c>
      <c r="C3433" s="4">
        <v>609.28</v>
      </c>
      <c r="D3433">
        <f t="shared" si="110"/>
        <v>3.9206913261185594</v>
      </c>
      <c r="E3433">
        <v>-7.5903182721439588E-3</v>
      </c>
      <c r="F3433">
        <v>3430</v>
      </c>
      <c r="G3433">
        <f t="shared" ca="1" si="111"/>
        <v>-6.0629134075953835E-2</v>
      </c>
    </row>
    <row r="3434" spans="2:7" x14ac:dyDescent="0.35">
      <c r="B3434" s="2">
        <v>40298</v>
      </c>
      <c r="C3434" s="4">
        <v>123.82</v>
      </c>
      <c r="D3434">
        <f t="shared" si="110"/>
        <v>0.30680738786279682</v>
      </c>
      <c r="E3434">
        <v>-7.6140097779915372E-3</v>
      </c>
      <c r="F3434">
        <v>3431</v>
      </c>
      <c r="G3434">
        <f t="shared" ca="1" si="111"/>
        <v>-3.7551460401994488E-2</v>
      </c>
    </row>
    <row r="3435" spans="2:7" x14ac:dyDescent="0.35">
      <c r="B3435" s="2">
        <v>41228</v>
      </c>
      <c r="C3435" s="4">
        <v>94.75</v>
      </c>
      <c r="D3435">
        <f t="shared" si="110"/>
        <v>8.9957437018290509E-2</v>
      </c>
      <c r="E3435">
        <v>-7.6455802262254124E-3</v>
      </c>
      <c r="F3435">
        <v>3432</v>
      </c>
      <c r="G3435">
        <f t="shared" ca="1" si="111"/>
        <v>-1.0384464122307641E-2</v>
      </c>
    </row>
    <row r="3436" spans="2:7" x14ac:dyDescent="0.35">
      <c r="B3436" s="2">
        <v>41058</v>
      </c>
      <c r="C3436" s="4">
        <v>86.93</v>
      </c>
      <c r="D3436">
        <f t="shared" si="110"/>
        <v>-0.87006367522645056</v>
      </c>
      <c r="E3436">
        <v>-7.6484018264838527E-3</v>
      </c>
      <c r="F3436">
        <v>3433</v>
      </c>
      <c r="G3436">
        <f t="shared" ca="1" si="111"/>
        <v>-1.0421227653755241E-2</v>
      </c>
    </row>
    <row r="3437" spans="2:7" x14ac:dyDescent="0.35">
      <c r="B3437" s="2">
        <v>42720</v>
      </c>
      <c r="C3437" s="4">
        <v>669.02</v>
      </c>
      <c r="D3437">
        <f t="shared" si="110"/>
        <v>6.2703760052162574</v>
      </c>
      <c r="E3437">
        <v>-7.6537423240083946E-3</v>
      </c>
      <c r="F3437">
        <v>3434</v>
      </c>
      <c r="G3437">
        <f t="shared" ca="1" si="111"/>
        <v>-2.3598286747826953E-2</v>
      </c>
    </row>
    <row r="3438" spans="2:7" x14ac:dyDescent="0.35">
      <c r="B3438" s="2">
        <v>41233</v>
      </c>
      <c r="C3438" s="4">
        <v>92.02</v>
      </c>
      <c r="D3438">
        <f t="shared" si="110"/>
        <v>0.4205001543686322</v>
      </c>
      <c r="E3438">
        <v>-7.6566375498761108E-3</v>
      </c>
      <c r="F3438">
        <v>3435</v>
      </c>
      <c r="G3438">
        <f t="shared" ca="1" si="111"/>
        <v>5.5021077611480763E-2</v>
      </c>
    </row>
    <row r="3439" spans="2:7" x14ac:dyDescent="0.35">
      <c r="B3439" s="2">
        <v>40136</v>
      </c>
      <c r="C3439" s="4">
        <v>64.78</v>
      </c>
      <c r="D3439">
        <f t="shared" si="110"/>
        <v>0.47461871158661517</v>
      </c>
      <c r="E3439">
        <v>-7.6593137254902244E-3</v>
      </c>
      <c r="F3439">
        <v>3436</v>
      </c>
      <c r="G3439">
        <f t="shared" ca="1" si="111"/>
        <v>7.0715068741658855E-3</v>
      </c>
    </row>
    <row r="3440" spans="2:7" x14ac:dyDescent="0.35">
      <c r="B3440" s="2">
        <v>39944</v>
      </c>
      <c r="C3440" s="4">
        <v>43.93</v>
      </c>
      <c r="D3440">
        <f t="shared" si="110"/>
        <v>-0.93431420924355923</v>
      </c>
      <c r="E3440">
        <v>-7.6801445674272717E-3</v>
      </c>
      <c r="F3440">
        <v>3437</v>
      </c>
      <c r="G3440">
        <f t="shared" ca="1" si="111"/>
        <v>1.9304003667861488E-2</v>
      </c>
    </row>
    <row r="3441" spans="2:7" x14ac:dyDescent="0.35">
      <c r="B3441" s="2">
        <v>42802</v>
      </c>
      <c r="C3441" s="4">
        <v>668.79</v>
      </c>
      <c r="D3441">
        <f t="shared" si="110"/>
        <v>-0.4692184982658868</v>
      </c>
      <c r="E3441">
        <v>-7.6858020386665338E-3</v>
      </c>
      <c r="F3441">
        <v>3438</v>
      </c>
      <c r="G3441">
        <f t="shared" ca="1" si="111"/>
        <v>1.2967576864258781E-2</v>
      </c>
    </row>
    <row r="3442" spans="2:7" x14ac:dyDescent="0.35">
      <c r="B3442" s="2">
        <v>43286</v>
      </c>
      <c r="C3442" s="4">
        <v>1260.01</v>
      </c>
      <c r="D3442">
        <f t="shared" si="110"/>
        <v>12.017977063746255</v>
      </c>
      <c r="E3442">
        <v>-7.686431400962368E-3</v>
      </c>
      <c r="F3442">
        <v>3439</v>
      </c>
      <c r="G3442">
        <f t="shared" ca="1" si="111"/>
        <v>1.0006907326722405E-2</v>
      </c>
    </row>
    <row r="3443" spans="2:7" x14ac:dyDescent="0.35">
      <c r="B3443" s="2">
        <v>39427</v>
      </c>
      <c r="C3443" s="4">
        <v>96.79</v>
      </c>
      <c r="D3443">
        <f t="shared" si="110"/>
        <v>-0.9631636835555285</v>
      </c>
      <c r="E3443">
        <v>-7.6891531679310621E-3</v>
      </c>
      <c r="F3443">
        <v>3440</v>
      </c>
      <c r="G3443">
        <f t="shared" ca="1" si="111"/>
        <v>4.6645436290831295E-2</v>
      </c>
    </row>
    <row r="3444" spans="2:7" x14ac:dyDescent="0.35">
      <c r="B3444" s="2">
        <v>44253</v>
      </c>
      <c r="C3444" s="4">
        <v>2627.57</v>
      </c>
      <c r="D3444">
        <f t="shared" si="110"/>
        <v>25.189275391209012</v>
      </c>
      <c r="E3444">
        <v>-7.6927724948450127E-3</v>
      </c>
      <c r="F3444">
        <v>3441</v>
      </c>
      <c r="G3444">
        <f t="shared" ca="1" si="111"/>
        <v>-3.0429233258132517E-3</v>
      </c>
    </row>
    <row r="3445" spans="2:7" x14ac:dyDescent="0.35">
      <c r="B3445" s="2">
        <v>41263</v>
      </c>
      <c r="C3445" s="4">
        <v>100.33</v>
      </c>
      <c r="D3445">
        <f t="shared" si="110"/>
        <v>-0.8887620019070005</v>
      </c>
      <c r="E3445">
        <v>-7.7143704875878294E-3</v>
      </c>
      <c r="F3445">
        <v>3442</v>
      </c>
      <c r="G3445">
        <f t="shared" ca="1" si="111"/>
        <v>2.7626194517046027E-2</v>
      </c>
    </row>
    <row r="3446" spans="2:7" x14ac:dyDescent="0.35">
      <c r="B3446" s="2">
        <v>43566</v>
      </c>
      <c r="C3446" s="4">
        <v>901.94</v>
      </c>
      <c r="D3446">
        <f t="shared" si="110"/>
        <v>-0.87015626911975352</v>
      </c>
      <c r="E3446">
        <v>-7.7231121281464699E-3</v>
      </c>
      <c r="F3446">
        <v>3443</v>
      </c>
      <c r="G3446">
        <f t="shared" ca="1" si="111"/>
        <v>1.8948528499731436E-3</v>
      </c>
    </row>
    <row r="3447" spans="2:7" x14ac:dyDescent="0.35">
      <c r="B3447" s="2">
        <v>44881</v>
      </c>
      <c r="C3447" s="4">
        <v>6946.35</v>
      </c>
      <c r="D3447">
        <f t="shared" si="110"/>
        <v>6.4488493791151056</v>
      </c>
      <c r="E3447">
        <v>-7.7564226178996609E-3</v>
      </c>
      <c r="F3447">
        <v>3444</v>
      </c>
      <c r="G3447">
        <f t="shared" ca="1" si="111"/>
        <v>-7.7690218070711084E-4</v>
      </c>
    </row>
    <row r="3448" spans="2:7" x14ac:dyDescent="0.35">
      <c r="B3448" s="2">
        <v>43458</v>
      </c>
      <c r="C3448" s="4">
        <v>932.54</v>
      </c>
      <c r="D3448">
        <f t="shared" si="110"/>
        <v>0.13913319652105938</v>
      </c>
      <c r="E3448">
        <v>-7.7567219603545956E-3</v>
      </c>
      <c r="F3448">
        <v>3445</v>
      </c>
      <c r="G3448">
        <f t="shared" ca="1" si="111"/>
        <v>8.5109058469157624E-3</v>
      </c>
    </row>
    <row r="3449" spans="2:7" x14ac:dyDescent="0.35">
      <c r="B3449" s="2">
        <v>43657</v>
      </c>
      <c r="C3449" s="4">
        <v>818.64</v>
      </c>
      <c r="D3449">
        <f t="shared" si="110"/>
        <v>7.01174398120963</v>
      </c>
      <c r="E3449">
        <v>-7.7571996509260277E-3</v>
      </c>
      <c r="F3449">
        <v>3446</v>
      </c>
      <c r="G3449">
        <f t="shared" ca="1" si="111"/>
        <v>-4.1159436826254371E-2</v>
      </c>
    </row>
    <row r="3450" spans="2:7" x14ac:dyDescent="0.35">
      <c r="B3450" s="2">
        <v>40217</v>
      </c>
      <c r="C3450" s="4">
        <v>102.18</v>
      </c>
      <c r="D3450">
        <f t="shared" si="110"/>
        <v>-0.88578773822165091</v>
      </c>
      <c r="E3450">
        <v>-7.7684987376189785E-3</v>
      </c>
      <c r="F3450">
        <v>3447</v>
      </c>
      <c r="G3450">
        <f t="shared" ca="1" si="111"/>
        <v>-4.7936713244584378E-3</v>
      </c>
    </row>
    <row r="3451" spans="2:7" x14ac:dyDescent="0.35">
      <c r="B3451" s="2">
        <v>43551</v>
      </c>
      <c r="C3451" s="4">
        <v>894.65</v>
      </c>
      <c r="D3451">
        <f t="shared" si="110"/>
        <v>-1.190594524148747E-2</v>
      </c>
      <c r="E3451">
        <v>-7.7745491648736342E-3</v>
      </c>
      <c r="F3451">
        <v>3448</v>
      </c>
      <c r="G3451">
        <f t="shared" ca="1" si="111"/>
        <v>2.602884912834405E-2</v>
      </c>
    </row>
    <row r="3452" spans="2:7" x14ac:dyDescent="0.35">
      <c r="B3452" s="2">
        <v>43476</v>
      </c>
      <c r="C3452" s="4">
        <v>905.43</v>
      </c>
      <c r="D3452">
        <f t="shared" si="110"/>
        <v>32.809932785660941</v>
      </c>
      <c r="E3452">
        <v>-7.7805661183741881E-3</v>
      </c>
      <c r="F3452">
        <v>3449</v>
      </c>
      <c r="G3452">
        <f t="shared" ca="1" si="111"/>
        <v>1.4614054675590736E-2</v>
      </c>
    </row>
    <row r="3453" spans="2:7" x14ac:dyDescent="0.35">
      <c r="B3453" s="2">
        <v>37571</v>
      </c>
      <c r="C3453" s="4">
        <v>26.78</v>
      </c>
      <c r="D3453">
        <f t="shared" si="110"/>
        <v>-0.90410370264269857</v>
      </c>
      <c r="E3453">
        <v>-7.7806595035196935E-3</v>
      </c>
      <c r="F3453">
        <v>3450</v>
      </c>
      <c r="G3453">
        <f t="shared" ca="1" si="111"/>
        <v>2.0381159731345598E-2</v>
      </c>
    </row>
    <row r="3454" spans="2:7" x14ac:dyDescent="0.35">
      <c r="B3454" s="2">
        <v>41922</v>
      </c>
      <c r="C3454" s="4">
        <v>279.26</v>
      </c>
      <c r="D3454">
        <f t="shared" si="110"/>
        <v>-0.92333077092027238</v>
      </c>
      <c r="E3454">
        <v>-7.781133416237318E-3</v>
      </c>
      <c r="F3454">
        <v>3451</v>
      </c>
      <c r="G3454">
        <f t="shared" ca="1" si="111"/>
        <v>-2.2936335430441896E-2</v>
      </c>
    </row>
    <row r="3455" spans="2:7" x14ac:dyDescent="0.35">
      <c r="B3455" s="2">
        <v>44370</v>
      </c>
      <c r="C3455" s="4">
        <v>3642.4</v>
      </c>
      <c r="D3455">
        <f t="shared" si="110"/>
        <v>35.271659032065322</v>
      </c>
      <c r="E3455">
        <v>-7.7907926995368637E-3</v>
      </c>
      <c r="F3455">
        <v>3452</v>
      </c>
      <c r="G3455">
        <f t="shared" ca="1" si="111"/>
        <v>-2.112030997110775E-2</v>
      </c>
    </row>
    <row r="3456" spans="2:7" x14ac:dyDescent="0.35">
      <c r="B3456" s="2">
        <v>40630</v>
      </c>
      <c r="C3456" s="4">
        <v>100.42</v>
      </c>
      <c r="D3456">
        <f t="shared" si="110"/>
        <v>0.16199953714417958</v>
      </c>
      <c r="E3456">
        <v>-7.8055528109869377E-3</v>
      </c>
      <c r="F3456">
        <v>3453</v>
      </c>
      <c r="G3456">
        <f t="shared" ca="1" si="111"/>
        <v>-7.0715049956064369E-2</v>
      </c>
    </row>
    <row r="3457" spans="2:7" x14ac:dyDescent="0.35">
      <c r="B3457" s="2">
        <v>40980</v>
      </c>
      <c r="C3457" s="4">
        <v>86.42</v>
      </c>
      <c r="D3457">
        <f t="shared" si="110"/>
        <v>-8.0736091905116547E-2</v>
      </c>
      <c r="E3457">
        <v>-7.8071182548793416E-3</v>
      </c>
      <c r="F3457">
        <v>3454</v>
      </c>
      <c r="G3457">
        <f t="shared" ca="1" si="111"/>
        <v>3.5139285154346233E-3</v>
      </c>
    </row>
    <row r="3458" spans="2:7" x14ac:dyDescent="0.35">
      <c r="B3458" s="2">
        <v>41229</v>
      </c>
      <c r="C3458" s="4">
        <v>94.01</v>
      </c>
      <c r="D3458">
        <f t="shared" si="110"/>
        <v>-0.97745087692366739</v>
      </c>
      <c r="E3458">
        <v>-7.8100263852242113E-3</v>
      </c>
      <c r="F3458">
        <v>3455</v>
      </c>
      <c r="G3458">
        <f t="shared" ca="1" si="111"/>
        <v>-1.6153161044747785E-2</v>
      </c>
    </row>
    <row r="3459" spans="2:7" x14ac:dyDescent="0.35">
      <c r="B3459" s="2">
        <v>44397</v>
      </c>
      <c r="C3459" s="4">
        <v>4169.12</v>
      </c>
      <c r="D3459">
        <f t="shared" si="110"/>
        <v>58.78947368421052</v>
      </c>
      <c r="E3459">
        <v>-7.8130391841882973E-3</v>
      </c>
      <c r="F3459">
        <v>3456</v>
      </c>
      <c r="G3459">
        <f t="shared" ca="1" si="111"/>
        <v>2.9464627718621968E-2</v>
      </c>
    </row>
    <row r="3460" spans="2:7" x14ac:dyDescent="0.35">
      <c r="B3460" s="2">
        <v>38734</v>
      </c>
      <c r="C3460" s="4">
        <v>69.73</v>
      </c>
      <c r="D3460">
        <f t="shared" ref="D3460:D3523" si="112">C3460/C3461-1</f>
        <v>-0.69081718618365628</v>
      </c>
      <c r="E3460">
        <v>-7.825839499146281E-3</v>
      </c>
      <c r="F3460">
        <v>3457</v>
      </c>
      <c r="G3460">
        <f t="shared" ca="1" si="111"/>
        <v>-1.0423975443815264E-2</v>
      </c>
    </row>
    <row r="3461" spans="2:7" x14ac:dyDescent="0.35">
      <c r="B3461" s="2">
        <v>41773</v>
      </c>
      <c r="C3461" s="4">
        <v>225.53</v>
      </c>
      <c r="D3461">
        <f t="shared" si="112"/>
        <v>0.87613343315863923</v>
      </c>
      <c r="E3461">
        <v>-7.8307157626149593E-3</v>
      </c>
      <c r="F3461">
        <v>3458</v>
      </c>
      <c r="G3461">
        <f t="shared" ref="G3461:G3524" ca="1" si="113">_xlfn.NORM.INV(RAND(),K$6,K$7)</f>
        <v>-3.2995594270193006E-3</v>
      </c>
    </row>
    <row r="3462" spans="2:7" x14ac:dyDescent="0.35">
      <c r="B3462" s="2">
        <v>39267</v>
      </c>
      <c r="C3462" s="4">
        <v>120.21</v>
      </c>
      <c r="D3462">
        <f t="shared" si="112"/>
        <v>-0.98395552767507977</v>
      </c>
      <c r="E3462">
        <v>-7.8408715747771973E-3</v>
      </c>
      <c r="F3462">
        <v>3459</v>
      </c>
      <c r="G3462">
        <f t="shared" ca="1" si="113"/>
        <v>1.5326250983741857E-2</v>
      </c>
    </row>
    <row r="3463" spans="2:7" x14ac:dyDescent="0.35">
      <c r="B3463" s="2">
        <v>44734</v>
      </c>
      <c r="C3463" s="4">
        <v>7492.3</v>
      </c>
      <c r="D3463">
        <f t="shared" si="112"/>
        <v>57.758528742843694</v>
      </c>
      <c r="E3463">
        <v>-7.852640500026542E-3</v>
      </c>
      <c r="F3463">
        <v>3460</v>
      </c>
      <c r="G3463">
        <f t="shared" ca="1" si="113"/>
        <v>6.7972446838661521E-3</v>
      </c>
    </row>
    <row r="3464" spans="2:7" x14ac:dyDescent="0.35">
      <c r="B3464" s="2">
        <v>40276</v>
      </c>
      <c r="C3464" s="4">
        <v>127.51</v>
      </c>
      <c r="D3464">
        <f t="shared" si="112"/>
        <v>5.2410036315615693E-2</v>
      </c>
      <c r="E3464">
        <v>-7.8586990351696695E-3</v>
      </c>
      <c r="F3464">
        <v>3461</v>
      </c>
      <c r="G3464">
        <f t="shared" ca="1" si="113"/>
        <v>6.9649176618316766E-2</v>
      </c>
    </row>
    <row r="3465" spans="2:7" x14ac:dyDescent="0.35">
      <c r="B3465" s="2">
        <v>39266</v>
      </c>
      <c r="C3465" s="4">
        <v>121.16</v>
      </c>
      <c r="D3465">
        <f t="shared" si="112"/>
        <v>3.0199071001990712</v>
      </c>
      <c r="E3465">
        <v>-7.8611202096299237E-3</v>
      </c>
      <c r="F3465">
        <v>3462</v>
      </c>
      <c r="G3465">
        <f t="shared" ca="1" si="113"/>
        <v>5.5979034684122027E-2</v>
      </c>
    </row>
    <row r="3466" spans="2:7" x14ac:dyDescent="0.35">
      <c r="B3466" s="2">
        <v>38141</v>
      </c>
      <c r="C3466" s="4">
        <v>30.14</v>
      </c>
      <c r="D3466">
        <f t="shared" si="112"/>
        <v>-0.5293566520924422</v>
      </c>
      <c r="E3466">
        <v>-7.899934167215239E-3</v>
      </c>
      <c r="F3466">
        <v>3463</v>
      </c>
      <c r="G3466">
        <f t="shared" ca="1" si="113"/>
        <v>-2.3536582373718664E-2</v>
      </c>
    </row>
    <row r="3467" spans="2:7" x14ac:dyDescent="0.35">
      <c r="B3467" s="2">
        <v>38749</v>
      </c>
      <c r="C3467" s="4">
        <v>64.040000000000006</v>
      </c>
      <c r="D3467">
        <f t="shared" si="112"/>
        <v>-0.90262149504288058</v>
      </c>
      <c r="E3467">
        <v>-7.9008520526722137E-3</v>
      </c>
      <c r="F3467">
        <v>3464</v>
      </c>
      <c r="G3467">
        <f t="shared" ca="1" si="113"/>
        <v>4.1886983412864495E-2</v>
      </c>
    </row>
    <row r="3468" spans="2:7" x14ac:dyDescent="0.35">
      <c r="B3468" s="2">
        <v>43738</v>
      </c>
      <c r="C3468" s="4">
        <v>657.64</v>
      </c>
      <c r="D3468">
        <f t="shared" si="112"/>
        <v>9.4819891616193814</v>
      </c>
      <c r="E3468">
        <v>-7.9048998310403684E-3</v>
      </c>
      <c r="F3468">
        <v>3465</v>
      </c>
      <c r="G3468">
        <f t="shared" ca="1" si="113"/>
        <v>6.5098838588602742E-2</v>
      </c>
    </row>
    <row r="3469" spans="2:7" x14ac:dyDescent="0.35">
      <c r="B3469" s="2">
        <v>40114</v>
      </c>
      <c r="C3469" s="4">
        <v>62.74</v>
      </c>
      <c r="D3469">
        <f t="shared" si="112"/>
        <v>-0.92052896246849147</v>
      </c>
      <c r="E3469">
        <v>-7.9063883617963571E-3</v>
      </c>
      <c r="F3469">
        <v>3466</v>
      </c>
      <c r="G3469">
        <f t="shared" ca="1" si="113"/>
        <v>1.2803572075939197E-2</v>
      </c>
    </row>
    <row r="3470" spans="2:7" x14ac:dyDescent="0.35">
      <c r="B3470" s="2">
        <v>43599</v>
      </c>
      <c r="C3470" s="4">
        <v>789.47</v>
      </c>
      <c r="D3470">
        <f t="shared" si="112"/>
        <v>32.212873369793861</v>
      </c>
      <c r="E3470">
        <v>-7.9168603993615694E-3</v>
      </c>
      <c r="F3470">
        <v>3467</v>
      </c>
      <c r="G3470">
        <f t="shared" ca="1" si="113"/>
        <v>-1.1341101251394401E-2</v>
      </c>
    </row>
    <row r="3471" spans="2:7" x14ac:dyDescent="0.35">
      <c r="B3471" s="2">
        <v>37663</v>
      </c>
      <c r="C3471" s="4">
        <v>23.77</v>
      </c>
      <c r="D3471">
        <f t="shared" si="112"/>
        <v>-0.99644813029997381</v>
      </c>
      <c r="E3471">
        <v>-7.9298831385643531E-3</v>
      </c>
      <c r="F3471">
        <v>3468</v>
      </c>
      <c r="G3471">
        <f t="shared" ca="1" si="113"/>
        <v>-2.6028500941524414E-2</v>
      </c>
    </row>
    <row r="3472" spans="2:7" x14ac:dyDescent="0.35">
      <c r="B3472" s="2">
        <v>44907</v>
      </c>
      <c r="C3472" s="4">
        <v>6692.25</v>
      </c>
      <c r="D3472">
        <f t="shared" si="112"/>
        <v>81.416871921182263</v>
      </c>
      <c r="E3472">
        <v>-7.9309194678131023E-3</v>
      </c>
      <c r="F3472">
        <v>3469</v>
      </c>
      <c r="G3472">
        <f t="shared" ca="1" si="113"/>
        <v>-1.2493537840336152E-2</v>
      </c>
    </row>
    <row r="3473" spans="2:7" x14ac:dyDescent="0.35">
      <c r="B3473" s="2">
        <v>41548</v>
      </c>
      <c r="C3473" s="4">
        <v>81.2</v>
      </c>
      <c r="D3473">
        <f t="shared" si="112"/>
        <v>1.7084723148765844</v>
      </c>
      <c r="E3473">
        <v>-7.9413561392790433E-3</v>
      </c>
      <c r="F3473">
        <v>3470</v>
      </c>
      <c r="G3473">
        <f t="shared" ca="1" si="113"/>
        <v>2.4867676245527284E-2</v>
      </c>
    </row>
    <row r="3474" spans="2:7" x14ac:dyDescent="0.35">
      <c r="B3474" s="2">
        <v>37624</v>
      </c>
      <c r="C3474" s="4">
        <v>29.98</v>
      </c>
      <c r="D3474">
        <f t="shared" si="112"/>
        <v>-0.98874730224265739</v>
      </c>
      <c r="E3474">
        <v>-7.9417604235605399E-3</v>
      </c>
      <c r="F3474">
        <v>3471</v>
      </c>
      <c r="G3474">
        <f t="shared" ca="1" si="113"/>
        <v>-3.0271740778028255E-2</v>
      </c>
    </row>
    <row r="3475" spans="2:7" x14ac:dyDescent="0.35">
      <c r="B3475" s="2">
        <v>44251</v>
      </c>
      <c r="C3475" s="4">
        <v>2664.25</v>
      </c>
      <c r="D3475">
        <f t="shared" si="112"/>
        <v>1.1163485292599034</v>
      </c>
      <c r="E3475">
        <v>-7.9867446103436546E-3</v>
      </c>
      <c r="F3475">
        <v>3472</v>
      </c>
      <c r="G3475">
        <f t="shared" ca="1" si="113"/>
        <v>-4.1535028805116149E-2</v>
      </c>
    </row>
    <row r="3476" spans="2:7" x14ac:dyDescent="0.35">
      <c r="B3476" s="2">
        <v>44092</v>
      </c>
      <c r="C3476" s="4">
        <v>1258.8900000000001</v>
      </c>
      <c r="D3476">
        <f t="shared" si="112"/>
        <v>55.351387645478965</v>
      </c>
      <c r="E3476">
        <v>-7.9903548379469669E-3</v>
      </c>
      <c r="F3476">
        <v>3473</v>
      </c>
      <c r="G3476">
        <f t="shared" ca="1" si="113"/>
        <v>5.3234802851921198E-2</v>
      </c>
    </row>
    <row r="3477" spans="2:7" x14ac:dyDescent="0.35">
      <c r="B3477" s="2">
        <v>37761</v>
      </c>
      <c r="C3477" s="4">
        <v>22.34</v>
      </c>
      <c r="D3477">
        <f t="shared" si="112"/>
        <v>-0.70949284785435629</v>
      </c>
      <c r="E3477">
        <v>-7.9928952042628287E-3</v>
      </c>
      <c r="F3477">
        <v>3474</v>
      </c>
      <c r="G3477">
        <f t="shared" ca="1" si="113"/>
        <v>2.1912439332506986E-2</v>
      </c>
    </row>
    <row r="3478" spans="2:7" x14ac:dyDescent="0.35">
      <c r="B3478" s="2">
        <v>38960</v>
      </c>
      <c r="C3478" s="4">
        <v>76.900000000000006</v>
      </c>
      <c r="D3478">
        <f t="shared" si="112"/>
        <v>-0.9053212183891064</v>
      </c>
      <c r="E3478">
        <v>-7.9979360165117752E-3</v>
      </c>
      <c r="F3478">
        <v>3475</v>
      </c>
      <c r="G3478">
        <f t="shared" ca="1" si="113"/>
        <v>2.9434192414347707E-2</v>
      </c>
    </row>
    <row r="3479" spans="2:7" x14ac:dyDescent="0.35">
      <c r="B3479" s="2">
        <v>42425</v>
      </c>
      <c r="C3479" s="4">
        <v>812.22</v>
      </c>
      <c r="D3479">
        <f t="shared" si="112"/>
        <v>-0.24004940212204562</v>
      </c>
      <c r="E3479">
        <v>-8.0119201739172752E-3</v>
      </c>
      <c r="F3479">
        <v>3476</v>
      </c>
      <c r="G3479">
        <f t="shared" ca="1" si="113"/>
        <v>2.2658817347290684E-2</v>
      </c>
    </row>
    <row r="3480" spans="2:7" x14ac:dyDescent="0.35">
      <c r="B3480" s="2">
        <v>43235</v>
      </c>
      <c r="C3480" s="4">
        <v>1068.78</v>
      </c>
      <c r="D3480">
        <f t="shared" si="112"/>
        <v>14.440335163247616</v>
      </c>
      <c r="E3480">
        <v>-8.0191568747564057E-3</v>
      </c>
      <c r="F3480">
        <v>3477</v>
      </c>
      <c r="G3480">
        <f t="shared" ca="1" si="113"/>
        <v>-2.610454366142672E-2</v>
      </c>
    </row>
    <row r="3481" spans="2:7" x14ac:dyDescent="0.35">
      <c r="B3481" s="2">
        <v>38832</v>
      </c>
      <c r="C3481" s="4">
        <v>69.22</v>
      </c>
      <c r="D3481">
        <f t="shared" si="112"/>
        <v>0.86980010804970265</v>
      </c>
      <c r="E3481">
        <v>-8.0252221266838841E-3</v>
      </c>
      <c r="F3481">
        <v>3478</v>
      </c>
      <c r="G3481">
        <f t="shared" ca="1" si="113"/>
        <v>-6.2539471924976872E-2</v>
      </c>
    </row>
    <row r="3482" spans="2:7" x14ac:dyDescent="0.35">
      <c r="B3482" s="2">
        <v>39757</v>
      </c>
      <c r="C3482" s="4">
        <v>37.020000000000003</v>
      </c>
      <c r="D3482">
        <f t="shared" si="112"/>
        <v>-0.63379167078840637</v>
      </c>
      <c r="E3482">
        <v>-8.0385852090031351E-3</v>
      </c>
      <c r="F3482">
        <v>3479</v>
      </c>
      <c r="G3482">
        <f t="shared" ca="1" si="113"/>
        <v>-1.5896769804361905E-2</v>
      </c>
    </row>
    <row r="3483" spans="2:7" x14ac:dyDescent="0.35">
      <c r="B3483" s="2">
        <v>40157</v>
      </c>
      <c r="C3483" s="4">
        <v>101.09</v>
      </c>
      <c r="D3483">
        <f t="shared" si="112"/>
        <v>-0.83722727638676431</v>
      </c>
      <c r="E3483">
        <v>-8.0463153763123962E-3</v>
      </c>
      <c r="F3483">
        <v>3480</v>
      </c>
      <c r="G3483">
        <f t="shared" ca="1" si="113"/>
        <v>1.8908110165463437E-2</v>
      </c>
    </row>
    <row r="3484" spans="2:7" x14ac:dyDescent="0.35">
      <c r="B3484" s="2">
        <v>42664</v>
      </c>
      <c r="C3484" s="4">
        <v>621.04999999999995</v>
      </c>
      <c r="D3484">
        <f t="shared" si="112"/>
        <v>4.5003985475157204</v>
      </c>
      <c r="E3484">
        <v>-8.0499608682459423E-3</v>
      </c>
      <c r="F3484">
        <v>3481</v>
      </c>
      <c r="G3484">
        <f t="shared" ca="1" si="113"/>
        <v>-2.1936885008933288E-2</v>
      </c>
    </row>
    <row r="3485" spans="2:7" x14ac:dyDescent="0.35">
      <c r="B3485" s="2">
        <v>39339</v>
      </c>
      <c r="C3485" s="4">
        <v>112.91</v>
      </c>
      <c r="D3485">
        <f t="shared" si="112"/>
        <v>2.8404761904761906</v>
      </c>
      <c r="E3485">
        <v>-8.0822278836861772E-3</v>
      </c>
      <c r="F3485">
        <v>3482</v>
      </c>
      <c r="G3485">
        <f t="shared" ca="1" si="113"/>
        <v>5.5981537928760323E-2</v>
      </c>
    </row>
    <row r="3486" spans="2:7" x14ac:dyDescent="0.35">
      <c r="B3486" s="2">
        <v>38022</v>
      </c>
      <c r="C3486" s="4">
        <v>29.4</v>
      </c>
      <c r="D3486">
        <f t="shared" si="112"/>
        <v>-0.9808507728080974</v>
      </c>
      <c r="E3486">
        <v>-8.0971659919029104E-3</v>
      </c>
      <c r="F3486">
        <v>3483</v>
      </c>
      <c r="G3486">
        <f t="shared" ca="1" si="113"/>
        <v>3.6493889990194359E-2</v>
      </c>
    </row>
    <row r="3487" spans="2:7" x14ac:dyDescent="0.35">
      <c r="B3487" s="2">
        <v>44141</v>
      </c>
      <c r="C3487" s="4">
        <v>1535.31</v>
      </c>
      <c r="D3487">
        <f t="shared" si="112"/>
        <v>0.93571203429363936</v>
      </c>
      <c r="E3487">
        <v>-8.1079684209165448E-3</v>
      </c>
      <c r="F3487">
        <v>3484</v>
      </c>
      <c r="G3487">
        <f t="shared" ca="1" si="113"/>
        <v>1.4000437230497649E-3</v>
      </c>
    </row>
    <row r="3488" spans="2:7" x14ac:dyDescent="0.35">
      <c r="B3488" s="2">
        <v>43025</v>
      </c>
      <c r="C3488" s="4">
        <v>793.15</v>
      </c>
      <c r="D3488">
        <f t="shared" si="112"/>
        <v>-0.20695309609750734</v>
      </c>
      <c r="E3488">
        <v>-8.1161522685208043E-3</v>
      </c>
      <c r="F3488">
        <v>3485</v>
      </c>
      <c r="G3488">
        <f t="shared" ca="1" si="113"/>
        <v>3.2059797159959838E-2</v>
      </c>
    </row>
    <row r="3489" spans="2:7" x14ac:dyDescent="0.35">
      <c r="B3489" s="2">
        <v>44054</v>
      </c>
      <c r="C3489" s="4">
        <v>1000.13</v>
      </c>
      <c r="D3489">
        <f t="shared" si="112"/>
        <v>11.813965406790519</v>
      </c>
      <c r="E3489">
        <v>-8.1322582884572059E-3</v>
      </c>
      <c r="F3489">
        <v>3486</v>
      </c>
      <c r="G3489">
        <f t="shared" ca="1" si="113"/>
        <v>3.5583707258276531E-3</v>
      </c>
    </row>
    <row r="3490" spans="2:7" x14ac:dyDescent="0.35">
      <c r="B3490" s="2">
        <v>38995</v>
      </c>
      <c r="C3490" s="4">
        <v>78.05</v>
      </c>
      <c r="D3490">
        <f t="shared" si="112"/>
        <v>0.23751387347391772</v>
      </c>
      <c r="E3490">
        <v>-8.1331808361926328E-3</v>
      </c>
      <c r="F3490">
        <v>3487</v>
      </c>
      <c r="G3490">
        <f t="shared" ca="1" si="113"/>
        <v>1.5765521829133992E-3</v>
      </c>
    </row>
    <row r="3491" spans="2:7" x14ac:dyDescent="0.35">
      <c r="B3491" s="2">
        <v>40057</v>
      </c>
      <c r="C3491" s="4">
        <v>63.07</v>
      </c>
      <c r="D3491">
        <f t="shared" si="112"/>
        <v>-0.99086746750689247</v>
      </c>
      <c r="E3491">
        <v>-8.1773863815065573E-3</v>
      </c>
      <c r="F3491">
        <v>3488</v>
      </c>
      <c r="G3491">
        <f t="shared" ca="1" si="113"/>
        <v>1.1962955478479614E-2</v>
      </c>
    </row>
    <row r="3492" spans="2:7" x14ac:dyDescent="0.35">
      <c r="B3492" s="2">
        <v>44609</v>
      </c>
      <c r="C3492" s="4">
        <v>6906.08</v>
      </c>
      <c r="D3492">
        <f t="shared" si="112"/>
        <v>65.264440606409522</v>
      </c>
      <c r="E3492">
        <v>-8.1789106179349647E-3</v>
      </c>
      <c r="F3492">
        <v>3489</v>
      </c>
      <c r="G3492">
        <f t="shared" ca="1" si="113"/>
        <v>-1.8645013511225082E-2</v>
      </c>
    </row>
    <row r="3493" spans="2:7" x14ac:dyDescent="0.35">
      <c r="B3493" s="2">
        <v>40394</v>
      </c>
      <c r="C3493" s="4">
        <v>104.22</v>
      </c>
      <c r="D3493">
        <f t="shared" si="112"/>
        <v>-0.1224317952172449</v>
      </c>
      <c r="E3493">
        <v>-8.1842405786067829E-3</v>
      </c>
      <c r="F3493">
        <v>3490</v>
      </c>
      <c r="G3493">
        <f t="shared" ca="1" si="113"/>
        <v>5.6151108080325406E-3</v>
      </c>
    </row>
    <row r="3494" spans="2:7" x14ac:dyDescent="0.35">
      <c r="B3494" s="2">
        <v>40534</v>
      </c>
      <c r="C3494" s="4">
        <v>118.76</v>
      </c>
      <c r="D3494">
        <f t="shared" si="112"/>
        <v>0.63603802176608348</v>
      </c>
      <c r="E3494">
        <v>-8.1843995323199747E-3</v>
      </c>
      <c r="F3494">
        <v>3491</v>
      </c>
      <c r="G3494">
        <f t="shared" ca="1" si="113"/>
        <v>2.2558360914293939E-2</v>
      </c>
    </row>
    <row r="3495" spans="2:7" x14ac:dyDescent="0.35">
      <c r="B3495" s="2">
        <v>38583</v>
      </c>
      <c r="C3495" s="4">
        <v>72.59</v>
      </c>
      <c r="D3495">
        <f t="shared" si="112"/>
        <v>0.39784325052955904</v>
      </c>
      <c r="E3495">
        <v>-8.1978412351413343E-3</v>
      </c>
      <c r="F3495">
        <v>3492</v>
      </c>
      <c r="G3495">
        <f t="shared" ca="1" si="113"/>
        <v>-9.9492555797259727E-3</v>
      </c>
    </row>
    <row r="3496" spans="2:7" x14ac:dyDescent="0.35">
      <c r="B3496" s="2">
        <v>38308</v>
      </c>
      <c r="C3496" s="4">
        <v>51.93</v>
      </c>
      <c r="D3496">
        <f t="shared" si="112"/>
        <v>-0.89500818826954576</v>
      </c>
      <c r="E3496">
        <v>-8.2123758594346841E-3</v>
      </c>
      <c r="F3496">
        <v>3493</v>
      </c>
      <c r="G3496">
        <f t="shared" ca="1" si="113"/>
        <v>9.4833543875479411E-3</v>
      </c>
    </row>
    <row r="3497" spans="2:7" x14ac:dyDescent="0.35">
      <c r="B3497" s="2">
        <v>42690</v>
      </c>
      <c r="C3497" s="4">
        <v>494.61</v>
      </c>
      <c r="D3497">
        <f t="shared" si="112"/>
        <v>2.5357066266352137</v>
      </c>
      <c r="E3497">
        <v>-8.221210723666994E-3</v>
      </c>
      <c r="F3497">
        <v>3494</v>
      </c>
      <c r="G3497">
        <f t="shared" ca="1" si="113"/>
        <v>-1.4448488153918158E-3</v>
      </c>
    </row>
    <row r="3498" spans="2:7" x14ac:dyDescent="0.35">
      <c r="B3498" s="2">
        <v>41621</v>
      </c>
      <c r="C3498" s="4">
        <v>139.88999999999999</v>
      </c>
      <c r="D3498">
        <f t="shared" si="112"/>
        <v>0.38108401619113419</v>
      </c>
      <c r="E3498">
        <v>-8.2240340304857718E-3</v>
      </c>
      <c r="F3498">
        <v>3495</v>
      </c>
      <c r="G3498">
        <f t="shared" ca="1" si="113"/>
        <v>9.2549835146596895E-3</v>
      </c>
    </row>
    <row r="3499" spans="2:7" x14ac:dyDescent="0.35">
      <c r="B3499" s="2">
        <v>41586</v>
      </c>
      <c r="C3499" s="4">
        <v>101.29</v>
      </c>
      <c r="D3499">
        <f t="shared" si="112"/>
        <v>-2.2957461174881844E-2</v>
      </c>
      <c r="E3499">
        <v>-8.2248115147359746E-3</v>
      </c>
      <c r="F3499">
        <v>3496</v>
      </c>
      <c r="G3499">
        <f t="shared" ca="1" si="113"/>
        <v>3.2451342891667546E-2</v>
      </c>
    </row>
    <row r="3500" spans="2:7" x14ac:dyDescent="0.35">
      <c r="B3500" s="2">
        <v>40730</v>
      </c>
      <c r="C3500" s="4">
        <v>103.67</v>
      </c>
      <c r="D3500">
        <f t="shared" si="112"/>
        <v>-0.97536371024852542</v>
      </c>
      <c r="E3500">
        <v>-8.2273031665550667E-3</v>
      </c>
      <c r="F3500">
        <v>3497</v>
      </c>
      <c r="G3500">
        <f t="shared" ca="1" si="113"/>
        <v>5.4023127299997253E-2</v>
      </c>
    </row>
    <row r="3501" spans="2:7" x14ac:dyDescent="0.35">
      <c r="B3501" s="2">
        <v>44414</v>
      </c>
      <c r="C3501" s="4">
        <v>4208.0200000000004</v>
      </c>
      <c r="D3501">
        <f t="shared" si="112"/>
        <v>64.977108811539679</v>
      </c>
      <c r="E3501">
        <v>-8.2301423069850443E-3</v>
      </c>
      <c r="F3501">
        <v>3498</v>
      </c>
      <c r="G3501">
        <f t="shared" ca="1" si="113"/>
        <v>5.2802696937260883E-2</v>
      </c>
    </row>
    <row r="3502" spans="2:7" x14ac:dyDescent="0.35">
      <c r="B3502" s="2">
        <v>38771</v>
      </c>
      <c r="C3502" s="4">
        <v>63.78</v>
      </c>
      <c r="D3502">
        <f t="shared" si="112"/>
        <v>-0.42363997831194644</v>
      </c>
      <c r="E3502">
        <v>-8.2413310527134076E-3</v>
      </c>
      <c r="F3502">
        <v>3499</v>
      </c>
      <c r="G3502">
        <f t="shared" ca="1" si="113"/>
        <v>-2.8426178376125981E-2</v>
      </c>
    </row>
    <row r="3503" spans="2:7" x14ac:dyDescent="0.35">
      <c r="B3503" s="2">
        <v>40564</v>
      </c>
      <c r="C3503" s="4">
        <v>110.66</v>
      </c>
      <c r="D3503">
        <f t="shared" si="112"/>
        <v>4.5540438397581262E-2</v>
      </c>
      <c r="E3503">
        <v>-8.2452052339129223E-3</v>
      </c>
      <c r="F3503">
        <v>3500</v>
      </c>
      <c r="G3503">
        <f t="shared" ca="1" si="113"/>
        <v>2.4115969553040999E-2</v>
      </c>
    </row>
    <row r="3504" spans="2:7" x14ac:dyDescent="0.35">
      <c r="B3504" s="2">
        <v>39367</v>
      </c>
      <c r="C3504" s="4">
        <v>105.84</v>
      </c>
      <c r="D3504">
        <f t="shared" si="112"/>
        <v>4.8439821693907925E-2</v>
      </c>
      <c r="E3504">
        <v>-8.2458770614691757E-3</v>
      </c>
      <c r="F3504">
        <v>3501</v>
      </c>
      <c r="G3504">
        <f t="shared" ca="1" si="113"/>
        <v>-2.3126042855638702E-2</v>
      </c>
    </row>
    <row r="3505" spans="2:7" x14ac:dyDescent="0.35">
      <c r="B3505" s="2">
        <v>40675</v>
      </c>
      <c r="C3505" s="4">
        <v>100.95</v>
      </c>
      <c r="D3505">
        <f t="shared" si="112"/>
        <v>-0.89652627586843103</v>
      </c>
      <c r="E3505">
        <v>-8.2522841143530812E-3</v>
      </c>
      <c r="F3505">
        <v>3502</v>
      </c>
      <c r="G3505">
        <f t="shared" ca="1" si="113"/>
        <v>-2.9990674379973981E-3</v>
      </c>
    </row>
    <row r="3506" spans="2:7" x14ac:dyDescent="0.35">
      <c r="B3506" s="2">
        <v>43160</v>
      </c>
      <c r="C3506" s="4">
        <v>975.61</v>
      </c>
      <c r="D3506">
        <f t="shared" si="112"/>
        <v>0.21642581948306172</v>
      </c>
      <c r="E3506">
        <v>-8.2643787992762174E-3</v>
      </c>
      <c r="F3506">
        <v>3503</v>
      </c>
      <c r="G3506">
        <f t="shared" ca="1" si="113"/>
        <v>-1.0782333254014217E-2</v>
      </c>
    </row>
    <row r="3507" spans="2:7" x14ac:dyDescent="0.35">
      <c r="B3507" s="2">
        <v>43830</v>
      </c>
      <c r="C3507" s="4">
        <v>802.03</v>
      </c>
      <c r="D3507">
        <f t="shared" si="112"/>
        <v>29.507036896158237</v>
      </c>
      <c r="E3507">
        <v>-8.2845943640028619E-3</v>
      </c>
      <c r="F3507">
        <v>3504</v>
      </c>
      <c r="G3507">
        <f t="shared" ca="1" si="113"/>
        <v>1.3504533324007844E-2</v>
      </c>
    </row>
    <row r="3508" spans="2:7" x14ac:dyDescent="0.35">
      <c r="B3508" s="2">
        <v>37844</v>
      </c>
      <c r="C3508" s="4">
        <v>26.29</v>
      </c>
      <c r="D3508">
        <f t="shared" si="112"/>
        <v>-0.97276071077034654</v>
      </c>
      <c r="E3508">
        <v>-8.2987551867220732E-3</v>
      </c>
      <c r="F3508">
        <v>3505</v>
      </c>
      <c r="G3508">
        <f t="shared" ca="1" si="113"/>
        <v>1.9171654020284892E-2</v>
      </c>
    </row>
    <row r="3509" spans="2:7" x14ac:dyDescent="0.35">
      <c r="B3509" s="2">
        <v>43200</v>
      </c>
      <c r="C3509" s="4">
        <v>965.15</v>
      </c>
      <c r="D3509">
        <f t="shared" si="112"/>
        <v>17.799181924425397</v>
      </c>
      <c r="E3509">
        <v>-8.3022512664016057E-3</v>
      </c>
      <c r="F3509">
        <v>3506</v>
      </c>
      <c r="G3509">
        <f t="shared" ca="1" si="113"/>
        <v>-2.5476069469868422E-2</v>
      </c>
    </row>
    <row r="3510" spans="2:7" x14ac:dyDescent="0.35">
      <c r="B3510" s="2">
        <v>39716</v>
      </c>
      <c r="C3510" s="4">
        <v>51.34</v>
      </c>
      <c r="D3510">
        <f t="shared" si="112"/>
        <v>-0.46218311334590401</v>
      </c>
      <c r="E3510">
        <v>-8.3059687077458033E-3</v>
      </c>
      <c r="F3510">
        <v>3507</v>
      </c>
      <c r="G3510">
        <f t="shared" ca="1" si="113"/>
        <v>-5.8750984144875409E-2</v>
      </c>
    </row>
    <row r="3511" spans="2:7" x14ac:dyDescent="0.35">
      <c r="B3511" s="2">
        <v>41221</v>
      </c>
      <c r="C3511" s="4">
        <v>95.46</v>
      </c>
      <c r="D3511">
        <f t="shared" si="112"/>
        <v>-0.92434377377631249</v>
      </c>
      <c r="E3511">
        <v>-8.310824849366405E-3</v>
      </c>
      <c r="F3511">
        <v>3508</v>
      </c>
      <c r="G3511">
        <f t="shared" ca="1" si="113"/>
        <v>8.8010040714386426E-3</v>
      </c>
    </row>
    <row r="3512" spans="2:7" x14ac:dyDescent="0.35">
      <c r="B3512" s="2">
        <v>44105</v>
      </c>
      <c r="C3512" s="4">
        <v>1261.76</v>
      </c>
      <c r="D3512">
        <f t="shared" si="112"/>
        <v>0.94911562524136861</v>
      </c>
      <c r="E3512">
        <v>-8.3153873964505465E-3</v>
      </c>
      <c r="F3512">
        <v>3509</v>
      </c>
      <c r="G3512">
        <f t="shared" ca="1" si="113"/>
        <v>9.9045304437408253E-3</v>
      </c>
    </row>
    <row r="3513" spans="2:7" x14ac:dyDescent="0.35">
      <c r="B3513" s="2">
        <v>42746</v>
      </c>
      <c r="C3513" s="4">
        <v>647.35</v>
      </c>
      <c r="D3513">
        <f t="shared" si="112"/>
        <v>-0.3159001564019106</v>
      </c>
      <c r="E3513">
        <v>-8.3182695548269514E-3</v>
      </c>
      <c r="F3513">
        <v>3510</v>
      </c>
      <c r="G3513">
        <f t="shared" ca="1" si="113"/>
        <v>1.4566433978411206E-2</v>
      </c>
    </row>
    <row r="3514" spans="2:7" x14ac:dyDescent="0.35">
      <c r="B3514" s="2">
        <v>43146</v>
      </c>
      <c r="C3514" s="4">
        <v>946.28</v>
      </c>
      <c r="D3514">
        <f t="shared" si="112"/>
        <v>2.5944693458937933</v>
      </c>
      <c r="E3514">
        <v>-8.3209322797678231E-3</v>
      </c>
      <c r="F3514">
        <v>3511</v>
      </c>
      <c r="G3514">
        <f t="shared" ca="1" si="113"/>
        <v>-1.5577591169781517E-2</v>
      </c>
    </row>
    <row r="3515" spans="2:7" x14ac:dyDescent="0.35">
      <c r="B3515" s="2">
        <v>41863</v>
      </c>
      <c r="C3515" s="4">
        <v>263.26</v>
      </c>
      <c r="D3515">
        <f t="shared" si="112"/>
        <v>-0.96520058637924033</v>
      </c>
      <c r="E3515">
        <v>-8.3248577993748629E-3</v>
      </c>
      <c r="F3515">
        <v>3512</v>
      </c>
      <c r="G3515">
        <f t="shared" ca="1" si="113"/>
        <v>1.3937402798971864E-2</v>
      </c>
    </row>
    <row r="3516" spans="2:7" x14ac:dyDescent="0.35">
      <c r="B3516" s="2">
        <v>44602</v>
      </c>
      <c r="C3516" s="4">
        <v>7565.07</v>
      </c>
      <c r="D3516">
        <f t="shared" si="112"/>
        <v>4.5406739565099574</v>
      </c>
      <c r="E3516">
        <v>-8.3590690065593609E-3</v>
      </c>
      <c r="F3516">
        <v>3513</v>
      </c>
      <c r="G3516">
        <f t="shared" ca="1" si="113"/>
        <v>-3.0882395547620987E-2</v>
      </c>
    </row>
    <row r="3517" spans="2:7" x14ac:dyDescent="0.35">
      <c r="B3517" s="2">
        <v>44111</v>
      </c>
      <c r="C3517" s="4">
        <v>1365.37</v>
      </c>
      <c r="D3517">
        <f t="shared" si="112"/>
        <v>16.180948785705297</v>
      </c>
      <c r="E3517">
        <v>-8.359479402707759E-3</v>
      </c>
      <c r="F3517">
        <v>3514</v>
      </c>
      <c r="G3517">
        <f t="shared" ca="1" si="113"/>
        <v>5.2171770061050136E-4</v>
      </c>
    </row>
    <row r="3518" spans="2:7" x14ac:dyDescent="0.35">
      <c r="B3518" s="2">
        <v>41445</v>
      </c>
      <c r="C3518" s="4">
        <v>79.47</v>
      </c>
      <c r="D3518">
        <f t="shared" si="112"/>
        <v>0.31398809523809534</v>
      </c>
      <c r="E3518">
        <v>-8.3603693536311585E-3</v>
      </c>
      <c r="F3518">
        <v>3515</v>
      </c>
      <c r="G3518">
        <f t="shared" ca="1" si="113"/>
        <v>-3.0591776824270087E-2</v>
      </c>
    </row>
    <row r="3519" spans="2:7" x14ac:dyDescent="0.35">
      <c r="B3519" s="2">
        <v>40123</v>
      </c>
      <c r="C3519" s="4">
        <v>60.48</v>
      </c>
      <c r="D3519">
        <f t="shared" si="112"/>
        <v>-0.9346098539317339</v>
      </c>
      <c r="E3519">
        <v>-8.3620265617314615E-3</v>
      </c>
      <c r="F3519">
        <v>3516</v>
      </c>
      <c r="G3519">
        <f t="shared" ca="1" si="113"/>
        <v>-1.5772738560064271E-2</v>
      </c>
    </row>
    <row r="3520" spans="2:7" x14ac:dyDescent="0.35">
      <c r="B3520" s="2">
        <v>43392</v>
      </c>
      <c r="C3520" s="4">
        <v>924.91</v>
      </c>
      <c r="D3520">
        <f t="shared" si="112"/>
        <v>42.484250117536433</v>
      </c>
      <c r="E3520">
        <v>-8.3733596363324558E-3</v>
      </c>
      <c r="F3520">
        <v>3517</v>
      </c>
      <c r="G3520">
        <f t="shared" ca="1" si="113"/>
        <v>2.2332112322377941E-2</v>
      </c>
    </row>
    <row r="3521" spans="2:7" x14ac:dyDescent="0.35">
      <c r="B3521" s="2">
        <v>37771</v>
      </c>
      <c r="C3521" s="4">
        <v>21.27</v>
      </c>
      <c r="D3521">
        <f t="shared" si="112"/>
        <v>-0.99633941709476725</v>
      </c>
      <c r="E3521">
        <v>-8.3916083916083517E-3</v>
      </c>
      <c r="F3521">
        <v>3518</v>
      </c>
      <c r="G3521">
        <f t="shared" ca="1" si="113"/>
        <v>-3.2801868027870038E-2</v>
      </c>
    </row>
    <row r="3522" spans="2:7" x14ac:dyDescent="0.35">
      <c r="B3522" s="2">
        <v>44474</v>
      </c>
      <c r="C3522" s="4">
        <v>5810.55</v>
      </c>
      <c r="D3522">
        <f t="shared" si="112"/>
        <v>174.81089258698944</v>
      </c>
      <c r="E3522">
        <v>-8.3962626391910211E-3</v>
      </c>
      <c r="F3522">
        <v>3519</v>
      </c>
      <c r="G3522">
        <f t="shared" ca="1" si="113"/>
        <v>-3.3297583866978044E-2</v>
      </c>
    </row>
    <row r="3523" spans="2:7" x14ac:dyDescent="0.35">
      <c r="B3523" s="2">
        <v>39833</v>
      </c>
      <c r="C3523" s="4">
        <v>33.049999999999997</v>
      </c>
      <c r="D3523">
        <f t="shared" si="112"/>
        <v>-0.68175252768415984</v>
      </c>
      <c r="E3523">
        <v>-8.4008400840084319E-3</v>
      </c>
      <c r="F3523">
        <v>3520</v>
      </c>
      <c r="G3523">
        <f t="shared" ca="1" si="113"/>
        <v>-5.3872173963147242E-4</v>
      </c>
    </row>
    <row r="3524" spans="2:7" x14ac:dyDescent="0.35">
      <c r="B3524" s="2">
        <v>40633</v>
      </c>
      <c r="C3524" s="4">
        <v>103.85</v>
      </c>
      <c r="D3524">
        <f t="shared" ref="D3524:D3587" si="114">C3524/C3525-1</f>
        <v>0.26246049112569891</v>
      </c>
      <c r="E3524">
        <v>-8.4025589611382845E-3</v>
      </c>
      <c r="F3524">
        <v>3521</v>
      </c>
      <c r="G3524">
        <f t="shared" ca="1" si="113"/>
        <v>-2.4498146205257261E-2</v>
      </c>
    </row>
    <row r="3525" spans="2:7" x14ac:dyDescent="0.35">
      <c r="B3525" s="2">
        <v>40996</v>
      </c>
      <c r="C3525" s="4">
        <v>82.26</v>
      </c>
      <c r="D3525">
        <f t="shared" si="114"/>
        <v>-0.12442788717402875</v>
      </c>
      <c r="E3525">
        <v>-8.4378013500481241E-3</v>
      </c>
      <c r="F3525">
        <v>3522</v>
      </c>
      <c r="G3525">
        <f t="shared" ref="G3525:G3588" ca="1" si="115">_xlfn.NORM.INV(RAND(),K$6,K$7)</f>
        <v>4.1210195245827141E-2</v>
      </c>
    </row>
    <row r="3526" spans="2:7" x14ac:dyDescent="0.35">
      <c r="B3526" s="2">
        <v>41127</v>
      </c>
      <c r="C3526" s="4">
        <v>93.95</v>
      </c>
      <c r="D3526">
        <f t="shared" si="114"/>
        <v>2.0863994743758214</v>
      </c>
      <c r="E3526">
        <v>-8.4432717678100122E-3</v>
      </c>
      <c r="F3526">
        <v>3523</v>
      </c>
      <c r="G3526">
        <f t="shared" ca="1" si="115"/>
        <v>5.8736428006042618E-2</v>
      </c>
    </row>
    <row r="3527" spans="2:7" x14ac:dyDescent="0.35">
      <c r="B3527" s="2">
        <v>39874</v>
      </c>
      <c r="C3527" s="4">
        <v>30.44</v>
      </c>
      <c r="D3527">
        <f t="shared" si="114"/>
        <v>-0.95536395096486593</v>
      </c>
      <c r="E3527">
        <v>-8.4690553745927488E-3</v>
      </c>
      <c r="F3527">
        <v>3524</v>
      </c>
      <c r="G3527">
        <f t="shared" ca="1" si="115"/>
        <v>-1.5041544584430282E-2</v>
      </c>
    </row>
    <row r="3528" spans="2:7" x14ac:dyDescent="0.35">
      <c r="B3528" s="2">
        <v>43760</v>
      </c>
      <c r="C3528" s="4">
        <v>681.96</v>
      </c>
      <c r="D3528">
        <f t="shared" si="114"/>
        <v>18.467884670282615</v>
      </c>
      <c r="E3528">
        <v>-8.4764244900331631E-3</v>
      </c>
      <c r="F3528">
        <v>3525</v>
      </c>
      <c r="G3528">
        <f t="shared" ca="1" si="115"/>
        <v>-5.6565029385968156E-3</v>
      </c>
    </row>
    <row r="3529" spans="2:7" x14ac:dyDescent="0.35">
      <c r="B3529" s="2">
        <v>39771</v>
      </c>
      <c r="C3529" s="4">
        <v>35.03</v>
      </c>
      <c r="D3529">
        <f t="shared" si="114"/>
        <v>-0.9472678006924582</v>
      </c>
      <c r="E3529">
        <v>-8.491367110104675E-3</v>
      </c>
      <c r="F3529">
        <v>3526</v>
      </c>
      <c r="G3529">
        <f t="shared" ca="1" si="115"/>
        <v>7.8795033187001266E-3</v>
      </c>
    </row>
    <row r="3530" spans="2:7" x14ac:dyDescent="0.35">
      <c r="B3530" s="2">
        <v>42809</v>
      </c>
      <c r="C3530" s="4">
        <v>664.3</v>
      </c>
      <c r="D3530">
        <f t="shared" si="114"/>
        <v>21.836026125816431</v>
      </c>
      <c r="E3530">
        <v>-8.4926640696130207E-3</v>
      </c>
      <c r="F3530">
        <v>3527</v>
      </c>
      <c r="G3530">
        <f t="shared" ca="1" si="115"/>
        <v>3.4501655028626843E-2</v>
      </c>
    </row>
    <row r="3531" spans="2:7" x14ac:dyDescent="0.35">
      <c r="B3531" s="2">
        <v>39890</v>
      </c>
      <c r="C3531" s="4">
        <v>29.09</v>
      </c>
      <c r="D3531">
        <f t="shared" si="114"/>
        <v>-0.66174418604651164</v>
      </c>
      <c r="E3531">
        <v>-8.5207907293797236E-3</v>
      </c>
      <c r="F3531">
        <v>3528</v>
      </c>
      <c r="G3531">
        <f t="shared" ca="1" si="115"/>
        <v>5.3021414370338429E-3</v>
      </c>
    </row>
    <row r="3532" spans="2:7" x14ac:dyDescent="0.35">
      <c r="B3532" s="2">
        <v>40809</v>
      </c>
      <c r="C3532" s="4">
        <v>86</v>
      </c>
      <c r="D3532">
        <f t="shared" si="114"/>
        <v>0.17711470024637288</v>
      </c>
      <c r="E3532">
        <v>-8.5312427945584135E-3</v>
      </c>
      <c r="F3532">
        <v>3529</v>
      </c>
      <c r="G3532">
        <f t="shared" ca="1" si="115"/>
        <v>-4.4545355276416169E-2</v>
      </c>
    </row>
    <row r="3533" spans="2:7" x14ac:dyDescent="0.35">
      <c r="B3533" s="2">
        <v>40910</v>
      </c>
      <c r="C3533" s="4">
        <v>73.06</v>
      </c>
      <c r="D3533">
        <f t="shared" si="114"/>
        <v>-0.73479018440540145</v>
      </c>
      <c r="E3533">
        <v>-8.5493282670646709E-3</v>
      </c>
      <c r="F3533">
        <v>3530</v>
      </c>
      <c r="G3533">
        <f t="shared" ca="1" si="115"/>
        <v>-8.6537910991432952E-3</v>
      </c>
    </row>
    <row r="3534" spans="2:7" x14ac:dyDescent="0.35">
      <c r="B3534" s="2">
        <v>41879</v>
      </c>
      <c r="C3534" s="4">
        <v>275.48</v>
      </c>
      <c r="D3534">
        <f t="shared" si="114"/>
        <v>11.533212010919017</v>
      </c>
      <c r="E3534">
        <v>-8.5654646224717634E-3</v>
      </c>
      <c r="F3534">
        <v>3531</v>
      </c>
      <c r="G3534">
        <f t="shared" ca="1" si="115"/>
        <v>-3.3104975775852828E-2</v>
      </c>
    </row>
    <row r="3535" spans="2:7" x14ac:dyDescent="0.35">
      <c r="B3535" s="2">
        <v>37733</v>
      </c>
      <c r="C3535" s="4">
        <v>21.98</v>
      </c>
      <c r="D3535">
        <f t="shared" si="114"/>
        <v>-0.63458021612635074</v>
      </c>
      <c r="E3535">
        <v>-8.570139828597223E-3</v>
      </c>
      <c r="F3535">
        <v>3532</v>
      </c>
      <c r="G3535">
        <f t="shared" ca="1" si="115"/>
        <v>1.2801609020990931E-2</v>
      </c>
    </row>
    <row r="3536" spans="2:7" x14ac:dyDescent="0.35">
      <c r="B3536" s="2">
        <v>39702</v>
      </c>
      <c r="C3536" s="4">
        <v>60.15</v>
      </c>
      <c r="D3536">
        <f t="shared" si="114"/>
        <v>-0.91135770812149075</v>
      </c>
      <c r="E3536">
        <v>-8.5709576396901799E-3</v>
      </c>
      <c r="F3536">
        <v>3533</v>
      </c>
      <c r="G3536">
        <f t="shared" ca="1" si="115"/>
        <v>3.2529450160585484E-2</v>
      </c>
    </row>
    <row r="3537" spans="2:7" x14ac:dyDescent="0.35">
      <c r="B3537" s="2">
        <v>42800</v>
      </c>
      <c r="C3537" s="4">
        <v>678.57</v>
      </c>
      <c r="D3537">
        <f t="shared" si="114"/>
        <v>8.8002599653379558</v>
      </c>
      <c r="E3537">
        <v>-8.5908393600701016E-3</v>
      </c>
      <c r="F3537">
        <v>3534</v>
      </c>
      <c r="G3537">
        <f t="shared" ca="1" si="115"/>
        <v>2.4918117525275042E-2</v>
      </c>
    </row>
    <row r="3538" spans="2:7" x14ac:dyDescent="0.35">
      <c r="B3538" s="2">
        <v>38714</v>
      </c>
      <c r="C3538" s="4">
        <v>69.239999999999995</v>
      </c>
      <c r="D3538">
        <f t="shared" si="114"/>
        <v>-0.37486457204767076</v>
      </c>
      <c r="E3538">
        <v>-8.5910652920963004E-3</v>
      </c>
      <c r="F3538">
        <v>3535</v>
      </c>
      <c r="G3538">
        <f t="shared" ca="1" si="115"/>
        <v>8.6987663309005189E-3</v>
      </c>
    </row>
    <row r="3539" spans="2:7" x14ac:dyDescent="0.35">
      <c r="B3539" s="2">
        <v>39360</v>
      </c>
      <c r="C3539" s="4">
        <v>110.76</v>
      </c>
      <c r="D3539">
        <f t="shared" si="114"/>
        <v>2.6932310770256755</v>
      </c>
      <c r="E3539">
        <v>-8.5929108485498507E-3</v>
      </c>
      <c r="F3539">
        <v>3536</v>
      </c>
      <c r="G3539">
        <f t="shared" ca="1" si="115"/>
        <v>1.4268480701564799E-2</v>
      </c>
    </row>
    <row r="3540" spans="2:7" x14ac:dyDescent="0.35">
      <c r="B3540" s="2">
        <v>39876</v>
      </c>
      <c r="C3540" s="4">
        <v>29.99</v>
      </c>
      <c r="D3540">
        <f t="shared" si="114"/>
        <v>-0.99375506268884217</v>
      </c>
      <c r="E3540">
        <v>-8.5950413223141453E-3</v>
      </c>
      <c r="F3540">
        <v>3537</v>
      </c>
      <c r="G3540">
        <f t="shared" ca="1" si="115"/>
        <v>-1.2757870974191001E-2</v>
      </c>
    </row>
    <row r="3541" spans="2:7" x14ac:dyDescent="0.35">
      <c r="B3541" s="2">
        <v>44438</v>
      </c>
      <c r="C3541" s="4">
        <v>4802.29</v>
      </c>
      <c r="D3541">
        <f t="shared" si="114"/>
        <v>2.5936407923192628</v>
      </c>
      <c r="E3541">
        <v>-8.6065590691950522E-3</v>
      </c>
      <c r="F3541">
        <v>3538</v>
      </c>
      <c r="G3541">
        <f t="shared" ca="1" si="115"/>
        <v>6.795177568461834E-2</v>
      </c>
    </row>
    <row r="3542" spans="2:7" x14ac:dyDescent="0.35">
      <c r="B3542" s="2">
        <v>43332</v>
      </c>
      <c r="C3542" s="4">
        <v>1336.33</v>
      </c>
      <c r="D3542">
        <f t="shared" si="114"/>
        <v>3.8625645877301507</v>
      </c>
      <c r="E3542">
        <v>-8.6204977929449367E-3</v>
      </c>
      <c r="F3542">
        <v>3539</v>
      </c>
      <c r="G3542">
        <f t="shared" ca="1" si="115"/>
        <v>3.3676966289716267E-2</v>
      </c>
    </row>
    <row r="3543" spans="2:7" x14ac:dyDescent="0.35">
      <c r="B3543" s="2">
        <v>41897</v>
      </c>
      <c r="C3543" s="4">
        <v>274.82</v>
      </c>
      <c r="D3543">
        <f t="shared" si="114"/>
        <v>8.1974564926372153</v>
      </c>
      <c r="E3543">
        <v>-8.6216225965873861E-3</v>
      </c>
      <c r="F3543">
        <v>3540</v>
      </c>
      <c r="G3543">
        <f t="shared" ca="1" si="115"/>
        <v>4.0042704960590841E-2</v>
      </c>
    </row>
    <row r="3544" spans="2:7" x14ac:dyDescent="0.35">
      <c r="B3544" s="2">
        <v>38142</v>
      </c>
      <c r="C3544" s="4">
        <v>29.88</v>
      </c>
      <c r="D3544">
        <f t="shared" si="114"/>
        <v>1.0050251256281673E-3</v>
      </c>
      <c r="E3544">
        <v>-8.6264100862641913E-3</v>
      </c>
      <c r="F3544">
        <v>3541</v>
      </c>
      <c r="G3544">
        <f t="shared" ca="1" si="115"/>
        <v>7.8573813301767558E-3</v>
      </c>
    </row>
    <row r="3545" spans="2:7" x14ac:dyDescent="0.35">
      <c r="B3545" s="2">
        <v>37545</v>
      </c>
      <c r="C3545" s="4">
        <v>29.85</v>
      </c>
      <c r="D3545">
        <f t="shared" si="114"/>
        <v>-0.65318926455210868</v>
      </c>
      <c r="E3545">
        <v>-8.6350049817335295E-3</v>
      </c>
      <c r="F3545">
        <v>3542</v>
      </c>
      <c r="G3545">
        <f t="shared" ca="1" si="115"/>
        <v>8.2020826014032357E-3</v>
      </c>
    </row>
    <row r="3546" spans="2:7" x14ac:dyDescent="0.35">
      <c r="B3546" s="2">
        <v>40982</v>
      </c>
      <c r="C3546" s="4">
        <v>86.07</v>
      </c>
      <c r="D3546">
        <f t="shared" si="114"/>
        <v>-0.98988589760161694</v>
      </c>
      <c r="E3546">
        <v>-8.6385625431928403E-3</v>
      </c>
      <c r="F3546">
        <v>3543</v>
      </c>
      <c r="G3546">
        <f t="shared" ca="1" si="115"/>
        <v>1.2290006562177594E-2</v>
      </c>
    </row>
    <row r="3547" spans="2:7" x14ac:dyDescent="0.35">
      <c r="B3547" s="2">
        <v>44845</v>
      </c>
      <c r="C3547" s="4">
        <v>8509.9</v>
      </c>
      <c r="D3547">
        <f t="shared" si="114"/>
        <v>5.3022991065904357E-2</v>
      </c>
      <c r="E3547">
        <v>-8.6554367326018289E-3</v>
      </c>
      <c r="F3547">
        <v>3544</v>
      </c>
      <c r="G3547">
        <f t="shared" ca="1" si="115"/>
        <v>-9.9016571947257524E-3</v>
      </c>
    </row>
    <row r="3548" spans="2:7" x14ac:dyDescent="0.35">
      <c r="B3548" s="2">
        <v>44746</v>
      </c>
      <c r="C3548" s="4">
        <v>8081.4</v>
      </c>
      <c r="D3548">
        <f t="shared" si="114"/>
        <v>132.31243813922796</v>
      </c>
      <c r="E3548">
        <v>-8.6665317312824008E-3</v>
      </c>
      <c r="F3548">
        <v>3545</v>
      </c>
      <c r="G3548">
        <f t="shared" ca="1" si="115"/>
        <v>1.0206874505546384E-2</v>
      </c>
    </row>
    <row r="3549" spans="2:7" x14ac:dyDescent="0.35">
      <c r="B3549" s="2">
        <v>38903</v>
      </c>
      <c r="C3549" s="4">
        <v>60.62</v>
      </c>
      <c r="D3549">
        <f t="shared" si="114"/>
        <v>-0.39050874723506934</v>
      </c>
      <c r="E3549">
        <v>-8.6672117743255006E-3</v>
      </c>
      <c r="F3549">
        <v>3546</v>
      </c>
      <c r="G3549">
        <f t="shared" ca="1" si="115"/>
        <v>-8.2021617273000981E-3</v>
      </c>
    </row>
    <row r="3550" spans="2:7" x14ac:dyDescent="0.35">
      <c r="B3550" s="2">
        <v>41285</v>
      </c>
      <c r="C3550" s="4">
        <v>99.46</v>
      </c>
      <c r="D3550">
        <f t="shared" si="114"/>
        <v>-3.126521866173182E-2</v>
      </c>
      <c r="E3550">
        <v>-8.6713844313764943E-3</v>
      </c>
      <c r="F3550">
        <v>3547</v>
      </c>
      <c r="G3550">
        <f t="shared" ca="1" si="115"/>
        <v>2.2145244820287707E-2</v>
      </c>
    </row>
    <row r="3551" spans="2:7" x14ac:dyDescent="0.35">
      <c r="B3551" s="2">
        <v>40575</v>
      </c>
      <c r="C3551" s="4">
        <v>102.67</v>
      </c>
      <c r="D3551">
        <f t="shared" si="114"/>
        <v>-0.96729035978374112</v>
      </c>
      <c r="E3551">
        <v>-8.6897750313796873E-3</v>
      </c>
      <c r="F3551">
        <v>3548</v>
      </c>
      <c r="G3551">
        <f t="shared" ca="1" si="115"/>
        <v>5.4713897800211147E-3</v>
      </c>
    </row>
    <row r="3552" spans="2:7" x14ac:dyDescent="0.35">
      <c r="B3552" s="2">
        <v>44313</v>
      </c>
      <c r="C3552" s="4">
        <v>3138.83</v>
      </c>
      <c r="D3552">
        <f t="shared" si="114"/>
        <v>-0.14408928785680786</v>
      </c>
      <c r="E3552">
        <v>-8.6945262067484874E-3</v>
      </c>
      <c r="F3552">
        <v>3549</v>
      </c>
      <c r="G3552">
        <f t="shared" ca="1" si="115"/>
        <v>-3.2401227485850349E-3</v>
      </c>
    </row>
    <row r="3553" spans="2:7" x14ac:dyDescent="0.35">
      <c r="B3553" s="2">
        <v>44356</v>
      </c>
      <c r="C3553" s="4">
        <v>3667.24</v>
      </c>
      <c r="D3553">
        <f t="shared" si="114"/>
        <v>3.5003436088749265</v>
      </c>
      <c r="E3553">
        <v>-8.6986608711636659E-3</v>
      </c>
      <c r="F3553">
        <v>3550</v>
      </c>
      <c r="G3553">
        <f t="shared" ca="1" si="115"/>
        <v>-1.5280535198253068E-2</v>
      </c>
    </row>
    <row r="3554" spans="2:7" x14ac:dyDescent="0.35">
      <c r="B3554" s="2">
        <v>42527</v>
      </c>
      <c r="C3554" s="4">
        <v>814.88</v>
      </c>
      <c r="D3554">
        <f t="shared" si="114"/>
        <v>-0.11590413470614402</v>
      </c>
      <c r="E3554">
        <v>-8.7100384409517506E-3</v>
      </c>
      <c r="F3554">
        <v>3551</v>
      </c>
      <c r="G3554">
        <f t="shared" ca="1" si="115"/>
        <v>-1.077219603074596E-3</v>
      </c>
    </row>
    <row r="3555" spans="2:7" x14ac:dyDescent="0.35">
      <c r="B3555" s="2">
        <v>43861</v>
      </c>
      <c r="C3555" s="4">
        <v>921.71</v>
      </c>
      <c r="D3555">
        <f t="shared" si="114"/>
        <v>9.6778266913809095</v>
      </c>
      <c r="E3555">
        <v>-8.7221182594481306E-3</v>
      </c>
      <c r="F3555">
        <v>3552</v>
      </c>
      <c r="G3555">
        <f t="shared" ca="1" si="115"/>
        <v>7.2192781795481827E-3</v>
      </c>
    </row>
    <row r="3556" spans="2:7" x14ac:dyDescent="0.35">
      <c r="B3556" s="2">
        <v>41051</v>
      </c>
      <c r="C3556" s="4">
        <v>86.32</v>
      </c>
      <c r="D3556">
        <f t="shared" si="114"/>
        <v>-0.87346448151514267</v>
      </c>
      <c r="E3556">
        <v>-8.7276067983463879E-3</v>
      </c>
      <c r="F3556">
        <v>3553</v>
      </c>
      <c r="G3556">
        <f t="shared" ca="1" si="115"/>
        <v>1.7137848653529089E-2</v>
      </c>
    </row>
    <row r="3557" spans="2:7" x14ac:dyDescent="0.35">
      <c r="B3557" s="2">
        <v>42824</v>
      </c>
      <c r="C3557" s="4">
        <v>682.18</v>
      </c>
      <c r="D3557">
        <f t="shared" si="114"/>
        <v>-0.22600043114696444</v>
      </c>
      <c r="E3557">
        <v>-8.7474571345540486E-3</v>
      </c>
      <c r="F3557">
        <v>3554</v>
      </c>
      <c r="G3557">
        <f t="shared" ca="1" si="115"/>
        <v>-4.6884214520900467E-3</v>
      </c>
    </row>
    <row r="3558" spans="2:7" x14ac:dyDescent="0.35">
      <c r="B3558" s="2">
        <v>43097</v>
      </c>
      <c r="C3558" s="4">
        <v>881.37</v>
      </c>
      <c r="D3558">
        <f t="shared" si="114"/>
        <v>9.9184375935348568E-2</v>
      </c>
      <c r="E3558">
        <v>-8.7722257835959327E-3</v>
      </c>
      <c r="F3558">
        <v>3555</v>
      </c>
      <c r="G3558">
        <f t="shared" ca="1" si="115"/>
        <v>-3.2143332390980953E-3</v>
      </c>
    </row>
    <row r="3559" spans="2:7" x14ac:dyDescent="0.35">
      <c r="B3559" s="2">
        <v>43042</v>
      </c>
      <c r="C3559" s="4">
        <v>801.84</v>
      </c>
      <c r="D3559">
        <f t="shared" si="114"/>
        <v>-0.87241091247583358</v>
      </c>
      <c r="E3559">
        <v>-8.7769179419981969E-3</v>
      </c>
      <c r="F3559">
        <v>3556</v>
      </c>
      <c r="G3559">
        <f t="shared" ca="1" si="115"/>
        <v>-1.3779588881712483E-2</v>
      </c>
    </row>
    <row r="3560" spans="2:7" x14ac:dyDescent="0.35">
      <c r="B3560" s="2">
        <v>44994</v>
      </c>
      <c r="C3560" s="4">
        <v>6284.55</v>
      </c>
      <c r="D3560">
        <f t="shared" si="114"/>
        <v>65.376742712294046</v>
      </c>
      <c r="E3560">
        <v>-8.7773256364152008E-3</v>
      </c>
      <c r="F3560">
        <v>3557</v>
      </c>
      <c r="G3560">
        <f t="shared" ca="1" si="115"/>
        <v>4.1363384919761513E-2</v>
      </c>
    </row>
    <row r="3561" spans="2:7" x14ac:dyDescent="0.35">
      <c r="B3561" s="2">
        <v>41145</v>
      </c>
      <c r="C3561" s="4">
        <v>94.68</v>
      </c>
      <c r="D3561">
        <f t="shared" si="114"/>
        <v>2.0038071065989849</v>
      </c>
      <c r="E3561">
        <v>-8.7939698492460749E-3</v>
      </c>
      <c r="F3561">
        <v>3558</v>
      </c>
      <c r="G3561">
        <f t="shared" ca="1" si="115"/>
        <v>-3.3762504823870464E-2</v>
      </c>
    </row>
    <row r="3562" spans="2:7" x14ac:dyDescent="0.35">
      <c r="B3562" s="2">
        <v>39869</v>
      </c>
      <c r="C3562" s="4">
        <v>31.52</v>
      </c>
      <c r="D3562">
        <f t="shared" si="114"/>
        <v>-0.99495813105340192</v>
      </c>
      <c r="E3562">
        <v>-8.8050314465408785E-3</v>
      </c>
      <c r="F3562">
        <v>3559</v>
      </c>
      <c r="G3562">
        <f t="shared" ca="1" si="115"/>
        <v>-5.1671969240648194E-2</v>
      </c>
    </row>
    <row r="3563" spans="2:7" x14ac:dyDescent="0.35">
      <c r="B3563" s="2">
        <v>45036</v>
      </c>
      <c r="C3563" s="4">
        <v>6251.65</v>
      </c>
      <c r="D3563">
        <f t="shared" si="114"/>
        <v>72.11871345029239</v>
      </c>
      <c r="E3563">
        <v>-8.8073947234906802E-3</v>
      </c>
      <c r="F3563">
        <v>3560</v>
      </c>
      <c r="G3563">
        <f t="shared" ca="1" si="115"/>
        <v>4.5130654847093832E-2</v>
      </c>
    </row>
    <row r="3564" spans="2:7" x14ac:dyDescent="0.35">
      <c r="B3564" s="2">
        <v>39035</v>
      </c>
      <c r="C3564" s="4">
        <v>85.5</v>
      </c>
      <c r="D3564">
        <f t="shared" si="114"/>
        <v>-0.88668893129770987</v>
      </c>
      <c r="E3564">
        <v>-8.8105726872247381E-3</v>
      </c>
      <c r="F3564">
        <v>3561</v>
      </c>
      <c r="G3564">
        <f t="shared" ca="1" si="115"/>
        <v>3.3826558223044943E-2</v>
      </c>
    </row>
    <row r="3565" spans="2:7" x14ac:dyDescent="0.35">
      <c r="B3565" s="2">
        <v>42584</v>
      </c>
      <c r="C3565" s="4">
        <v>754.56</v>
      </c>
      <c r="D3565">
        <f t="shared" si="114"/>
        <v>-0.18455037662239426</v>
      </c>
      <c r="E3565">
        <v>-8.8142183456593193E-3</v>
      </c>
      <c r="F3565">
        <v>3562</v>
      </c>
      <c r="G3565">
        <f t="shared" ca="1" si="115"/>
        <v>-2.576729175387325E-2</v>
      </c>
    </row>
    <row r="3566" spans="2:7" x14ac:dyDescent="0.35">
      <c r="B3566" s="2">
        <v>43571</v>
      </c>
      <c r="C3566" s="4">
        <v>925.33</v>
      </c>
      <c r="D3566">
        <f t="shared" si="114"/>
        <v>-0.49000490522985685</v>
      </c>
      <c r="E3566">
        <v>-8.8263333226217267E-3</v>
      </c>
      <c r="F3566">
        <v>3563</v>
      </c>
      <c r="G3566">
        <f t="shared" ca="1" si="115"/>
        <v>-2.1917349272599081E-2</v>
      </c>
    </row>
    <row r="3567" spans="2:7" x14ac:dyDescent="0.35">
      <c r="B3567" s="2">
        <v>44196</v>
      </c>
      <c r="C3567" s="4">
        <v>1814.39</v>
      </c>
      <c r="D3567">
        <f t="shared" si="114"/>
        <v>18.538983415894897</v>
      </c>
      <c r="E3567">
        <v>-8.8333624683156753E-3</v>
      </c>
      <c r="F3567">
        <v>3564</v>
      </c>
      <c r="G3567">
        <f t="shared" ca="1" si="115"/>
        <v>-1.8893614459422496E-2</v>
      </c>
    </row>
    <row r="3568" spans="2:7" x14ac:dyDescent="0.35">
      <c r="B3568" s="2">
        <v>41152</v>
      </c>
      <c r="C3568" s="4">
        <v>92.86</v>
      </c>
      <c r="D3568">
        <f t="shared" si="114"/>
        <v>0.38411089581159619</v>
      </c>
      <c r="E3568">
        <v>-8.8590030953142884E-3</v>
      </c>
      <c r="F3568">
        <v>3565</v>
      </c>
      <c r="G3568">
        <f t="shared" ca="1" si="115"/>
        <v>-1.0084608654958421E-2</v>
      </c>
    </row>
    <row r="3569" spans="2:7" x14ac:dyDescent="0.35">
      <c r="B3569" s="2">
        <v>40080</v>
      </c>
      <c r="C3569" s="4">
        <v>67.09</v>
      </c>
      <c r="D3569">
        <f t="shared" si="114"/>
        <v>-0.91803098426351282</v>
      </c>
      <c r="E3569">
        <v>-8.8639385433593176E-3</v>
      </c>
      <c r="F3569">
        <v>3566</v>
      </c>
      <c r="G3569">
        <f t="shared" ca="1" si="115"/>
        <v>-5.7219793267376702E-2</v>
      </c>
    </row>
    <row r="3570" spans="2:7" x14ac:dyDescent="0.35">
      <c r="B3570" s="2">
        <v>42325</v>
      </c>
      <c r="C3570" s="4">
        <v>818.48</v>
      </c>
      <c r="D3570">
        <f t="shared" si="114"/>
        <v>10.812382739212007</v>
      </c>
      <c r="E3570">
        <v>-8.8641317510291806E-3</v>
      </c>
      <c r="F3570">
        <v>3567</v>
      </c>
      <c r="G3570">
        <f t="shared" ca="1" si="115"/>
        <v>2.6177623322883099E-2</v>
      </c>
    </row>
    <row r="3571" spans="2:7" x14ac:dyDescent="0.35">
      <c r="B3571" s="2">
        <v>40109</v>
      </c>
      <c r="C3571" s="4">
        <v>69.290000000000006</v>
      </c>
      <c r="D3571">
        <f t="shared" si="114"/>
        <v>-0.18395948651513361</v>
      </c>
      <c r="E3571">
        <v>-8.8685452724930336E-3</v>
      </c>
      <c r="F3571">
        <v>3568</v>
      </c>
      <c r="G3571">
        <f t="shared" ca="1" si="115"/>
        <v>4.2615806543370709E-2</v>
      </c>
    </row>
    <row r="3572" spans="2:7" x14ac:dyDescent="0.35">
      <c r="B3572" s="2">
        <v>41037</v>
      </c>
      <c r="C3572" s="4">
        <v>84.91</v>
      </c>
      <c r="D3572">
        <f t="shared" si="114"/>
        <v>-0.90704777335026487</v>
      </c>
      <c r="E3572">
        <v>-8.8712501459087267E-3</v>
      </c>
      <c r="F3572">
        <v>3569</v>
      </c>
      <c r="G3572">
        <f t="shared" ca="1" si="115"/>
        <v>8.0571801059586886E-3</v>
      </c>
    </row>
    <row r="3573" spans="2:7" x14ac:dyDescent="0.35">
      <c r="B3573" s="2">
        <v>43481</v>
      </c>
      <c r="C3573" s="4">
        <v>913.48</v>
      </c>
      <c r="D3573">
        <f t="shared" si="114"/>
        <v>15.705925384052669</v>
      </c>
      <c r="E3573">
        <v>-8.8752902371806996E-3</v>
      </c>
      <c r="F3573">
        <v>3570</v>
      </c>
      <c r="G3573">
        <f t="shared" ca="1" si="115"/>
        <v>-1.2608795840837283E-2</v>
      </c>
    </row>
    <row r="3574" spans="2:7" x14ac:dyDescent="0.35">
      <c r="B3574" s="2">
        <v>38407</v>
      </c>
      <c r="C3574" s="4">
        <v>54.68</v>
      </c>
      <c r="D3574">
        <f t="shared" si="114"/>
        <v>0.81600797077382925</v>
      </c>
      <c r="E3574">
        <v>-8.8816385716875557E-3</v>
      </c>
      <c r="F3574">
        <v>3571</v>
      </c>
      <c r="G3574">
        <f t="shared" ca="1" si="115"/>
        <v>-3.2309289976511023E-2</v>
      </c>
    </row>
    <row r="3575" spans="2:7" x14ac:dyDescent="0.35">
      <c r="B3575" s="2">
        <v>37543</v>
      </c>
      <c r="C3575" s="4">
        <v>30.11</v>
      </c>
      <c r="D3575">
        <f t="shared" si="114"/>
        <v>-0.99639152709949963</v>
      </c>
      <c r="E3575">
        <v>-8.8874259381171994E-3</v>
      </c>
      <c r="F3575">
        <v>3572</v>
      </c>
      <c r="G3575">
        <f t="shared" ca="1" si="115"/>
        <v>6.1253831374370408E-3</v>
      </c>
    </row>
    <row r="3576" spans="2:7" x14ac:dyDescent="0.35">
      <c r="B3576" s="2">
        <v>44726</v>
      </c>
      <c r="C3576" s="4">
        <v>8344.25</v>
      </c>
      <c r="D3576">
        <f t="shared" si="114"/>
        <v>121.74566048837893</v>
      </c>
      <c r="E3576">
        <v>-8.8928534098576817E-3</v>
      </c>
      <c r="F3576">
        <v>3573</v>
      </c>
      <c r="G3576">
        <f t="shared" ca="1" si="115"/>
        <v>-9.2320550838934628E-3</v>
      </c>
    </row>
    <row r="3577" spans="2:7" x14ac:dyDescent="0.35">
      <c r="B3577" s="2">
        <v>38673</v>
      </c>
      <c r="C3577" s="4">
        <v>67.98</v>
      </c>
      <c r="D3577">
        <f t="shared" si="114"/>
        <v>-0.92351399093149111</v>
      </c>
      <c r="E3577">
        <v>-8.8934246974777809E-3</v>
      </c>
      <c r="F3577">
        <v>3574</v>
      </c>
      <c r="G3577">
        <f t="shared" ca="1" si="115"/>
        <v>-2.5985653533146628E-2</v>
      </c>
    </row>
    <row r="3578" spans="2:7" x14ac:dyDescent="0.35">
      <c r="B3578" s="2">
        <v>43090</v>
      </c>
      <c r="C3578" s="4">
        <v>888.79</v>
      </c>
      <c r="D3578">
        <f t="shared" si="114"/>
        <v>-0.86599674335856225</v>
      </c>
      <c r="E3578">
        <v>-8.9096545418051454E-3</v>
      </c>
      <c r="F3578">
        <v>3575</v>
      </c>
      <c r="G3578">
        <f t="shared" ca="1" si="115"/>
        <v>-3.0571978449025903E-2</v>
      </c>
    </row>
    <row r="3579" spans="2:7" x14ac:dyDescent="0.35">
      <c r="B3579" s="2">
        <v>44908</v>
      </c>
      <c r="C3579" s="4">
        <v>6632.6</v>
      </c>
      <c r="D3579">
        <f t="shared" si="114"/>
        <v>131.97113071371291</v>
      </c>
      <c r="E3579">
        <v>-8.9132952295565282E-3</v>
      </c>
      <c r="F3579">
        <v>3576</v>
      </c>
      <c r="G3579">
        <f t="shared" ca="1" si="115"/>
        <v>4.4175333204294717E-2</v>
      </c>
    </row>
    <row r="3580" spans="2:7" x14ac:dyDescent="0.35">
      <c r="B3580" s="2">
        <v>38258</v>
      </c>
      <c r="C3580" s="4">
        <v>49.88</v>
      </c>
      <c r="D3580">
        <f t="shared" si="114"/>
        <v>-0.94386107078142056</v>
      </c>
      <c r="E3580">
        <v>-8.9409894695011705E-3</v>
      </c>
      <c r="F3580">
        <v>3577</v>
      </c>
      <c r="G3580">
        <f t="shared" ca="1" si="115"/>
        <v>3.9048025041446E-2</v>
      </c>
    </row>
    <row r="3581" spans="2:7" x14ac:dyDescent="0.35">
      <c r="B3581" s="2">
        <v>42444</v>
      </c>
      <c r="C3581" s="4">
        <v>888.51</v>
      </c>
      <c r="D3581">
        <f t="shared" si="114"/>
        <v>-0.89637980659336558</v>
      </c>
      <c r="E3581">
        <v>-8.9566555870346232E-3</v>
      </c>
      <c r="F3581">
        <v>3578</v>
      </c>
      <c r="G3581">
        <f t="shared" ca="1" si="115"/>
        <v>6.1758370336178854E-3</v>
      </c>
    </row>
    <row r="3582" spans="2:7" x14ac:dyDescent="0.35">
      <c r="B3582" s="2">
        <v>44719</v>
      </c>
      <c r="C3582" s="4">
        <v>8574.68</v>
      </c>
      <c r="D3582">
        <f t="shared" si="114"/>
        <v>297.35351426583162</v>
      </c>
      <c r="E3582">
        <v>-8.957280130556744E-3</v>
      </c>
      <c r="F3582">
        <v>3579</v>
      </c>
      <c r="G3582">
        <f t="shared" ca="1" si="115"/>
        <v>-2.1836308472692276E-2</v>
      </c>
    </row>
    <row r="3583" spans="2:7" x14ac:dyDescent="0.35">
      <c r="B3583" s="2">
        <v>39898</v>
      </c>
      <c r="C3583" s="4">
        <v>28.74</v>
      </c>
      <c r="D3583">
        <f t="shared" si="114"/>
        <v>-0.89801639402434263</v>
      </c>
      <c r="E3583">
        <v>-8.9655172413793949E-3</v>
      </c>
      <c r="F3583">
        <v>3580</v>
      </c>
      <c r="G3583">
        <f t="shared" ca="1" si="115"/>
        <v>-5.912887843095551E-2</v>
      </c>
    </row>
    <row r="3584" spans="2:7" x14ac:dyDescent="0.35">
      <c r="B3584" s="2">
        <v>41844</v>
      </c>
      <c r="C3584" s="4">
        <v>281.81</v>
      </c>
      <c r="D3584">
        <f t="shared" si="114"/>
        <v>-0.88877530883687883</v>
      </c>
      <c r="E3584">
        <v>-8.9675059783373978E-3</v>
      </c>
      <c r="F3584">
        <v>3581</v>
      </c>
      <c r="G3584">
        <f t="shared" ca="1" si="115"/>
        <v>-2.8130452043584633E-2</v>
      </c>
    </row>
    <row r="3585" spans="2:7" x14ac:dyDescent="0.35">
      <c r="B3585" s="2">
        <v>44258</v>
      </c>
      <c r="C3585" s="4">
        <v>2533.6999999999998</v>
      </c>
      <c r="D3585">
        <f t="shared" si="114"/>
        <v>2.6221069034038109</v>
      </c>
      <c r="E3585">
        <v>-8.9727141873710003E-3</v>
      </c>
      <c r="F3585">
        <v>3582</v>
      </c>
      <c r="G3585">
        <f t="shared" ca="1" si="115"/>
        <v>7.0364940567576667E-2</v>
      </c>
    </row>
    <row r="3586" spans="2:7" x14ac:dyDescent="0.35">
      <c r="B3586" s="2">
        <v>42853</v>
      </c>
      <c r="C3586" s="4">
        <v>699.51</v>
      </c>
      <c r="D3586">
        <f t="shared" si="114"/>
        <v>20.139619220308248</v>
      </c>
      <c r="E3586">
        <v>-8.9820783452575492E-3</v>
      </c>
      <c r="F3586">
        <v>3583</v>
      </c>
      <c r="G3586">
        <f t="shared" ca="1" si="115"/>
        <v>-1.2636522276934554E-2</v>
      </c>
    </row>
    <row r="3587" spans="2:7" x14ac:dyDescent="0.35">
      <c r="B3587" s="2">
        <v>39829</v>
      </c>
      <c r="C3587" s="4">
        <v>33.090000000000003</v>
      </c>
      <c r="D3587">
        <f t="shared" si="114"/>
        <v>-0.62431880108991822</v>
      </c>
      <c r="E3587">
        <v>-8.9847259658579759E-3</v>
      </c>
      <c r="F3587">
        <v>3584</v>
      </c>
      <c r="G3587">
        <f t="shared" ca="1" si="115"/>
        <v>-2.9965264038259071E-2</v>
      </c>
    </row>
    <row r="3588" spans="2:7" x14ac:dyDescent="0.35">
      <c r="B3588" s="2">
        <v>41472</v>
      </c>
      <c r="C3588" s="4">
        <v>88.08</v>
      </c>
      <c r="D3588">
        <f t="shared" ref="D3588:D3651" si="116">C3588/C3589-1</f>
        <v>3.0127562642369021</v>
      </c>
      <c r="E3588">
        <v>-9.0009000900089786E-3</v>
      </c>
      <c r="F3588">
        <v>3585</v>
      </c>
      <c r="G3588">
        <f t="shared" ca="1" si="115"/>
        <v>2.7826814428634716E-2</v>
      </c>
    </row>
    <row r="3589" spans="2:7" x14ac:dyDescent="0.35">
      <c r="B3589" s="2">
        <v>37775</v>
      </c>
      <c r="C3589" s="4">
        <v>21.95</v>
      </c>
      <c r="D3589">
        <f t="shared" si="116"/>
        <v>-0.99746000520727862</v>
      </c>
      <c r="E3589">
        <v>-9.0293453724604733E-3</v>
      </c>
      <c r="F3589">
        <v>3586</v>
      </c>
      <c r="G3589">
        <f t="shared" ref="G3589:G3652" ca="1" si="117">_xlfn.NORM.INV(RAND(),K$6,K$7)</f>
        <v>7.3180784295670299E-3</v>
      </c>
    </row>
    <row r="3590" spans="2:7" x14ac:dyDescent="0.35">
      <c r="B3590" s="2">
        <v>44775</v>
      </c>
      <c r="C3590" s="4">
        <v>8641.75</v>
      </c>
      <c r="D3590">
        <f t="shared" si="116"/>
        <v>0.46255665413139369</v>
      </c>
      <c r="E3590">
        <v>-9.0418090498360915E-3</v>
      </c>
      <c r="F3590">
        <v>3587</v>
      </c>
      <c r="G3590">
        <f t="shared" ca="1" si="117"/>
        <v>-2.5778335270873039E-2</v>
      </c>
    </row>
    <row r="3591" spans="2:7" x14ac:dyDescent="0.35">
      <c r="B3591" s="2">
        <v>44572</v>
      </c>
      <c r="C3591" s="4">
        <v>5908.66</v>
      </c>
      <c r="D3591">
        <f t="shared" si="116"/>
        <v>215.43443223443222</v>
      </c>
      <c r="E3591">
        <v>-9.0430652502775377E-3</v>
      </c>
      <c r="F3591">
        <v>3588</v>
      </c>
      <c r="G3591">
        <f t="shared" ca="1" si="117"/>
        <v>2.3161314909207403E-2</v>
      </c>
    </row>
    <row r="3592" spans="2:7" x14ac:dyDescent="0.35">
      <c r="B3592" s="2">
        <v>37924</v>
      </c>
      <c r="C3592" s="4">
        <v>27.3</v>
      </c>
      <c r="D3592">
        <f t="shared" si="116"/>
        <v>-0.95206826322073179</v>
      </c>
      <c r="E3592">
        <v>-9.0744101633394303E-3</v>
      </c>
      <c r="F3592">
        <v>3589</v>
      </c>
      <c r="G3592">
        <f t="shared" ca="1" si="117"/>
        <v>-5.8251289600604717E-2</v>
      </c>
    </row>
    <row r="3593" spans="2:7" x14ac:dyDescent="0.35">
      <c r="B3593" s="2">
        <v>42681</v>
      </c>
      <c r="C3593" s="4">
        <v>569.55999999999995</v>
      </c>
      <c r="D3593">
        <f t="shared" si="116"/>
        <v>-0.9144836905521565</v>
      </c>
      <c r="E3593">
        <v>-9.0817356205853406E-3</v>
      </c>
      <c r="F3593">
        <v>3590</v>
      </c>
      <c r="G3593">
        <f t="shared" ca="1" si="117"/>
        <v>1.555382376507255E-2</v>
      </c>
    </row>
    <row r="3594" spans="2:7" x14ac:dyDescent="0.35">
      <c r="B3594" s="2">
        <v>45051</v>
      </c>
      <c r="C3594" s="4">
        <v>6660.25</v>
      </c>
      <c r="D3594">
        <f t="shared" si="116"/>
        <v>99.184265944645006</v>
      </c>
      <c r="E3594">
        <v>-9.0830642881585266E-3</v>
      </c>
      <c r="F3594">
        <v>3591</v>
      </c>
      <c r="G3594">
        <f t="shared" ca="1" si="117"/>
        <v>-5.2333740231571474E-2</v>
      </c>
    </row>
    <row r="3595" spans="2:7" x14ac:dyDescent="0.35">
      <c r="B3595" s="2">
        <v>39563</v>
      </c>
      <c r="C3595" s="4">
        <v>66.48</v>
      </c>
      <c r="D3595">
        <f t="shared" si="116"/>
        <v>-0.94153085724839713</v>
      </c>
      <c r="E3595">
        <v>-9.0922641228200485E-3</v>
      </c>
      <c r="F3595">
        <v>3592</v>
      </c>
      <c r="G3595">
        <f t="shared" ca="1" si="117"/>
        <v>-2.3630451228580891E-2</v>
      </c>
    </row>
    <row r="3596" spans="2:7" x14ac:dyDescent="0.35">
      <c r="B3596" s="2">
        <v>43216</v>
      </c>
      <c r="C3596" s="4">
        <v>1137.01</v>
      </c>
      <c r="D3596">
        <f t="shared" si="116"/>
        <v>42.647216890595011</v>
      </c>
      <c r="E3596">
        <v>-9.1157067287161997E-3</v>
      </c>
      <c r="F3596">
        <v>3593</v>
      </c>
      <c r="G3596">
        <f t="shared" ca="1" si="117"/>
        <v>7.7910971714785365E-2</v>
      </c>
    </row>
    <row r="3597" spans="2:7" x14ac:dyDescent="0.35">
      <c r="B3597" s="2">
        <v>37845</v>
      </c>
      <c r="C3597" s="4">
        <v>26.05</v>
      </c>
      <c r="D3597">
        <f t="shared" si="116"/>
        <v>-0.72025343642611683</v>
      </c>
      <c r="E3597">
        <v>-9.128946367439994E-3</v>
      </c>
      <c r="F3597">
        <v>3594</v>
      </c>
      <c r="G3597">
        <f t="shared" ca="1" si="117"/>
        <v>1.7745124128568397E-2</v>
      </c>
    </row>
    <row r="3598" spans="2:7" x14ac:dyDescent="0.35">
      <c r="B3598" s="2">
        <v>40168</v>
      </c>
      <c r="C3598" s="4">
        <v>93.12</v>
      </c>
      <c r="D3598">
        <f t="shared" si="116"/>
        <v>-0.87559118236472944</v>
      </c>
      <c r="E3598">
        <v>-9.1508831666311519E-3</v>
      </c>
      <c r="F3598">
        <v>3595</v>
      </c>
      <c r="G3598">
        <f t="shared" ca="1" si="117"/>
        <v>3.0878739025190213E-2</v>
      </c>
    </row>
    <row r="3599" spans="2:7" x14ac:dyDescent="0.35">
      <c r="B3599" s="2">
        <v>42601</v>
      </c>
      <c r="C3599" s="4">
        <v>748.5</v>
      </c>
      <c r="D3599">
        <f t="shared" si="116"/>
        <v>7.6541796739507468</v>
      </c>
      <c r="E3599">
        <v>-9.1604670249662012E-3</v>
      </c>
      <c r="F3599">
        <v>3596</v>
      </c>
      <c r="G3599">
        <f t="shared" ca="1" si="117"/>
        <v>-3.3928829358123927E-2</v>
      </c>
    </row>
    <row r="3600" spans="2:7" x14ac:dyDescent="0.35">
      <c r="B3600" s="2">
        <v>40835</v>
      </c>
      <c r="C3600" s="4">
        <v>86.49</v>
      </c>
      <c r="D3600">
        <f t="shared" si="116"/>
        <v>-0.65366595923597481</v>
      </c>
      <c r="E3600">
        <v>-9.164852789552147E-3</v>
      </c>
      <c r="F3600">
        <v>3597</v>
      </c>
      <c r="G3600">
        <f t="shared" ca="1" si="117"/>
        <v>3.3206478209407864E-2</v>
      </c>
    </row>
    <row r="3601" spans="2:7" x14ac:dyDescent="0.35">
      <c r="B3601" s="2">
        <v>41758</v>
      </c>
      <c r="C3601" s="4">
        <v>249.73</v>
      </c>
      <c r="D3601">
        <f t="shared" si="116"/>
        <v>2.4488330341113107</v>
      </c>
      <c r="E3601">
        <v>-9.1652118711316177E-3</v>
      </c>
      <c r="F3601">
        <v>3598</v>
      </c>
      <c r="G3601">
        <f t="shared" ca="1" si="117"/>
        <v>2.4859825593987948E-2</v>
      </c>
    </row>
    <row r="3602" spans="2:7" x14ac:dyDescent="0.35">
      <c r="B3602" s="2">
        <v>39595</v>
      </c>
      <c r="C3602" s="4">
        <v>72.41</v>
      </c>
      <c r="D3602">
        <f t="shared" si="116"/>
        <v>-0.89268299912557614</v>
      </c>
      <c r="E3602">
        <v>-9.1680350301039937E-3</v>
      </c>
      <c r="F3602">
        <v>3599</v>
      </c>
      <c r="G3602">
        <f t="shared" ca="1" si="117"/>
        <v>-1.7356863669703612E-2</v>
      </c>
    </row>
    <row r="3603" spans="2:7" x14ac:dyDescent="0.35">
      <c r="B3603" s="2">
        <v>42765</v>
      </c>
      <c r="C3603" s="4">
        <v>674.73</v>
      </c>
      <c r="D3603">
        <f t="shared" si="116"/>
        <v>6.0255102040816322</v>
      </c>
      <c r="E3603">
        <v>-9.1779494258275029E-3</v>
      </c>
      <c r="F3603">
        <v>3600</v>
      </c>
      <c r="G3603">
        <f t="shared" ca="1" si="117"/>
        <v>7.6603180873254906E-2</v>
      </c>
    </row>
    <row r="3604" spans="2:7" x14ac:dyDescent="0.35">
      <c r="B3604" s="2">
        <v>41135</v>
      </c>
      <c r="C3604" s="4">
        <v>96.04</v>
      </c>
      <c r="D3604">
        <f t="shared" si="116"/>
        <v>-0.17540997681806469</v>
      </c>
      <c r="E3604">
        <v>-9.1818838336944486E-3</v>
      </c>
      <c r="F3604">
        <v>3601</v>
      </c>
      <c r="G3604">
        <f t="shared" ca="1" si="117"/>
        <v>-2.3357107054931922E-2</v>
      </c>
    </row>
    <row r="3605" spans="2:7" x14ac:dyDescent="0.35">
      <c r="B3605" s="2">
        <v>40466</v>
      </c>
      <c r="C3605" s="4">
        <v>116.47</v>
      </c>
      <c r="D3605">
        <f t="shared" si="116"/>
        <v>-0.86148210696573624</v>
      </c>
      <c r="E3605">
        <v>-9.1875797532964265E-3</v>
      </c>
      <c r="F3605">
        <v>3602</v>
      </c>
      <c r="G3605">
        <f t="shared" ca="1" si="117"/>
        <v>2.9651879431853091E-2</v>
      </c>
    </row>
    <row r="3606" spans="2:7" x14ac:dyDescent="0.35">
      <c r="B3606" s="2">
        <v>43049</v>
      </c>
      <c r="C3606" s="4">
        <v>840.83</v>
      </c>
      <c r="D3606">
        <f t="shared" si="116"/>
        <v>0.2349528537437946</v>
      </c>
      <c r="E3606">
        <v>-9.1912847766399963E-3</v>
      </c>
      <c r="F3606">
        <v>3603</v>
      </c>
      <c r="G3606">
        <f t="shared" ca="1" si="117"/>
        <v>-1.0042359817340326E-2</v>
      </c>
    </row>
    <row r="3607" spans="2:7" x14ac:dyDescent="0.35">
      <c r="B3607" s="2">
        <v>42789</v>
      </c>
      <c r="C3607" s="4">
        <v>680.86</v>
      </c>
      <c r="D3607">
        <f t="shared" si="116"/>
        <v>5.6646436961628819</v>
      </c>
      <c r="E3607">
        <v>-9.197008061934242E-3</v>
      </c>
      <c r="F3607">
        <v>3604</v>
      </c>
      <c r="G3607">
        <f t="shared" ca="1" si="117"/>
        <v>-3.7781089596176119E-2</v>
      </c>
    </row>
    <row r="3608" spans="2:7" x14ac:dyDescent="0.35">
      <c r="B3608" s="2">
        <v>40336</v>
      </c>
      <c r="C3608" s="4">
        <v>102.16</v>
      </c>
      <c r="D3608">
        <f t="shared" si="116"/>
        <v>-0.86065037101702313</v>
      </c>
      <c r="E3608">
        <v>-9.2134613519542219E-3</v>
      </c>
      <c r="F3608">
        <v>3605</v>
      </c>
      <c r="G3608">
        <f t="shared" ca="1" si="117"/>
        <v>-4.1188207680922188E-3</v>
      </c>
    </row>
    <row r="3609" spans="2:7" x14ac:dyDescent="0.35">
      <c r="B3609" s="2">
        <v>42916</v>
      </c>
      <c r="C3609" s="4">
        <v>733.12</v>
      </c>
      <c r="D3609">
        <f t="shared" si="116"/>
        <v>5.6866107260124039</v>
      </c>
      <c r="E3609">
        <v>-9.2169635375841663E-3</v>
      </c>
      <c r="F3609">
        <v>3606</v>
      </c>
      <c r="G3609">
        <f t="shared" ca="1" si="117"/>
        <v>1.6302722664689712E-2</v>
      </c>
    </row>
    <row r="3610" spans="2:7" x14ac:dyDescent="0.35">
      <c r="B3610" s="2">
        <v>40567</v>
      </c>
      <c r="C3610" s="4">
        <v>109.64</v>
      </c>
      <c r="D3610">
        <f t="shared" si="116"/>
        <v>-0.90094054083356667</v>
      </c>
      <c r="E3610">
        <v>-9.217422736309433E-3</v>
      </c>
      <c r="F3610">
        <v>3607</v>
      </c>
      <c r="G3610">
        <f t="shared" ca="1" si="117"/>
        <v>1.7219293548148856E-2</v>
      </c>
    </row>
    <row r="3611" spans="2:7" x14ac:dyDescent="0.35">
      <c r="B3611" s="2">
        <v>43370</v>
      </c>
      <c r="C3611" s="4">
        <v>1106.81</v>
      </c>
      <c r="D3611">
        <f t="shared" si="116"/>
        <v>0.14394236930772886</v>
      </c>
      <c r="E3611">
        <v>-9.2202200320469219E-3</v>
      </c>
      <c r="F3611">
        <v>3608</v>
      </c>
      <c r="G3611">
        <f t="shared" ca="1" si="117"/>
        <v>2.0118257876110848E-2</v>
      </c>
    </row>
    <row r="3612" spans="2:7" x14ac:dyDescent="0.35">
      <c r="B3612" s="2">
        <v>43881</v>
      </c>
      <c r="C3612" s="4">
        <v>967.54</v>
      </c>
      <c r="D3612">
        <f t="shared" si="116"/>
        <v>7.9421441774491672</v>
      </c>
      <c r="E3612">
        <v>-9.2466489857359058E-3</v>
      </c>
      <c r="F3612">
        <v>3609</v>
      </c>
      <c r="G3612">
        <f t="shared" ca="1" si="117"/>
        <v>-2.1152279760136821E-2</v>
      </c>
    </row>
    <row r="3613" spans="2:7" x14ac:dyDescent="0.35">
      <c r="B3613" s="2">
        <v>39300</v>
      </c>
      <c r="C3613" s="4">
        <v>108.2</v>
      </c>
      <c r="D3613">
        <f t="shared" si="116"/>
        <v>-0.88236573168080012</v>
      </c>
      <c r="E3613">
        <v>-9.248237340902743E-3</v>
      </c>
      <c r="F3613">
        <v>3610</v>
      </c>
      <c r="G3613">
        <f t="shared" ca="1" si="117"/>
        <v>4.8338170877059002E-2</v>
      </c>
    </row>
    <row r="3614" spans="2:7" x14ac:dyDescent="0.35">
      <c r="B3614" s="2">
        <v>42339</v>
      </c>
      <c r="C3614" s="4">
        <v>919.8</v>
      </c>
      <c r="D3614">
        <f t="shared" si="116"/>
        <v>16.617314690672284</v>
      </c>
      <c r="E3614">
        <v>-9.2632485997414804E-3</v>
      </c>
      <c r="F3614">
        <v>3611</v>
      </c>
      <c r="G3614">
        <f t="shared" ca="1" si="117"/>
        <v>-2.5726061061064249E-2</v>
      </c>
    </row>
    <row r="3615" spans="2:7" x14ac:dyDescent="0.35">
      <c r="B3615" s="2">
        <v>39713</v>
      </c>
      <c r="C3615" s="4">
        <v>52.21</v>
      </c>
      <c r="D3615">
        <f t="shared" si="116"/>
        <v>-0.47836946747926867</v>
      </c>
      <c r="E3615">
        <v>-9.2979127134725781E-3</v>
      </c>
      <c r="F3615">
        <v>3612</v>
      </c>
      <c r="G3615">
        <f t="shared" ca="1" si="117"/>
        <v>2.0987709924091911E-3</v>
      </c>
    </row>
    <row r="3616" spans="2:7" x14ac:dyDescent="0.35">
      <c r="B3616" s="2">
        <v>40444</v>
      </c>
      <c r="C3616" s="4">
        <v>100.09</v>
      </c>
      <c r="D3616">
        <f t="shared" si="116"/>
        <v>0.38628808864265918</v>
      </c>
      <c r="E3616">
        <v>-9.3041670790854347E-3</v>
      </c>
      <c r="F3616">
        <v>3613</v>
      </c>
      <c r="G3616">
        <f t="shared" ca="1" si="117"/>
        <v>3.3777793563417959E-2</v>
      </c>
    </row>
    <row r="3617" spans="2:7" x14ac:dyDescent="0.35">
      <c r="B3617" s="2">
        <v>38727</v>
      </c>
      <c r="C3617" s="4">
        <v>72.2</v>
      </c>
      <c r="D3617">
        <f t="shared" si="116"/>
        <v>1.7214474180173389</v>
      </c>
      <c r="E3617">
        <v>-9.3304061470910193E-3</v>
      </c>
      <c r="F3617">
        <v>3614</v>
      </c>
      <c r="G3617">
        <f t="shared" ca="1" si="117"/>
        <v>2.6436852728147051E-4</v>
      </c>
    </row>
    <row r="3618" spans="2:7" x14ac:dyDescent="0.35">
      <c r="B3618" s="2">
        <v>37572</v>
      </c>
      <c r="C3618" s="4">
        <v>26.53</v>
      </c>
      <c r="D3618">
        <f t="shared" si="116"/>
        <v>-3.8071065989847663E-2</v>
      </c>
      <c r="E3618">
        <v>-9.3353248693054391E-3</v>
      </c>
      <c r="F3618">
        <v>3615</v>
      </c>
      <c r="G3618">
        <f t="shared" ca="1" si="117"/>
        <v>-6.2894873446668789E-2</v>
      </c>
    </row>
    <row r="3619" spans="2:7" x14ac:dyDescent="0.35">
      <c r="B3619" s="2">
        <v>37565</v>
      </c>
      <c r="C3619" s="4">
        <v>27.58</v>
      </c>
      <c r="D3619">
        <f t="shared" si="116"/>
        <v>-0.97157668009852316</v>
      </c>
      <c r="E3619">
        <v>-9.339080459770166E-3</v>
      </c>
      <c r="F3619">
        <v>3616</v>
      </c>
      <c r="G3619">
        <f t="shared" ca="1" si="117"/>
        <v>-2.3388852116928177E-2</v>
      </c>
    </row>
    <row r="3620" spans="2:7" x14ac:dyDescent="0.35">
      <c r="B3620" s="2">
        <v>43158</v>
      </c>
      <c r="C3620" s="4">
        <v>970.33</v>
      </c>
      <c r="D3620">
        <f t="shared" si="116"/>
        <v>8.5420395319107101</v>
      </c>
      <c r="E3620">
        <v>-9.3518055314499859E-3</v>
      </c>
      <c r="F3620">
        <v>3617</v>
      </c>
      <c r="G3620">
        <f t="shared" ca="1" si="117"/>
        <v>-1.6609107524123302E-2</v>
      </c>
    </row>
    <row r="3621" spans="2:7" x14ac:dyDescent="0.35">
      <c r="B3621" s="2">
        <v>40184</v>
      </c>
      <c r="C3621" s="4">
        <v>101.69</v>
      </c>
      <c r="D3621">
        <f t="shared" si="116"/>
        <v>0.45604238258877428</v>
      </c>
      <c r="E3621">
        <v>-9.3521675596688336E-3</v>
      </c>
      <c r="F3621">
        <v>3618</v>
      </c>
      <c r="G3621">
        <f t="shared" ca="1" si="117"/>
        <v>1.9151048545237382E-4</v>
      </c>
    </row>
    <row r="3622" spans="2:7" x14ac:dyDescent="0.35">
      <c r="B3622" s="2">
        <v>38572</v>
      </c>
      <c r="C3622" s="4">
        <v>69.84</v>
      </c>
      <c r="D3622">
        <f t="shared" si="116"/>
        <v>-0.98042754492360462</v>
      </c>
      <c r="E3622">
        <v>-9.3617021276595214E-3</v>
      </c>
      <c r="F3622">
        <v>3619</v>
      </c>
      <c r="G3622">
        <f t="shared" ca="1" si="117"/>
        <v>-5.9501660422588559E-3</v>
      </c>
    </row>
    <row r="3623" spans="2:7" x14ac:dyDescent="0.35">
      <c r="B3623" s="2">
        <v>44348</v>
      </c>
      <c r="C3623" s="4">
        <v>3568.28</v>
      </c>
      <c r="D3623">
        <f t="shared" si="116"/>
        <v>3.4503922473465627</v>
      </c>
      <c r="E3623">
        <v>-9.3724667133068262E-3</v>
      </c>
      <c r="F3623">
        <v>3620</v>
      </c>
      <c r="G3623">
        <f t="shared" ca="1" si="117"/>
        <v>-2.557969158218797E-2</v>
      </c>
    </row>
    <row r="3624" spans="2:7" x14ac:dyDescent="0.35">
      <c r="B3624" s="2">
        <v>42955</v>
      </c>
      <c r="C3624" s="4">
        <v>801.79</v>
      </c>
      <c r="D3624">
        <f t="shared" si="116"/>
        <v>8.4920089972771393</v>
      </c>
      <c r="E3624">
        <v>-9.3775482468062554E-3</v>
      </c>
      <c r="F3624">
        <v>3621</v>
      </c>
      <c r="G3624">
        <f t="shared" ca="1" si="117"/>
        <v>1.1330169829854665E-2</v>
      </c>
    </row>
    <row r="3625" spans="2:7" x14ac:dyDescent="0.35">
      <c r="B3625" s="2">
        <v>41024</v>
      </c>
      <c r="C3625" s="4">
        <v>84.47</v>
      </c>
      <c r="D3625">
        <f t="shared" si="116"/>
        <v>-0.91804042187788049</v>
      </c>
      <c r="E3625">
        <v>-9.3819631757945388E-3</v>
      </c>
      <c r="F3625">
        <v>3622</v>
      </c>
      <c r="G3625">
        <f t="shared" ca="1" si="117"/>
        <v>4.0770253784764406E-2</v>
      </c>
    </row>
    <row r="3626" spans="2:7" x14ac:dyDescent="0.35">
      <c r="B3626" s="2">
        <v>42366</v>
      </c>
      <c r="C3626" s="4">
        <v>1030.6300000000001</v>
      </c>
      <c r="D3626">
        <f t="shared" si="116"/>
        <v>0.15292025102636697</v>
      </c>
      <c r="E3626">
        <v>-9.4001403292932606E-3</v>
      </c>
      <c r="F3626">
        <v>3623</v>
      </c>
      <c r="G3626">
        <f t="shared" ca="1" si="117"/>
        <v>6.2468661584345962E-2</v>
      </c>
    </row>
    <row r="3627" spans="2:7" x14ac:dyDescent="0.35">
      <c r="B3627" s="2">
        <v>43068</v>
      </c>
      <c r="C3627" s="4">
        <v>893.93</v>
      </c>
      <c r="D3627">
        <f t="shared" si="116"/>
        <v>0.26314822664971027</v>
      </c>
      <c r="E3627">
        <v>-9.4190131090500229E-3</v>
      </c>
      <c r="F3627">
        <v>3624</v>
      </c>
      <c r="G3627">
        <f t="shared" ca="1" si="117"/>
        <v>-5.4941761182223575E-2</v>
      </c>
    </row>
    <row r="3628" spans="2:7" x14ac:dyDescent="0.35">
      <c r="B3628" s="2">
        <v>42863</v>
      </c>
      <c r="C3628" s="4">
        <v>707.7</v>
      </c>
      <c r="D3628">
        <f t="shared" si="116"/>
        <v>-0.887794901065449</v>
      </c>
      <c r="E3628">
        <v>-9.4200971403775036E-3</v>
      </c>
      <c r="F3628">
        <v>3625</v>
      </c>
      <c r="G3628">
        <f t="shared" ca="1" si="117"/>
        <v>1.1914412960357003E-2</v>
      </c>
    </row>
    <row r="3629" spans="2:7" x14ac:dyDescent="0.35">
      <c r="B3629" s="2">
        <v>45035</v>
      </c>
      <c r="C3629" s="4">
        <v>6307.2</v>
      </c>
      <c r="D3629">
        <f t="shared" si="116"/>
        <v>-0.28469520839240148</v>
      </c>
      <c r="E3629">
        <v>-9.4388516325601968E-3</v>
      </c>
      <c r="F3629">
        <v>3626</v>
      </c>
      <c r="G3629">
        <f t="shared" ca="1" si="117"/>
        <v>8.1894550709474979E-3</v>
      </c>
    </row>
    <row r="3630" spans="2:7" x14ac:dyDescent="0.35">
      <c r="B3630" s="2">
        <v>44825</v>
      </c>
      <c r="C3630" s="4">
        <v>8817.5</v>
      </c>
      <c r="D3630">
        <f t="shared" si="116"/>
        <v>322.45928099779894</v>
      </c>
      <c r="E3630">
        <v>-9.4421758008436107E-3</v>
      </c>
      <c r="F3630">
        <v>3627</v>
      </c>
      <c r="G3630">
        <f t="shared" ca="1" si="117"/>
        <v>-4.0655546401201358E-2</v>
      </c>
    </row>
    <row r="3631" spans="2:7" x14ac:dyDescent="0.35">
      <c r="B3631" s="2">
        <v>38057</v>
      </c>
      <c r="C3631" s="4">
        <v>27.26</v>
      </c>
      <c r="D3631">
        <f t="shared" si="116"/>
        <v>0.13158987131589872</v>
      </c>
      <c r="E3631">
        <v>-9.4476744186046124E-3</v>
      </c>
      <c r="F3631">
        <v>3628</v>
      </c>
      <c r="G3631">
        <f t="shared" ca="1" si="117"/>
        <v>9.0566005421350196E-2</v>
      </c>
    </row>
    <row r="3632" spans="2:7" x14ac:dyDescent="0.35">
      <c r="B3632" s="2">
        <v>37785</v>
      </c>
      <c r="C3632" s="4">
        <v>24.09</v>
      </c>
      <c r="D3632">
        <f t="shared" si="116"/>
        <v>-0.43846153846153846</v>
      </c>
      <c r="E3632">
        <v>-9.4572368421053099E-3</v>
      </c>
      <c r="F3632">
        <v>3629</v>
      </c>
      <c r="G3632">
        <f t="shared" ca="1" si="117"/>
        <v>-1.3366920097135176E-2</v>
      </c>
    </row>
    <row r="3633" spans="2:7" x14ac:dyDescent="0.35">
      <c r="B3633" s="2">
        <v>38225</v>
      </c>
      <c r="C3633" s="4">
        <v>42.9</v>
      </c>
      <c r="D3633">
        <f t="shared" si="116"/>
        <v>-0.44343539180072655</v>
      </c>
      <c r="E3633">
        <v>-9.4666358808590534E-3</v>
      </c>
      <c r="F3633">
        <v>3630</v>
      </c>
      <c r="G3633">
        <f t="shared" ca="1" si="117"/>
        <v>1.9757195694137499E-2</v>
      </c>
    </row>
    <row r="3634" spans="2:7" x14ac:dyDescent="0.35">
      <c r="B3634" s="2">
        <v>38987</v>
      </c>
      <c r="C3634" s="4">
        <v>77.08</v>
      </c>
      <c r="D3634">
        <f t="shared" si="116"/>
        <v>-0.3209408862655273</v>
      </c>
      <c r="E3634">
        <v>-9.5091236186070072E-3</v>
      </c>
      <c r="F3634">
        <v>3631</v>
      </c>
      <c r="G3634">
        <f t="shared" ca="1" si="117"/>
        <v>2.0830471233161719E-2</v>
      </c>
    </row>
    <row r="3635" spans="2:7" x14ac:dyDescent="0.35">
      <c r="B3635" s="2">
        <v>40203</v>
      </c>
      <c r="C3635" s="4">
        <v>113.51</v>
      </c>
      <c r="D3635">
        <f t="shared" si="116"/>
        <v>-3.4368353891960801E-2</v>
      </c>
      <c r="E3635">
        <v>-9.5113438045374421E-3</v>
      </c>
      <c r="F3635">
        <v>3632</v>
      </c>
      <c r="G3635">
        <f t="shared" ca="1" si="117"/>
        <v>-4.8551100306447039E-3</v>
      </c>
    </row>
    <row r="3636" spans="2:7" x14ac:dyDescent="0.35">
      <c r="B3636" s="2">
        <v>40465</v>
      </c>
      <c r="C3636" s="4">
        <v>117.55</v>
      </c>
      <c r="D3636">
        <f t="shared" si="116"/>
        <v>-0.98460051065256893</v>
      </c>
      <c r="E3636">
        <v>-9.5214020896529084E-3</v>
      </c>
      <c r="F3636">
        <v>3633</v>
      </c>
      <c r="G3636">
        <f t="shared" ca="1" si="117"/>
        <v>2.7251814163589728E-2</v>
      </c>
    </row>
    <row r="3637" spans="2:7" x14ac:dyDescent="0.35">
      <c r="B3637" s="2">
        <v>44683</v>
      </c>
      <c r="C3637" s="4">
        <v>7633.37</v>
      </c>
      <c r="D3637">
        <f t="shared" si="116"/>
        <v>27.133158884015774</v>
      </c>
      <c r="E3637">
        <v>-9.5215233399292831E-3</v>
      </c>
      <c r="F3637">
        <v>3634</v>
      </c>
      <c r="G3637">
        <f t="shared" ca="1" si="117"/>
        <v>4.2670281131250822E-4</v>
      </c>
    </row>
    <row r="3638" spans="2:7" x14ac:dyDescent="0.35">
      <c r="B3638" s="2">
        <v>41984</v>
      </c>
      <c r="C3638" s="4">
        <v>271.33</v>
      </c>
      <c r="D3638">
        <f t="shared" si="116"/>
        <v>1.6973854259866785</v>
      </c>
      <c r="E3638">
        <v>-9.5276337884209195E-3</v>
      </c>
      <c r="F3638">
        <v>3635</v>
      </c>
      <c r="G3638">
        <f t="shared" ca="1" si="117"/>
        <v>-1.5554913065282745E-2</v>
      </c>
    </row>
    <row r="3639" spans="2:7" x14ac:dyDescent="0.35">
      <c r="B3639" s="2">
        <v>41292</v>
      </c>
      <c r="C3639" s="4">
        <v>100.59</v>
      </c>
      <c r="D3639">
        <f t="shared" si="116"/>
        <v>-0.87705338809034905</v>
      </c>
      <c r="E3639">
        <v>-9.5510043324142924E-3</v>
      </c>
      <c r="F3639">
        <v>3636</v>
      </c>
      <c r="G3639">
        <f t="shared" ca="1" si="117"/>
        <v>-2.9929762445482015E-2</v>
      </c>
    </row>
    <row r="3640" spans="2:7" x14ac:dyDescent="0.35">
      <c r="B3640" s="2">
        <v>42522</v>
      </c>
      <c r="C3640" s="4">
        <v>818.16</v>
      </c>
      <c r="D3640">
        <f t="shared" si="116"/>
        <v>5.2241685315224995E-2</v>
      </c>
      <c r="E3640">
        <v>-9.5514799346286816E-3</v>
      </c>
      <c r="F3640">
        <v>3637</v>
      </c>
      <c r="G3640">
        <f t="shared" ca="1" si="117"/>
        <v>-1.3515027661198633E-2</v>
      </c>
    </row>
    <row r="3641" spans="2:7" x14ac:dyDescent="0.35">
      <c r="B3641" s="2">
        <v>42548</v>
      </c>
      <c r="C3641" s="4">
        <v>777.54</v>
      </c>
      <c r="D3641">
        <f t="shared" si="116"/>
        <v>9.1945719155631309</v>
      </c>
      <c r="E3641">
        <v>-9.5788856902656594E-3</v>
      </c>
      <c r="F3641">
        <v>3638</v>
      </c>
      <c r="G3641">
        <f t="shared" ca="1" si="117"/>
        <v>2.8858432420839027E-2</v>
      </c>
    </row>
    <row r="3642" spans="2:7" x14ac:dyDescent="0.35">
      <c r="B3642" s="2">
        <v>41540</v>
      </c>
      <c r="C3642" s="4">
        <v>76.27</v>
      </c>
      <c r="D3642">
        <f t="shared" si="116"/>
        <v>4.3079868708971514E-2</v>
      </c>
      <c r="E3642">
        <v>-9.6091416699131127E-3</v>
      </c>
      <c r="F3642">
        <v>3639</v>
      </c>
      <c r="G3642">
        <f t="shared" ca="1" si="117"/>
        <v>3.6012820965412983E-3</v>
      </c>
    </row>
    <row r="3643" spans="2:7" x14ac:dyDescent="0.35">
      <c r="B3643" s="2">
        <v>38554</v>
      </c>
      <c r="C3643" s="4">
        <v>73.12</v>
      </c>
      <c r="D3643">
        <f t="shared" si="116"/>
        <v>-0.26784820266346254</v>
      </c>
      <c r="E3643">
        <v>-9.6166869836109559E-3</v>
      </c>
      <c r="F3643">
        <v>3640</v>
      </c>
      <c r="G3643">
        <f t="shared" ca="1" si="117"/>
        <v>-6.0836831336465898E-2</v>
      </c>
    </row>
    <row r="3644" spans="2:7" x14ac:dyDescent="0.35">
      <c r="B3644" s="2">
        <v>40752</v>
      </c>
      <c r="C3644" s="4">
        <v>99.87</v>
      </c>
      <c r="D3644">
        <f t="shared" si="116"/>
        <v>0.67398592021454928</v>
      </c>
      <c r="E3644">
        <v>-9.6191987306624149E-3</v>
      </c>
      <c r="F3644">
        <v>3641</v>
      </c>
      <c r="G3644">
        <f t="shared" ca="1" si="117"/>
        <v>5.6689394680076114E-3</v>
      </c>
    </row>
    <row r="3645" spans="2:7" x14ac:dyDescent="0.35">
      <c r="B3645" s="2">
        <v>39542</v>
      </c>
      <c r="C3645" s="4">
        <v>59.66</v>
      </c>
      <c r="D3645">
        <f t="shared" si="116"/>
        <v>-0.52041800643086822</v>
      </c>
      <c r="E3645">
        <v>-9.6281540504649099E-3</v>
      </c>
      <c r="F3645">
        <v>3642</v>
      </c>
      <c r="G3645">
        <f t="shared" ca="1" si="117"/>
        <v>2.0161591549765226E-2</v>
      </c>
    </row>
    <row r="3646" spans="2:7" x14ac:dyDescent="0.35">
      <c r="B3646" s="2">
        <v>40268</v>
      </c>
      <c r="C3646" s="4">
        <v>124.4</v>
      </c>
      <c r="D3646">
        <f t="shared" si="116"/>
        <v>2.668534355647302</v>
      </c>
      <c r="E3646">
        <v>-9.6329910039009148E-3</v>
      </c>
      <c r="F3646">
        <v>3643</v>
      </c>
      <c r="G3646">
        <f t="shared" ca="1" si="117"/>
        <v>3.2171552826444488E-2</v>
      </c>
    </row>
    <row r="3647" spans="2:7" x14ac:dyDescent="0.35">
      <c r="B3647" s="2">
        <v>39793</v>
      </c>
      <c r="C3647" s="4">
        <v>33.909999999999997</v>
      </c>
      <c r="D3647">
        <f t="shared" si="116"/>
        <v>-0.99398432482871912</v>
      </c>
      <c r="E3647">
        <v>-9.6378504672898213E-3</v>
      </c>
      <c r="F3647">
        <v>3644</v>
      </c>
      <c r="G3647">
        <f t="shared" ca="1" si="117"/>
        <v>1.3696026094582798E-2</v>
      </c>
    </row>
    <row r="3648" spans="2:7" x14ac:dyDescent="0.35">
      <c r="B3648" s="2">
        <v>44467</v>
      </c>
      <c r="C3648" s="4">
        <v>5636.94</v>
      </c>
      <c r="D3648">
        <f t="shared" si="116"/>
        <v>0.57558969944125637</v>
      </c>
      <c r="E3648">
        <v>-9.6575666164785412E-3</v>
      </c>
      <c r="F3648">
        <v>3645</v>
      </c>
      <c r="G3648">
        <f t="shared" ca="1" si="117"/>
        <v>-1.4449495123987393E-2</v>
      </c>
    </row>
    <row r="3649" spans="2:7" x14ac:dyDescent="0.35">
      <c r="B3649" s="2">
        <v>44336</v>
      </c>
      <c r="C3649" s="4">
        <v>3577.67</v>
      </c>
      <c r="D3649">
        <f t="shared" si="116"/>
        <v>133.39782118707737</v>
      </c>
      <c r="E3649">
        <v>-9.660712456782905E-3</v>
      </c>
      <c r="F3649">
        <v>3646</v>
      </c>
      <c r="G3649">
        <f t="shared" ca="1" si="117"/>
        <v>-1.2849913875999871E-3</v>
      </c>
    </row>
    <row r="3650" spans="2:7" x14ac:dyDescent="0.35">
      <c r="B3650" s="2">
        <v>37917</v>
      </c>
      <c r="C3650" s="4">
        <v>26.62</v>
      </c>
      <c r="D3650">
        <f t="shared" si="116"/>
        <v>-0.90474486509697272</v>
      </c>
      <c r="E3650">
        <v>-9.6726190476189577E-3</v>
      </c>
      <c r="F3650">
        <v>3647</v>
      </c>
      <c r="G3650">
        <f t="shared" ca="1" si="117"/>
        <v>1.0307371937932791E-2</v>
      </c>
    </row>
    <row r="3651" spans="2:7" x14ac:dyDescent="0.35">
      <c r="B3651" s="2">
        <v>41920</v>
      </c>
      <c r="C3651" s="4">
        <v>279.45999999999998</v>
      </c>
      <c r="D3651">
        <f t="shared" si="116"/>
        <v>-0.9650814674130348</v>
      </c>
      <c r="E3651">
        <v>-9.674332896275617E-3</v>
      </c>
      <c r="F3651">
        <v>3648</v>
      </c>
      <c r="G3651">
        <f t="shared" ca="1" si="117"/>
        <v>3.6112037419664567E-2</v>
      </c>
    </row>
    <row r="3652" spans="2:7" x14ac:dyDescent="0.35">
      <c r="B3652" s="2">
        <v>44747</v>
      </c>
      <c r="C3652" s="4">
        <v>8003.2</v>
      </c>
      <c r="D3652">
        <f t="shared" ref="D3652:D3715" si="118">C3652/C3653-1</f>
        <v>78.036144578313241</v>
      </c>
      <c r="E3652">
        <v>-9.6765411933575907E-3</v>
      </c>
      <c r="F3652">
        <v>3649</v>
      </c>
      <c r="G3652">
        <f t="shared" ca="1" si="117"/>
        <v>-1.1884878456956835E-2</v>
      </c>
    </row>
    <row r="3653" spans="2:7" x14ac:dyDescent="0.35">
      <c r="B3653" s="2">
        <v>40750</v>
      </c>
      <c r="C3653" s="4">
        <v>101.26</v>
      </c>
      <c r="D3653">
        <f t="shared" si="118"/>
        <v>2.208491761723701</v>
      </c>
      <c r="E3653">
        <v>-9.6821515892420162E-3</v>
      </c>
      <c r="F3653">
        <v>3650</v>
      </c>
      <c r="G3653">
        <f t="shared" ref="G3653:G3716" ca="1" si="119">_xlfn.NORM.INV(RAND(),K$6,K$7)</f>
        <v>1.6656567828892327E-2</v>
      </c>
    </row>
    <row r="3654" spans="2:7" x14ac:dyDescent="0.35">
      <c r="B3654" s="2">
        <v>39849</v>
      </c>
      <c r="C3654" s="4">
        <v>31.56</v>
      </c>
      <c r="D3654">
        <f t="shared" si="118"/>
        <v>-0.68653158522050062</v>
      </c>
      <c r="E3654">
        <v>-9.727016002510247E-3</v>
      </c>
      <c r="F3654">
        <v>3651</v>
      </c>
      <c r="G3654">
        <f t="shared" ca="1" si="119"/>
        <v>-2.0176535972438778E-2</v>
      </c>
    </row>
    <row r="3655" spans="2:7" x14ac:dyDescent="0.35">
      <c r="B3655" s="2">
        <v>39374</v>
      </c>
      <c r="C3655" s="4">
        <v>100.68</v>
      </c>
      <c r="D3655">
        <f t="shared" si="118"/>
        <v>-0.8955027141478199</v>
      </c>
      <c r="E3655">
        <v>-9.7373856594865638E-3</v>
      </c>
      <c r="F3655">
        <v>3652</v>
      </c>
      <c r="G3655">
        <f t="shared" ca="1" si="119"/>
        <v>5.4059588981843869E-3</v>
      </c>
    </row>
    <row r="3656" spans="2:7" x14ac:dyDescent="0.35">
      <c r="B3656" s="2">
        <v>43165</v>
      </c>
      <c r="C3656" s="4">
        <v>963.47</v>
      </c>
      <c r="D3656">
        <f t="shared" si="118"/>
        <v>0.13647569505880131</v>
      </c>
      <c r="E3656">
        <v>-9.7435633896911789E-3</v>
      </c>
      <c r="F3656">
        <v>3653</v>
      </c>
      <c r="G3656">
        <f t="shared" ca="1" si="119"/>
        <v>-2.7922152788767175E-2</v>
      </c>
    </row>
    <row r="3657" spans="2:7" x14ac:dyDescent="0.35">
      <c r="B3657" s="2">
        <v>44006</v>
      </c>
      <c r="C3657" s="4">
        <v>847.77</v>
      </c>
      <c r="D3657">
        <f t="shared" si="118"/>
        <v>6.9842853579447084E-3</v>
      </c>
      <c r="E3657">
        <v>-9.7533056113628946E-3</v>
      </c>
      <c r="F3657">
        <v>3654</v>
      </c>
      <c r="G3657">
        <f t="shared" ca="1" si="119"/>
        <v>-1.2770959406794059E-3</v>
      </c>
    </row>
    <row r="3658" spans="2:7" x14ac:dyDescent="0.35">
      <c r="B3658" s="2">
        <v>43999</v>
      </c>
      <c r="C3658" s="4">
        <v>841.89</v>
      </c>
      <c r="D3658">
        <f t="shared" si="118"/>
        <v>24.968229487970387</v>
      </c>
      <c r="E3658">
        <v>-9.7625236711794683E-3</v>
      </c>
      <c r="F3658">
        <v>3655</v>
      </c>
      <c r="G3658">
        <f t="shared" ca="1" si="119"/>
        <v>-1.8614024994386059E-2</v>
      </c>
    </row>
    <row r="3659" spans="2:7" x14ac:dyDescent="0.35">
      <c r="B3659" s="2">
        <v>38160</v>
      </c>
      <c r="C3659" s="4">
        <v>32.42</v>
      </c>
      <c r="D3659">
        <f t="shared" si="118"/>
        <v>-0.61885727721608275</v>
      </c>
      <c r="E3659">
        <v>-9.7739767868051386E-3</v>
      </c>
      <c r="F3659">
        <v>3656</v>
      </c>
      <c r="G3659">
        <f t="shared" ca="1" si="119"/>
        <v>2.8001409064463104E-3</v>
      </c>
    </row>
    <row r="3660" spans="2:7" x14ac:dyDescent="0.35">
      <c r="B3660" s="2">
        <v>41017</v>
      </c>
      <c r="C3660" s="4">
        <v>85.06</v>
      </c>
      <c r="D3660">
        <f t="shared" si="118"/>
        <v>-0.81566001343649086</v>
      </c>
      <c r="E3660">
        <v>-9.7788125727590325E-3</v>
      </c>
      <c r="F3660">
        <v>3657</v>
      </c>
      <c r="G3660">
        <f t="shared" ca="1" si="119"/>
        <v>5.4403223581023724E-3</v>
      </c>
    </row>
    <row r="3661" spans="2:7" x14ac:dyDescent="0.35">
      <c r="B3661" s="2">
        <v>42060</v>
      </c>
      <c r="C3661" s="4">
        <v>461.43</v>
      </c>
      <c r="D3661">
        <f t="shared" si="118"/>
        <v>4.4997616209773534</v>
      </c>
      <c r="E3661">
        <v>-9.7856177171183889E-3</v>
      </c>
      <c r="F3661">
        <v>3658</v>
      </c>
      <c r="G3661">
        <f t="shared" ca="1" si="119"/>
        <v>-1.1696815917696836E-2</v>
      </c>
    </row>
    <row r="3662" spans="2:7" x14ac:dyDescent="0.35">
      <c r="B3662" s="2">
        <v>41404</v>
      </c>
      <c r="C3662" s="4">
        <v>83.9</v>
      </c>
      <c r="D3662">
        <f t="shared" si="118"/>
        <v>-0.9911324842783914</v>
      </c>
      <c r="E3662">
        <v>-9.7958220228961945E-3</v>
      </c>
      <c r="F3662">
        <v>3659</v>
      </c>
      <c r="G3662">
        <f t="shared" ca="1" si="119"/>
        <v>6.6831615075779839E-3</v>
      </c>
    </row>
    <row r="3663" spans="2:7" x14ac:dyDescent="0.35">
      <c r="B3663" s="2">
        <v>44783</v>
      </c>
      <c r="C3663" s="4">
        <v>9461.5</v>
      </c>
      <c r="D3663">
        <f t="shared" si="118"/>
        <v>12.655519794478041</v>
      </c>
      <c r="E3663">
        <v>-9.8061788345613632E-3</v>
      </c>
      <c r="F3663">
        <v>3660</v>
      </c>
      <c r="G3663">
        <f t="shared" ca="1" si="119"/>
        <v>4.4345395155766187E-2</v>
      </c>
    </row>
    <row r="3664" spans="2:7" x14ac:dyDescent="0.35">
      <c r="B3664" s="2">
        <v>42640</v>
      </c>
      <c r="C3664" s="4">
        <v>692.87</v>
      </c>
      <c r="D3664">
        <f t="shared" si="118"/>
        <v>-0.45458338253237296</v>
      </c>
      <c r="E3664">
        <v>-9.8179323748821545E-3</v>
      </c>
      <c r="F3664">
        <v>3661</v>
      </c>
      <c r="G3664">
        <f t="shared" ca="1" si="119"/>
        <v>1.02108172215858E-3</v>
      </c>
    </row>
    <row r="3665" spans="2:7" x14ac:dyDescent="0.35">
      <c r="B3665" s="2">
        <v>43353</v>
      </c>
      <c r="C3665" s="4">
        <v>1270.3499999999999</v>
      </c>
      <c r="D3665">
        <f t="shared" si="118"/>
        <v>15.623266160690918</v>
      </c>
      <c r="E3665">
        <v>-9.828833322940822E-3</v>
      </c>
      <c r="F3665">
        <v>3662</v>
      </c>
      <c r="G3665">
        <f t="shared" ca="1" si="119"/>
        <v>-1.0507386502452967E-4</v>
      </c>
    </row>
    <row r="3666" spans="2:7" x14ac:dyDescent="0.35">
      <c r="B3666" s="2">
        <v>40904</v>
      </c>
      <c r="C3666" s="4">
        <v>76.42</v>
      </c>
      <c r="D3666">
        <f t="shared" si="118"/>
        <v>-0.86873024598048643</v>
      </c>
      <c r="E3666">
        <v>-9.8471106504276484E-3</v>
      </c>
      <c r="F3666">
        <v>3663</v>
      </c>
      <c r="G3666">
        <f t="shared" ca="1" si="119"/>
        <v>-2.7526922959285341E-2</v>
      </c>
    </row>
    <row r="3667" spans="2:7" x14ac:dyDescent="0.35">
      <c r="B3667" s="2">
        <v>42677</v>
      </c>
      <c r="C3667" s="4">
        <v>582.16</v>
      </c>
      <c r="D3667">
        <f t="shared" si="118"/>
        <v>-0.93081499404602031</v>
      </c>
      <c r="E3667">
        <v>-9.8477761714432788E-3</v>
      </c>
      <c r="F3667">
        <v>3664</v>
      </c>
      <c r="G3667">
        <f t="shared" ca="1" si="119"/>
        <v>-2.1914880565068795E-2</v>
      </c>
    </row>
    <row r="3668" spans="2:7" x14ac:dyDescent="0.35">
      <c r="B3668" s="2">
        <v>44705</v>
      </c>
      <c r="C3668" s="4">
        <v>8414.5400000000009</v>
      </c>
      <c r="D3668">
        <f t="shared" si="118"/>
        <v>69.14454818272759</v>
      </c>
      <c r="E3668">
        <v>-9.8747302452442121E-3</v>
      </c>
      <c r="F3668">
        <v>3665</v>
      </c>
      <c r="G3668">
        <f t="shared" ca="1" si="119"/>
        <v>-1.7018204521032164E-2</v>
      </c>
    </row>
    <row r="3669" spans="2:7" x14ac:dyDescent="0.35">
      <c r="B3669" s="2">
        <v>39276</v>
      </c>
      <c r="C3669" s="4">
        <v>119.96</v>
      </c>
      <c r="D3669">
        <f t="shared" si="118"/>
        <v>0.97108116989812676</v>
      </c>
      <c r="E3669">
        <v>-9.9042588312975299E-3</v>
      </c>
      <c r="F3669">
        <v>3666</v>
      </c>
      <c r="G3669">
        <f t="shared" ca="1" si="119"/>
        <v>-6.9859017124248284E-3</v>
      </c>
    </row>
    <row r="3670" spans="2:7" x14ac:dyDescent="0.35">
      <c r="B3670" s="2">
        <v>38930</v>
      </c>
      <c r="C3670" s="4">
        <v>60.86</v>
      </c>
      <c r="D3670">
        <f t="shared" si="118"/>
        <v>-0.4244917257683215</v>
      </c>
      <c r="E3670">
        <v>-9.9235399381811806E-3</v>
      </c>
      <c r="F3670">
        <v>3667</v>
      </c>
      <c r="G3670">
        <f t="shared" ca="1" si="119"/>
        <v>-5.0875343103158832E-2</v>
      </c>
    </row>
    <row r="3671" spans="2:7" x14ac:dyDescent="0.35">
      <c r="B3671" s="2">
        <v>39323</v>
      </c>
      <c r="C3671" s="4">
        <v>105.75</v>
      </c>
      <c r="D3671">
        <f t="shared" si="118"/>
        <v>-0.87017212168831493</v>
      </c>
      <c r="E3671">
        <v>-9.9241644040820587E-3</v>
      </c>
      <c r="F3671">
        <v>3668</v>
      </c>
      <c r="G3671">
        <f t="shared" ca="1" si="119"/>
        <v>-1.4479591496459394E-2</v>
      </c>
    </row>
    <row r="3672" spans="2:7" x14ac:dyDescent="0.35">
      <c r="B3672" s="2">
        <v>42999</v>
      </c>
      <c r="C3672" s="4">
        <v>814.54</v>
      </c>
      <c r="D3672">
        <f t="shared" si="118"/>
        <v>-8.3932206439713442E-2</v>
      </c>
      <c r="E3672">
        <v>-9.9305952279662435E-3</v>
      </c>
      <c r="F3672">
        <v>3669</v>
      </c>
      <c r="G3672">
        <f t="shared" ca="1" si="119"/>
        <v>-1.3643601707202394E-2</v>
      </c>
    </row>
    <row r="3673" spans="2:7" x14ac:dyDescent="0.35">
      <c r="B3673" s="2">
        <v>43096</v>
      </c>
      <c r="C3673" s="4">
        <v>889.17</v>
      </c>
      <c r="D3673">
        <f t="shared" si="118"/>
        <v>7.5852080718354742</v>
      </c>
      <c r="E3673">
        <v>-9.9321894242225817E-3</v>
      </c>
      <c r="F3673">
        <v>3670</v>
      </c>
      <c r="G3673">
        <f t="shared" ca="1" si="119"/>
        <v>-5.1336436522584784E-3</v>
      </c>
    </row>
    <row r="3674" spans="2:7" x14ac:dyDescent="0.35">
      <c r="B3674" s="2">
        <v>40574</v>
      </c>
      <c r="C3674" s="4">
        <v>103.57</v>
      </c>
      <c r="D3674">
        <f t="shared" si="118"/>
        <v>7.34867330016582E-2</v>
      </c>
      <c r="E3674">
        <v>-9.9416881751267505E-3</v>
      </c>
      <c r="F3674">
        <v>3671</v>
      </c>
      <c r="G3674">
        <f t="shared" ca="1" si="119"/>
        <v>-2.8190176533686422E-3</v>
      </c>
    </row>
    <row r="3675" spans="2:7" x14ac:dyDescent="0.35">
      <c r="B3675" s="2">
        <v>41130</v>
      </c>
      <c r="C3675" s="4">
        <v>96.48</v>
      </c>
      <c r="D3675">
        <f t="shared" si="118"/>
        <v>0.27652818205874574</v>
      </c>
      <c r="E3675">
        <v>-9.9538224730630898E-3</v>
      </c>
      <c r="F3675">
        <v>3672</v>
      </c>
      <c r="G3675">
        <f t="shared" ca="1" si="119"/>
        <v>2.6194019615129974E-2</v>
      </c>
    </row>
    <row r="3676" spans="2:7" x14ac:dyDescent="0.35">
      <c r="B3676" s="2">
        <v>39604</v>
      </c>
      <c r="C3676" s="4">
        <v>75.58</v>
      </c>
      <c r="D3676">
        <f t="shared" si="118"/>
        <v>-0.91408044017006573</v>
      </c>
      <c r="E3676">
        <v>-9.9554624050302021E-3</v>
      </c>
      <c r="F3676">
        <v>3673</v>
      </c>
      <c r="G3676">
        <f t="shared" ca="1" si="119"/>
        <v>4.2562132783031557E-3</v>
      </c>
    </row>
    <row r="3677" spans="2:7" x14ac:dyDescent="0.35">
      <c r="B3677" s="2">
        <v>42445</v>
      </c>
      <c r="C3677" s="4">
        <v>879.66</v>
      </c>
      <c r="D3677">
        <f t="shared" si="118"/>
        <v>6.918444504455846</v>
      </c>
      <c r="E3677">
        <v>-9.960495661275659E-3</v>
      </c>
      <c r="F3677">
        <v>3674</v>
      </c>
      <c r="G3677">
        <f t="shared" ca="1" si="119"/>
        <v>-1.0555216245083444E-3</v>
      </c>
    </row>
    <row r="3678" spans="2:7" x14ac:dyDescent="0.35">
      <c r="B3678" s="2">
        <v>40378</v>
      </c>
      <c r="C3678" s="4">
        <v>111.09</v>
      </c>
      <c r="D3678">
        <f t="shared" si="118"/>
        <v>-0.97616892199177963</v>
      </c>
      <c r="E3678">
        <v>-9.9812850904552608E-3</v>
      </c>
      <c r="F3678">
        <v>3675</v>
      </c>
      <c r="G3678">
        <f t="shared" ca="1" si="119"/>
        <v>3.8661415395581294E-2</v>
      </c>
    </row>
    <row r="3679" spans="2:7" x14ac:dyDescent="0.35">
      <c r="B3679" s="2">
        <v>44431</v>
      </c>
      <c r="C3679" s="4">
        <v>4661.5600000000004</v>
      </c>
      <c r="D3679">
        <f t="shared" si="118"/>
        <v>15.81598787922514</v>
      </c>
      <c r="E3679">
        <v>-9.9944357370098658E-3</v>
      </c>
      <c r="F3679">
        <v>3676</v>
      </c>
      <c r="G3679">
        <f t="shared" ca="1" si="119"/>
        <v>-2.2902882280417345E-2</v>
      </c>
    </row>
    <row r="3680" spans="2:7" x14ac:dyDescent="0.35">
      <c r="B3680" s="2">
        <v>41894</v>
      </c>
      <c r="C3680" s="4">
        <v>277.20999999999998</v>
      </c>
      <c r="D3680">
        <f t="shared" si="118"/>
        <v>8.3462575859743762</v>
      </c>
      <c r="E3680">
        <v>-9.9996428698975182E-3</v>
      </c>
      <c r="F3680">
        <v>3677</v>
      </c>
      <c r="G3680">
        <f t="shared" ca="1" si="119"/>
        <v>-3.1452388179648218E-2</v>
      </c>
    </row>
    <row r="3681" spans="2:7" x14ac:dyDescent="0.35">
      <c r="B3681" s="2">
        <v>38112</v>
      </c>
      <c r="C3681" s="4">
        <v>29.66</v>
      </c>
      <c r="D3681">
        <f t="shared" si="118"/>
        <v>0.42870905587668573</v>
      </c>
      <c r="E3681">
        <v>-1.0013351134846471E-2</v>
      </c>
      <c r="F3681">
        <v>3678</v>
      </c>
      <c r="G3681">
        <f t="shared" ca="1" si="119"/>
        <v>5.3764026787672774E-2</v>
      </c>
    </row>
    <row r="3682" spans="2:7" x14ac:dyDescent="0.35">
      <c r="B3682" s="2">
        <v>37753</v>
      </c>
      <c r="C3682" s="4">
        <v>20.76</v>
      </c>
      <c r="D3682">
        <f t="shared" si="118"/>
        <v>-0.96868494886415057</v>
      </c>
      <c r="E3682">
        <v>-1.0014306151645114E-2</v>
      </c>
      <c r="F3682">
        <v>3679</v>
      </c>
      <c r="G3682">
        <f t="shared" ca="1" si="119"/>
        <v>4.1982025828697735E-2</v>
      </c>
    </row>
    <row r="3683" spans="2:7" x14ac:dyDescent="0.35">
      <c r="B3683" s="2">
        <v>42804</v>
      </c>
      <c r="C3683" s="4">
        <v>662.94</v>
      </c>
      <c r="D3683">
        <f t="shared" si="118"/>
        <v>0.22766666666666668</v>
      </c>
      <c r="E3683">
        <v>-1.0020159784962179E-2</v>
      </c>
      <c r="F3683">
        <v>3680</v>
      </c>
      <c r="G3683">
        <f t="shared" ca="1" si="119"/>
        <v>1.209661615636985E-2</v>
      </c>
    </row>
    <row r="3684" spans="2:7" x14ac:dyDescent="0.35">
      <c r="B3684" s="2">
        <v>42082</v>
      </c>
      <c r="C3684" s="4">
        <v>540</v>
      </c>
      <c r="D3684">
        <f t="shared" si="118"/>
        <v>5.4362336114421925</v>
      </c>
      <c r="E3684">
        <v>-1.002804920527256E-2</v>
      </c>
      <c r="F3684">
        <v>3681</v>
      </c>
      <c r="G3684">
        <f t="shared" ca="1" si="119"/>
        <v>7.0268986926024504E-3</v>
      </c>
    </row>
    <row r="3685" spans="2:7" x14ac:dyDescent="0.35">
      <c r="B3685" s="2">
        <v>41390</v>
      </c>
      <c r="C3685" s="4">
        <v>83.9</v>
      </c>
      <c r="D3685">
        <f t="shared" si="118"/>
        <v>-1.0963102675940029E-2</v>
      </c>
      <c r="E3685">
        <v>-1.0029498525073732E-2</v>
      </c>
      <c r="F3685">
        <v>3682</v>
      </c>
      <c r="G3685">
        <f t="shared" ca="1" si="119"/>
        <v>-4.5847234973542615E-2</v>
      </c>
    </row>
    <row r="3686" spans="2:7" x14ac:dyDescent="0.35">
      <c r="B3686" s="2">
        <v>40840</v>
      </c>
      <c r="C3686" s="4">
        <v>84.83</v>
      </c>
      <c r="D3686">
        <f t="shared" si="118"/>
        <v>-0.90225156710914456</v>
      </c>
      <c r="E3686">
        <v>-1.0036176916793038E-2</v>
      </c>
      <c r="F3686">
        <v>3683</v>
      </c>
      <c r="G3686">
        <f t="shared" ca="1" si="119"/>
        <v>2.2992028750236222E-2</v>
      </c>
    </row>
    <row r="3687" spans="2:7" x14ac:dyDescent="0.35">
      <c r="B3687" s="2">
        <v>42465</v>
      </c>
      <c r="C3687" s="4">
        <v>867.84</v>
      </c>
      <c r="D3687">
        <f t="shared" si="118"/>
        <v>6.8801416507763555</v>
      </c>
      <c r="E3687">
        <v>-1.004962071522264E-2</v>
      </c>
      <c r="F3687">
        <v>3684</v>
      </c>
      <c r="G3687">
        <f t="shared" ca="1" si="119"/>
        <v>-3.5203134381267834E-2</v>
      </c>
    </row>
    <row r="3688" spans="2:7" x14ac:dyDescent="0.35">
      <c r="B3688" s="2">
        <v>39311</v>
      </c>
      <c r="C3688" s="4">
        <v>110.13</v>
      </c>
      <c r="D3688">
        <f t="shared" si="118"/>
        <v>0.49369320493693181</v>
      </c>
      <c r="E3688">
        <v>-1.0067415730337093E-2</v>
      </c>
      <c r="F3688">
        <v>3685</v>
      </c>
      <c r="G3688">
        <f t="shared" ca="1" si="119"/>
        <v>9.2988789586487645E-3</v>
      </c>
    </row>
    <row r="3689" spans="2:7" x14ac:dyDescent="0.35">
      <c r="B3689" s="2">
        <v>39486</v>
      </c>
      <c r="C3689" s="4">
        <v>73.73</v>
      </c>
      <c r="D3689">
        <f t="shared" si="118"/>
        <v>-0.91739120691973286</v>
      </c>
      <c r="E3689">
        <v>-1.0069817400644498E-2</v>
      </c>
      <c r="F3689">
        <v>3686</v>
      </c>
      <c r="G3689">
        <f t="shared" ca="1" si="119"/>
        <v>6.0719999666247792E-3</v>
      </c>
    </row>
    <row r="3690" spans="2:7" x14ac:dyDescent="0.35">
      <c r="B3690" s="2">
        <v>44025</v>
      </c>
      <c r="C3690" s="4">
        <v>892.52</v>
      </c>
      <c r="D3690">
        <f t="shared" si="118"/>
        <v>10.983351235230934</v>
      </c>
      <c r="E3690">
        <v>-1.008196448575327E-2</v>
      </c>
      <c r="F3690">
        <v>3687</v>
      </c>
      <c r="G3690">
        <f t="shared" ca="1" si="119"/>
        <v>4.4006507131536306E-3</v>
      </c>
    </row>
    <row r="3691" spans="2:7" x14ac:dyDescent="0.35">
      <c r="B3691" s="2">
        <v>39485</v>
      </c>
      <c r="C3691" s="4">
        <v>74.48</v>
      </c>
      <c r="D3691">
        <f t="shared" si="118"/>
        <v>0.52</v>
      </c>
      <c r="E3691">
        <v>-1.0101010101009944E-2</v>
      </c>
      <c r="F3691">
        <v>3688</v>
      </c>
      <c r="G3691">
        <f t="shared" ca="1" si="119"/>
        <v>-6.3151673429498604E-3</v>
      </c>
    </row>
    <row r="3692" spans="2:7" x14ac:dyDescent="0.35">
      <c r="B3692" s="2">
        <v>38369</v>
      </c>
      <c r="C3692" s="4">
        <v>49</v>
      </c>
      <c r="D3692">
        <f t="shared" si="118"/>
        <v>-0.24207269914926532</v>
      </c>
      <c r="E3692">
        <v>-1.0101010101010055E-2</v>
      </c>
      <c r="F3692">
        <v>3689</v>
      </c>
      <c r="G3692">
        <f t="shared" ca="1" si="119"/>
        <v>3.5599778098700491E-2</v>
      </c>
    </row>
    <row r="3693" spans="2:7" x14ac:dyDescent="0.35">
      <c r="B3693" s="2">
        <v>38890</v>
      </c>
      <c r="C3693" s="4">
        <v>64.650000000000006</v>
      </c>
      <c r="D3693">
        <f t="shared" si="118"/>
        <v>-0.9502420552763432</v>
      </c>
      <c r="E3693">
        <v>-1.010564997703256E-2</v>
      </c>
      <c r="F3693">
        <v>3690</v>
      </c>
      <c r="G3693">
        <f t="shared" ca="1" si="119"/>
        <v>-3.3256086139092866E-2</v>
      </c>
    </row>
    <row r="3694" spans="2:7" x14ac:dyDescent="0.35">
      <c r="B3694" s="2">
        <v>43304</v>
      </c>
      <c r="C3694" s="4">
        <v>1299.29</v>
      </c>
      <c r="D3694">
        <f t="shared" si="118"/>
        <v>0.82556342381835535</v>
      </c>
      <c r="E3694">
        <v>-1.0110014018406721E-2</v>
      </c>
      <c r="F3694">
        <v>3691</v>
      </c>
      <c r="G3694">
        <f t="shared" ca="1" si="119"/>
        <v>2.3917185386520337E-2</v>
      </c>
    </row>
    <row r="3695" spans="2:7" x14ac:dyDescent="0.35">
      <c r="B3695" s="2">
        <v>42838</v>
      </c>
      <c r="C3695" s="4">
        <v>711.72</v>
      </c>
      <c r="D3695">
        <f t="shared" si="118"/>
        <v>5.3478415982875491</v>
      </c>
      <c r="E3695">
        <v>-1.0138941043935312E-2</v>
      </c>
      <c r="F3695">
        <v>3692</v>
      </c>
      <c r="G3695">
        <f t="shared" ca="1" si="119"/>
        <v>6.1514472317788144E-2</v>
      </c>
    </row>
    <row r="3696" spans="2:7" x14ac:dyDescent="0.35">
      <c r="B3696" s="2">
        <v>39224</v>
      </c>
      <c r="C3696" s="4">
        <v>112.12</v>
      </c>
      <c r="D3696">
        <f t="shared" si="118"/>
        <v>-0.98106381756950756</v>
      </c>
      <c r="E3696">
        <v>-1.015273240928749E-2</v>
      </c>
      <c r="F3696">
        <v>3693</v>
      </c>
      <c r="G3696">
        <f t="shared" ca="1" si="119"/>
        <v>2.6800299531698758E-2</v>
      </c>
    </row>
    <row r="3697" spans="2:7" x14ac:dyDescent="0.35">
      <c r="B3697" s="2">
        <v>44525</v>
      </c>
      <c r="C3697" s="4">
        <v>5920.94</v>
      </c>
      <c r="D3697">
        <f t="shared" si="118"/>
        <v>88.724806788907415</v>
      </c>
      <c r="E3697">
        <v>-1.0170885589239398E-2</v>
      </c>
      <c r="F3697">
        <v>3694</v>
      </c>
      <c r="G3697">
        <f t="shared" ca="1" si="119"/>
        <v>2.9483857585372503E-2</v>
      </c>
    </row>
    <row r="3698" spans="2:7" x14ac:dyDescent="0.35">
      <c r="B3698" s="2">
        <v>38783</v>
      </c>
      <c r="C3698" s="4">
        <v>65.989999999999995</v>
      </c>
      <c r="D3698">
        <f t="shared" si="118"/>
        <v>-0.92978517391443138</v>
      </c>
      <c r="E3698">
        <v>-1.0199490025498803E-2</v>
      </c>
      <c r="F3698">
        <v>3695</v>
      </c>
      <c r="G3698">
        <f t="shared" ca="1" si="119"/>
        <v>-3.6597702550572916E-2</v>
      </c>
    </row>
    <row r="3699" spans="2:7" x14ac:dyDescent="0.35">
      <c r="B3699" s="2">
        <v>43455</v>
      </c>
      <c r="C3699" s="4">
        <v>939.83</v>
      </c>
      <c r="D3699">
        <f t="shared" si="118"/>
        <v>-0.77483924447298058</v>
      </c>
      <c r="E3699">
        <v>-1.0205156289493589E-2</v>
      </c>
      <c r="F3699">
        <v>3696</v>
      </c>
      <c r="G3699">
        <f t="shared" ca="1" si="119"/>
        <v>-1.0939712342469474E-2</v>
      </c>
    </row>
    <row r="3700" spans="2:7" x14ac:dyDescent="0.35">
      <c r="B3700" s="2">
        <v>44419</v>
      </c>
      <c r="C3700" s="4">
        <v>4174.04</v>
      </c>
      <c r="D3700">
        <f t="shared" si="118"/>
        <v>66.334086142926282</v>
      </c>
      <c r="E3700">
        <v>-1.0215502523048925E-2</v>
      </c>
      <c r="F3700">
        <v>3697</v>
      </c>
      <c r="G3700">
        <f t="shared" ca="1" si="119"/>
        <v>3.8260844364700557E-2</v>
      </c>
    </row>
    <row r="3701" spans="2:7" x14ac:dyDescent="0.35">
      <c r="B3701" s="2">
        <v>38520</v>
      </c>
      <c r="C3701" s="4">
        <v>61.99</v>
      </c>
      <c r="D3701">
        <f t="shared" si="118"/>
        <v>-5.8045889682419083E-2</v>
      </c>
      <c r="E3701">
        <v>-1.0218745010378449E-2</v>
      </c>
      <c r="F3701">
        <v>3698</v>
      </c>
      <c r="G3701">
        <f t="shared" ca="1" si="119"/>
        <v>1.3269208946949241E-2</v>
      </c>
    </row>
    <row r="3702" spans="2:7" x14ac:dyDescent="0.35">
      <c r="B3702" s="2">
        <v>40051</v>
      </c>
      <c r="C3702" s="4">
        <v>65.81</v>
      </c>
      <c r="D3702">
        <f t="shared" si="118"/>
        <v>-0.89113136693741835</v>
      </c>
      <c r="E3702">
        <v>-1.0227101819822448E-2</v>
      </c>
      <c r="F3702">
        <v>3699</v>
      </c>
      <c r="G3702">
        <f t="shared" ca="1" si="119"/>
        <v>2.2979573030703824E-3</v>
      </c>
    </row>
    <row r="3703" spans="2:7" x14ac:dyDescent="0.35">
      <c r="B3703" s="2">
        <v>42660</v>
      </c>
      <c r="C3703" s="4">
        <v>604.49</v>
      </c>
      <c r="D3703">
        <f t="shared" si="118"/>
        <v>3.6424237769756544</v>
      </c>
      <c r="E3703">
        <v>-1.0249693000409343E-2</v>
      </c>
      <c r="F3703">
        <v>3700</v>
      </c>
      <c r="G3703">
        <f t="shared" ca="1" si="119"/>
        <v>-2.8100125740286183E-2</v>
      </c>
    </row>
    <row r="3704" spans="2:7" x14ac:dyDescent="0.35">
      <c r="B3704" s="2">
        <v>40491</v>
      </c>
      <c r="C3704" s="4">
        <v>130.21</v>
      </c>
      <c r="D3704">
        <f t="shared" si="118"/>
        <v>-0.76452184606481488</v>
      </c>
      <c r="E3704">
        <v>-1.0261477652781958E-2</v>
      </c>
      <c r="F3704">
        <v>3701</v>
      </c>
      <c r="G3704">
        <f t="shared" ca="1" si="119"/>
        <v>2.288292540042371E-2</v>
      </c>
    </row>
    <row r="3705" spans="2:7" x14ac:dyDescent="0.35">
      <c r="B3705" s="2">
        <v>42181</v>
      </c>
      <c r="C3705" s="4">
        <v>552.96</v>
      </c>
      <c r="D3705">
        <f t="shared" si="118"/>
        <v>14.949235650418229</v>
      </c>
      <c r="E3705">
        <v>-1.0273850008949315E-2</v>
      </c>
      <c r="F3705">
        <v>3702</v>
      </c>
      <c r="G3705">
        <f t="shared" ca="1" si="119"/>
        <v>-6.6191871564275535E-3</v>
      </c>
    </row>
    <row r="3706" spans="2:7" x14ac:dyDescent="0.35">
      <c r="B3706" s="2">
        <v>39772</v>
      </c>
      <c r="C3706" s="4">
        <v>34.67</v>
      </c>
      <c r="D3706">
        <f t="shared" si="118"/>
        <v>-0.99501967994943541</v>
      </c>
      <c r="E3706">
        <v>-1.0276905509563172E-2</v>
      </c>
      <c r="F3706">
        <v>3703</v>
      </c>
      <c r="G3706">
        <f t="shared" ca="1" si="119"/>
        <v>2.6883256080046172E-2</v>
      </c>
    </row>
    <row r="3707" spans="2:7" x14ac:dyDescent="0.35">
      <c r="B3707" s="2">
        <v>44900</v>
      </c>
      <c r="C3707" s="4">
        <v>6961.4</v>
      </c>
      <c r="D3707">
        <f t="shared" si="118"/>
        <v>6.6786640046768655</v>
      </c>
      <c r="E3707">
        <v>-1.0314261545788628E-2</v>
      </c>
      <c r="F3707">
        <v>3704</v>
      </c>
      <c r="G3707">
        <f t="shared" ca="1" si="119"/>
        <v>-3.0925618141266268E-2</v>
      </c>
    </row>
    <row r="3708" spans="2:7" x14ac:dyDescent="0.35">
      <c r="B3708" s="2">
        <v>42342</v>
      </c>
      <c r="C3708" s="4">
        <v>906.59</v>
      </c>
      <c r="D3708">
        <f t="shared" si="118"/>
        <v>6.6395887755961915</v>
      </c>
      <c r="E3708">
        <v>-1.033775080234911E-2</v>
      </c>
      <c r="F3708">
        <v>3705</v>
      </c>
      <c r="G3708">
        <f t="shared" ca="1" si="119"/>
        <v>-3.633440515264421E-2</v>
      </c>
    </row>
    <row r="3709" spans="2:7" x14ac:dyDescent="0.35">
      <c r="B3709" s="2">
        <v>39261</v>
      </c>
      <c r="C3709" s="4">
        <v>118.67</v>
      </c>
      <c r="D3709">
        <f t="shared" si="118"/>
        <v>1.384847266881029</v>
      </c>
      <c r="E3709">
        <v>-1.0341089150195937E-2</v>
      </c>
      <c r="F3709">
        <v>3706</v>
      </c>
      <c r="G3709">
        <f t="shared" ca="1" si="119"/>
        <v>-8.781355919942533E-3</v>
      </c>
    </row>
    <row r="3710" spans="2:7" x14ac:dyDescent="0.35">
      <c r="B3710" s="2">
        <v>38338</v>
      </c>
      <c r="C3710" s="4">
        <v>49.76</v>
      </c>
      <c r="D3710">
        <f t="shared" si="118"/>
        <v>-0.99081327275311959</v>
      </c>
      <c r="E3710">
        <v>-1.0342084327764622E-2</v>
      </c>
      <c r="F3710">
        <v>3707</v>
      </c>
      <c r="G3710">
        <f t="shared" ca="1" si="119"/>
        <v>-4.0690972270680567E-2</v>
      </c>
    </row>
    <row r="3711" spans="2:7" x14ac:dyDescent="0.35">
      <c r="B3711" s="2">
        <v>44557</v>
      </c>
      <c r="C3711" s="4">
        <v>5416.51</v>
      </c>
      <c r="D3711">
        <f t="shared" si="118"/>
        <v>74.523006134969336</v>
      </c>
      <c r="E3711">
        <v>-1.0343277691700514E-2</v>
      </c>
      <c r="F3711">
        <v>3708</v>
      </c>
      <c r="G3711">
        <f t="shared" ca="1" si="119"/>
        <v>3.70365999762269E-3</v>
      </c>
    </row>
    <row r="3712" spans="2:7" x14ac:dyDescent="0.35">
      <c r="B3712" s="2">
        <v>38707</v>
      </c>
      <c r="C3712" s="4">
        <v>71.72</v>
      </c>
      <c r="D3712">
        <f t="shared" si="118"/>
        <v>-0.43165068547428476</v>
      </c>
      <c r="E3712">
        <v>-1.0349109976542037E-2</v>
      </c>
      <c r="F3712">
        <v>3709</v>
      </c>
      <c r="G3712">
        <f t="shared" ca="1" si="119"/>
        <v>-5.3844306667356151E-2</v>
      </c>
    </row>
    <row r="3713" spans="2:7" x14ac:dyDescent="0.35">
      <c r="B3713" s="2">
        <v>40277</v>
      </c>
      <c r="C3713" s="4">
        <v>126.19</v>
      </c>
      <c r="D3713">
        <f t="shared" si="118"/>
        <v>1.166351931330472</v>
      </c>
      <c r="E3713">
        <v>-1.035212924476514E-2</v>
      </c>
      <c r="F3713">
        <v>3710</v>
      </c>
      <c r="G3713">
        <f t="shared" ca="1" si="119"/>
        <v>-1.9759410629067144E-2</v>
      </c>
    </row>
    <row r="3714" spans="2:7" x14ac:dyDescent="0.35">
      <c r="B3714" s="2">
        <v>38470</v>
      </c>
      <c r="C3714" s="4">
        <v>58.25</v>
      </c>
      <c r="D3714">
        <f t="shared" si="118"/>
        <v>0.6487404472120013</v>
      </c>
      <c r="E3714">
        <v>-1.0363574583758028E-2</v>
      </c>
      <c r="F3714">
        <v>3711</v>
      </c>
      <c r="G3714">
        <f t="shared" ca="1" si="119"/>
        <v>-2.6738549379855144E-2</v>
      </c>
    </row>
    <row r="3715" spans="2:7" x14ac:dyDescent="0.35">
      <c r="B3715" s="2">
        <v>39770</v>
      </c>
      <c r="C3715" s="4">
        <v>35.33</v>
      </c>
      <c r="D3715">
        <f t="shared" si="118"/>
        <v>0.19519621109607588</v>
      </c>
      <c r="E3715">
        <v>-1.036414565826338E-2</v>
      </c>
      <c r="F3715">
        <v>3712</v>
      </c>
      <c r="G3715">
        <f t="shared" ca="1" si="119"/>
        <v>-1.8835401563059722E-3</v>
      </c>
    </row>
    <row r="3716" spans="2:7" x14ac:dyDescent="0.35">
      <c r="B3716" s="2">
        <v>37608</v>
      </c>
      <c r="C3716" s="4">
        <v>29.56</v>
      </c>
      <c r="D3716">
        <f t="shared" ref="D3716:D3779" si="120">C3716/C3717-1</f>
        <v>-0.96328360804382118</v>
      </c>
      <c r="E3716">
        <v>-1.0378305992634784E-2</v>
      </c>
      <c r="F3716">
        <v>3713</v>
      </c>
      <c r="G3716">
        <f t="shared" ca="1" si="119"/>
        <v>-9.5328482052724657E-3</v>
      </c>
    </row>
    <row r="3717" spans="2:7" x14ac:dyDescent="0.35">
      <c r="B3717" s="2">
        <v>43990</v>
      </c>
      <c r="C3717" s="4">
        <v>805.09</v>
      </c>
      <c r="D3717">
        <f t="shared" si="120"/>
        <v>-8.9676616915422835E-2</v>
      </c>
      <c r="E3717">
        <v>-1.0386705017577436E-2</v>
      </c>
      <c r="F3717">
        <v>3714</v>
      </c>
      <c r="G3717">
        <f t="shared" ref="G3717:G3780" ca="1" si="121">_xlfn.NORM.INV(RAND(),K$6,K$7)</f>
        <v>-5.8414575189158673E-3</v>
      </c>
    </row>
    <row r="3718" spans="2:7" x14ac:dyDescent="0.35">
      <c r="B3718" s="2">
        <v>42257</v>
      </c>
      <c r="C3718" s="4">
        <v>884.4</v>
      </c>
      <c r="D3718">
        <f t="shared" si="120"/>
        <v>-0.89667379341768605</v>
      </c>
      <c r="E3718">
        <v>-1.0428322069552021E-2</v>
      </c>
      <c r="F3718">
        <v>3715</v>
      </c>
      <c r="G3718">
        <f t="shared" ca="1" si="121"/>
        <v>3.9342472762338241E-3</v>
      </c>
    </row>
    <row r="3719" spans="2:7" x14ac:dyDescent="0.35">
      <c r="B3719" s="2">
        <v>44722</v>
      </c>
      <c r="C3719" s="4">
        <v>8559.2999999999993</v>
      </c>
      <c r="D3719">
        <f t="shared" si="120"/>
        <v>290.13265306122446</v>
      </c>
      <c r="E3719">
        <v>-1.0432924756692441E-2</v>
      </c>
      <c r="F3719">
        <v>3716</v>
      </c>
      <c r="G3719">
        <f t="shared" ca="1" si="121"/>
        <v>-4.2344118411968966E-2</v>
      </c>
    </row>
    <row r="3720" spans="2:7" x14ac:dyDescent="0.35">
      <c r="B3720" s="2">
        <v>37552</v>
      </c>
      <c r="C3720" s="4">
        <v>29.4</v>
      </c>
      <c r="D3720">
        <f t="shared" si="120"/>
        <v>-0.95702822397942033</v>
      </c>
      <c r="E3720">
        <v>-1.043419723998662E-2</v>
      </c>
      <c r="F3720">
        <v>3717</v>
      </c>
      <c r="G3720">
        <f t="shared" ca="1" si="121"/>
        <v>-4.5064085654585015E-2</v>
      </c>
    </row>
    <row r="3721" spans="2:7" x14ac:dyDescent="0.35">
      <c r="B3721" s="2">
        <v>42780</v>
      </c>
      <c r="C3721" s="4">
        <v>684.17</v>
      </c>
      <c r="D3721">
        <f t="shared" si="120"/>
        <v>7.701131883505024</v>
      </c>
      <c r="E3721">
        <v>-1.0442731309391218E-2</v>
      </c>
      <c r="F3721">
        <v>3718</v>
      </c>
      <c r="G3721">
        <f t="shared" ca="1" si="121"/>
        <v>3.7185260432277462E-2</v>
      </c>
    </row>
    <row r="3722" spans="2:7" x14ac:dyDescent="0.35">
      <c r="B3722" s="2">
        <v>39008</v>
      </c>
      <c r="C3722" s="4">
        <v>78.63</v>
      </c>
      <c r="D3722">
        <f t="shared" si="120"/>
        <v>-0.98771264177420515</v>
      </c>
      <c r="E3722">
        <v>-1.0445507173420521E-2</v>
      </c>
      <c r="F3722">
        <v>3719</v>
      </c>
      <c r="G3722">
        <f t="shared" ca="1" si="121"/>
        <v>-1.6940826259488923E-2</v>
      </c>
    </row>
    <row r="3723" spans="2:7" x14ac:dyDescent="0.35">
      <c r="B3723" s="2">
        <v>44620</v>
      </c>
      <c r="C3723" s="4">
        <v>6399.26</v>
      </c>
      <c r="D3723">
        <f t="shared" si="120"/>
        <v>8.5187421907538532</v>
      </c>
      <c r="E3723">
        <v>-1.0445644761482131E-2</v>
      </c>
      <c r="F3723">
        <v>3720</v>
      </c>
      <c r="G3723">
        <f t="shared" ca="1" si="121"/>
        <v>-2.2630449106192923E-2</v>
      </c>
    </row>
    <row r="3724" spans="2:7" x14ac:dyDescent="0.35">
      <c r="B3724" s="2">
        <v>42773</v>
      </c>
      <c r="C3724" s="4">
        <v>672.28</v>
      </c>
      <c r="D3724">
        <f t="shared" si="120"/>
        <v>-0.17782017415125717</v>
      </c>
      <c r="E3724">
        <v>-1.0450705054608656E-2</v>
      </c>
      <c r="F3724">
        <v>3721</v>
      </c>
      <c r="G3724">
        <f t="shared" ca="1" si="121"/>
        <v>2.9502766769752217E-2</v>
      </c>
    </row>
    <row r="3725" spans="2:7" x14ac:dyDescent="0.35">
      <c r="B3725" s="2">
        <v>42537</v>
      </c>
      <c r="C3725" s="4">
        <v>817.68</v>
      </c>
      <c r="D3725">
        <f t="shared" si="120"/>
        <v>-0.12676477498451488</v>
      </c>
      <c r="E3725">
        <v>-1.0455997676445117E-2</v>
      </c>
      <c r="F3725">
        <v>3722</v>
      </c>
      <c r="G3725">
        <f t="shared" ca="1" si="121"/>
        <v>4.6820432150464886E-2</v>
      </c>
    </row>
    <row r="3726" spans="2:7" x14ac:dyDescent="0.35">
      <c r="B3726" s="2">
        <v>43147</v>
      </c>
      <c r="C3726" s="4">
        <v>936.38</v>
      </c>
      <c r="D3726">
        <f t="shared" si="120"/>
        <v>11.69495661605206</v>
      </c>
      <c r="E3726">
        <v>-1.0462019698186609E-2</v>
      </c>
      <c r="F3726">
        <v>3723</v>
      </c>
      <c r="G3726">
        <f t="shared" ca="1" si="121"/>
        <v>2.6924609654516509E-2</v>
      </c>
    </row>
    <row r="3727" spans="2:7" x14ac:dyDescent="0.35">
      <c r="B3727" s="2">
        <v>39498</v>
      </c>
      <c r="C3727" s="4">
        <v>73.760000000000005</v>
      </c>
      <c r="D3727">
        <f t="shared" si="120"/>
        <v>2.7154992340899575E-2</v>
      </c>
      <c r="E3727">
        <v>-1.0464180305876036E-2</v>
      </c>
      <c r="F3727">
        <v>3724</v>
      </c>
      <c r="G3727">
        <f t="shared" ca="1" si="121"/>
        <v>1.5679935006414347E-2</v>
      </c>
    </row>
    <row r="3728" spans="2:7" x14ac:dyDescent="0.35">
      <c r="B3728" s="2">
        <v>40107</v>
      </c>
      <c r="C3728" s="4">
        <v>71.81</v>
      </c>
      <c r="D3728">
        <f t="shared" si="120"/>
        <v>-0.57746395998823186</v>
      </c>
      <c r="E3728">
        <v>-1.047264709935225E-2</v>
      </c>
      <c r="F3728">
        <v>3725</v>
      </c>
      <c r="G3728">
        <f t="shared" ca="1" si="121"/>
        <v>3.3246402671325989E-2</v>
      </c>
    </row>
    <row r="3729" spans="2:7" x14ac:dyDescent="0.35">
      <c r="B3729" s="2">
        <v>41654</v>
      </c>
      <c r="C3729" s="4">
        <v>169.95</v>
      </c>
      <c r="D3729">
        <f t="shared" si="120"/>
        <v>-0.37018233026978953</v>
      </c>
      <c r="E3729">
        <v>-1.0480349344978213E-2</v>
      </c>
      <c r="F3729">
        <v>3726</v>
      </c>
      <c r="G3729">
        <f t="shared" ca="1" si="121"/>
        <v>-5.8119022184858924E-3</v>
      </c>
    </row>
    <row r="3730" spans="2:7" x14ac:dyDescent="0.35">
      <c r="B3730" s="2">
        <v>41988</v>
      </c>
      <c r="C3730" s="4">
        <v>269.83999999999997</v>
      </c>
      <c r="D3730">
        <f t="shared" si="120"/>
        <v>3.0286652732158847</v>
      </c>
      <c r="E3730">
        <v>-1.0487715438210587E-2</v>
      </c>
      <c r="F3730">
        <v>3727</v>
      </c>
      <c r="G3730">
        <f t="shared" ca="1" si="121"/>
        <v>1.1539056841064578E-2</v>
      </c>
    </row>
    <row r="3731" spans="2:7" x14ac:dyDescent="0.35">
      <c r="B3731" s="2">
        <v>38665</v>
      </c>
      <c r="C3731" s="4">
        <v>66.98</v>
      </c>
      <c r="D3731">
        <f t="shared" si="120"/>
        <v>-0.32206477732793515</v>
      </c>
      <c r="E3731">
        <v>-1.04889939429752E-2</v>
      </c>
      <c r="F3731">
        <v>3728</v>
      </c>
      <c r="G3731">
        <f t="shared" ca="1" si="121"/>
        <v>9.3064196668374878E-3</v>
      </c>
    </row>
    <row r="3732" spans="2:7" x14ac:dyDescent="0.35">
      <c r="B3732" s="2">
        <v>41597</v>
      </c>
      <c r="C3732" s="4">
        <v>98.8</v>
      </c>
      <c r="D3732">
        <f t="shared" si="120"/>
        <v>-4.5226130653266416E-2</v>
      </c>
      <c r="E3732">
        <v>-1.0515773660490724E-2</v>
      </c>
      <c r="F3732">
        <v>3729</v>
      </c>
      <c r="G3732">
        <f t="shared" ca="1" si="121"/>
        <v>1.7845810996561146E-2</v>
      </c>
    </row>
    <row r="3733" spans="2:7" x14ac:dyDescent="0.35">
      <c r="B3733" s="2">
        <v>39318</v>
      </c>
      <c r="C3733" s="4">
        <v>103.48</v>
      </c>
      <c r="D3733">
        <f t="shared" si="120"/>
        <v>-0.98505855003826326</v>
      </c>
      <c r="E3733">
        <v>-1.0518263530311711E-2</v>
      </c>
      <c r="F3733">
        <v>3730</v>
      </c>
      <c r="G3733">
        <f t="shared" ca="1" si="121"/>
        <v>-1.1947810769803016E-2</v>
      </c>
    </row>
    <row r="3734" spans="2:7" x14ac:dyDescent="0.35">
      <c r="B3734" s="2">
        <v>44875</v>
      </c>
      <c r="C3734" s="4">
        <v>6925.7</v>
      </c>
      <c r="D3734">
        <f t="shared" si="120"/>
        <v>118.03918872464764</v>
      </c>
      <c r="E3734">
        <v>-1.0543610257875535E-2</v>
      </c>
      <c r="F3734">
        <v>3731</v>
      </c>
      <c r="G3734">
        <f t="shared" ca="1" si="121"/>
        <v>-2.6568288825190595E-3</v>
      </c>
    </row>
    <row r="3735" spans="2:7" x14ac:dyDescent="0.35">
      <c r="B3735" s="2">
        <v>38399</v>
      </c>
      <c r="C3735" s="4">
        <v>58.18</v>
      </c>
      <c r="D3735">
        <f t="shared" si="120"/>
        <v>-0.92402815319726828</v>
      </c>
      <c r="E3735">
        <v>-1.0544217687074808E-2</v>
      </c>
      <c r="F3735">
        <v>3732</v>
      </c>
      <c r="G3735">
        <f t="shared" ca="1" si="121"/>
        <v>8.5598672602774234E-3</v>
      </c>
    </row>
    <row r="3736" spans="2:7" x14ac:dyDescent="0.35">
      <c r="B3736" s="2">
        <v>42978</v>
      </c>
      <c r="C3736" s="4">
        <v>765.81</v>
      </c>
      <c r="D3736">
        <f t="shared" si="120"/>
        <v>-0.11436336301607508</v>
      </c>
      <c r="E3736">
        <v>-1.0555828315977234E-2</v>
      </c>
      <c r="F3736">
        <v>3733</v>
      </c>
      <c r="G3736">
        <f t="shared" ca="1" si="121"/>
        <v>-7.9320450321916022E-3</v>
      </c>
    </row>
    <row r="3737" spans="2:7" x14ac:dyDescent="0.35">
      <c r="B3737" s="2">
        <v>42493</v>
      </c>
      <c r="C3737" s="4">
        <v>864.7</v>
      </c>
      <c r="D3737">
        <f t="shared" si="120"/>
        <v>7.8771395778232556E-2</v>
      </c>
      <c r="E3737">
        <v>-1.0572808201936068E-2</v>
      </c>
      <c r="F3737">
        <v>3734</v>
      </c>
      <c r="G3737">
        <f t="shared" ca="1" si="121"/>
        <v>-5.2300006662391561E-3</v>
      </c>
    </row>
    <row r="3738" spans="2:7" x14ac:dyDescent="0.35">
      <c r="B3738" s="2">
        <v>43640</v>
      </c>
      <c r="C3738" s="4">
        <v>801.56</v>
      </c>
      <c r="D3738">
        <f t="shared" si="120"/>
        <v>8.4367789027548863</v>
      </c>
      <c r="E3738">
        <v>-1.0578549121745939E-2</v>
      </c>
      <c r="F3738">
        <v>3735</v>
      </c>
      <c r="G3738">
        <f t="shared" ca="1" si="121"/>
        <v>2.7626577372010883E-2</v>
      </c>
    </row>
    <row r="3739" spans="2:7" x14ac:dyDescent="0.35">
      <c r="B3739" s="2">
        <v>41367</v>
      </c>
      <c r="C3739" s="4">
        <v>84.94</v>
      </c>
      <c r="D3739">
        <f t="shared" si="120"/>
        <v>-0.14063132335087014</v>
      </c>
      <c r="E3739">
        <v>-1.0599883517763531E-2</v>
      </c>
      <c r="F3739">
        <v>3736</v>
      </c>
      <c r="G3739">
        <f t="shared" ca="1" si="121"/>
        <v>3.5585886523136758E-4</v>
      </c>
    </row>
    <row r="3740" spans="2:7" x14ac:dyDescent="0.35">
      <c r="B3740" s="2">
        <v>41169</v>
      </c>
      <c r="C3740" s="4">
        <v>98.84</v>
      </c>
      <c r="D3740">
        <f t="shared" si="120"/>
        <v>4.0859309182813996E-2</v>
      </c>
      <c r="E3740">
        <v>-1.0610610610610638E-2</v>
      </c>
      <c r="F3740">
        <v>3737</v>
      </c>
      <c r="G3740">
        <f t="shared" ca="1" si="121"/>
        <v>2.272939055046291E-2</v>
      </c>
    </row>
    <row r="3741" spans="2:7" x14ac:dyDescent="0.35">
      <c r="B3741" s="2">
        <v>41306</v>
      </c>
      <c r="C3741" s="4">
        <v>94.96</v>
      </c>
      <c r="D3741">
        <f t="shared" si="120"/>
        <v>-0.86215105898064948</v>
      </c>
      <c r="E3741">
        <v>-1.0627214002917329E-2</v>
      </c>
      <c r="F3741">
        <v>3738</v>
      </c>
      <c r="G3741">
        <f t="shared" ca="1" si="121"/>
        <v>4.4408237354161134E-3</v>
      </c>
    </row>
    <row r="3742" spans="2:7" x14ac:dyDescent="0.35">
      <c r="B3742" s="2">
        <v>42821</v>
      </c>
      <c r="C3742" s="4">
        <v>688.87</v>
      </c>
      <c r="D3742">
        <f t="shared" si="120"/>
        <v>-0.49520759749681242</v>
      </c>
      <c r="E3742">
        <v>-1.062806095336577E-2</v>
      </c>
      <c r="F3742">
        <v>3739</v>
      </c>
      <c r="G3742">
        <f t="shared" ca="1" si="121"/>
        <v>4.8464360037352595E-3</v>
      </c>
    </row>
    <row r="3743" spans="2:7" x14ac:dyDescent="0.35">
      <c r="B3743" s="2">
        <v>43307</v>
      </c>
      <c r="C3743" s="4">
        <v>1364.66</v>
      </c>
      <c r="D3743">
        <f t="shared" si="120"/>
        <v>0.62442119296742016</v>
      </c>
      <c r="E3743">
        <v>-1.0642771180419452E-2</v>
      </c>
      <c r="F3743">
        <v>3740</v>
      </c>
      <c r="G3743">
        <f t="shared" ca="1" si="121"/>
        <v>2.6256189254929056E-2</v>
      </c>
    </row>
    <row r="3744" spans="2:7" x14ac:dyDescent="0.35">
      <c r="B3744" s="2">
        <v>42222</v>
      </c>
      <c r="C3744" s="4">
        <v>840.09</v>
      </c>
      <c r="D3744">
        <f t="shared" si="120"/>
        <v>-0.87174883784835921</v>
      </c>
      <c r="E3744">
        <v>-1.066949302243414E-2</v>
      </c>
      <c r="F3744">
        <v>3741</v>
      </c>
      <c r="G3744">
        <f t="shared" ca="1" si="121"/>
        <v>1.1057742803811563E-2</v>
      </c>
    </row>
    <row r="3745" spans="2:7" x14ac:dyDescent="0.35">
      <c r="B3745" s="2">
        <v>44910</v>
      </c>
      <c r="C3745" s="4">
        <v>6550.35</v>
      </c>
      <c r="D3745">
        <f t="shared" si="120"/>
        <v>65.258850900262999</v>
      </c>
      <c r="E3745">
        <v>-1.0700477254878216E-2</v>
      </c>
      <c r="F3745">
        <v>3742</v>
      </c>
      <c r="G3745">
        <f t="shared" ca="1" si="121"/>
        <v>3.4172374084892798E-3</v>
      </c>
    </row>
    <row r="3746" spans="2:7" x14ac:dyDescent="0.35">
      <c r="B3746" s="2">
        <v>40450</v>
      </c>
      <c r="C3746" s="4">
        <v>98.86</v>
      </c>
      <c r="D3746">
        <f t="shared" si="120"/>
        <v>-6.8413117225782138E-2</v>
      </c>
      <c r="E3746">
        <v>-1.0707495246672694E-2</v>
      </c>
      <c r="F3746">
        <v>3743</v>
      </c>
      <c r="G3746">
        <f t="shared" ca="1" si="121"/>
        <v>-2.9004634795522035E-2</v>
      </c>
    </row>
    <row r="3747" spans="2:7" x14ac:dyDescent="0.35">
      <c r="B3747" s="2">
        <v>40430</v>
      </c>
      <c r="C3747" s="4">
        <v>106.12</v>
      </c>
      <c r="D3747">
        <f t="shared" si="120"/>
        <v>3.801809954751131</v>
      </c>
      <c r="E3747">
        <v>-1.0720611540971259E-2</v>
      </c>
      <c r="F3747">
        <v>3744</v>
      </c>
      <c r="G3747">
        <f t="shared" ca="1" si="121"/>
        <v>1.1486268585670274E-2</v>
      </c>
    </row>
    <row r="3748" spans="2:7" x14ac:dyDescent="0.35">
      <c r="B3748" s="2">
        <v>37762</v>
      </c>
      <c r="C3748" s="4">
        <v>22.1</v>
      </c>
      <c r="D3748">
        <f t="shared" si="120"/>
        <v>-0.67998841587025771</v>
      </c>
      <c r="E3748">
        <v>-1.0743061772605089E-2</v>
      </c>
      <c r="F3748">
        <v>3745</v>
      </c>
      <c r="G3748">
        <f t="shared" ca="1" si="121"/>
        <v>-1.6479883128615948E-2</v>
      </c>
    </row>
    <row r="3749" spans="2:7" x14ac:dyDescent="0.35">
      <c r="B3749" s="2">
        <v>39573</v>
      </c>
      <c r="C3749" s="4">
        <v>69.06</v>
      </c>
      <c r="D3749">
        <f t="shared" si="120"/>
        <v>-0.79283035848207595</v>
      </c>
      <c r="E3749">
        <v>-1.0743446497636477E-2</v>
      </c>
      <c r="F3749">
        <v>3746</v>
      </c>
      <c r="G3749">
        <f t="shared" ca="1" si="121"/>
        <v>4.6671633010095262E-2</v>
      </c>
    </row>
    <row r="3750" spans="2:7" x14ac:dyDescent="0.35">
      <c r="B3750" s="2">
        <v>42024</v>
      </c>
      <c r="C3750" s="4">
        <v>333.35</v>
      </c>
      <c r="D3750">
        <f t="shared" si="120"/>
        <v>2.9571462488129159</v>
      </c>
      <c r="E3750">
        <v>-1.0772152650008859E-2</v>
      </c>
      <c r="F3750">
        <v>3747</v>
      </c>
      <c r="G3750">
        <f t="shared" ca="1" si="121"/>
        <v>-9.169562149236074E-3</v>
      </c>
    </row>
    <row r="3751" spans="2:7" x14ac:dyDescent="0.35">
      <c r="B3751" s="2">
        <v>40816</v>
      </c>
      <c r="C3751" s="4">
        <v>84.24</v>
      </c>
      <c r="D3751">
        <f t="shared" si="120"/>
        <v>0.31686728153822097</v>
      </c>
      <c r="E3751">
        <v>-1.0803193987787729E-2</v>
      </c>
      <c r="F3751">
        <v>3748</v>
      </c>
      <c r="G3751">
        <f t="shared" ca="1" si="121"/>
        <v>3.2749064076020885E-2</v>
      </c>
    </row>
    <row r="3752" spans="2:7" x14ac:dyDescent="0.35">
      <c r="B3752" s="2">
        <v>38792</v>
      </c>
      <c r="C3752" s="4">
        <v>63.97</v>
      </c>
      <c r="D3752">
        <f t="shared" si="120"/>
        <v>-0.91149940510777239</v>
      </c>
      <c r="E3752">
        <v>-1.0824184320395891E-2</v>
      </c>
      <c r="F3752">
        <v>3749</v>
      </c>
      <c r="G3752">
        <f t="shared" ca="1" si="121"/>
        <v>-1.6770463507713447E-2</v>
      </c>
    </row>
    <row r="3753" spans="2:7" x14ac:dyDescent="0.35">
      <c r="B3753" s="2">
        <v>42614</v>
      </c>
      <c r="C3753" s="4">
        <v>722.82</v>
      </c>
      <c r="D3753">
        <f t="shared" si="120"/>
        <v>9.5644548377667356</v>
      </c>
      <c r="E3753">
        <v>-1.0824791646709464E-2</v>
      </c>
      <c r="F3753">
        <v>3750</v>
      </c>
      <c r="G3753">
        <f t="shared" ca="1" si="121"/>
        <v>-2.1548270622007573E-3</v>
      </c>
    </row>
    <row r="3754" spans="2:7" x14ac:dyDescent="0.35">
      <c r="B3754" s="2">
        <v>38625</v>
      </c>
      <c r="C3754" s="4">
        <v>68.42</v>
      </c>
      <c r="D3754">
        <f t="shared" si="120"/>
        <v>-0.62026862026862029</v>
      </c>
      <c r="E3754">
        <v>-1.0842850946942262E-2</v>
      </c>
      <c r="F3754">
        <v>3751</v>
      </c>
      <c r="G3754">
        <f t="shared" ca="1" si="121"/>
        <v>-4.2796914967909792E-2</v>
      </c>
    </row>
    <row r="3755" spans="2:7" x14ac:dyDescent="0.35">
      <c r="B3755" s="2">
        <v>41675</v>
      </c>
      <c r="C3755" s="4">
        <v>180.18</v>
      </c>
      <c r="D3755">
        <f t="shared" si="120"/>
        <v>0.83464005702067023</v>
      </c>
      <c r="E3755">
        <v>-1.0869565217391242E-2</v>
      </c>
      <c r="F3755">
        <v>3752</v>
      </c>
      <c r="G3755">
        <f t="shared" ca="1" si="121"/>
        <v>5.9500101987107236E-2</v>
      </c>
    </row>
    <row r="3756" spans="2:7" x14ac:dyDescent="0.35">
      <c r="B3756" s="2">
        <v>41176</v>
      </c>
      <c r="C3756" s="4">
        <v>98.21</v>
      </c>
      <c r="D3756">
        <f t="shared" si="120"/>
        <v>-0.92643004824259134</v>
      </c>
      <c r="E3756">
        <v>-1.0877228321079846E-2</v>
      </c>
      <c r="F3756">
        <v>3753</v>
      </c>
      <c r="G3756">
        <f t="shared" ca="1" si="121"/>
        <v>8.3518222959987759E-3</v>
      </c>
    </row>
    <row r="3757" spans="2:7" x14ac:dyDescent="0.35">
      <c r="B3757" s="2">
        <v>43293</v>
      </c>
      <c r="C3757" s="4">
        <v>1334.92</v>
      </c>
      <c r="D3757">
        <f t="shared" si="120"/>
        <v>25.298660362490153</v>
      </c>
      <c r="E3757">
        <v>-1.0899283507331714E-2</v>
      </c>
      <c r="F3757">
        <v>3754</v>
      </c>
      <c r="G3757">
        <f t="shared" ca="1" si="121"/>
        <v>-2.1554574689653185E-2</v>
      </c>
    </row>
    <row r="3758" spans="2:7" x14ac:dyDescent="0.35">
      <c r="B3758" s="2">
        <v>39952</v>
      </c>
      <c r="C3758" s="4">
        <v>50.76</v>
      </c>
      <c r="D3758">
        <f t="shared" si="120"/>
        <v>-0.99362151294295054</v>
      </c>
      <c r="E3758">
        <v>-1.0911925175370318E-2</v>
      </c>
      <c r="F3758">
        <v>3755</v>
      </c>
      <c r="G3758">
        <f t="shared" ca="1" si="121"/>
        <v>-2.9330587755335136E-2</v>
      </c>
    </row>
    <row r="3759" spans="2:7" x14ac:dyDescent="0.35">
      <c r="B3759" s="2">
        <v>44754</v>
      </c>
      <c r="C3759" s="4">
        <v>7958</v>
      </c>
      <c r="D3759">
        <f t="shared" si="120"/>
        <v>302.97249809014517</v>
      </c>
      <c r="E3759">
        <v>-1.0937111608252503E-2</v>
      </c>
      <c r="F3759">
        <v>3756</v>
      </c>
      <c r="G3759">
        <f t="shared" ca="1" si="121"/>
        <v>6.8289936901690237E-3</v>
      </c>
    </row>
    <row r="3760" spans="2:7" x14ac:dyDescent="0.35">
      <c r="B3760" s="2">
        <v>37883</v>
      </c>
      <c r="C3760" s="4">
        <v>26.18</v>
      </c>
      <c r="D3760">
        <f t="shared" si="120"/>
        <v>-0.98015253286431248</v>
      </c>
      <c r="E3760">
        <v>-1.0955799017755896E-2</v>
      </c>
      <c r="F3760">
        <v>3757</v>
      </c>
      <c r="G3760">
        <f t="shared" ca="1" si="121"/>
        <v>-6.0773299367733371E-5</v>
      </c>
    </row>
    <row r="3761" spans="2:7" x14ac:dyDescent="0.35">
      <c r="B3761" s="2">
        <v>43318</v>
      </c>
      <c r="C3761" s="4">
        <v>1319.06</v>
      </c>
      <c r="D3761">
        <f t="shared" si="120"/>
        <v>21.868585298196948</v>
      </c>
      <c r="E3761">
        <v>-1.0969565641191115E-2</v>
      </c>
      <c r="F3761">
        <v>3758</v>
      </c>
      <c r="G3761">
        <f t="shared" ca="1" si="121"/>
        <v>2.7935643189612301E-2</v>
      </c>
    </row>
    <row r="3762" spans="2:7" x14ac:dyDescent="0.35">
      <c r="B3762" s="2">
        <v>39967</v>
      </c>
      <c r="C3762" s="4">
        <v>57.68</v>
      </c>
      <c r="D3762">
        <f t="shared" si="120"/>
        <v>0.10371220818982008</v>
      </c>
      <c r="E3762">
        <v>-1.0973936899862813E-2</v>
      </c>
      <c r="F3762">
        <v>3759</v>
      </c>
      <c r="G3762">
        <f t="shared" ca="1" si="121"/>
        <v>1.4009613421549568E-2</v>
      </c>
    </row>
    <row r="3763" spans="2:7" x14ac:dyDescent="0.35">
      <c r="B3763" s="2">
        <v>38296</v>
      </c>
      <c r="C3763" s="4">
        <v>52.26</v>
      </c>
      <c r="D3763">
        <f t="shared" si="120"/>
        <v>-0.9425474373914382</v>
      </c>
      <c r="E3763">
        <v>-1.0976532929598881E-2</v>
      </c>
      <c r="F3763">
        <v>3760</v>
      </c>
      <c r="G3763">
        <f t="shared" ca="1" si="121"/>
        <v>-7.6362613405568693E-3</v>
      </c>
    </row>
    <row r="3764" spans="2:7" x14ac:dyDescent="0.35">
      <c r="B3764" s="2">
        <v>43850</v>
      </c>
      <c r="C3764" s="4">
        <v>909.62</v>
      </c>
      <c r="D3764">
        <f t="shared" si="120"/>
        <v>0.46722369185108703</v>
      </c>
      <c r="E3764">
        <v>-1.0981603096594683E-2</v>
      </c>
      <c r="F3764">
        <v>3761</v>
      </c>
      <c r="G3764">
        <f t="shared" ca="1" si="121"/>
        <v>-1.7171718884860458E-2</v>
      </c>
    </row>
    <row r="3765" spans="2:7" x14ac:dyDescent="0.35">
      <c r="B3765" s="2">
        <v>43675</v>
      </c>
      <c r="C3765" s="4">
        <v>619.96</v>
      </c>
      <c r="D3765">
        <f t="shared" si="120"/>
        <v>6.4113568439928272</v>
      </c>
      <c r="E3765">
        <v>-1.099146526282202E-2</v>
      </c>
      <c r="F3765">
        <v>3762</v>
      </c>
      <c r="G3765">
        <f t="shared" ca="1" si="121"/>
        <v>-1.4851577350248335E-2</v>
      </c>
    </row>
    <row r="3766" spans="2:7" x14ac:dyDescent="0.35">
      <c r="B3766" s="2">
        <v>40792</v>
      </c>
      <c r="C3766" s="4">
        <v>83.65</v>
      </c>
      <c r="D3766">
        <f t="shared" si="120"/>
        <v>7.0788530465949906E-2</v>
      </c>
      <c r="E3766">
        <v>-1.0995507212106848E-2</v>
      </c>
      <c r="F3766">
        <v>3763</v>
      </c>
      <c r="G3766">
        <f t="shared" ca="1" si="121"/>
        <v>1.6505302608553325E-2</v>
      </c>
    </row>
    <row r="3767" spans="2:7" x14ac:dyDescent="0.35">
      <c r="B3767" s="2">
        <v>38978</v>
      </c>
      <c r="C3767" s="4">
        <v>78.12</v>
      </c>
      <c r="D3767">
        <f t="shared" si="120"/>
        <v>-0.23681125439624851</v>
      </c>
      <c r="E3767">
        <v>-1.1014052411697617E-2</v>
      </c>
      <c r="F3767">
        <v>3764</v>
      </c>
      <c r="G3767">
        <f t="shared" ca="1" si="121"/>
        <v>2.8735192870617415E-2</v>
      </c>
    </row>
    <row r="3768" spans="2:7" x14ac:dyDescent="0.35">
      <c r="B3768" s="2">
        <v>40396</v>
      </c>
      <c r="C3768" s="4">
        <v>102.36</v>
      </c>
      <c r="D3768">
        <f t="shared" si="120"/>
        <v>-0.88073822062730112</v>
      </c>
      <c r="E3768">
        <v>-1.1014492753623206E-2</v>
      </c>
      <c r="F3768">
        <v>3765</v>
      </c>
      <c r="G3768">
        <f t="shared" ca="1" si="121"/>
        <v>3.872461628745328E-2</v>
      </c>
    </row>
    <row r="3769" spans="2:7" x14ac:dyDescent="0.35">
      <c r="B3769" s="2">
        <v>42466</v>
      </c>
      <c r="C3769" s="4">
        <v>858.28</v>
      </c>
      <c r="D3769">
        <f t="shared" si="120"/>
        <v>-0.87533425809590903</v>
      </c>
      <c r="E3769">
        <v>-1.1015855457227164E-2</v>
      </c>
      <c r="F3769">
        <v>3766</v>
      </c>
      <c r="G3769">
        <f t="shared" ca="1" si="121"/>
        <v>1.1332011005605038E-2</v>
      </c>
    </row>
    <row r="3770" spans="2:7" x14ac:dyDescent="0.35">
      <c r="B3770" s="2">
        <v>44901</v>
      </c>
      <c r="C3770" s="4">
        <v>6884.65</v>
      </c>
      <c r="D3770">
        <f t="shared" si="120"/>
        <v>71.447121961485848</v>
      </c>
      <c r="E3770">
        <v>-1.1025081161835315E-2</v>
      </c>
      <c r="F3770">
        <v>3767</v>
      </c>
      <c r="G3770">
        <f t="shared" ca="1" si="121"/>
        <v>-1.5244321822071551E-2</v>
      </c>
    </row>
    <row r="3771" spans="2:7" x14ac:dyDescent="0.35">
      <c r="B3771" s="2">
        <v>41218</v>
      </c>
      <c r="C3771" s="4">
        <v>95.03</v>
      </c>
      <c r="D3771">
        <f t="shared" si="120"/>
        <v>-0.88648254772200585</v>
      </c>
      <c r="E3771">
        <v>-1.1031324799666953E-2</v>
      </c>
      <c r="F3771">
        <v>3768</v>
      </c>
      <c r="G3771">
        <f t="shared" ca="1" si="121"/>
        <v>-7.5234608572407134E-3</v>
      </c>
    </row>
    <row r="3772" spans="2:7" x14ac:dyDescent="0.35">
      <c r="B3772" s="2">
        <v>43053</v>
      </c>
      <c r="C3772" s="4">
        <v>837.14</v>
      </c>
      <c r="D3772">
        <f t="shared" si="120"/>
        <v>9.8705362939877936</v>
      </c>
      <c r="E3772">
        <v>-1.1033928740194709E-2</v>
      </c>
      <c r="F3772">
        <v>3769</v>
      </c>
      <c r="G3772">
        <f t="shared" ca="1" si="121"/>
        <v>3.4033759882878808E-2</v>
      </c>
    </row>
    <row r="3773" spans="2:7" x14ac:dyDescent="0.35">
      <c r="B3773" s="2">
        <v>38985</v>
      </c>
      <c r="C3773" s="4">
        <v>77.010000000000005</v>
      </c>
      <c r="D3773">
        <f t="shared" si="120"/>
        <v>-0.98982473062160181</v>
      </c>
      <c r="E3773">
        <v>-1.1044047771927579E-2</v>
      </c>
      <c r="F3773">
        <v>3770</v>
      </c>
      <c r="G3773">
        <f t="shared" ca="1" si="121"/>
        <v>-1.6482797605024645E-2</v>
      </c>
    </row>
    <row r="3774" spans="2:7" x14ac:dyDescent="0.35">
      <c r="B3774" s="2">
        <v>44644</v>
      </c>
      <c r="C3774" s="4">
        <v>7568.35</v>
      </c>
      <c r="D3774">
        <f t="shared" si="120"/>
        <v>28.634480598300641</v>
      </c>
      <c r="E3774">
        <v>-1.1063606262625703E-2</v>
      </c>
      <c r="F3774">
        <v>3771</v>
      </c>
      <c r="G3774">
        <f t="shared" ca="1" si="121"/>
        <v>-3.1807290729184312E-2</v>
      </c>
    </row>
    <row r="3775" spans="2:7" x14ac:dyDescent="0.35">
      <c r="B3775" s="2">
        <v>41723</v>
      </c>
      <c r="C3775" s="4">
        <v>255.39</v>
      </c>
      <c r="D3775">
        <f t="shared" si="120"/>
        <v>-3.0410022779043255E-2</v>
      </c>
      <c r="E3775">
        <v>-1.1074540174249803E-2</v>
      </c>
      <c r="F3775">
        <v>3772</v>
      </c>
      <c r="G3775">
        <f t="shared" ca="1" si="121"/>
        <v>-2.3424334240068748E-2</v>
      </c>
    </row>
    <row r="3776" spans="2:7" x14ac:dyDescent="0.35">
      <c r="B3776" s="2">
        <v>41834</v>
      </c>
      <c r="C3776" s="4">
        <v>263.39999999999998</v>
      </c>
      <c r="D3776">
        <f t="shared" si="120"/>
        <v>0.18100703941173824</v>
      </c>
      <c r="E3776">
        <v>-1.1075652337150577E-2</v>
      </c>
      <c r="F3776">
        <v>3773</v>
      </c>
      <c r="G3776">
        <f t="shared" ca="1" si="121"/>
        <v>4.2801324484819814E-3</v>
      </c>
    </row>
    <row r="3777" spans="2:7" x14ac:dyDescent="0.35">
      <c r="B3777" s="2">
        <v>41774</v>
      </c>
      <c r="C3777" s="4">
        <v>223.03</v>
      </c>
      <c r="D3777">
        <f t="shared" si="120"/>
        <v>2.4729056368732483</v>
      </c>
      <c r="E3777">
        <v>-1.108499977830002E-2</v>
      </c>
      <c r="F3777">
        <v>3774</v>
      </c>
      <c r="G3777">
        <f t="shared" ca="1" si="121"/>
        <v>3.8938901458046772E-2</v>
      </c>
    </row>
    <row r="3778" spans="2:7" x14ac:dyDescent="0.35">
      <c r="B3778" s="2">
        <v>38768</v>
      </c>
      <c r="C3778" s="4">
        <v>64.22</v>
      </c>
      <c r="D3778">
        <f t="shared" si="120"/>
        <v>-0.99196562056260673</v>
      </c>
      <c r="E3778">
        <v>-1.108715737603938E-2</v>
      </c>
      <c r="F3778">
        <v>3775</v>
      </c>
      <c r="G3778">
        <f t="shared" ca="1" si="121"/>
        <v>5.0352621818191799E-3</v>
      </c>
    </row>
    <row r="3779" spans="2:7" x14ac:dyDescent="0.35">
      <c r="B3779" s="2">
        <v>44750</v>
      </c>
      <c r="C3779" s="4">
        <v>7993.15</v>
      </c>
      <c r="D3779">
        <f t="shared" si="120"/>
        <v>11.245721814532807</v>
      </c>
      <c r="E3779">
        <v>-1.1103688032760517E-2</v>
      </c>
      <c r="F3779">
        <v>3776</v>
      </c>
      <c r="G3779">
        <f t="shared" ca="1" si="121"/>
        <v>2.9805666528358393E-2</v>
      </c>
    </row>
    <row r="3780" spans="2:7" x14ac:dyDescent="0.35">
      <c r="B3780" s="2">
        <v>43669</v>
      </c>
      <c r="C3780" s="4">
        <v>652.73</v>
      </c>
      <c r="D3780">
        <f t="shared" ref="D3780:D3843" si="122">C3780/C3781-1</f>
        <v>21.910845910845914</v>
      </c>
      <c r="E3780">
        <v>-1.1105051055964488E-2</v>
      </c>
      <c r="F3780">
        <v>3777</v>
      </c>
      <c r="G3780">
        <f t="shared" ca="1" si="121"/>
        <v>-3.1456034307976326E-2</v>
      </c>
    </row>
    <row r="3781" spans="2:7" x14ac:dyDescent="0.35">
      <c r="B3781" s="2">
        <v>37582</v>
      </c>
      <c r="C3781" s="4">
        <v>28.49</v>
      </c>
      <c r="D3781">
        <f t="shared" si="122"/>
        <v>-0.52206005703740987</v>
      </c>
      <c r="E3781">
        <v>-1.110725442554672E-2</v>
      </c>
      <c r="F3781">
        <v>3778</v>
      </c>
      <c r="G3781">
        <f t="shared" ref="G3781:G3844" ca="1" si="123">_xlfn.NORM.INV(RAND(),K$6,K$7)</f>
        <v>1.7703443308874391E-2</v>
      </c>
    </row>
    <row r="3782" spans="2:7" x14ac:dyDescent="0.35">
      <c r="B3782" s="2">
        <v>38482</v>
      </c>
      <c r="C3782" s="4">
        <v>59.61</v>
      </c>
      <c r="D3782">
        <f t="shared" si="122"/>
        <v>-0.47632434331898443</v>
      </c>
      <c r="E3782">
        <v>-1.1114797611147975E-2</v>
      </c>
      <c r="F3782">
        <v>3779</v>
      </c>
      <c r="G3782">
        <f t="shared" ca="1" si="123"/>
        <v>-4.1523993457963614E-3</v>
      </c>
    </row>
    <row r="3783" spans="2:7" x14ac:dyDescent="0.35">
      <c r="B3783" s="2">
        <v>39338</v>
      </c>
      <c r="C3783" s="4">
        <v>113.83</v>
      </c>
      <c r="D3783">
        <f t="shared" si="122"/>
        <v>0.88273238504796558</v>
      </c>
      <c r="E3783">
        <v>-1.1119798453653074E-2</v>
      </c>
      <c r="F3783">
        <v>3780</v>
      </c>
      <c r="G3783">
        <f t="shared" ca="1" si="123"/>
        <v>2.7717272496924263E-3</v>
      </c>
    </row>
    <row r="3784" spans="2:7" x14ac:dyDescent="0.35">
      <c r="B3784" s="2">
        <v>40116</v>
      </c>
      <c r="C3784" s="4">
        <v>60.46</v>
      </c>
      <c r="D3784">
        <f t="shared" si="122"/>
        <v>-0.38002461033634127</v>
      </c>
      <c r="E3784">
        <v>-1.1122015047432154E-2</v>
      </c>
      <c r="F3784">
        <v>3781</v>
      </c>
      <c r="G3784">
        <f t="shared" ca="1" si="123"/>
        <v>4.4853608001139834E-2</v>
      </c>
    </row>
    <row r="3785" spans="2:7" x14ac:dyDescent="0.35">
      <c r="B3785" s="2">
        <v>41178</v>
      </c>
      <c r="C3785" s="4">
        <v>97.52</v>
      </c>
      <c r="D3785">
        <f t="shared" si="122"/>
        <v>-0.85032844250721351</v>
      </c>
      <c r="E3785">
        <v>-1.1153924153315842E-2</v>
      </c>
      <c r="F3785">
        <v>3782</v>
      </c>
      <c r="G3785">
        <f t="shared" ca="1" si="123"/>
        <v>1.0788326721093602E-2</v>
      </c>
    </row>
    <row r="3786" spans="2:7" x14ac:dyDescent="0.35">
      <c r="B3786" s="2">
        <v>42725</v>
      </c>
      <c r="C3786" s="4">
        <v>651.55999999999995</v>
      </c>
      <c r="D3786">
        <f t="shared" si="122"/>
        <v>-0.86537877457411749</v>
      </c>
      <c r="E3786">
        <v>-1.1154785934346156E-2</v>
      </c>
      <c r="F3786">
        <v>3783</v>
      </c>
      <c r="G3786">
        <f t="shared" ca="1" si="123"/>
        <v>-7.4447823433339E-3</v>
      </c>
    </row>
    <row r="3787" spans="2:7" x14ac:dyDescent="0.35">
      <c r="B3787" s="2">
        <v>44447</v>
      </c>
      <c r="C3787" s="4">
        <v>4839.95</v>
      </c>
      <c r="D3787">
        <f t="shared" si="122"/>
        <v>-0.20165773195876291</v>
      </c>
      <c r="E3787">
        <v>-1.1159305107496631E-2</v>
      </c>
      <c r="F3787">
        <v>3784</v>
      </c>
      <c r="G3787">
        <f t="shared" ca="1" si="123"/>
        <v>4.4415781280181803E-2</v>
      </c>
    </row>
    <row r="3788" spans="2:7" x14ac:dyDescent="0.35">
      <c r="B3788" s="2">
        <v>44999</v>
      </c>
      <c r="C3788" s="4">
        <v>6062.5</v>
      </c>
      <c r="D3788">
        <f t="shared" si="122"/>
        <v>162.14585575888054</v>
      </c>
      <c r="E3788">
        <v>-1.1164664529966783E-2</v>
      </c>
      <c r="F3788">
        <v>3785</v>
      </c>
      <c r="G3788">
        <f t="shared" ca="1" si="123"/>
        <v>5.4336973490718962E-2</v>
      </c>
    </row>
    <row r="3789" spans="2:7" x14ac:dyDescent="0.35">
      <c r="B3789" s="2">
        <v>39764</v>
      </c>
      <c r="C3789" s="4">
        <v>37.159999999999997</v>
      </c>
      <c r="D3789">
        <f t="shared" si="122"/>
        <v>-0.86698643376167805</v>
      </c>
      <c r="E3789">
        <v>-1.1176157530601416E-2</v>
      </c>
      <c r="F3789">
        <v>3786</v>
      </c>
      <c r="G3789">
        <f t="shared" ca="1" si="123"/>
        <v>6.8154891882943394E-3</v>
      </c>
    </row>
    <row r="3790" spans="2:7" x14ac:dyDescent="0.35">
      <c r="B3790" s="2">
        <v>41942</v>
      </c>
      <c r="C3790" s="4">
        <v>279.37</v>
      </c>
      <c r="D3790">
        <f t="shared" si="122"/>
        <v>1.7483521888834233</v>
      </c>
      <c r="E3790">
        <v>-1.1184652957207941E-2</v>
      </c>
      <c r="F3790">
        <v>3787</v>
      </c>
      <c r="G3790">
        <f t="shared" ca="1" si="123"/>
        <v>1.3597199614766778E-2</v>
      </c>
    </row>
    <row r="3791" spans="2:7" x14ac:dyDescent="0.35">
      <c r="B3791" s="2">
        <v>41282</v>
      </c>
      <c r="C3791" s="4">
        <v>101.65</v>
      </c>
      <c r="D3791">
        <f t="shared" si="122"/>
        <v>5.5774823431657738E-2</v>
      </c>
      <c r="E3791">
        <v>-1.1186770428015524E-2</v>
      </c>
      <c r="F3791">
        <v>3788</v>
      </c>
      <c r="G3791">
        <f t="shared" ca="1" si="123"/>
        <v>-1.7040994368619619E-3</v>
      </c>
    </row>
    <row r="3792" spans="2:7" x14ac:dyDescent="0.35">
      <c r="B3792" s="2">
        <v>40949</v>
      </c>
      <c r="C3792" s="4">
        <v>96.28</v>
      </c>
      <c r="D3792">
        <f t="shared" si="122"/>
        <v>2.1148495632481397</v>
      </c>
      <c r="E3792">
        <v>-1.119441306357194E-2</v>
      </c>
      <c r="F3792">
        <v>3789</v>
      </c>
      <c r="G3792">
        <f t="shared" ca="1" si="123"/>
        <v>-3.4875975440944743E-2</v>
      </c>
    </row>
    <row r="3793" spans="2:7" x14ac:dyDescent="0.35">
      <c r="B3793" s="2">
        <v>37487</v>
      </c>
      <c r="C3793" s="4">
        <v>30.91</v>
      </c>
      <c r="D3793">
        <f t="shared" si="122"/>
        <v>0</v>
      </c>
      <c r="E3793">
        <v>-1.1196417146513205E-2</v>
      </c>
      <c r="F3793">
        <v>3790</v>
      </c>
      <c r="G3793">
        <f t="shared" ca="1" si="123"/>
        <v>2.5855480510653905E-2</v>
      </c>
    </row>
    <row r="3794" spans="2:7" x14ac:dyDescent="0.35">
      <c r="B3794" s="2">
        <v>37482</v>
      </c>
      <c r="C3794" s="4">
        <v>30.91</v>
      </c>
      <c r="D3794">
        <f t="shared" si="122"/>
        <v>-0.9926012274637841</v>
      </c>
      <c r="E3794">
        <v>-1.1196417146513205E-2</v>
      </c>
      <c r="F3794">
        <v>3791</v>
      </c>
      <c r="G3794">
        <f t="shared" ca="1" si="123"/>
        <v>-3.4662402846232739E-2</v>
      </c>
    </row>
    <row r="3795" spans="2:7" x14ac:dyDescent="0.35">
      <c r="B3795" s="2">
        <v>44385</v>
      </c>
      <c r="C3795" s="4">
        <v>4177.72</v>
      </c>
      <c r="D3795">
        <f t="shared" si="122"/>
        <v>2.8997825011435028</v>
      </c>
      <c r="E3795">
        <v>-1.1209255209368774E-2</v>
      </c>
      <c r="F3795">
        <v>3792</v>
      </c>
      <c r="G3795">
        <f t="shared" ca="1" si="123"/>
        <v>-3.4699065627160103E-2</v>
      </c>
    </row>
    <row r="3796" spans="2:7" x14ac:dyDescent="0.35">
      <c r="B3796" s="2">
        <v>43378</v>
      </c>
      <c r="C3796" s="4">
        <v>1071.27</v>
      </c>
      <c r="D3796">
        <f t="shared" si="122"/>
        <v>13.30267022696929</v>
      </c>
      <c r="E3796">
        <v>-1.12144874563882E-2</v>
      </c>
      <c r="F3796">
        <v>3793</v>
      </c>
      <c r="G3796">
        <f t="shared" ca="1" si="123"/>
        <v>1.4304635373066634E-2</v>
      </c>
    </row>
    <row r="3797" spans="2:7" x14ac:dyDescent="0.35">
      <c r="B3797" s="2">
        <v>39631</v>
      </c>
      <c r="C3797" s="4">
        <v>74.900000000000006</v>
      </c>
      <c r="D3797">
        <f t="shared" si="122"/>
        <v>-0.90593288455741983</v>
      </c>
      <c r="E3797">
        <v>-1.1221122112211157E-2</v>
      </c>
      <c r="F3797">
        <v>3794</v>
      </c>
      <c r="G3797">
        <f t="shared" ca="1" si="123"/>
        <v>-1.268757402504629E-2</v>
      </c>
    </row>
    <row r="3798" spans="2:7" x14ac:dyDescent="0.35">
      <c r="B3798" s="2">
        <v>43629</v>
      </c>
      <c r="C3798" s="4">
        <v>796.24</v>
      </c>
      <c r="D3798">
        <f t="shared" si="122"/>
        <v>6.0208976280751259</v>
      </c>
      <c r="E3798">
        <v>-1.1225909000596057E-2</v>
      </c>
      <c r="F3798">
        <v>3795</v>
      </c>
      <c r="G3798">
        <f t="shared" ca="1" si="123"/>
        <v>2.0801675642888252E-2</v>
      </c>
    </row>
    <row r="3799" spans="2:7" x14ac:dyDescent="0.35">
      <c r="B3799" s="2">
        <v>39209</v>
      </c>
      <c r="C3799" s="4">
        <v>113.41</v>
      </c>
      <c r="D3799">
        <f t="shared" si="122"/>
        <v>-0.92964945690943945</v>
      </c>
      <c r="E3799">
        <v>-1.1246730601569332E-2</v>
      </c>
      <c r="F3799">
        <v>3796</v>
      </c>
      <c r="G3799">
        <f t="shared" ca="1" si="123"/>
        <v>-1.4026528317666532E-2</v>
      </c>
    </row>
    <row r="3800" spans="2:7" x14ac:dyDescent="0.35">
      <c r="B3800" s="2">
        <v>44182</v>
      </c>
      <c r="C3800" s="4">
        <v>1612.07</v>
      </c>
      <c r="D3800">
        <f t="shared" si="122"/>
        <v>15.53235565583017</v>
      </c>
      <c r="E3800">
        <v>-1.1248704313639002E-2</v>
      </c>
      <c r="F3800">
        <v>3797</v>
      </c>
      <c r="G3800">
        <f t="shared" ca="1" si="123"/>
        <v>-3.2955204068702577E-3</v>
      </c>
    </row>
    <row r="3801" spans="2:7" x14ac:dyDescent="0.35">
      <c r="B3801" s="2">
        <v>40711</v>
      </c>
      <c r="C3801" s="4">
        <v>97.51</v>
      </c>
      <c r="D3801">
        <f t="shared" si="122"/>
        <v>1.6432637571157498</v>
      </c>
      <c r="E3801">
        <v>-1.1255323463800426E-2</v>
      </c>
      <c r="F3801">
        <v>3798</v>
      </c>
      <c r="G3801">
        <f t="shared" ca="1" si="123"/>
        <v>1.3140006158891833E-2</v>
      </c>
    </row>
    <row r="3802" spans="2:7" x14ac:dyDescent="0.35">
      <c r="B3802" s="2">
        <v>37453</v>
      </c>
      <c r="C3802" s="4">
        <v>36.89</v>
      </c>
      <c r="D3802">
        <f t="shared" si="122"/>
        <v>-0.57114624505928857</v>
      </c>
      <c r="E3802">
        <v>-1.1257035647279645E-2</v>
      </c>
      <c r="F3802">
        <v>3799</v>
      </c>
      <c r="G3802">
        <f t="shared" ca="1" si="123"/>
        <v>-3.5898670930874413E-2</v>
      </c>
    </row>
    <row r="3803" spans="2:7" x14ac:dyDescent="0.35">
      <c r="B3803" s="2">
        <v>41354</v>
      </c>
      <c r="C3803" s="4">
        <v>86.02</v>
      </c>
      <c r="D3803">
        <f t="shared" si="122"/>
        <v>-0.21478776814240075</v>
      </c>
      <c r="E3803">
        <v>-1.1264367816091969E-2</v>
      </c>
      <c r="F3803">
        <v>3800</v>
      </c>
      <c r="G3803">
        <f t="shared" ca="1" si="123"/>
        <v>-3.313579040600997E-3</v>
      </c>
    </row>
    <row r="3804" spans="2:7" x14ac:dyDescent="0.35">
      <c r="B3804" s="2">
        <v>39343</v>
      </c>
      <c r="C3804" s="4">
        <v>109.55</v>
      </c>
      <c r="D3804">
        <f t="shared" si="122"/>
        <v>0.52449206790982461</v>
      </c>
      <c r="E3804">
        <v>-1.1281588447653479E-2</v>
      </c>
      <c r="F3804">
        <v>3801</v>
      </c>
      <c r="G3804">
        <f t="shared" ca="1" si="123"/>
        <v>2.7533355718018716E-2</v>
      </c>
    </row>
    <row r="3805" spans="2:7" x14ac:dyDescent="0.35">
      <c r="B3805" s="2">
        <v>40897</v>
      </c>
      <c r="C3805" s="4">
        <v>71.86</v>
      </c>
      <c r="D3805">
        <f t="shared" si="122"/>
        <v>-9.3820933165195464E-2</v>
      </c>
      <c r="E3805">
        <v>-1.1282333516785981E-2</v>
      </c>
      <c r="F3805">
        <v>3802</v>
      </c>
      <c r="G3805">
        <f t="shared" ca="1" si="123"/>
        <v>1.4410467616879028E-2</v>
      </c>
    </row>
    <row r="3806" spans="2:7" x14ac:dyDescent="0.35">
      <c r="B3806" s="2">
        <v>39001</v>
      </c>
      <c r="C3806" s="4">
        <v>79.3</v>
      </c>
      <c r="D3806">
        <f t="shared" si="122"/>
        <v>1.529505582137161</v>
      </c>
      <c r="E3806">
        <v>-1.1345218800648205E-2</v>
      </c>
      <c r="F3806">
        <v>3803</v>
      </c>
      <c r="G3806">
        <f t="shared" ca="1" si="123"/>
        <v>-4.222907836620219E-2</v>
      </c>
    </row>
    <row r="3807" spans="2:7" x14ac:dyDescent="0.35">
      <c r="B3807" s="2">
        <v>39909</v>
      </c>
      <c r="C3807" s="4">
        <v>31.35</v>
      </c>
      <c r="D3807">
        <f t="shared" si="122"/>
        <v>-0.67183083848005865</v>
      </c>
      <c r="E3807">
        <v>-1.1352885525070966E-2</v>
      </c>
      <c r="F3807">
        <v>3804</v>
      </c>
      <c r="G3807">
        <f t="shared" ca="1" si="123"/>
        <v>-5.0203962602303968E-2</v>
      </c>
    </row>
    <row r="3808" spans="2:7" x14ac:dyDescent="0.35">
      <c r="B3808" s="2">
        <v>40687</v>
      </c>
      <c r="C3808" s="4">
        <v>95.53</v>
      </c>
      <c r="D3808">
        <f t="shared" si="122"/>
        <v>-0.92674304469188062</v>
      </c>
      <c r="E3808">
        <v>-1.1383628272793045E-2</v>
      </c>
      <c r="F3808">
        <v>3805</v>
      </c>
      <c r="G3808">
        <f t="shared" ca="1" si="123"/>
        <v>2.0627168996304811E-2</v>
      </c>
    </row>
    <row r="3809" spans="2:7" x14ac:dyDescent="0.35">
      <c r="B3809" s="2">
        <v>43319</v>
      </c>
      <c r="C3809" s="4">
        <v>1304.04</v>
      </c>
      <c r="D3809">
        <f t="shared" si="122"/>
        <v>-0.70069270070647205</v>
      </c>
      <c r="E3809">
        <v>-1.1386896729489115E-2</v>
      </c>
      <c r="F3809">
        <v>3806</v>
      </c>
      <c r="G3809">
        <f t="shared" ca="1" si="123"/>
        <v>6.1259881486616808E-3</v>
      </c>
    </row>
    <row r="3810" spans="2:7" x14ac:dyDescent="0.35">
      <c r="B3810" s="2">
        <v>44382</v>
      </c>
      <c r="C3810" s="4">
        <v>4356.8599999999997</v>
      </c>
      <c r="D3810">
        <f t="shared" si="122"/>
        <v>58.164312873438341</v>
      </c>
      <c r="E3810">
        <v>-1.1399786707812498E-2</v>
      </c>
      <c r="F3810">
        <v>3807</v>
      </c>
      <c r="G3810">
        <f t="shared" ca="1" si="123"/>
        <v>1.940109260535083E-2</v>
      </c>
    </row>
    <row r="3811" spans="2:7" x14ac:dyDescent="0.35">
      <c r="B3811" s="2">
        <v>38604</v>
      </c>
      <c r="C3811" s="4">
        <v>73.64</v>
      </c>
      <c r="D3811">
        <f t="shared" si="122"/>
        <v>-0.91252182796593051</v>
      </c>
      <c r="E3811">
        <v>-1.1410927641294033E-2</v>
      </c>
      <c r="F3811">
        <v>3808</v>
      </c>
      <c r="G3811">
        <f t="shared" ca="1" si="123"/>
        <v>-7.0915622113089539E-3</v>
      </c>
    </row>
    <row r="3812" spans="2:7" x14ac:dyDescent="0.35">
      <c r="B3812" s="2">
        <v>42996</v>
      </c>
      <c r="C3812" s="4">
        <v>841.81</v>
      </c>
      <c r="D3812">
        <f t="shared" si="122"/>
        <v>0.15435035995886182</v>
      </c>
      <c r="E3812">
        <v>-1.1437966061887184E-2</v>
      </c>
      <c r="F3812">
        <v>3809</v>
      </c>
      <c r="G3812">
        <f t="shared" ca="1" si="123"/>
        <v>8.9438961573617987E-3</v>
      </c>
    </row>
    <row r="3813" spans="2:7" x14ac:dyDescent="0.35">
      <c r="B3813" s="2">
        <v>43978</v>
      </c>
      <c r="C3813" s="4">
        <v>729.25</v>
      </c>
      <c r="D3813">
        <f t="shared" si="122"/>
        <v>3.0188732553540154E-2</v>
      </c>
      <c r="E3813">
        <v>-1.1454520807916535E-2</v>
      </c>
      <c r="F3813">
        <v>3810</v>
      </c>
      <c r="G3813">
        <f t="shared" ca="1" si="123"/>
        <v>2.595867406732031E-2</v>
      </c>
    </row>
    <row r="3814" spans="2:7" x14ac:dyDescent="0.35">
      <c r="B3814" s="2">
        <v>42636</v>
      </c>
      <c r="C3814" s="4">
        <v>707.88</v>
      </c>
      <c r="D3814">
        <f t="shared" si="122"/>
        <v>9.2695488176410841</v>
      </c>
      <c r="E3814">
        <v>-1.1465039310701197E-2</v>
      </c>
      <c r="F3814">
        <v>3811</v>
      </c>
      <c r="G3814">
        <f t="shared" ca="1" si="123"/>
        <v>6.0759317170340794E-3</v>
      </c>
    </row>
    <row r="3815" spans="2:7" x14ac:dyDescent="0.35">
      <c r="B3815" s="2">
        <v>38735</v>
      </c>
      <c r="C3815" s="4">
        <v>68.930000000000007</v>
      </c>
      <c r="D3815">
        <f t="shared" si="122"/>
        <v>-0.38444365065190211</v>
      </c>
      <c r="E3815">
        <v>-1.1472823748745142E-2</v>
      </c>
      <c r="F3815">
        <v>3812</v>
      </c>
      <c r="G3815">
        <f t="shared" ca="1" si="123"/>
        <v>1.848382553815113E-2</v>
      </c>
    </row>
    <row r="3816" spans="2:7" x14ac:dyDescent="0.35">
      <c r="B3816" s="2">
        <v>40304</v>
      </c>
      <c r="C3816" s="4">
        <v>111.98</v>
      </c>
      <c r="D3816">
        <f t="shared" si="122"/>
        <v>3.0646098003629767</v>
      </c>
      <c r="E3816">
        <v>-1.1475988700564987E-2</v>
      </c>
      <c r="F3816">
        <v>3813</v>
      </c>
      <c r="G3816">
        <f t="shared" ca="1" si="123"/>
        <v>4.2671426070108433E-3</v>
      </c>
    </row>
    <row r="3817" spans="2:7" x14ac:dyDescent="0.35">
      <c r="B3817" s="2">
        <v>37902</v>
      </c>
      <c r="C3817" s="4">
        <v>27.55</v>
      </c>
      <c r="D3817">
        <f t="shared" si="122"/>
        <v>-0.99199623488944344</v>
      </c>
      <c r="E3817">
        <v>-1.1481880157875879E-2</v>
      </c>
      <c r="F3817">
        <v>3814</v>
      </c>
      <c r="G3817">
        <f t="shared" ca="1" si="123"/>
        <v>-2.6777626844965586E-3</v>
      </c>
    </row>
    <row r="3818" spans="2:7" x14ac:dyDescent="0.35">
      <c r="B3818" s="2">
        <v>44330</v>
      </c>
      <c r="C3818" s="4">
        <v>3442.13</v>
      </c>
      <c r="D3818">
        <f t="shared" si="122"/>
        <v>33.797108774767487</v>
      </c>
      <c r="E3818">
        <v>-1.1484383076976079E-2</v>
      </c>
      <c r="F3818">
        <v>3815</v>
      </c>
      <c r="G3818">
        <f t="shared" ca="1" si="123"/>
        <v>6.4546046901905558E-3</v>
      </c>
    </row>
    <row r="3819" spans="2:7" x14ac:dyDescent="0.35">
      <c r="B3819" s="2">
        <v>41576</v>
      </c>
      <c r="C3819" s="4">
        <v>98.92</v>
      </c>
      <c r="D3819">
        <f t="shared" si="122"/>
        <v>-0.85863320661960163</v>
      </c>
      <c r="E3819">
        <v>-1.1491955631058204E-2</v>
      </c>
      <c r="F3819">
        <v>3816</v>
      </c>
      <c r="G3819">
        <f t="shared" ca="1" si="123"/>
        <v>1.1521693465757415E-2</v>
      </c>
    </row>
    <row r="3820" spans="2:7" x14ac:dyDescent="0.35">
      <c r="B3820" s="2">
        <v>42639</v>
      </c>
      <c r="C3820" s="4">
        <v>699.74</v>
      </c>
      <c r="D3820">
        <f t="shared" si="122"/>
        <v>1.6345632530120482</v>
      </c>
      <c r="E3820">
        <v>-1.1499124145335382E-2</v>
      </c>
      <c r="F3820">
        <v>3817</v>
      </c>
      <c r="G3820">
        <f t="shared" ca="1" si="123"/>
        <v>5.4486833503550547E-2</v>
      </c>
    </row>
    <row r="3821" spans="2:7" x14ac:dyDescent="0.35">
      <c r="B3821" s="2">
        <v>41858</v>
      </c>
      <c r="C3821" s="4">
        <v>265.60000000000002</v>
      </c>
      <c r="D3821">
        <f t="shared" si="122"/>
        <v>6.5518908160363951</v>
      </c>
      <c r="E3821">
        <v>-1.1500241914473852E-2</v>
      </c>
      <c r="F3821">
        <v>3818</v>
      </c>
      <c r="G3821">
        <f t="shared" ca="1" si="123"/>
        <v>-9.737121340797664E-3</v>
      </c>
    </row>
    <row r="3822" spans="2:7" x14ac:dyDescent="0.35">
      <c r="B3822" s="2">
        <v>38167</v>
      </c>
      <c r="C3822" s="4">
        <v>35.17</v>
      </c>
      <c r="D3822">
        <f t="shared" si="122"/>
        <v>-0.51762446852283639</v>
      </c>
      <c r="E3822">
        <v>-1.1523327712197773E-2</v>
      </c>
      <c r="F3822">
        <v>3819</v>
      </c>
      <c r="G3822">
        <f t="shared" ca="1" si="123"/>
        <v>3.4529337724744667E-2</v>
      </c>
    </row>
    <row r="3823" spans="2:7" x14ac:dyDescent="0.35">
      <c r="B3823" s="2">
        <v>38722</v>
      </c>
      <c r="C3823" s="4">
        <v>72.91</v>
      </c>
      <c r="D3823">
        <f t="shared" si="122"/>
        <v>-0.98464008157125793</v>
      </c>
      <c r="E3823">
        <v>-1.1523861171366723E-2</v>
      </c>
      <c r="F3823">
        <v>3820</v>
      </c>
      <c r="G3823">
        <f t="shared" ca="1" si="123"/>
        <v>-6.8589521908004006E-2</v>
      </c>
    </row>
    <row r="3824" spans="2:7" x14ac:dyDescent="0.35">
      <c r="B3824" s="2">
        <v>44439</v>
      </c>
      <c r="C3824" s="4">
        <v>4746.7700000000004</v>
      </c>
      <c r="D3824">
        <f t="shared" si="122"/>
        <v>72.094702802587008</v>
      </c>
      <c r="E3824">
        <v>-1.1561151034193973E-2</v>
      </c>
      <c r="F3824">
        <v>3821</v>
      </c>
      <c r="G3824">
        <f t="shared" ca="1" si="123"/>
        <v>-1.7572301583253153E-2</v>
      </c>
    </row>
    <row r="3825" spans="2:7" x14ac:dyDescent="0.35">
      <c r="B3825" s="2">
        <v>38765</v>
      </c>
      <c r="C3825" s="4">
        <v>64.94</v>
      </c>
      <c r="D3825">
        <f t="shared" si="122"/>
        <v>0.11811294765840219</v>
      </c>
      <c r="E3825">
        <v>-1.1567732115677409E-2</v>
      </c>
      <c r="F3825">
        <v>3822</v>
      </c>
      <c r="G3825">
        <f t="shared" ca="1" si="123"/>
        <v>4.2408879981357898E-3</v>
      </c>
    </row>
    <row r="3826" spans="2:7" x14ac:dyDescent="0.35">
      <c r="B3826" s="2">
        <v>38440</v>
      </c>
      <c r="C3826" s="4">
        <v>58.08</v>
      </c>
      <c r="D3826">
        <f t="shared" si="122"/>
        <v>-0.4073469387755102</v>
      </c>
      <c r="E3826">
        <v>-1.1572498298161982E-2</v>
      </c>
      <c r="F3826">
        <v>3823</v>
      </c>
      <c r="G3826">
        <f t="shared" ca="1" si="123"/>
        <v>-9.9565899113124713E-4</v>
      </c>
    </row>
    <row r="3827" spans="2:7" x14ac:dyDescent="0.35">
      <c r="B3827" s="2">
        <v>40682</v>
      </c>
      <c r="C3827" s="4">
        <v>98</v>
      </c>
      <c r="D3827">
        <f t="shared" si="122"/>
        <v>0.95102528369500305</v>
      </c>
      <c r="E3827">
        <v>-1.1598587997982857E-2</v>
      </c>
      <c r="F3827">
        <v>3824</v>
      </c>
      <c r="G3827">
        <f t="shared" ca="1" si="123"/>
        <v>-2.8875006929032698E-3</v>
      </c>
    </row>
    <row r="3828" spans="2:7" x14ac:dyDescent="0.35">
      <c r="B3828" s="2">
        <v>38328</v>
      </c>
      <c r="C3828" s="4">
        <v>50.23</v>
      </c>
      <c r="D3828">
        <f t="shared" si="122"/>
        <v>-0.93930936155816536</v>
      </c>
      <c r="E3828">
        <v>-1.1609602518693474E-2</v>
      </c>
      <c r="F3828">
        <v>3825</v>
      </c>
      <c r="G3828">
        <f t="shared" ca="1" si="123"/>
        <v>1.9073137348439077E-2</v>
      </c>
    </row>
    <row r="3829" spans="2:7" x14ac:dyDescent="0.35">
      <c r="B3829" s="2">
        <v>42986</v>
      </c>
      <c r="C3829" s="4">
        <v>827.64</v>
      </c>
      <c r="D3829">
        <f t="shared" si="122"/>
        <v>2.153034401310526</v>
      </c>
      <c r="E3829">
        <v>-1.1631517351739951E-2</v>
      </c>
      <c r="F3829">
        <v>3826</v>
      </c>
      <c r="G3829">
        <f t="shared" ca="1" si="123"/>
        <v>4.5783890675361011E-2</v>
      </c>
    </row>
    <row r="3830" spans="2:7" x14ac:dyDescent="0.35">
      <c r="B3830" s="2">
        <v>41859</v>
      </c>
      <c r="C3830" s="4">
        <v>262.49</v>
      </c>
      <c r="D3830">
        <f t="shared" si="122"/>
        <v>-0.82636449630555719</v>
      </c>
      <c r="E3830">
        <v>-1.1709337349397608E-2</v>
      </c>
      <c r="F3830">
        <v>3827</v>
      </c>
      <c r="G3830">
        <f t="shared" ca="1" si="123"/>
        <v>2.2524418748942282E-3</v>
      </c>
    </row>
    <row r="3831" spans="2:7" x14ac:dyDescent="0.35">
      <c r="B3831" s="2">
        <v>44154</v>
      </c>
      <c r="C3831" s="4">
        <v>1511.73</v>
      </c>
      <c r="D3831">
        <f t="shared" si="122"/>
        <v>0.69053822841998147</v>
      </c>
      <c r="E3831">
        <v>-1.1728019768969866E-2</v>
      </c>
      <c r="F3831">
        <v>3828</v>
      </c>
      <c r="G3831">
        <f t="shared" ca="1" si="123"/>
        <v>4.5931148930841319E-2</v>
      </c>
    </row>
    <row r="3832" spans="2:7" x14ac:dyDescent="0.35">
      <c r="B3832" s="2">
        <v>43538</v>
      </c>
      <c r="C3832" s="4">
        <v>894.23</v>
      </c>
      <c r="D3832">
        <f t="shared" si="122"/>
        <v>6.087500990726797</v>
      </c>
      <c r="E3832">
        <v>-1.1747673673275449E-2</v>
      </c>
      <c r="F3832">
        <v>3829</v>
      </c>
      <c r="G3832">
        <f t="shared" ca="1" si="123"/>
        <v>-1.554729165092349E-2</v>
      </c>
    </row>
    <row r="3833" spans="2:7" x14ac:dyDescent="0.35">
      <c r="B3833" s="2">
        <v>40273</v>
      </c>
      <c r="C3833" s="4">
        <v>126.17</v>
      </c>
      <c r="D3833">
        <f t="shared" si="122"/>
        <v>-0.91247858267607296</v>
      </c>
      <c r="E3833">
        <v>-1.1749040495026231E-2</v>
      </c>
      <c r="F3833">
        <v>3830</v>
      </c>
      <c r="G3833">
        <f t="shared" ca="1" si="123"/>
        <v>1.4303760630807384E-2</v>
      </c>
    </row>
    <row r="3834" spans="2:7" x14ac:dyDescent="0.35">
      <c r="B3834" s="2">
        <v>44117</v>
      </c>
      <c r="C3834" s="4">
        <v>1441.59</v>
      </c>
      <c r="D3834">
        <f t="shared" si="122"/>
        <v>14.596559558584874</v>
      </c>
      <c r="E3834">
        <v>-1.1756721554218141E-2</v>
      </c>
      <c r="F3834">
        <v>3831</v>
      </c>
      <c r="G3834">
        <f t="shared" ca="1" si="123"/>
        <v>-4.1441717120950525E-3</v>
      </c>
    </row>
    <row r="3835" spans="2:7" x14ac:dyDescent="0.35">
      <c r="B3835" s="2">
        <v>41236</v>
      </c>
      <c r="C3835" s="4">
        <v>92.43</v>
      </c>
      <c r="D3835">
        <f t="shared" si="122"/>
        <v>3.0862068965517242</v>
      </c>
      <c r="E3835">
        <v>-1.1760932321180362E-2</v>
      </c>
      <c r="F3835">
        <v>3832</v>
      </c>
      <c r="G3835">
        <f t="shared" ca="1" si="123"/>
        <v>-2.2717313008996567E-2</v>
      </c>
    </row>
    <row r="3836" spans="2:7" x14ac:dyDescent="0.35">
      <c r="B3836" s="2">
        <v>37686</v>
      </c>
      <c r="C3836" s="4">
        <v>22.62</v>
      </c>
      <c r="D3836">
        <f t="shared" si="122"/>
        <v>-0.79521998913633896</v>
      </c>
      <c r="E3836">
        <v>-1.1795543905635641E-2</v>
      </c>
      <c r="F3836">
        <v>3833</v>
      </c>
      <c r="G3836">
        <f t="shared" ca="1" si="123"/>
        <v>1.2203922203816775E-2</v>
      </c>
    </row>
    <row r="3837" spans="2:7" x14ac:dyDescent="0.35">
      <c r="B3837" s="2">
        <v>40366</v>
      </c>
      <c r="C3837" s="4">
        <v>110.46</v>
      </c>
      <c r="D3837">
        <f t="shared" si="122"/>
        <v>1.1641849529780561</v>
      </c>
      <c r="E3837">
        <v>-1.180891035963505E-2</v>
      </c>
      <c r="F3837">
        <v>3834</v>
      </c>
      <c r="G3837">
        <f t="shared" ca="1" si="123"/>
        <v>4.3404403026954955E-3</v>
      </c>
    </row>
    <row r="3838" spans="2:7" x14ac:dyDescent="0.35">
      <c r="B3838" s="2">
        <v>38260</v>
      </c>
      <c r="C3838" s="4">
        <v>51.04</v>
      </c>
      <c r="D3838">
        <f t="shared" si="122"/>
        <v>-0.207576463282099</v>
      </c>
      <c r="E3838">
        <v>-1.1810261374636921E-2</v>
      </c>
      <c r="F3838">
        <v>3835</v>
      </c>
      <c r="G3838">
        <f t="shared" ca="1" si="123"/>
        <v>2.1681056653922139E-2</v>
      </c>
    </row>
    <row r="3839" spans="2:7" x14ac:dyDescent="0.35">
      <c r="B3839" s="2">
        <v>40046</v>
      </c>
      <c r="C3839" s="4">
        <v>64.41</v>
      </c>
      <c r="D3839">
        <f t="shared" si="122"/>
        <v>-0.98458286857739208</v>
      </c>
      <c r="E3839">
        <v>-1.181343970543125E-2</v>
      </c>
      <c r="F3839">
        <v>3836</v>
      </c>
      <c r="G3839">
        <f t="shared" ca="1" si="123"/>
        <v>1.7884866121245822E-2</v>
      </c>
    </row>
    <row r="3840" spans="2:7" x14ac:dyDescent="0.35">
      <c r="B3840" s="2">
        <v>44403</v>
      </c>
      <c r="C3840" s="4">
        <v>4177.82</v>
      </c>
      <c r="D3840">
        <f t="shared" si="122"/>
        <v>-0.34241732642878508</v>
      </c>
      <c r="E3840">
        <v>-1.1814739212398173E-2</v>
      </c>
      <c r="F3840">
        <v>3837</v>
      </c>
      <c r="G3840">
        <f t="shared" ca="1" si="123"/>
        <v>4.5416685877423479E-2</v>
      </c>
    </row>
    <row r="3841" spans="2:7" x14ac:dyDescent="0.35">
      <c r="B3841" s="2">
        <v>44914</v>
      </c>
      <c r="C3841" s="4">
        <v>6353.3</v>
      </c>
      <c r="D3841">
        <f t="shared" si="122"/>
        <v>66.444798301486202</v>
      </c>
      <c r="E3841">
        <v>-1.183625221638096E-2</v>
      </c>
      <c r="F3841">
        <v>3838</v>
      </c>
      <c r="G3841">
        <f t="shared" ca="1" si="123"/>
        <v>-1.9226184974625107E-2</v>
      </c>
    </row>
    <row r="3842" spans="2:7" x14ac:dyDescent="0.35">
      <c r="B3842" s="2">
        <v>41310</v>
      </c>
      <c r="C3842" s="4">
        <v>94.2</v>
      </c>
      <c r="D3842">
        <f t="shared" si="122"/>
        <v>0.30326508024349752</v>
      </c>
      <c r="E3842">
        <v>-1.1853561313332595E-2</v>
      </c>
      <c r="F3842">
        <v>3839</v>
      </c>
      <c r="G3842">
        <f t="shared" ca="1" si="123"/>
        <v>-4.9337545263503459E-2</v>
      </c>
    </row>
    <row r="3843" spans="2:7" x14ac:dyDescent="0.35">
      <c r="B3843" s="2">
        <v>39491</v>
      </c>
      <c r="C3843" s="4">
        <v>72.28</v>
      </c>
      <c r="D3843">
        <f t="shared" si="122"/>
        <v>1.4864121087031306</v>
      </c>
      <c r="E3843">
        <v>-1.1893369788106734E-2</v>
      </c>
      <c r="F3843">
        <v>3840</v>
      </c>
      <c r="G3843">
        <f t="shared" ca="1" si="123"/>
        <v>-3.4164772305853384E-3</v>
      </c>
    </row>
    <row r="3844" spans="2:7" x14ac:dyDescent="0.35">
      <c r="B3844" s="2">
        <v>37631</v>
      </c>
      <c r="C3844" s="4">
        <v>29.07</v>
      </c>
      <c r="D3844">
        <f t="shared" ref="D3844:D3907" si="124">C3844/C3845-1</f>
        <v>-0.69021739130434789</v>
      </c>
      <c r="E3844">
        <v>-1.1896668932698917E-2</v>
      </c>
      <c r="F3844">
        <v>3841</v>
      </c>
      <c r="G3844">
        <f t="shared" ca="1" si="123"/>
        <v>-9.1542292361032947E-3</v>
      </c>
    </row>
    <row r="3845" spans="2:7" x14ac:dyDescent="0.35">
      <c r="B3845" s="2">
        <v>39126</v>
      </c>
      <c r="C3845" s="4">
        <v>93.84</v>
      </c>
      <c r="D3845">
        <f t="shared" si="124"/>
        <v>-0.85458602575426523</v>
      </c>
      <c r="E3845">
        <v>-1.1898494261345594E-2</v>
      </c>
      <c r="F3845">
        <v>3842</v>
      </c>
      <c r="G3845">
        <f t="shared" ref="G3845:G3908" ca="1" si="125">_xlfn.NORM.INV(RAND(),K$6,K$7)</f>
        <v>-7.3188739637349808E-3</v>
      </c>
    </row>
    <row r="3846" spans="2:7" x14ac:dyDescent="0.35">
      <c r="B3846" s="2">
        <v>42648</v>
      </c>
      <c r="C3846" s="4">
        <v>645.33000000000004</v>
      </c>
      <c r="D3846">
        <f t="shared" si="124"/>
        <v>16.704526748971194</v>
      </c>
      <c r="E3846">
        <v>-1.1912235304925578E-2</v>
      </c>
      <c r="F3846">
        <v>3843</v>
      </c>
      <c r="G3846">
        <f t="shared" ca="1" si="125"/>
        <v>-3.4147533131820493E-2</v>
      </c>
    </row>
    <row r="3847" spans="2:7" x14ac:dyDescent="0.35">
      <c r="B3847" s="2">
        <v>37454</v>
      </c>
      <c r="C3847" s="4">
        <v>36.450000000000003</v>
      </c>
      <c r="D3847">
        <f t="shared" si="124"/>
        <v>0.46739130434782616</v>
      </c>
      <c r="E3847">
        <v>-1.1927351585795498E-2</v>
      </c>
      <c r="F3847">
        <v>3844</v>
      </c>
      <c r="G3847">
        <f t="shared" ca="1" si="125"/>
        <v>3.8508657839542203E-3</v>
      </c>
    </row>
    <row r="3848" spans="2:7" x14ac:dyDescent="0.35">
      <c r="B3848" s="2">
        <v>37657</v>
      </c>
      <c r="C3848" s="4">
        <v>24.84</v>
      </c>
      <c r="D3848">
        <f t="shared" si="124"/>
        <v>-0.99409201613517006</v>
      </c>
      <c r="E3848">
        <v>-1.1933174224343701E-2</v>
      </c>
      <c r="F3848">
        <v>3845</v>
      </c>
      <c r="G3848">
        <f t="shared" ca="1" si="125"/>
        <v>4.1251570410725498E-3</v>
      </c>
    </row>
    <row r="3849" spans="2:7" x14ac:dyDescent="0.35">
      <c r="B3849" s="2">
        <v>44407</v>
      </c>
      <c r="C3849" s="4">
        <v>4204.4799999999996</v>
      </c>
      <c r="D3849">
        <f t="shared" si="124"/>
        <v>4.3789115472200182</v>
      </c>
      <c r="E3849">
        <v>-1.1938109830610499E-2</v>
      </c>
      <c r="F3849">
        <v>3846</v>
      </c>
      <c r="G3849">
        <f t="shared" ca="1" si="125"/>
        <v>4.9181763221923885E-2</v>
      </c>
    </row>
    <row r="3850" spans="2:7" x14ac:dyDescent="0.35">
      <c r="B3850" s="2">
        <v>42228</v>
      </c>
      <c r="C3850" s="4">
        <v>781.66</v>
      </c>
      <c r="D3850">
        <f t="shared" si="124"/>
        <v>-0.87506233616776419</v>
      </c>
      <c r="E3850">
        <v>-1.1945241496125747E-2</v>
      </c>
      <c r="F3850">
        <v>3847</v>
      </c>
      <c r="G3850">
        <f t="shared" ca="1" si="125"/>
        <v>3.6297347872019103E-2</v>
      </c>
    </row>
    <row r="3851" spans="2:7" x14ac:dyDescent="0.35">
      <c r="B3851" s="2">
        <v>44924</v>
      </c>
      <c r="C3851" s="4">
        <v>6256.4</v>
      </c>
      <c r="D3851">
        <f t="shared" si="124"/>
        <v>8.9717887824548548</v>
      </c>
      <c r="E3851">
        <v>-1.1947157713536827E-2</v>
      </c>
      <c r="F3851">
        <v>3848</v>
      </c>
      <c r="G3851">
        <f t="shared" ca="1" si="125"/>
        <v>-2.1878809647594453E-2</v>
      </c>
    </row>
    <row r="3852" spans="2:7" x14ac:dyDescent="0.35">
      <c r="B3852" s="2">
        <v>42888</v>
      </c>
      <c r="C3852" s="4">
        <v>627.41</v>
      </c>
      <c r="D3852">
        <f t="shared" si="124"/>
        <v>5.1710435723418904</v>
      </c>
      <c r="E3852">
        <v>-1.1952755905511814E-2</v>
      </c>
      <c r="F3852">
        <v>3849</v>
      </c>
      <c r="G3852">
        <f t="shared" ca="1" si="125"/>
        <v>-7.6387202962150298E-3</v>
      </c>
    </row>
    <row r="3853" spans="2:7" x14ac:dyDescent="0.35">
      <c r="B3853" s="2">
        <v>39373</v>
      </c>
      <c r="C3853" s="4">
        <v>101.67</v>
      </c>
      <c r="D3853">
        <f t="shared" si="124"/>
        <v>-0.88670477718717611</v>
      </c>
      <c r="E3853">
        <v>-1.1953352769679348E-2</v>
      </c>
      <c r="F3853">
        <v>3850</v>
      </c>
      <c r="G3853">
        <f t="shared" ca="1" si="125"/>
        <v>6.868954661027768E-2</v>
      </c>
    </row>
    <row r="3854" spans="2:7" x14ac:dyDescent="0.35">
      <c r="B3854" s="2">
        <v>42346</v>
      </c>
      <c r="C3854" s="4">
        <v>897.39</v>
      </c>
      <c r="D3854">
        <f t="shared" si="124"/>
        <v>0.49298750561498639</v>
      </c>
      <c r="E3854">
        <v>-1.1967938695968128E-2</v>
      </c>
      <c r="F3854">
        <v>3851</v>
      </c>
      <c r="G3854">
        <f t="shared" ca="1" si="125"/>
        <v>-4.5513939787159112E-2</v>
      </c>
    </row>
    <row r="3855" spans="2:7" x14ac:dyDescent="0.35">
      <c r="B3855" s="2">
        <v>43684</v>
      </c>
      <c r="C3855" s="4">
        <v>601.07000000000005</v>
      </c>
      <c r="D3855">
        <f t="shared" si="124"/>
        <v>-0.89207595818565077</v>
      </c>
      <c r="E3855">
        <v>-1.1983036360049937E-2</v>
      </c>
      <c r="F3855">
        <v>3852</v>
      </c>
      <c r="G3855">
        <f t="shared" ca="1" si="125"/>
        <v>1.045033981280921E-2</v>
      </c>
    </row>
    <row r="3856" spans="2:7" x14ac:dyDescent="0.35">
      <c r="B3856" s="2">
        <v>44468</v>
      </c>
      <c r="C3856" s="4">
        <v>5569.38</v>
      </c>
      <c r="D3856">
        <f t="shared" si="124"/>
        <v>50.664007421150281</v>
      </c>
      <c r="E3856">
        <v>-1.1985226026886786E-2</v>
      </c>
      <c r="F3856">
        <v>3853</v>
      </c>
      <c r="G3856">
        <f t="shared" ca="1" si="125"/>
        <v>2.6221177239258122E-2</v>
      </c>
    </row>
    <row r="3857" spans="2:7" x14ac:dyDescent="0.35">
      <c r="B3857" s="2">
        <v>40570</v>
      </c>
      <c r="C3857" s="4">
        <v>107.8</v>
      </c>
      <c r="D3857">
        <f t="shared" si="124"/>
        <v>-4.1095890410958957E-2</v>
      </c>
      <c r="E3857">
        <v>-1.2006232242690928E-2</v>
      </c>
      <c r="F3857">
        <v>3854</v>
      </c>
      <c r="G3857">
        <f t="shared" ca="1" si="125"/>
        <v>2.8431363838907164E-2</v>
      </c>
    </row>
    <row r="3858" spans="2:7" x14ac:dyDescent="0.35">
      <c r="B3858" s="2">
        <v>40471</v>
      </c>
      <c r="C3858" s="4">
        <v>112.42</v>
      </c>
      <c r="D3858">
        <f t="shared" si="124"/>
        <v>-0.12116948092557844</v>
      </c>
      <c r="E3858">
        <v>-1.2039722295456579E-2</v>
      </c>
      <c r="F3858">
        <v>3855</v>
      </c>
      <c r="G3858">
        <f t="shared" ca="1" si="125"/>
        <v>-2.4604764239824398E-2</v>
      </c>
    </row>
    <row r="3859" spans="2:7" x14ac:dyDescent="0.35">
      <c r="B3859" s="2">
        <v>40547</v>
      </c>
      <c r="C3859" s="4">
        <v>127.92</v>
      </c>
      <c r="D3859">
        <f t="shared" si="124"/>
        <v>-0.51225835970564682</v>
      </c>
      <c r="E3859">
        <v>-1.2048192771084265E-2</v>
      </c>
      <c r="F3859">
        <v>3856</v>
      </c>
      <c r="G3859">
        <f t="shared" ca="1" si="125"/>
        <v>1.3987713637876978E-2</v>
      </c>
    </row>
    <row r="3860" spans="2:7" x14ac:dyDescent="0.35">
      <c r="B3860" s="2">
        <v>41829</v>
      </c>
      <c r="C3860" s="4">
        <v>262.27</v>
      </c>
      <c r="D3860">
        <f t="shared" si="124"/>
        <v>3.6378426171529616</v>
      </c>
      <c r="E3860">
        <v>-1.2054092741176192E-2</v>
      </c>
      <c r="F3860">
        <v>3857</v>
      </c>
      <c r="G3860">
        <f t="shared" ca="1" si="125"/>
        <v>1.23920180626185E-2</v>
      </c>
    </row>
    <row r="3861" spans="2:7" x14ac:dyDescent="0.35">
      <c r="B3861" s="2">
        <v>38474</v>
      </c>
      <c r="C3861" s="4">
        <v>56.55</v>
      </c>
      <c r="D3861">
        <f t="shared" si="124"/>
        <v>-0.4728255803113639</v>
      </c>
      <c r="E3861">
        <v>-1.2054507337526332E-2</v>
      </c>
      <c r="F3861">
        <v>3858</v>
      </c>
      <c r="G3861">
        <f t="shared" ca="1" si="125"/>
        <v>-2.485454174726838E-2</v>
      </c>
    </row>
    <row r="3862" spans="2:7" x14ac:dyDescent="0.35">
      <c r="B3862" s="2">
        <v>40310</v>
      </c>
      <c r="C3862" s="4">
        <v>107.27</v>
      </c>
      <c r="D3862">
        <f t="shared" si="124"/>
        <v>-0.85596122084513848</v>
      </c>
      <c r="E3862">
        <v>-1.2064836986553695E-2</v>
      </c>
      <c r="F3862">
        <v>3859</v>
      </c>
      <c r="G3862">
        <f t="shared" ca="1" si="125"/>
        <v>5.6809243473961114E-3</v>
      </c>
    </row>
    <row r="3863" spans="2:7" x14ac:dyDescent="0.35">
      <c r="B3863" s="2">
        <v>42909</v>
      </c>
      <c r="C3863" s="4">
        <v>744.73</v>
      </c>
      <c r="D3863">
        <f t="shared" si="124"/>
        <v>7.7656544256120537</v>
      </c>
      <c r="E3863">
        <v>-1.2084792528918586E-2</v>
      </c>
      <c r="F3863">
        <v>3860</v>
      </c>
      <c r="G3863">
        <f t="shared" ca="1" si="125"/>
        <v>-7.3083342317401094E-3</v>
      </c>
    </row>
    <row r="3864" spans="2:7" x14ac:dyDescent="0.35">
      <c r="B3864" s="2">
        <v>41346</v>
      </c>
      <c r="C3864" s="4">
        <v>84.96</v>
      </c>
      <c r="D3864">
        <f t="shared" si="124"/>
        <v>-0.90762405949636848</v>
      </c>
      <c r="E3864">
        <v>-1.2093023255814073E-2</v>
      </c>
      <c r="F3864">
        <v>3861</v>
      </c>
      <c r="G3864">
        <f t="shared" ca="1" si="125"/>
        <v>-4.2729811961823537E-2</v>
      </c>
    </row>
    <row r="3865" spans="2:7" x14ac:dyDescent="0.35">
      <c r="B3865" s="2">
        <v>43847</v>
      </c>
      <c r="C3865" s="4">
        <v>919.72</v>
      </c>
      <c r="D3865">
        <f t="shared" si="124"/>
        <v>11.117523056653491</v>
      </c>
      <c r="E3865">
        <v>-1.2094781842789337E-2</v>
      </c>
      <c r="F3865">
        <v>3862</v>
      </c>
      <c r="G3865">
        <f t="shared" ca="1" si="125"/>
        <v>-1.4317693652473776E-2</v>
      </c>
    </row>
    <row r="3866" spans="2:7" x14ac:dyDescent="0.35">
      <c r="B3866" s="2">
        <v>38953</v>
      </c>
      <c r="C3866" s="4">
        <v>75.900000000000006</v>
      </c>
      <c r="D3866">
        <f t="shared" si="124"/>
        <v>1.6594253679046953</v>
      </c>
      <c r="E3866">
        <v>-1.2104646622413062E-2</v>
      </c>
      <c r="F3866">
        <v>3863</v>
      </c>
      <c r="G3866">
        <f t="shared" ca="1" si="125"/>
        <v>-1.0209411786057833E-2</v>
      </c>
    </row>
    <row r="3867" spans="2:7" x14ac:dyDescent="0.35">
      <c r="B3867" s="2">
        <v>38051</v>
      </c>
      <c r="C3867" s="4">
        <v>28.54</v>
      </c>
      <c r="D3867">
        <f t="shared" si="124"/>
        <v>-0.91717453131348303</v>
      </c>
      <c r="E3867">
        <v>-1.2114918656974782E-2</v>
      </c>
      <c r="F3867">
        <v>3864</v>
      </c>
      <c r="G3867">
        <f t="shared" ca="1" si="125"/>
        <v>-2.6889301703167563E-2</v>
      </c>
    </row>
    <row r="3868" spans="2:7" x14ac:dyDescent="0.35">
      <c r="B3868" s="2">
        <v>42032</v>
      </c>
      <c r="C3868" s="4">
        <v>344.58</v>
      </c>
      <c r="D3868">
        <f t="shared" si="124"/>
        <v>0.39207368803781351</v>
      </c>
      <c r="E3868">
        <v>-1.2126945901780428E-2</v>
      </c>
      <c r="F3868">
        <v>3865</v>
      </c>
      <c r="G3868">
        <f t="shared" ca="1" si="125"/>
        <v>-3.4073265465447311E-2</v>
      </c>
    </row>
    <row r="3869" spans="2:7" x14ac:dyDescent="0.35">
      <c r="B3869" s="2">
        <v>41815</v>
      </c>
      <c r="C3869" s="4">
        <v>247.53</v>
      </c>
      <c r="D3869">
        <f t="shared" si="124"/>
        <v>2.55289220611454</v>
      </c>
      <c r="E3869">
        <v>-1.2132338268747267E-2</v>
      </c>
      <c r="F3869">
        <v>3866</v>
      </c>
      <c r="G3869">
        <f t="shared" ca="1" si="125"/>
        <v>2.6369089992021217E-2</v>
      </c>
    </row>
    <row r="3870" spans="2:7" x14ac:dyDescent="0.35">
      <c r="B3870" s="2">
        <v>38863</v>
      </c>
      <c r="C3870" s="4">
        <v>69.67</v>
      </c>
      <c r="D3870">
        <f t="shared" si="124"/>
        <v>-0.1805457539402493</v>
      </c>
      <c r="E3870">
        <v>-1.2193392882461351E-2</v>
      </c>
      <c r="F3870">
        <v>3867</v>
      </c>
      <c r="G3870">
        <f t="shared" ca="1" si="125"/>
        <v>-1.587950344670468E-2</v>
      </c>
    </row>
    <row r="3871" spans="2:7" x14ac:dyDescent="0.35">
      <c r="B3871" s="2">
        <v>40983</v>
      </c>
      <c r="C3871" s="4">
        <v>85.02</v>
      </c>
      <c r="D3871">
        <f t="shared" si="124"/>
        <v>-0.1379030622591767</v>
      </c>
      <c r="E3871">
        <v>-1.2199372603694636E-2</v>
      </c>
      <c r="F3871">
        <v>3868</v>
      </c>
      <c r="G3871">
        <f t="shared" ca="1" si="125"/>
        <v>5.1332059956967734E-2</v>
      </c>
    </row>
    <row r="3872" spans="2:7" x14ac:dyDescent="0.35">
      <c r="B3872" s="2">
        <v>40710</v>
      </c>
      <c r="C3872" s="4">
        <v>98.62</v>
      </c>
      <c r="D3872">
        <f t="shared" si="124"/>
        <v>2.2123778501628668</v>
      </c>
      <c r="E3872">
        <v>-1.2219551282051322E-2</v>
      </c>
      <c r="F3872">
        <v>3869</v>
      </c>
      <c r="G3872">
        <f t="shared" ca="1" si="125"/>
        <v>-2.2004232791833601E-2</v>
      </c>
    </row>
    <row r="3873" spans="2:7" x14ac:dyDescent="0.35">
      <c r="B3873" s="2">
        <v>37519</v>
      </c>
      <c r="C3873" s="4">
        <v>30.7</v>
      </c>
      <c r="D3873">
        <f t="shared" si="124"/>
        <v>-0.7007797270955165</v>
      </c>
      <c r="E3873">
        <v>-1.2226512226512165E-2</v>
      </c>
      <c r="F3873">
        <v>3870</v>
      </c>
      <c r="G3873">
        <f t="shared" ca="1" si="125"/>
        <v>4.4086281805457782E-2</v>
      </c>
    </row>
    <row r="3874" spans="2:7" x14ac:dyDescent="0.35">
      <c r="B3874" s="2">
        <v>40589</v>
      </c>
      <c r="C3874" s="4">
        <v>102.6</v>
      </c>
      <c r="D3874">
        <f t="shared" si="124"/>
        <v>0.62857142857142856</v>
      </c>
      <c r="E3874">
        <v>-1.2226821989024805E-2</v>
      </c>
      <c r="F3874">
        <v>3871</v>
      </c>
      <c r="G3874">
        <f t="shared" ca="1" si="125"/>
        <v>-4.6954875376730792E-2</v>
      </c>
    </row>
    <row r="3875" spans="2:7" x14ac:dyDescent="0.35">
      <c r="B3875" s="2">
        <v>38516</v>
      </c>
      <c r="C3875" s="4">
        <v>63</v>
      </c>
      <c r="D3875">
        <f t="shared" si="124"/>
        <v>-0.34422816696159042</v>
      </c>
      <c r="E3875">
        <v>-1.2229539040451542E-2</v>
      </c>
      <c r="F3875">
        <v>3872</v>
      </c>
      <c r="G3875">
        <f t="shared" ca="1" si="125"/>
        <v>-7.0871476847264997E-3</v>
      </c>
    </row>
    <row r="3876" spans="2:7" x14ac:dyDescent="0.35">
      <c r="B3876" s="2">
        <v>41204</v>
      </c>
      <c r="C3876" s="4">
        <v>96.07</v>
      </c>
      <c r="D3876">
        <f t="shared" si="124"/>
        <v>3.4129536058796504</v>
      </c>
      <c r="E3876">
        <v>-1.2235245733086653E-2</v>
      </c>
      <c r="F3876">
        <v>3873</v>
      </c>
      <c r="G3876">
        <f t="shared" ca="1" si="125"/>
        <v>3.8397062165537135E-2</v>
      </c>
    </row>
    <row r="3877" spans="2:7" x14ac:dyDescent="0.35">
      <c r="B3877" s="2">
        <v>37735</v>
      </c>
      <c r="C3877" s="4">
        <v>21.77</v>
      </c>
      <c r="D3877">
        <f t="shared" si="124"/>
        <v>-0.97530458062027814</v>
      </c>
      <c r="E3877">
        <v>-1.2250453720508148E-2</v>
      </c>
      <c r="F3877">
        <v>3874</v>
      </c>
      <c r="G3877">
        <f t="shared" ca="1" si="125"/>
        <v>-3.3067045824023533E-2</v>
      </c>
    </row>
    <row r="3878" spans="2:7" x14ac:dyDescent="0.35">
      <c r="B3878" s="2">
        <v>44026</v>
      </c>
      <c r="C3878" s="4">
        <v>881.54</v>
      </c>
      <c r="D3878">
        <f t="shared" si="124"/>
        <v>-6.6926341860982008E-2</v>
      </c>
      <c r="E3878">
        <v>-1.2302245327835859E-2</v>
      </c>
      <c r="F3878">
        <v>3875</v>
      </c>
      <c r="G3878">
        <f t="shared" ca="1" si="125"/>
        <v>-1.2664259699463059E-2</v>
      </c>
    </row>
    <row r="3879" spans="2:7" x14ac:dyDescent="0.35">
      <c r="B3879" s="2">
        <v>43453</v>
      </c>
      <c r="C3879" s="4">
        <v>944.77</v>
      </c>
      <c r="D3879">
        <f t="shared" si="124"/>
        <v>-0.25690577316344199</v>
      </c>
      <c r="E3879">
        <v>-1.2304765090848213E-2</v>
      </c>
      <c r="F3879">
        <v>3876</v>
      </c>
      <c r="G3879">
        <f t="shared" ca="1" si="125"/>
        <v>-2.8700042974436589E-2</v>
      </c>
    </row>
    <row r="3880" spans="2:7" x14ac:dyDescent="0.35">
      <c r="B3880" s="2">
        <v>44089</v>
      </c>
      <c r="C3880" s="4">
        <v>1271.4000000000001</v>
      </c>
      <c r="D3880">
        <f t="shared" si="124"/>
        <v>13.880617977528091</v>
      </c>
      <c r="E3880">
        <v>-1.2328415950033755E-2</v>
      </c>
      <c r="F3880">
        <v>3877</v>
      </c>
      <c r="G3880">
        <f t="shared" ca="1" si="125"/>
        <v>3.6568500422986309E-2</v>
      </c>
    </row>
    <row r="3881" spans="2:7" x14ac:dyDescent="0.35">
      <c r="B3881" s="2">
        <v>40975</v>
      </c>
      <c r="C3881" s="4">
        <v>85.44</v>
      </c>
      <c r="D3881">
        <f t="shared" si="124"/>
        <v>0.69894611254722605</v>
      </c>
      <c r="E3881">
        <v>-1.2368512310715563E-2</v>
      </c>
      <c r="F3881">
        <v>3878</v>
      </c>
      <c r="G3881">
        <f t="shared" ca="1" si="125"/>
        <v>-2.1185400994344419E-2</v>
      </c>
    </row>
    <row r="3882" spans="2:7" x14ac:dyDescent="0.35">
      <c r="B3882" s="2">
        <v>38247</v>
      </c>
      <c r="C3882" s="4">
        <v>50.29</v>
      </c>
      <c r="D3882">
        <f t="shared" si="124"/>
        <v>-0.9925449357002557</v>
      </c>
      <c r="E3882">
        <v>-1.2372348782403786E-2</v>
      </c>
      <c r="F3882">
        <v>3879</v>
      </c>
      <c r="G3882">
        <f t="shared" ca="1" si="125"/>
        <v>-8.9611234168599854E-3</v>
      </c>
    </row>
    <row r="3883" spans="2:7" x14ac:dyDescent="0.35">
      <c r="B3883" s="2">
        <v>44904</v>
      </c>
      <c r="C3883" s="4">
        <v>6745.75</v>
      </c>
      <c r="D3883">
        <f t="shared" si="124"/>
        <v>3.5792264038231787</v>
      </c>
      <c r="E3883">
        <v>-1.2385895305511485E-2</v>
      </c>
      <c r="F3883">
        <v>3880</v>
      </c>
      <c r="G3883">
        <f t="shared" ca="1" si="125"/>
        <v>-4.6557506830184142E-2</v>
      </c>
    </row>
    <row r="3884" spans="2:7" x14ac:dyDescent="0.35">
      <c r="B3884" s="2">
        <v>44123</v>
      </c>
      <c r="C3884" s="4">
        <v>1473.12</v>
      </c>
      <c r="D3884">
        <f t="shared" si="124"/>
        <v>-0.80885327797061013</v>
      </c>
      <c r="E3884">
        <v>-1.2429105828406062E-2</v>
      </c>
      <c r="F3884">
        <v>3881</v>
      </c>
      <c r="G3884">
        <f t="shared" ca="1" si="125"/>
        <v>4.5556819119200433E-2</v>
      </c>
    </row>
    <row r="3885" spans="2:7" x14ac:dyDescent="0.35">
      <c r="B3885" s="2">
        <v>44680</v>
      </c>
      <c r="C3885" s="4">
        <v>7706.75</v>
      </c>
      <c r="D3885">
        <f t="shared" si="124"/>
        <v>69.834099264705884</v>
      </c>
      <c r="E3885">
        <v>-1.2429921512093545E-2</v>
      </c>
      <c r="F3885">
        <v>3882</v>
      </c>
      <c r="G3885">
        <f t="shared" ca="1" si="125"/>
        <v>-4.4457909837215355E-3</v>
      </c>
    </row>
    <row r="3886" spans="2:7" x14ac:dyDescent="0.35">
      <c r="B3886" s="2">
        <v>40648</v>
      </c>
      <c r="C3886" s="4">
        <v>108.8</v>
      </c>
      <c r="D3886">
        <f t="shared" si="124"/>
        <v>7.1287908625442986E-2</v>
      </c>
      <c r="E3886">
        <v>-1.2435327221566705E-2</v>
      </c>
      <c r="F3886">
        <v>3883</v>
      </c>
      <c r="G3886">
        <f t="shared" ca="1" si="125"/>
        <v>-1.8302308309575638E-3</v>
      </c>
    </row>
    <row r="3887" spans="2:7" x14ac:dyDescent="0.35">
      <c r="B3887" s="2">
        <v>41291</v>
      </c>
      <c r="C3887" s="4">
        <v>101.56</v>
      </c>
      <c r="D3887">
        <f t="shared" si="124"/>
        <v>-0.87382126750239164</v>
      </c>
      <c r="E3887">
        <v>-1.2446518864255185E-2</v>
      </c>
      <c r="F3887">
        <v>3884</v>
      </c>
      <c r="G3887">
        <f t="shared" ca="1" si="125"/>
        <v>5.0321552589508191E-2</v>
      </c>
    </row>
    <row r="3888" spans="2:7" x14ac:dyDescent="0.35">
      <c r="B3888" s="2">
        <v>43810</v>
      </c>
      <c r="C3888" s="4">
        <v>804.89</v>
      </c>
      <c r="D3888">
        <f t="shared" si="124"/>
        <v>7.4877148581672461</v>
      </c>
      <c r="E3888">
        <v>-1.2453376521397663E-2</v>
      </c>
      <c r="F3888">
        <v>3885</v>
      </c>
      <c r="G3888">
        <f t="shared" ca="1" si="125"/>
        <v>-2.4781849998016534E-3</v>
      </c>
    </row>
    <row r="3889" spans="2:7" x14ac:dyDescent="0.35">
      <c r="B3889" s="2">
        <v>40856</v>
      </c>
      <c r="C3889" s="4">
        <v>94.83</v>
      </c>
      <c r="D3889">
        <f t="shared" si="124"/>
        <v>-9.737292975442613E-2</v>
      </c>
      <c r="E3889">
        <v>-1.2496094970321781E-2</v>
      </c>
      <c r="F3889">
        <v>3886</v>
      </c>
      <c r="G3889">
        <f t="shared" ca="1" si="125"/>
        <v>-3.7482795612964626E-3</v>
      </c>
    </row>
    <row r="3890" spans="2:7" x14ac:dyDescent="0.35">
      <c r="B3890" s="2">
        <v>40652</v>
      </c>
      <c r="C3890" s="4">
        <v>105.06</v>
      </c>
      <c r="D3890">
        <f t="shared" si="124"/>
        <v>-0.62576140775834432</v>
      </c>
      <c r="E3890">
        <v>-1.2501174922455061E-2</v>
      </c>
      <c r="F3890">
        <v>3887</v>
      </c>
      <c r="G3890">
        <f t="shared" ca="1" si="125"/>
        <v>4.712878437175972E-2</v>
      </c>
    </row>
    <row r="3891" spans="2:7" x14ac:dyDescent="0.35">
      <c r="B3891" s="2">
        <v>41954</v>
      </c>
      <c r="C3891" s="4">
        <v>280.73</v>
      </c>
      <c r="D3891">
        <f t="shared" si="124"/>
        <v>2.8309224890829698</v>
      </c>
      <c r="E3891">
        <v>-1.2522424285061007E-2</v>
      </c>
      <c r="F3891">
        <v>3888</v>
      </c>
      <c r="G3891">
        <f t="shared" ca="1" si="125"/>
        <v>1.9114281595739184E-2</v>
      </c>
    </row>
    <row r="3892" spans="2:7" x14ac:dyDescent="0.35">
      <c r="B3892" s="2">
        <v>41514</v>
      </c>
      <c r="C3892" s="4">
        <v>73.28</v>
      </c>
      <c r="D3892">
        <f t="shared" si="124"/>
        <v>-0.89808208508921994</v>
      </c>
      <c r="E3892">
        <v>-1.2532003773076283E-2</v>
      </c>
      <c r="F3892">
        <v>3889</v>
      </c>
      <c r="G3892">
        <f t="shared" ca="1" si="125"/>
        <v>7.049001037301399E-3</v>
      </c>
    </row>
    <row r="3893" spans="2:7" x14ac:dyDescent="0.35">
      <c r="B3893" s="2">
        <v>42837</v>
      </c>
      <c r="C3893" s="4">
        <v>719.01</v>
      </c>
      <c r="D3893">
        <f t="shared" si="124"/>
        <v>4.9688693342188284</v>
      </c>
      <c r="E3893">
        <v>-1.253879748400033E-2</v>
      </c>
      <c r="F3893">
        <v>3890</v>
      </c>
      <c r="G3893">
        <f t="shared" ca="1" si="125"/>
        <v>-1.1525592872424779E-2</v>
      </c>
    </row>
    <row r="3894" spans="2:7" x14ac:dyDescent="0.35">
      <c r="B3894" s="2">
        <v>40528</v>
      </c>
      <c r="C3894" s="4">
        <v>120.46</v>
      </c>
      <c r="D3894">
        <f t="shared" si="124"/>
        <v>2.5628512274475002</v>
      </c>
      <c r="E3894">
        <v>-1.2542011640298445E-2</v>
      </c>
      <c r="F3894">
        <v>3891</v>
      </c>
      <c r="G3894">
        <f t="shared" ca="1" si="125"/>
        <v>-1.7966846601271961E-2</v>
      </c>
    </row>
    <row r="3895" spans="2:7" x14ac:dyDescent="0.35">
      <c r="B3895" s="2">
        <v>39825</v>
      </c>
      <c r="C3895" s="4">
        <v>33.81</v>
      </c>
      <c r="D3895">
        <f t="shared" si="124"/>
        <v>-0.99414054376308458</v>
      </c>
      <c r="E3895">
        <v>-1.2558411214953269E-2</v>
      </c>
      <c r="F3895">
        <v>3892</v>
      </c>
      <c r="G3895">
        <f t="shared" ca="1" si="125"/>
        <v>2.155538721147723E-2</v>
      </c>
    </row>
    <row r="3896" spans="2:7" x14ac:dyDescent="0.35">
      <c r="B3896" s="2">
        <v>44568</v>
      </c>
      <c r="C3896" s="4">
        <v>5770.16</v>
      </c>
      <c r="D3896">
        <f t="shared" si="124"/>
        <v>73.434468524251812</v>
      </c>
      <c r="E3896">
        <v>-1.2599699852321899E-2</v>
      </c>
      <c r="F3896">
        <v>3893</v>
      </c>
      <c r="G3896">
        <f t="shared" ca="1" si="125"/>
        <v>3.0966992521085498E-3</v>
      </c>
    </row>
    <row r="3897" spans="2:7" x14ac:dyDescent="0.35">
      <c r="B3897" s="2">
        <v>38959</v>
      </c>
      <c r="C3897" s="4">
        <v>77.52</v>
      </c>
      <c r="D3897">
        <f t="shared" si="124"/>
        <v>-0.33929941191511126</v>
      </c>
      <c r="E3897">
        <v>-1.2609858616736802E-2</v>
      </c>
      <c r="F3897">
        <v>3894</v>
      </c>
      <c r="G3897">
        <f t="shared" ca="1" si="125"/>
        <v>-7.4970148090941907E-2</v>
      </c>
    </row>
    <row r="3898" spans="2:7" x14ac:dyDescent="0.35">
      <c r="B3898" s="2">
        <v>39252</v>
      </c>
      <c r="C3898" s="4">
        <v>117.33</v>
      </c>
      <c r="D3898">
        <f t="shared" si="124"/>
        <v>9.5109202912077695E-2</v>
      </c>
      <c r="E3898">
        <v>-1.2623074981065407E-2</v>
      </c>
      <c r="F3898">
        <v>3895</v>
      </c>
      <c r="G3898">
        <f t="shared" ca="1" si="125"/>
        <v>-9.6179320566207455E-3</v>
      </c>
    </row>
    <row r="3899" spans="2:7" x14ac:dyDescent="0.35">
      <c r="B3899" s="2">
        <v>40661</v>
      </c>
      <c r="C3899" s="4">
        <v>107.14</v>
      </c>
      <c r="D3899">
        <f t="shared" si="124"/>
        <v>-0.82908191752412863</v>
      </c>
      <c r="E3899">
        <v>-1.2625564464104677E-2</v>
      </c>
      <c r="F3899">
        <v>3896</v>
      </c>
      <c r="G3899">
        <f t="shared" ca="1" si="125"/>
        <v>-2.4825227793895312E-3</v>
      </c>
    </row>
    <row r="3900" spans="2:7" x14ac:dyDescent="0.35">
      <c r="B3900" s="2">
        <v>43672</v>
      </c>
      <c r="C3900" s="4">
        <v>626.85</v>
      </c>
      <c r="D3900">
        <f t="shared" si="124"/>
        <v>-0.26269422129171127</v>
      </c>
      <c r="E3900">
        <v>-1.2632507442468466E-2</v>
      </c>
      <c r="F3900">
        <v>3897</v>
      </c>
      <c r="G3900">
        <f t="shared" ca="1" si="125"/>
        <v>3.282827613627574E-3</v>
      </c>
    </row>
    <row r="3901" spans="2:7" x14ac:dyDescent="0.35">
      <c r="B3901" s="2">
        <v>43998</v>
      </c>
      <c r="C3901" s="4">
        <v>850.19</v>
      </c>
      <c r="D3901">
        <f t="shared" si="124"/>
        <v>9.790582561238736</v>
      </c>
      <c r="E3901">
        <v>-1.2635441950131776E-2</v>
      </c>
      <c r="F3901">
        <v>3898</v>
      </c>
      <c r="G3901">
        <f t="shared" ca="1" si="125"/>
        <v>7.4049427913114637E-3</v>
      </c>
    </row>
    <row r="3902" spans="2:7" x14ac:dyDescent="0.35">
      <c r="B3902" s="2">
        <v>39003</v>
      </c>
      <c r="C3902" s="4">
        <v>78.790000000000006</v>
      </c>
      <c r="D3902">
        <f t="shared" si="124"/>
        <v>-0.89422599309965234</v>
      </c>
      <c r="E3902">
        <v>-1.2656641604009922E-2</v>
      </c>
      <c r="F3902">
        <v>3899</v>
      </c>
      <c r="G3902">
        <f t="shared" ca="1" si="125"/>
        <v>-1.5677214208847733E-2</v>
      </c>
    </row>
    <row r="3903" spans="2:7" x14ac:dyDescent="0.35">
      <c r="B3903" s="2">
        <v>42607</v>
      </c>
      <c r="C3903" s="4">
        <v>744.89</v>
      </c>
      <c r="D3903">
        <f t="shared" si="124"/>
        <v>7.1676535087719291</v>
      </c>
      <c r="E3903">
        <v>-1.265839563119675E-2</v>
      </c>
      <c r="F3903">
        <v>3900</v>
      </c>
      <c r="G3903">
        <f t="shared" ca="1" si="125"/>
        <v>5.4896073782893266E-3</v>
      </c>
    </row>
    <row r="3904" spans="2:7" x14ac:dyDescent="0.35">
      <c r="B3904" s="2">
        <v>41326</v>
      </c>
      <c r="C3904" s="4">
        <v>91.2</v>
      </c>
      <c r="D3904">
        <f t="shared" si="124"/>
        <v>-0.8413305960541424</v>
      </c>
      <c r="E3904">
        <v>-1.266645014615142E-2</v>
      </c>
      <c r="F3904">
        <v>3901</v>
      </c>
      <c r="G3904">
        <f t="shared" ca="1" si="125"/>
        <v>-3.3432565921750208E-2</v>
      </c>
    </row>
    <row r="3905" spans="2:7" x14ac:dyDescent="0.35">
      <c r="B3905" s="2">
        <v>42678</v>
      </c>
      <c r="C3905" s="4">
        <v>574.78</v>
      </c>
      <c r="D3905">
        <f t="shared" si="124"/>
        <v>17.96337842296272</v>
      </c>
      <c r="E3905">
        <v>-1.2676927305208197E-2</v>
      </c>
      <c r="F3905">
        <v>3902</v>
      </c>
      <c r="G3905">
        <f t="shared" ca="1" si="125"/>
        <v>1.7868767735386912E-2</v>
      </c>
    </row>
    <row r="3906" spans="2:7" x14ac:dyDescent="0.35">
      <c r="B3906" s="2">
        <v>37550</v>
      </c>
      <c r="C3906" s="4">
        <v>30.31</v>
      </c>
      <c r="D3906">
        <f t="shared" si="124"/>
        <v>0.44539818788745822</v>
      </c>
      <c r="E3906">
        <v>-1.2703583061889234E-2</v>
      </c>
      <c r="F3906">
        <v>3903</v>
      </c>
      <c r="G3906">
        <f t="shared" ca="1" si="125"/>
        <v>1.0946028165649671E-2</v>
      </c>
    </row>
    <row r="3907" spans="2:7" x14ac:dyDescent="0.35">
      <c r="B3907" s="2">
        <v>37750</v>
      </c>
      <c r="C3907" s="4">
        <v>20.97</v>
      </c>
      <c r="D3907">
        <f t="shared" si="124"/>
        <v>-0.81504674545775269</v>
      </c>
      <c r="E3907">
        <v>-1.2711864406779627E-2</v>
      </c>
      <c r="F3907">
        <v>3904</v>
      </c>
      <c r="G3907">
        <f t="shared" ca="1" si="125"/>
        <v>4.8818511512398674E-2</v>
      </c>
    </row>
    <row r="3908" spans="2:7" x14ac:dyDescent="0.35">
      <c r="B3908" s="2">
        <v>40371</v>
      </c>
      <c r="C3908" s="4">
        <v>113.38</v>
      </c>
      <c r="D3908">
        <f t="shared" ref="D3908:D3971" si="126">C3908/C3909-1</f>
        <v>0.50851516764236293</v>
      </c>
      <c r="E3908">
        <v>-1.2713340299547293E-2</v>
      </c>
      <c r="F3908">
        <v>3905</v>
      </c>
      <c r="G3908">
        <f t="shared" ca="1" si="125"/>
        <v>-1.5963894445755685E-2</v>
      </c>
    </row>
    <row r="3909" spans="2:7" x14ac:dyDescent="0.35">
      <c r="B3909" s="2">
        <v>38614</v>
      </c>
      <c r="C3909" s="4">
        <v>75.16</v>
      </c>
      <c r="D3909">
        <f t="shared" si="126"/>
        <v>-0.93325459340893546</v>
      </c>
      <c r="E3909">
        <v>-1.2741363457244193E-2</v>
      </c>
      <c r="F3909">
        <v>3906</v>
      </c>
      <c r="G3909">
        <f t="shared" ref="G3909:G3972" ca="1" si="127">_xlfn.NORM.INV(RAND(),K$6,K$7)</f>
        <v>-6.8832639081523095E-2</v>
      </c>
    </row>
    <row r="3910" spans="2:7" x14ac:dyDescent="0.35">
      <c r="B3910" s="2">
        <v>44071</v>
      </c>
      <c r="C3910" s="4">
        <v>1126.07</v>
      </c>
      <c r="D3910">
        <f t="shared" si="126"/>
        <v>-0.31785580149989701</v>
      </c>
      <c r="E3910">
        <v>-1.2747564899483588E-2</v>
      </c>
      <c r="F3910">
        <v>3907</v>
      </c>
      <c r="G3910">
        <f t="shared" ca="1" si="127"/>
        <v>-4.8617639549083894E-2</v>
      </c>
    </row>
    <row r="3911" spans="2:7" x14ac:dyDescent="0.35">
      <c r="B3911" s="2">
        <v>44169</v>
      </c>
      <c r="C3911" s="4">
        <v>1650.78</v>
      </c>
      <c r="D3911">
        <f t="shared" si="126"/>
        <v>25.703008735037205</v>
      </c>
      <c r="E3911">
        <v>-1.2768146017355209E-2</v>
      </c>
      <c r="F3911">
        <v>3908</v>
      </c>
      <c r="G3911">
        <f t="shared" ca="1" si="127"/>
        <v>3.638030452515259E-2</v>
      </c>
    </row>
    <row r="3912" spans="2:7" x14ac:dyDescent="0.35">
      <c r="B3912" s="2">
        <v>38455</v>
      </c>
      <c r="C3912" s="4">
        <v>61.82</v>
      </c>
      <c r="D3912">
        <f t="shared" si="126"/>
        <v>-0.2659700783661838</v>
      </c>
      <c r="E3912">
        <v>-1.2775471095496593E-2</v>
      </c>
      <c r="F3912">
        <v>3909</v>
      </c>
      <c r="G3912">
        <f t="shared" ca="1" si="127"/>
        <v>-1.1507037175539143E-2</v>
      </c>
    </row>
    <row r="3913" spans="2:7" x14ac:dyDescent="0.35">
      <c r="B3913" s="2">
        <v>40827</v>
      </c>
      <c r="C3913" s="4">
        <v>84.22</v>
      </c>
      <c r="D3913">
        <f t="shared" si="126"/>
        <v>0.45583405358686258</v>
      </c>
      <c r="E3913">
        <v>-1.2776931192122865E-2</v>
      </c>
      <c r="F3913">
        <v>3910</v>
      </c>
      <c r="G3913">
        <f t="shared" ca="1" si="127"/>
        <v>-2.6683667730468524E-3</v>
      </c>
    </row>
    <row r="3914" spans="2:7" x14ac:dyDescent="0.35">
      <c r="B3914" s="2">
        <v>38490</v>
      </c>
      <c r="C3914" s="4">
        <v>57.85</v>
      </c>
      <c r="D3914">
        <f t="shared" si="126"/>
        <v>0.36438679245283034</v>
      </c>
      <c r="E3914">
        <v>-1.2798634812286713E-2</v>
      </c>
      <c r="F3914">
        <v>3911</v>
      </c>
      <c r="G3914">
        <f t="shared" ca="1" si="127"/>
        <v>3.503347219363246E-2</v>
      </c>
    </row>
    <row r="3915" spans="2:7" x14ac:dyDescent="0.35">
      <c r="B3915" s="2">
        <v>37445</v>
      </c>
      <c r="C3915" s="4">
        <v>42.4</v>
      </c>
      <c r="D3915">
        <f t="shared" si="126"/>
        <v>0.62079510703363905</v>
      </c>
      <c r="E3915">
        <v>-1.2805587892898873E-2</v>
      </c>
      <c r="F3915">
        <v>3912</v>
      </c>
      <c r="G3915">
        <f t="shared" ca="1" si="127"/>
        <v>-9.8064733596727703E-3</v>
      </c>
    </row>
    <row r="3916" spans="2:7" x14ac:dyDescent="0.35">
      <c r="B3916" s="2">
        <v>37806</v>
      </c>
      <c r="C3916" s="4">
        <v>26.16</v>
      </c>
      <c r="D3916">
        <f t="shared" si="126"/>
        <v>-0.44245524296675198</v>
      </c>
      <c r="E3916">
        <v>-1.2830188679245236E-2</v>
      </c>
      <c r="F3916">
        <v>3913</v>
      </c>
      <c r="G3916">
        <f t="shared" ca="1" si="127"/>
        <v>-1.5758578935098914E-2</v>
      </c>
    </row>
    <row r="3917" spans="2:7" x14ac:dyDescent="0.35">
      <c r="B3917" s="2">
        <v>38232</v>
      </c>
      <c r="C3917" s="4">
        <v>46.92</v>
      </c>
      <c r="D3917">
        <f t="shared" si="126"/>
        <v>-0.85910333023032337</v>
      </c>
      <c r="E3917">
        <v>-1.2833999579213162E-2</v>
      </c>
      <c r="F3917">
        <v>3914</v>
      </c>
      <c r="G3917">
        <f t="shared" ca="1" si="127"/>
        <v>5.0464728736313571E-3</v>
      </c>
    </row>
    <row r="3918" spans="2:7" x14ac:dyDescent="0.35">
      <c r="B3918" s="2">
        <v>42020</v>
      </c>
      <c r="C3918" s="4">
        <v>333.01</v>
      </c>
      <c r="D3918">
        <f t="shared" si="126"/>
        <v>1.8121094409728085</v>
      </c>
      <c r="E3918">
        <v>-1.2835714709195423E-2</v>
      </c>
      <c r="F3918">
        <v>3915</v>
      </c>
      <c r="G3918">
        <f t="shared" ca="1" si="127"/>
        <v>-2.4805698385319446E-3</v>
      </c>
    </row>
    <row r="3919" spans="2:7" x14ac:dyDescent="0.35">
      <c r="B3919" s="2">
        <v>39279</v>
      </c>
      <c r="C3919" s="4">
        <v>118.42</v>
      </c>
      <c r="D3919">
        <f t="shared" si="126"/>
        <v>0.13309731126208013</v>
      </c>
      <c r="E3919">
        <v>-1.2837612537512477E-2</v>
      </c>
      <c r="F3919">
        <v>3916</v>
      </c>
      <c r="G3919">
        <f t="shared" ca="1" si="127"/>
        <v>1.9218281891798378E-2</v>
      </c>
    </row>
    <row r="3920" spans="2:7" x14ac:dyDescent="0.35">
      <c r="B3920" s="2">
        <v>41278</v>
      </c>
      <c r="C3920" s="4">
        <v>104.51</v>
      </c>
      <c r="D3920">
        <f t="shared" si="126"/>
        <v>-0.86701193596823867</v>
      </c>
      <c r="E3920">
        <v>-1.2845943137810512E-2</v>
      </c>
      <c r="F3920">
        <v>3917</v>
      </c>
      <c r="G3920">
        <f t="shared" ca="1" si="127"/>
        <v>1.4401293892191957E-2</v>
      </c>
    </row>
    <row r="3921" spans="2:7" x14ac:dyDescent="0.35">
      <c r="B3921" s="2">
        <v>42558</v>
      </c>
      <c r="C3921" s="4">
        <v>785.86</v>
      </c>
      <c r="D3921">
        <f t="shared" si="126"/>
        <v>1.8580884492289789</v>
      </c>
      <c r="E3921">
        <v>-1.2850305869939405E-2</v>
      </c>
      <c r="F3921">
        <v>3918</v>
      </c>
      <c r="G3921">
        <f t="shared" ca="1" si="127"/>
        <v>-2.9747567813751957E-2</v>
      </c>
    </row>
    <row r="3922" spans="2:7" x14ac:dyDescent="0.35">
      <c r="B3922" s="2">
        <v>41981</v>
      </c>
      <c r="C3922" s="4">
        <v>274.95999999999998</v>
      </c>
      <c r="D3922">
        <f t="shared" si="126"/>
        <v>-0.65277128821650021</v>
      </c>
      <c r="E3922">
        <v>-1.2852732103109221E-2</v>
      </c>
      <c r="F3922">
        <v>3919</v>
      </c>
      <c r="G3922">
        <f t="shared" ca="1" si="127"/>
        <v>3.0711522120037783E-2</v>
      </c>
    </row>
    <row r="3923" spans="2:7" x14ac:dyDescent="0.35">
      <c r="B3923" s="2">
        <v>42930</v>
      </c>
      <c r="C3923" s="4">
        <v>791.87</v>
      </c>
      <c r="D3923">
        <f t="shared" si="126"/>
        <v>8.4709962923095325</v>
      </c>
      <c r="E3923">
        <v>-1.286478265747526E-2</v>
      </c>
      <c r="F3923">
        <v>3920</v>
      </c>
      <c r="G3923">
        <f t="shared" ca="1" si="127"/>
        <v>5.47269113529033E-2</v>
      </c>
    </row>
    <row r="3924" spans="2:7" x14ac:dyDescent="0.35">
      <c r="B3924" s="2">
        <v>41040</v>
      </c>
      <c r="C3924" s="4">
        <v>83.61</v>
      </c>
      <c r="D3924">
        <f t="shared" si="126"/>
        <v>0.25314748201438841</v>
      </c>
      <c r="E3924">
        <v>-1.2868949232585636E-2</v>
      </c>
      <c r="F3924">
        <v>3921</v>
      </c>
      <c r="G3924">
        <f t="shared" ca="1" si="127"/>
        <v>-1.2667485226642046E-2</v>
      </c>
    </row>
    <row r="3925" spans="2:7" x14ac:dyDescent="0.35">
      <c r="B3925" s="2">
        <v>38744</v>
      </c>
      <c r="C3925" s="4">
        <v>66.72</v>
      </c>
      <c r="D3925">
        <f t="shared" si="126"/>
        <v>-0.22982800415560423</v>
      </c>
      <c r="E3925">
        <v>-1.2871726586773269E-2</v>
      </c>
      <c r="F3925">
        <v>3922</v>
      </c>
      <c r="G3925">
        <f t="shared" ca="1" si="127"/>
        <v>3.267596153441403E-2</v>
      </c>
    </row>
    <row r="3926" spans="2:7" x14ac:dyDescent="0.35">
      <c r="B3926" s="2">
        <v>41396</v>
      </c>
      <c r="C3926" s="4">
        <v>86.63</v>
      </c>
      <c r="D3926">
        <f t="shared" si="126"/>
        <v>-0.98622175921876121</v>
      </c>
      <c r="E3926">
        <v>-1.2876025524156898E-2</v>
      </c>
      <c r="F3926">
        <v>3923</v>
      </c>
      <c r="G3926">
        <f t="shared" ca="1" si="127"/>
        <v>1.7592359867621716E-2</v>
      </c>
    </row>
    <row r="3927" spans="2:7" x14ac:dyDescent="0.35">
      <c r="B3927" s="2">
        <v>44931</v>
      </c>
      <c r="C3927" s="4">
        <v>6287.45</v>
      </c>
      <c r="D3927">
        <f t="shared" si="126"/>
        <v>82.899786495863353</v>
      </c>
      <c r="E3927">
        <v>-1.2889450589131157E-2</v>
      </c>
      <c r="F3927">
        <v>3924</v>
      </c>
      <c r="G3927">
        <f t="shared" ca="1" si="127"/>
        <v>-4.3918804875380359E-4</v>
      </c>
    </row>
    <row r="3928" spans="2:7" x14ac:dyDescent="0.35">
      <c r="B3928" s="2">
        <v>41534</v>
      </c>
      <c r="C3928" s="4">
        <v>74.94</v>
      </c>
      <c r="D3928">
        <f t="shared" si="126"/>
        <v>-0.24554515252189668</v>
      </c>
      <c r="E3928">
        <v>-1.2908324552160177E-2</v>
      </c>
      <c r="F3928">
        <v>3925</v>
      </c>
      <c r="G3928">
        <f t="shared" ca="1" si="127"/>
        <v>-2.411920954307898E-2</v>
      </c>
    </row>
    <row r="3929" spans="2:7" x14ac:dyDescent="0.35">
      <c r="B3929" s="2">
        <v>41165</v>
      </c>
      <c r="C3929" s="4">
        <v>99.33</v>
      </c>
      <c r="D3929">
        <f t="shared" si="126"/>
        <v>-1.5071888943976153E-2</v>
      </c>
      <c r="E3929">
        <v>-1.2918612739739599E-2</v>
      </c>
      <c r="F3929">
        <v>3926</v>
      </c>
      <c r="G3929">
        <f t="shared" ca="1" si="127"/>
        <v>-2.6697630022344945E-2</v>
      </c>
    </row>
    <row r="3930" spans="2:7" x14ac:dyDescent="0.35">
      <c r="B3930" s="2">
        <v>41256</v>
      </c>
      <c r="C3930" s="4">
        <v>100.85</v>
      </c>
      <c r="D3930">
        <f t="shared" si="126"/>
        <v>0.51813939485172344</v>
      </c>
      <c r="E3930">
        <v>-1.2919643731036601E-2</v>
      </c>
      <c r="F3930">
        <v>3927</v>
      </c>
      <c r="G3930">
        <f t="shared" ca="1" si="127"/>
        <v>-3.1515575421917803E-3</v>
      </c>
    </row>
    <row r="3931" spans="2:7" x14ac:dyDescent="0.35">
      <c r="B3931" s="2">
        <v>38873</v>
      </c>
      <c r="C3931" s="4">
        <v>66.430000000000007</v>
      </c>
      <c r="D3931">
        <f t="shared" si="126"/>
        <v>-0.17906574394463659</v>
      </c>
      <c r="E3931">
        <v>-1.2927191679048877E-2</v>
      </c>
      <c r="F3931">
        <v>3928</v>
      </c>
      <c r="G3931">
        <f t="shared" ca="1" si="127"/>
        <v>-1.6593690728638429E-2</v>
      </c>
    </row>
    <row r="3932" spans="2:7" x14ac:dyDescent="0.35">
      <c r="B3932" s="2">
        <v>38846</v>
      </c>
      <c r="C3932" s="4">
        <v>80.92</v>
      </c>
      <c r="D3932">
        <f t="shared" si="126"/>
        <v>-0.9876986690786923</v>
      </c>
      <c r="E3932">
        <v>-1.2929982922664118E-2</v>
      </c>
      <c r="F3932">
        <v>3929</v>
      </c>
      <c r="G3932">
        <f t="shared" ca="1" si="127"/>
        <v>-5.0068401738073767E-2</v>
      </c>
    </row>
    <row r="3933" spans="2:7" x14ac:dyDescent="0.35">
      <c r="B3933" s="2">
        <v>44956</v>
      </c>
      <c r="C3933" s="4">
        <v>6578.15</v>
      </c>
      <c r="D3933">
        <f t="shared" si="126"/>
        <v>56.860409886533553</v>
      </c>
      <c r="E3933">
        <v>-1.2934494736921209E-2</v>
      </c>
      <c r="F3933">
        <v>3930</v>
      </c>
      <c r="G3933">
        <f t="shared" ca="1" si="127"/>
        <v>2.0187435453083092E-2</v>
      </c>
    </row>
    <row r="3934" spans="2:7" x14ac:dyDescent="0.35">
      <c r="B3934" s="2">
        <v>40479</v>
      </c>
      <c r="C3934" s="4">
        <v>113.69</v>
      </c>
      <c r="D3934">
        <f t="shared" si="126"/>
        <v>-0.8633993367616668</v>
      </c>
      <c r="E3934">
        <v>-1.2936273658621378E-2</v>
      </c>
      <c r="F3934">
        <v>3931</v>
      </c>
      <c r="G3934">
        <f t="shared" ca="1" si="127"/>
        <v>-1.7726650607238534E-2</v>
      </c>
    </row>
    <row r="3935" spans="2:7" x14ac:dyDescent="0.35">
      <c r="B3935" s="2">
        <v>43818</v>
      </c>
      <c r="C3935" s="4">
        <v>832.28</v>
      </c>
      <c r="D3935">
        <f t="shared" si="126"/>
        <v>2.0596279685317258</v>
      </c>
      <c r="E3935">
        <v>-1.2950664136622492E-2</v>
      </c>
      <c r="F3935">
        <v>3932</v>
      </c>
      <c r="G3935">
        <f t="shared" ca="1" si="127"/>
        <v>-1.0454029323298933E-2</v>
      </c>
    </row>
    <row r="3936" spans="2:7" x14ac:dyDescent="0.35">
      <c r="B3936" s="2">
        <v>41822</v>
      </c>
      <c r="C3936" s="4">
        <v>272.02</v>
      </c>
      <c r="D3936">
        <f t="shared" si="126"/>
        <v>7.3288426209430497</v>
      </c>
      <c r="E3936">
        <v>-1.2954025908051836E-2</v>
      </c>
      <c r="F3936">
        <v>3933</v>
      </c>
      <c r="G3936">
        <f t="shared" ca="1" si="127"/>
        <v>4.1233152728868995E-2</v>
      </c>
    </row>
    <row r="3937" spans="2:7" x14ac:dyDescent="0.35">
      <c r="B3937" s="2">
        <v>39812</v>
      </c>
      <c r="C3937" s="4">
        <v>32.659999999999997</v>
      </c>
      <c r="D3937">
        <f t="shared" si="126"/>
        <v>-0.97373795854039014</v>
      </c>
      <c r="E3937">
        <v>-1.2994862496222614E-2</v>
      </c>
      <c r="F3937">
        <v>3934</v>
      </c>
      <c r="G3937">
        <f t="shared" ca="1" si="127"/>
        <v>4.686998606480401E-3</v>
      </c>
    </row>
    <row r="3938" spans="2:7" x14ac:dyDescent="0.35">
      <c r="B3938" s="2">
        <v>43278</v>
      </c>
      <c r="C3938" s="4">
        <v>1243.6199999999999</v>
      </c>
      <c r="D3938">
        <f t="shared" si="126"/>
        <v>10.110694183864913</v>
      </c>
      <c r="E3938">
        <v>-1.3007833271164615E-2</v>
      </c>
      <c r="F3938">
        <v>3935</v>
      </c>
      <c r="G3938">
        <f t="shared" ca="1" si="127"/>
        <v>2.1088309931665133E-2</v>
      </c>
    </row>
    <row r="3939" spans="2:7" x14ac:dyDescent="0.35">
      <c r="B3939" s="2">
        <v>39210</v>
      </c>
      <c r="C3939" s="4">
        <v>111.93</v>
      </c>
      <c r="D3939">
        <f t="shared" si="126"/>
        <v>0.89744024410917111</v>
      </c>
      <c r="E3939">
        <v>-1.3049995591217667E-2</v>
      </c>
      <c r="F3939">
        <v>3936</v>
      </c>
      <c r="G3939">
        <f t="shared" ca="1" si="127"/>
        <v>6.2557548632214008E-2</v>
      </c>
    </row>
    <row r="3940" spans="2:7" x14ac:dyDescent="0.35">
      <c r="B3940" s="2">
        <v>38912</v>
      </c>
      <c r="C3940" s="4">
        <v>58.99</v>
      </c>
      <c r="D3940">
        <f t="shared" si="126"/>
        <v>-0.34939891915738386</v>
      </c>
      <c r="E3940">
        <v>-1.3050025096202122E-2</v>
      </c>
      <c r="F3940">
        <v>3937</v>
      </c>
      <c r="G3940">
        <f t="shared" ca="1" si="127"/>
        <v>-3.0487166436710079E-3</v>
      </c>
    </row>
    <row r="3941" spans="2:7" x14ac:dyDescent="0.35">
      <c r="B3941" s="2">
        <v>40861</v>
      </c>
      <c r="C3941" s="4">
        <v>90.67</v>
      </c>
      <c r="D3941">
        <f t="shared" si="126"/>
        <v>0.14352377348972123</v>
      </c>
      <c r="E3941">
        <v>-1.3061935343420039E-2</v>
      </c>
      <c r="F3941">
        <v>3938</v>
      </c>
      <c r="G3941">
        <f t="shared" ca="1" si="127"/>
        <v>-8.0696494013062382E-3</v>
      </c>
    </row>
    <row r="3942" spans="2:7" x14ac:dyDescent="0.35">
      <c r="B3942" s="2">
        <v>41522</v>
      </c>
      <c r="C3942" s="4">
        <v>79.290000000000006</v>
      </c>
      <c r="D3942">
        <f t="shared" si="126"/>
        <v>-0.67566572585593321</v>
      </c>
      <c r="E3942">
        <v>-1.3069454817027593E-2</v>
      </c>
      <c r="F3942">
        <v>3939</v>
      </c>
      <c r="G3942">
        <f t="shared" ca="1" si="127"/>
        <v>-5.8971165668597086E-2</v>
      </c>
    </row>
    <row r="3943" spans="2:7" x14ac:dyDescent="0.35">
      <c r="B3943" s="2">
        <v>41799</v>
      </c>
      <c r="C3943" s="4">
        <v>244.47</v>
      </c>
      <c r="D3943">
        <f t="shared" si="126"/>
        <v>7.5508919202518356</v>
      </c>
      <c r="E3943">
        <v>-1.3079811069395708E-2</v>
      </c>
      <c r="F3943">
        <v>3940</v>
      </c>
      <c r="G3943">
        <f t="shared" ca="1" si="127"/>
        <v>2.1719505201934788E-2</v>
      </c>
    </row>
    <row r="3944" spans="2:7" x14ac:dyDescent="0.35">
      <c r="B3944" s="2">
        <v>37895</v>
      </c>
      <c r="C3944" s="4">
        <v>28.59</v>
      </c>
      <c r="D3944">
        <f t="shared" si="126"/>
        <v>-0.69790786136939986</v>
      </c>
      <c r="E3944">
        <v>-1.3117017604418302E-2</v>
      </c>
      <c r="F3944">
        <v>3941</v>
      </c>
      <c r="G3944">
        <f t="shared" ca="1" si="127"/>
        <v>3.5334200248912317E-2</v>
      </c>
    </row>
    <row r="3945" spans="2:7" x14ac:dyDescent="0.35">
      <c r="B3945" s="2">
        <v>40953</v>
      </c>
      <c r="C3945" s="4">
        <v>94.64</v>
      </c>
      <c r="D3945">
        <f t="shared" si="126"/>
        <v>0.8822593476531424</v>
      </c>
      <c r="E3945">
        <v>-1.3138686131386912E-2</v>
      </c>
      <c r="F3945">
        <v>3942</v>
      </c>
      <c r="G3945">
        <f t="shared" ca="1" si="127"/>
        <v>2.3307860513979935E-2</v>
      </c>
    </row>
    <row r="3946" spans="2:7" x14ac:dyDescent="0.35">
      <c r="B3946" s="2">
        <v>38337</v>
      </c>
      <c r="C3946" s="4">
        <v>50.28</v>
      </c>
      <c r="D3946">
        <f t="shared" si="126"/>
        <v>-0.39618109763420195</v>
      </c>
      <c r="E3946">
        <v>-1.3150147203140339E-2</v>
      </c>
      <c r="F3946">
        <v>3943</v>
      </c>
      <c r="G3946">
        <f t="shared" ca="1" si="127"/>
        <v>-3.7626301297996219E-2</v>
      </c>
    </row>
    <row r="3947" spans="2:7" x14ac:dyDescent="0.35">
      <c r="B3947" s="2">
        <v>41484</v>
      </c>
      <c r="C3947" s="4">
        <v>83.27</v>
      </c>
      <c r="D3947">
        <f t="shared" si="126"/>
        <v>0.16935823620278057</v>
      </c>
      <c r="E3947">
        <v>-1.3154776013273306E-2</v>
      </c>
      <c r="F3947">
        <v>3944</v>
      </c>
      <c r="G3947">
        <f t="shared" ca="1" si="127"/>
        <v>-2.0996547760040046E-2</v>
      </c>
    </row>
    <row r="3948" spans="2:7" x14ac:dyDescent="0.35">
      <c r="B3948" s="2">
        <v>38709</v>
      </c>
      <c r="C3948" s="4">
        <v>71.209999999999994</v>
      </c>
      <c r="D3948">
        <f t="shared" si="126"/>
        <v>-0.16567076742823672</v>
      </c>
      <c r="E3948">
        <v>-1.3165188470066536E-2</v>
      </c>
      <c r="F3948">
        <v>3945</v>
      </c>
      <c r="G3948">
        <f t="shared" ca="1" si="127"/>
        <v>-5.5512727686250077E-3</v>
      </c>
    </row>
    <row r="3949" spans="2:7" x14ac:dyDescent="0.35">
      <c r="B3949" s="2">
        <v>40836</v>
      </c>
      <c r="C3949" s="4">
        <v>85.35</v>
      </c>
      <c r="D3949">
        <f t="shared" si="126"/>
        <v>1.651444547996272</v>
      </c>
      <c r="E3949">
        <v>-1.3180714533472138E-2</v>
      </c>
      <c r="F3949">
        <v>3946</v>
      </c>
      <c r="G3949">
        <f t="shared" ca="1" si="127"/>
        <v>-1.4421342151902002E-2</v>
      </c>
    </row>
    <row r="3950" spans="2:7" x14ac:dyDescent="0.35">
      <c r="B3950" s="2">
        <v>39846</v>
      </c>
      <c r="C3950" s="4">
        <v>32.19</v>
      </c>
      <c r="D3950">
        <f t="shared" si="126"/>
        <v>-0.68601248536870862</v>
      </c>
      <c r="E3950">
        <v>-1.3182096873084026E-2</v>
      </c>
      <c r="F3950">
        <v>3947</v>
      </c>
      <c r="G3950">
        <f t="shared" ca="1" si="127"/>
        <v>-2.2617550201964352E-2</v>
      </c>
    </row>
    <row r="3951" spans="2:7" x14ac:dyDescent="0.35">
      <c r="B3951" s="2">
        <v>40406</v>
      </c>
      <c r="C3951" s="4">
        <v>102.52</v>
      </c>
      <c r="D3951">
        <f t="shared" si="126"/>
        <v>-0.83426825522559367</v>
      </c>
      <c r="E3951">
        <v>-1.318702473770339E-2</v>
      </c>
      <c r="F3951">
        <v>3948</v>
      </c>
      <c r="G3951">
        <f t="shared" ca="1" si="127"/>
        <v>-5.3953664552282891E-2</v>
      </c>
    </row>
    <row r="3952" spans="2:7" x14ac:dyDescent="0.35">
      <c r="B3952" s="2">
        <v>42067</v>
      </c>
      <c r="C3952" s="4">
        <v>618.59</v>
      </c>
      <c r="D3952">
        <f t="shared" si="126"/>
        <v>7.3536799459824458</v>
      </c>
      <c r="E3952">
        <v>-1.3192738410490401E-2</v>
      </c>
      <c r="F3952">
        <v>3949</v>
      </c>
      <c r="G3952">
        <f t="shared" ca="1" si="127"/>
        <v>1.5518139116588265E-2</v>
      </c>
    </row>
    <row r="3953" spans="2:7" x14ac:dyDescent="0.35">
      <c r="B3953" s="2">
        <v>38609</v>
      </c>
      <c r="C3953" s="4">
        <v>74.05</v>
      </c>
      <c r="D3953">
        <f t="shared" si="126"/>
        <v>2.0004051863857373</v>
      </c>
      <c r="E3953">
        <v>-1.3192963752665321E-2</v>
      </c>
      <c r="F3953">
        <v>3950</v>
      </c>
      <c r="G3953">
        <f t="shared" ca="1" si="127"/>
        <v>-1.8213974836803218E-2</v>
      </c>
    </row>
    <row r="3954" spans="2:7" x14ac:dyDescent="0.35">
      <c r="B3954" s="2">
        <v>37659</v>
      </c>
      <c r="C3954" s="4">
        <v>24.68</v>
      </c>
      <c r="D3954">
        <f t="shared" si="126"/>
        <v>-0.96844151194312311</v>
      </c>
      <c r="E3954">
        <v>-1.3194722111155577E-2</v>
      </c>
      <c r="F3954">
        <v>3951</v>
      </c>
      <c r="G3954">
        <f t="shared" ca="1" si="127"/>
        <v>4.4901951832793403E-3</v>
      </c>
    </row>
    <row r="3955" spans="2:7" x14ac:dyDescent="0.35">
      <c r="B3955" s="2">
        <v>43027</v>
      </c>
      <c r="C3955" s="4">
        <v>782.04</v>
      </c>
      <c r="D3955">
        <f t="shared" si="126"/>
        <v>8.6955120257872558</v>
      </c>
      <c r="E3955">
        <v>-1.3198738170347002E-2</v>
      </c>
      <c r="F3955">
        <v>3952</v>
      </c>
      <c r="G3955">
        <f t="shared" ca="1" si="127"/>
        <v>7.6322328382604186E-3</v>
      </c>
    </row>
    <row r="3956" spans="2:7" x14ac:dyDescent="0.35">
      <c r="B3956" s="2">
        <v>41418</v>
      </c>
      <c r="C3956" s="4">
        <v>80.66</v>
      </c>
      <c r="D3956">
        <f t="shared" si="126"/>
        <v>-0.89024058349662527</v>
      </c>
      <c r="E3956">
        <v>-1.3212625397602151E-2</v>
      </c>
      <c r="F3956">
        <v>3953</v>
      </c>
      <c r="G3956">
        <f t="shared" ca="1" si="127"/>
        <v>1.1125448366758897E-2</v>
      </c>
    </row>
    <row r="3957" spans="2:7" x14ac:dyDescent="0.35">
      <c r="B3957" s="2">
        <v>42913</v>
      </c>
      <c r="C3957" s="4">
        <v>734.88</v>
      </c>
      <c r="D3957">
        <f t="shared" si="126"/>
        <v>6.2977159880834161</v>
      </c>
      <c r="E3957">
        <v>-1.3226269923327982E-2</v>
      </c>
      <c r="F3957">
        <v>3954</v>
      </c>
      <c r="G3957">
        <f t="shared" ca="1" si="127"/>
        <v>-2.2542466984868694E-2</v>
      </c>
    </row>
    <row r="3958" spans="2:7" x14ac:dyDescent="0.35">
      <c r="B3958" s="2">
        <v>40680</v>
      </c>
      <c r="C3958" s="4">
        <v>100.7</v>
      </c>
      <c r="D3958">
        <f t="shared" si="126"/>
        <v>2.9755230951440983</v>
      </c>
      <c r="E3958">
        <v>-1.3228809407153319E-2</v>
      </c>
      <c r="F3958">
        <v>3955</v>
      </c>
      <c r="G3958">
        <f t="shared" ca="1" si="127"/>
        <v>4.842504677015956E-2</v>
      </c>
    </row>
    <row r="3959" spans="2:7" x14ac:dyDescent="0.35">
      <c r="B3959" s="2">
        <v>38077</v>
      </c>
      <c r="C3959" s="4">
        <v>25.33</v>
      </c>
      <c r="D3959">
        <f t="shared" si="126"/>
        <v>-0.74801034619976126</v>
      </c>
      <c r="E3959">
        <v>-1.324503311258296E-2</v>
      </c>
      <c r="F3959">
        <v>3956</v>
      </c>
      <c r="G3959">
        <f t="shared" ca="1" si="127"/>
        <v>5.5081230368286879E-3</v>
      </c>
    </row>
    <row r="3960" spans="2:7" x14ac:dyDescent="0.35">
      <c r="B3960" s="2">
        <v>40415</v>
      </c>
      <c r="C3960" s="4">
        <v>100.52</v>
      </c>
      <c r="D3960">
        <f t="shared" si="126"/>
        <v>-0.63902754336194212</v>
      </c>
      <c r="E3960">
        <v>-1.3252184156277713E-2</v>
      </c>
      <c r="F3960">
        <v>3957</v>
      </c>
      <c r="G3960">
        <f t="shared" ca="1" si="127"/>
        <v>4.1513246795951576E-3</v>
      </c>
    </row>
    <row r="3961" spans="2:7" x14ac:dyDescent="0.35">
      <c r="B3961" s="2">
        <v>41891</v>
      </c>
      <c r="C3961" s="4">
        <v>278.47000000000003</v>
      </c>
      <c r="D3961">
        <f t="shared" si="126"/>
        <v>2.7438827641839212</v>
      </c>
      <c r="E3961">
        <v>-1.3252542432939829E-2</v>
      </c>
      <c r="F3961">
        <v>3958</v>
      </c>
      <c r="G3961">
        <f t="shared" ca="1" si="127"/>
        <v>1.4379414473714944E-2</v>
      </c>
    </row>
    <row r="3962" spans="2:7" x14ac:dyDescent="0.35">
      <c r="B3962" s="2">
        <v>38600</v>
      </c>
      <c r="C3962" s="4">
        <v>74.38</v>
      </c>
      <c r="D3962">
        <f t="shared" si="126"/>
        <v>-0.72584866020419447</v>
      </c>
      <c r="E3962">
        <v>-1.3266118333775556E-2</v>
      </c>
      <c r="F3962">
        <v>3959</v>
      </c>
      <c r="G3962">
        <f t="shared" ca="1" si="127"/>
        <v>6.0272510009471971E-3</v>
      </c>
    </row>
    <row r="3963" spans="2:7" x14ac:dyDescent="0.35">
      <c r="B3963" s="2">
        <v>41982</v>
      </c>
      <c r="C3963" s="4">
        <v>271.31</v>
      </c>
      <c r="D3963">
        <f t="shared" si="126"/>
        <v>-0.7188788726556834</v>
      </c>
      <c r="E3963">
        <v>-1.3274658132091832E-2</v>
      </c>
      <c r="F3963">
        <v>3960</v>
      </c>
      <c r="G3963">
        <f t="shared" ca="1" si="127"/>
        <v>3.7589165806203646E-2</v>
      </c>
    </row>
    <row r="3964" spans="2:7" x14ac:dyDescent="0.35">
      <c r="B3964" s="2">
        <v>43118</v>
      </c>
      <c r="C3964" s="4">
        <v>965.1</v>
      </c>
      <c r="D3964">
        <f t="shared" si="126"/>
        <v>8.4850122850122851</v>
      </c>
      <c r="E3964">
        <v>-1.3280986412293361E-2</v>
      </c>
      <c r="F3964">
        <v>3961</v>
      </c>
      <c r="G3964">
        <f t="shared" ca="1" si="127"/>
        <v>1.7811715415630047E-2</v>
      </c>
    </row>
    <row r="3965" spans="2:7" x14ac:dyDescent="0.35">
      <c r="B3965" s="2">
        <v>40437</v>
      </c>
      <c r="C3965" s="4">
        <v>101.75</v>
      </c>
      <c r="D3965">
        <f t="shared" si="126"/>
        <v>0.29485874268261636</v>
      </c>
      <c r="E3965">
        <v>-1.3285492629945717E-2</v>
      </c>
      <c r="F3965">
        <v>3962</v>
      </c>
      <c r="G3965">
        <f t="shared" ca="1" si="127"/>
        <v>-4.6887954247768924E-3</v>
      </c>
    </row>
    <row r="3966" spans="2:7" x14ac:dyDescent="0.35">
      <c r="B3966" s="2">
        <v>41430</v>
      </c>
      <c r="C3966" s="4">
        <v>78.58</v>
      </c>
      <c r="D3966">
        <f t="shared" si="126"/>
        <v>-0.25218880852683667</v>
      </c>
      <c r="E3966">
        <v>-1.330989452536413E-2</v>
      </c>
      <c r="F3966">
        <v>3963</v>
      </c>
      <c r="G3966">
        <f t="shared" ca="1" si="127"/>
        <v>6.3497424577856468E-2</v>
      </c>
    </row>
    <row r="3967" spans="2:7" x14ac:dyDescent="0.35">
      <c r="B3967" s="2">
        <v>40227</v>
      </c>
      <c r="C3967" s="4">
        <v>105.08</v>
      </c>
      <c r="D3967">
        <f t="shared" si="126"/>
        <v>2.0980354758726172E-3</v>
      </c>
      <c r="E3967">
        <v>-1.3333333333333308E-2</v>
      </c>
      <c r="F3967">
        <v>3964</v>
      </c>
      <c r="G3967">
        <f t="shared" ca="1" si="127"/>
        <v>-3.1930811681707638E-2</v>
      </c>
    </row>
    <row r="3968" spans="2:7" x14ac:dyDescent="0.35">
      <c r="B3968" s="2">
        <v>40225</v>
      </c>
      <c r="C3968" s="4">
        <v>104.86</v>
      </c>
      <c r="D3968">
        <f t="shared" si="126"/>
        <v>4.5151001694408555E-2</v>
      </c>
      <c r="E3968">
        <v>-1.3360933383515294E-2</v>
      </c>
      <c r="F3968">
        <v>3965</v>
      </c>
      <c r="G3968">
        <f t="shared" ca="1" si="127"/>
        <v>2.438031912075735E-2</v>
      </c>
    </row>
    <row r="3969" spans="2:7" x14ac:dyDescent="0.35">
      <c r="B3969" s="2">
        <v>40185</v>
      </c>
      <c r="C3969" s="4">
        <v>100.33</v>
      </c>
      <c r="D3969">
        <f t="shared" si="126"/>
        <v>2.0274592637296318</v>
      </c>
      <c r="E3969">
        <v>-1.3373979742354214E-2</v>
      </c>
      <c r="F3969">
        <v>3966</v>
      </c>
      <c r="G3969">
        <f t="shared" ca="1" si="127"/>
        <v>2.8809034857893148E-3</v>
      </c>
    </row>
    <row r="3970" spans="2:7" x14ac:dyDescent="0.35">
      <c r="B3970" s="2">
        <v>39790</v>
      </c>
      <c r="C3970" s="4">
        <v>33.14</v>
      </c>
      <c r="D3970">
        <f t="shared" si="126"/>
        <v>-0.60491177873152124</v>
      </c>
      <c r="E3970">
        <v>-1.3396844298898536E-2</v>
      </c>
      <c r="F3970">
        <v>3967</v>
      </c>
      <c r="G3970">
        <f t="shared" ca="1" si="127"/>
        <v>-1.9448185479884353E-3</v>
      </c>
    </row>
    <row r="3971" spans="2:7" x14ac:dyDescent="0.35">
      <c r="B3971" s="2">
        <v>40984</v>
      </c>
      <c r="C3971" s="4">
        <v>83.88</v>
      </c>
      <c r="D3971">
        <f t="shared" si="126"/>
        <v>-0.90684347304591195</v>
      </c>
      <c r="E3971">
        <v>-1.3408609738885024E-2</v>
      </c>
      <c r="F3971">
        <v>3968</v>
      </c>
      <c r="G3971">
        <f t="shared" ca="1" si="127"/>
        <v>1.0317020303801648E-3</v>
      </c>
    </row>
    <row r="3972" spans="2:7" x14ac:dyDescent="0.35">
      <c r="B3972" s="2">
        <v>43101</v>
      </c>
      <c r="C3972" s="4">
        <v>900.42</v>
      </c>
      <c r="D3972">
        <f t="shared" ref="D3972:D4035" si="128">C3972/C3973-1</f>
        <v>15.320826536160954</v>
      </c>
      <c r="E3972">
        <v>-1.3411347051475953E-2</v>
      </c>
      <c r="F3972">
        <v>3969</v>
      </c>
      <c r="G3972">
        <f t="shared" ca="1" si="127"/>
        <v>-5.3923578060790529E-3</v>
      </c>
    </row>
    <row r="3973" spans="2:7" x14ac:dyDescent="0.35">
      <c r="B3973" s="2">
        <v>38406</v>
      </c>
      <c r="C3973" s="4">
        <v>55.17</v>
      </c>
      <c r="D3973">
        <f t="shared" si="128"/>
        <v>-0.94060461210516122</v>
      </c>
      <c r="E3973">
        <v>-1.341201716738194E-2</v>
      </c>
      <c r="F3973">
        <v>3970</v>
      </c>
      <c r="G3973">
        <f t="shared" ref="G3973:G4036" ca="1" si="129">_xlfn.NORM.INV(RAND(),K$6,K$7)</f>
        <v>4.1568714039895836E-2</v>
      </c>
    </row>
    <row r="3974" spans="2:7" x14ac:dyDescent="0.35">
      <c r="B3974" s="2">
        <v>42380</v>
      </c>
      <c r="C3974" s="4">
        <v>928.86</v>
      </c>
      <c r="D3974">
        <f t="shared" si="128"/>
        <v>2.444815309301291</v>
      </c>
      <c r="E3974">
        <v>-1.3425385023898007E-2</v>
      </c>
      <c r="F3974">
        <v>3971</v>
      </c>
      <c r="G3974">
        <f t="shared" ca="1" si="129"/>
        <v>-4.4983123915918105E-2</v>
      </c>
    </row>
    <row r="3975" spans="2:7" x14ac:dyDescent="0.35">
      <c r="B3975" s="2">
        <v>41873</v>
      </c>
      <c r="C3975" s="4">
        <v>269.64</v>
      </c>
      <c r="D3975">
        <f t="shared" si="128"/>
        <v>-0.89598345857700556</v>
      </c>
      <c r="E3975">
        <v>-1.3427975558889194E-2</v>
      </c>
      <c r="F3975">
        <v>3972</v>
      </c>
      <c r="G3975">
        <f t="shared" ca="1" si="129"/>
        <v>1.8812041844466852E-2</v>
      </c>
    </row>
    <row r="3976" spans="2:7" x14ac:dyDescent="0.35">
      <c r="B3976" s="2">
        <v>44256</v>
      </c>
      <c r="C3976" s="4">
        <v>2592.2800000000002</v>
      </c>
      <c r="D3976">
        <f t="shared" si="128"/>
        <v>25.368426406265893</v>
      </c>
      <c r="E3976">
        <v>-1.3430660267852002E-2</v>
      </c>
      <c r="F3976">
        <v>3973</v>
      </c>
      <c r="G3976">
        <f t="shared" ca="1" si="129"/>
        <v>1.317901962499001E-2</v>
      </c>
    </row>
    <row r="3977" spans="2:7" x14ac:dyDescent="0.35">
      <c r="B3977" s="2">
        <v>40319</v>
      </c>
      <c r="C3977" s="4">
        <v>98.31</v>
      </c>
      <c r="D3977">
        <f t="shared" si="128"/>
        <v>0.48977117745112908</v>
      </c>
      <c r="E3977">
        <v>-1.344706472654289E-2</v>
      </c>
      <c r="F3977">
        <v>3974</v>
      </c>
      <c r="G3977">
        <f t="shared" ca="1" si="129"/>
        <v>1.2723494728277286E-2</v>
      </c>
    </row>
    <row r="3978" spans="2:7" x14ac:dyDescent="0.35">
      <c r="B3978" s="2">
        <v>38806</v>
      </c>
      <c r="C3978" s="4">
        <v>65.989999999999995</v>
      </c>
      <c r="D3978">
        <f t="shared" si="128"/>
        <v>-0.20932183081715794</v>
      </c>
      <c r="E3978">
        <v>-1.3454925997907097E-2</v>
      </c>
      <c r="F3978">
        <v>3975</v>
      </c>
      <c r="G3978">
        <f t="shared" ca="1" si="129"/>
        <v>2.2477370987023311E-3</v>
      </c>
    </row>
    <row r="3979" spans="2:7" x14ac:dyDescent="0.35">
      <c r="B3979" s="2">
        <v>41009</v>
      </c>
      <c r="C3979" s="4">
        <v>83.46</v>
      </c>
      <c r="D3979">
        <f t="shared" si="128"/>
        <v>-0.16112172077595743</v>
      </c>
      <c r="E3979">
        <v>-1.3475177304964503E-2</v>
      </c>
      <c r="F3979">
        <v>3976</v>
      </c>
      <c r="G3979">
        <f t="shared" ca="1" si="129"/>
        <v>-1.3005412185916032E-2</v>
      </c>
    </row>
    <row r="3980" spans="2:7" x14ac:dyDescent="0.35">
      <c r="B3980" s="2">
        <v>41257</v>
      </c>
      <c r="C3980" s="4">
        <v>99.49</v>
      </c>
      <c r="D3980">
        <f t="shared" si="128"/>
        <v>-2.1538158929976459E-2</v>
      </c>
      <c r="E3980">
        <v>-1.3485374318294441E-2</v>
      </c>
      <c r="F3980">
        <v>3977</v>
      </c>
      <c r="G3980">
        <f t="shared" ca="1" si="129"/>
        <v>-5.3833282611316029E-2</v>
      </c>
    </row>
    <row r="3981" spans="2:7" x14ac:dyDescent="0.35">
      <c r="B3981" s="2">
        <v>40410</v>
      </c>
      <c r="C3981" s="4">
        <v>101.68</v>
      </c>
      <c r="D3981">
        <f t="shared" si="128"/>
        <v>-0.86435070306038053</v>
      </c>
      <c r="E3981">
        <v>-1.3485980401668596E-2</v>
      </c>
      <c r="F3981">
        <v>3978</v>
      </c>
      <c r="G3981">
        <f t="shared" ca="1" si="129"/>
        <v>-1.6763690238008892E-2</v>
      </c>
    </row>
    <row r="3982" spans="2:7" x14ac:dyDescent="0.35">
      <c r="B3982" s="2">
        <v>42958</v>
      </c>
      <c r="C3982" s="4">
        <v>749.58</v>
      </c>
      <c r="D3982">
        <f t="shared" si="128"/>
        <v>21.289027653880463</v>
      </c>
      <c r="E3982">
        <v>-1.348985957385207E-2</v>
      </c>
      <c r="F3982">
        <v>3979</v>
      </c>
      <c r="G3982">
        <f t="shared" ca="1" si="129"/>
        <v>2.5130393887065654E-2</v>
      </c>
    </row>
    <row r="3983" spans="2:7" x14ac:dyDescent="0.35">
      <c r="B3983" s="2">
        <v>39776</v>
      </c>
      <c r="C3983" s="4">
        <v>33.630000000000003</v>
      </c>
      <c r="D3983">
        <f t="shared" si="128"/>
        <v>-0.97318609472173501</v>
      </c>
      <c r="E3983">
        <v>-1.3493693165151144E-2</v>
      </c>
      <c r="F3983">
        <v>3980</v>
      </c>
      <c r="G3983">
        <f t="shared" ca="1" si="129"/>
        <v>3.7167604019503711E-2</v>
      </c>
    </row>
    <row r="3984" spans="2:7" x14ac:dyDescent="0.35">
      <c r="B3984" s="2">
        <v>44090</v>
      </c>
      <c r="C3984" s="4">
        <v>1254.2</v>
      </c>
      <c r="D3984">
        <f t="shared" si="128"/>
        <v>11.858314537625589</v>
      </c>
      <c r="E3984">
        <v>-1.3528393896492075E-2</v>
      </c>
      <c r="F3984">
        <v>3981</v>
      </c>
      <c r="G3984">
        <f t="shared" ca="1" si="129"/>
        <v>-1.7332179107190364E-2</v>
      </c>
    </row>
    <row r="3985" spans="2:7" x14ac:dyDescent="0.35">
      <c r="B3985" s="2">
        <v>39426</v>
      </c>
      <c r="C3985" s="4">
        <v>97.54</v>
      </c>
      <c r="D3985">
        <f t="shared" si="128"/>
        <v>0.47385917195527338</v>
      </c>
      <c r="E3985">
        <v>-1.355177993527501E-2</v>
      </c>
      <c r="F3985">
        <v>3982</v>
      </c>
      <c r="G3985">
        <f t="shared" ca="1" si="129"/>
        <v>2.6055725045062678E-2</v>
      </c>
    </row>
    <row r="3986" spans="2:7" x14ac:dyDescent="0.35">
      <c r="B3986" s="2">
        <v>40141</v>
      </c>
      <c r="C3986" s="4">
        <v>66.180000000000007</v>
      </c>
      <c r="D3986">
        <f t="shared" si="128"/>
        <v>-4.1841609960909021E-2</v>
      </c>
      <c r="E3986">
        <v>-1.3563869429125019E-2</v>
      </c>
      <c r="F3986">
        <v>3983</v>
      </c>
      <c r="G3986">
        <f t="shared" ca="1" si="129"/>
        <v>-3.5260072467679413E-2</v>
      </c>
    </row>
    <row r="3987" spans="2:7" x14ac:dyDescent="0.35">
      <c r="B3987" s="2">
        <v>38685</v>
      </c>
      <c r="C3987" s="4">
        <v>69.069999999999993</v>
      </c>
      <c r="D3987">
        <f t="shared" si="128"/>
        <v>1.3759889920880632</v>
      </c>
      <c r="E3987">
        <v>-1.3567552127963456E-2</v>
      </c>
      <c r="F3987">
        <v>3984</v>
      </c>
      <c r="G3987">
        <f t="shared" ca="1" si="129"/>
        <v>-1.933012979417232E-2</v>
      </c>
    </row>
    <row r="3988" spans="2:7" x14ac:dyDescent="0.35">
      <c r="B3988" s="2">
        <v>37874</v>
      </c>
      <c r="C3988" s="4">
        <v>29.07</v>
      </c>
      <c r="D3988">
        <f t="shared" si="128"/>
        <v>-0.66659020529877278</v>
      </c>
      <c r="E3988">
        <v>-1.3573125212079984E-2</v>
      </c>
      <c r="F3988">
        <v>3985</v>
      </c>
      <c r="G3988">
        <f t="shared" ca="1" si="129"/>
        <v>-1.8184085400664598E-2</v>
      </c>
    </row>
    <row r="3989" spans="2:7" x14ac:dyDescent="0.35">
      <c r="B3989" s="2">
        <v>41571</v>
      </c>
      <c r="C3989" s="4">
        <v>87.19</v>
      </c>
      <c r="D3989">
        <f t="shared" si="128"/>
        <v>-0.89971590582335548</v>
      </c>
      <c r="E3989">
        <v>-1.3576196402308005E-2</v>
      </c>
      <c r="F3989">
        <v>3986</v>
      </c>
      <c r="G3989">
        <f t="shared" ca="1" si="129"/>
        <v>-1.6374087492242801E-2</v>
      </c>
    </row>
    <row r="3990" spans="2:7" x14ac:dyDescent="0.35">
      <c r="B3990" s="2">
        <v>42419</v>
      </c>
      <c r="C3990" s="4">
        <v>869.43</v>
      </c>
      <c r="D3990">
        <f t="shared" si="128"/>
        <v>0.16032296810356339</v>
      </c>
      <c r="E3990">
        <v>-1.3580667120490109E-2</v>
      </c>
      <c r="F3990">
        <v>3987</v>
      </c>
      <c r="G3990">
        <f t="shared" ca="1" si="129"/>
        <v>-2.5812045451245675E-2</v>
      </c>
    </row>
    <row r="3991" spans="2:7" x14ac:dyDescent="0.35">
      <c r="B3991" s="2">
        <v>43011</v>
      </c>
      <c r="C3991" s="4">
        <v>749.3</v>
      </c>
      <c r="D3991">
        <f t="shared" si="128"/>
        <v>7.0804486142564418</v>
      </c>
      <c r="E3991">
        <v>-1.3585740238540422E-2</v>
      </c>
      <c r="F3991">
        <v>3988</v>
      </c>
      <c r="G3991">
        <f t="shared" ca="1" si="129"/>
        <v>-2.4467665915370237E-3</v>
      </c>
    </row>
    <row r="3992" spans="2:7" x14ac:dyDescent="0.35">
      <c r="B3992" s="2">
        <v>41232</v>
      </c>
      <c r="C3992" s="4">
        <v>92.73</v>
      </c>
      <c r="D3992">
        <f t="shared" si="128"/>
        <v>0.54472763618190911</v>
      </c>
      <c r="E3992">
        <v>-1.3615572811403021E-2</v>
      </c>
      <c r="F3992">
        <v>3989</v>
      </c>
      <c r="G3992">
        <f t="shared" ca="1" si="129"/>
        <v>-5.0907258284009951E-2</v>
      </c>
    </row>
    <row r="3993" spans="2:7" x14ac:dyDescent="0.35">
      <c r="B3993" s="2">
        <v>39688</v>
      </c>
      <c r="C3993" s="4">
        <v>60.03</v>
      </c>
      <c r="D3993">
        <f t="shared" si="128"/>
        <v>-0.94888758333546197</v>
      </c>
      <c r="E3993">
        <v>-1.3637857377587825E-2</v>
      </c>
      <c r="F3993">
        <v>3990</v>
      </c>
      <c r="G3993">
        <f t="shared" ca="1" si="129"/>
        <v>7.5493017231685108E-3</v>
      </c>
    </row>
    <row r="3994" spans="2:7" x14ac:dyDescent="0.35">
      <c r="B3994" s="2">
        <v>44098</v>
      </c>
      <c r="C3994" s="4">
        <v>1174.47</v>
      </c>
      <c r="D3994">
        <f t="shared" si="128"/>
        <v>13.664377575227869</v>
      </c>
      <c r="E3994">
        <v>-1.3655488649819802E-2</v>
      </c>
      <c r="F3994">
        <v>3991</v>
      </c>
      <c r="G3994">
        <f t="shared" ca="1" si="129"/>
        <v>4.479687684483786E-3</v>
      </c>
    </row>
    <row r="3995" spans="2:7" x14ac:dyDescent="0.35">
      <c r="B3995" s="2">
        <v>41359</v>
      </c>
      <c r="C3995" s="4">
        <v>80.09</v>
      </c>
      <c r="D3995">
        <f t="shared" si="128"/>
        <v>-0.86939221473883332</v>
      </c>
      <c r="E3995">
        <v>-1.3669950738916303E-2</v>
      </c>
      <c r="F3995">
        <v>3992</v>
      </c>
      <c r="G3995">
        <f t="shared" ca="1" si="129"/>
        <v>-5.348840366486465E-3</v>
      </c>
    </row>
    <row r="3996" spans="2:7" x14ac:dyDescent="0.35">
      <c r="B3996" s="2">
        <v>42656</v>
      </c>
      <c r="C3996" s="4">
        <v>613.21</v>
      </c>
      <c r="D3996">
        <f t="shared" si="128"/>
        <v>-0.76015004067839032</v>
      </c>
      <c r="E3996">
        <v>-1.3719561231382849E-2</v>
      </c>
      <c r="F3996">
        <v>3993</v>
      </c>
      <c r="G3996">
        <f t="shared" ca="1" si="129"/>
        <v>-6.3911558170704263E-2</v>
      </c>
    </row>
    <row r="3997" spans="2:7" x14ac:dyDescent="0.35">
      <c r="B3997" s="2">
        <v>44257</v>
      </c>
      <c r="C3997" s="4">
        <v>2556.64</v>
      </c>
      <c r="D3997">
        <f t="shared" si="128"/>
        <v>0.95624794362274357</v>
      </c>
      <c r="E3997">
        <v>-1.374851482092998E-2</v>
      </c>
      <c r="F3997">
        <v>3994</v>
      </c>
      <c r="G3997">
        <f t="shared" ca="1" si="129"/>
        <v>1.3855863319727794E-2</v>
      </c>
    </row>
    <row r="3998" spans="2:7" x14ac:dyDescent="0.35">
      <c r="B3998" s="2">
        <v>43321</v>
      </c>
      <c r="C3998" s="4">
        <v>1306.9100000000001</v>
      </c>
      <c r="D3998">
        <f t="shared" si="128"/>
        <v>21.226360544217691</v>
      </c>
      <c r="E3998">
        <v>-1.3749594379419361E-2</v>
      </c>
      <c r="F3998">
        <v>3995</v>
      </c>
      <c r="G3998">
        <f t="shared" ca="1" si="129"/>
        <v>8.6559521532742784E-3</v>
      </c>
    </row>
    <row r="3999" spans="2:7" x14ac:dyDescent="0.35">
      <c r="B3999" s="2">
        <v>38398</v>
      </c>
      <c r="C3999" s="4">
        <v>58.8</v>
      </c>
      <c r="D3999">
        <f t="shared" si="128"/>
        <v>-0.99126663498098855</v>
      </c>
      <c r="E3999">
        <v>-1.3753773901375332E-2</v>
      </c>
      <c r="F3999">
        <v>3996</v>
      </c>
      <c r="G3999">
        <f t="shared" ca="1" si="129"/>
        <v>4.540321133473771E-3</v>
      </c>
    </row>
    <row r="4000" spans="2:7" x14ac:dyDescent="0.35">
      <c r="B4000" s="2">
        <v>44888</v>
      </c>
      <c r="C4000" s="4">
        <v>6732.8</v>
      </c>
      <c r="D4000">
        <f t="shared" si="128"/>
        <v>7.3608185972580973</v>
      </c>
      <c r="E4000">
        <v>-1.3762039037609419E-2</v>
      </c>
      <c r="F4000">
        <v>3997</v>
      </c>
      <c r="G4000">
        <f t="shared" ca="1" si="129"/>
        <v>2.1490152905558713E-2</v>
      </c>
    </row>
    <row r="4001" spans="2:7" x14ac:dyDescent="0.35">
      <c r="B4001" s="2">
        <v>43628</v>
      </c>
      <c r="C4001" s="4">
        <v>805.28</v>
      </c>
      <c r="D4001">
        <f t="shared" si="128"/>
        <v>-0.86275281770196866</v>
      </c>
      <c r="E4001">
        <v>-1.3777815879392086E-2</v>
      </c>
      <c r="F4001">
        <v>3998</v>
      </c>
      <c r="G4001">
        <f t="shared" ca="1" si="129"/>
        <v>-2.3807919758891863E-2</v>
      </c>
    </row>
    <row r="4002" spans="2:7" x14ac:dyDescent="0.35">
      <c r="B4002" s="2">
        <v>44533</v>
      </c>
      <c r="C4002" s="4">
        <v>5867.37</v>
      </c>
      <c r="D4002">
        <f t="shared" si="128"/>
        <v>6.1816034271725826</v>
      </c>
      <c r="E4002">
        <v>-1.3796233265259805E-2</v>
      </c>
      <c r="F4002">
        <v>3999</v>
      </c>
      <c r="G4002">
        <f t="shared" ca="1" si="129"/>
        <v>3.3048473485417375E-2</v>
      </c>
    </row>
    <row r="4003" spans="2:7" x14ac:dyDescent="0.35">
      <c r="B4003" s="2">
        <v>43620</v>
      </c>
      <c r="C4003" s="4">
        <v>817</v>
      </c>
      <c r="D4003">
        <f t="shared" si="128"/>
        <v>3.4268859266010976E-2</v>
      </c>
      <c r="E4003">
        <v>-1.379718262255103E-2</v>
      </c>
      <c r="F4003">
        <v>4000</v>
      </c>
      <c r="G4003">
        <f t="shared" ca="1" si="129"/>
        <v>-8.2173182684357488E-3</v>
      </c>
    </row>
    <row r="4004" spans="2:7" x14ac:dyDescent="0.35">
      <c r="B4004" s="2">
        <v>42950</v>
      </c>
      <c r="C4004" s="4">
        <v>789.93</v>
      </c>
      <c r="D4004">
        <f t="shared" si="128"/>
        <v>14.592775365179628</v>
      </c>
      <c r="E4004">
        <v>-1.382022471910116E-2</v>
      </c>
      <c r="F4004">
        <v>4001</v>
      </c>
      <c r="G4004">
        <f t="shared" ca="1" si="129"/>
        <v>3.4512584838074491E-2</v>
      </c>
    </row>
    <row r="4005" spans="2:7" x14ac:dyDescent="0.35">
      <c r="B4005" s="2">
        <v>38324</v>
      </c>
      <c r="C4005" s="4">
        <v>50.66</v>
      </c>
      <c r="D4005">
        <f t="shared" si="128"/>
        <v>-0.2524715951010772</v>
      </c>
      <c r="E4005">
        <v>-1.3821296476542733E-2</v>
      </c>
      <c r="F4005">
        <v>4002</v>
      </c>
      <c r="G4005">
        <f t="shared" ca="1" si="129"/>
        <v>-2.1786161019082595E-2</v>
      </c>
    </row>
    <row r="4006" spans="2:7" x14ac:dyDescent="0.35">
      <c r="B4006" s="2">
        <v>40067</v>
      </c>
      <c r="C4006" s="4">
        <v>67.77</v>
      </c>
      <c r="D4006">
        <f t="shared" si="128"/>
        <v>0.21844660194174748</v>
      </c>
      <c r="E4006">
        <v>-1.3824214202561191E-2</v>
      </c>
      <c r="F4006">
        <v>4003</v>
      </c>
      <c r="G4006">
        <f t="shared" ca="1" si="129"/>
        <v>-3.6746485473686696E-2</v>
      </c>
    </row>
    <row r="4007" spans="2:7" x14ac:dyDescent="0.35">
      <c r="B4007" s="2">
        <v>38394</v>
      </c>
      <c r="C4007" s="4">
        <v>55.62</v>
      </c>
      <c r="D4007">
        <f t="shared" si="128"/>
        <v>-0.44562942290441543</v>
      </c>
      <c r="E4007">
        <v>-1.3829787234042601E-2</v>
      </c>
      <c r="F4007">
        <v>4004</v>
      </c>
      <c r="G4007">
        <f t="shared" ca="1" si="129"/>
        <v>1.4837061385751485E-2</v>
      </c>
    </row>
    <row r="4008" spans="2:7" x14ac:dyDescent="0.35">
      <c r="B4008" s="2">
        <v>41284</v>
      </c>
      <c r="C4008" s="4">
        <v>100.33</v>
      </c>
      <c r="D4008">
        <f t="shared" si="128"/>
        <v>7.1443827424177764E-2</v>
      </c>
      <c r="E4008">
        <v>-1.3858855907214473E-2</v>
      </c>
      <c r="F4008">
        <v>4005</v>
      </c>
      <c r="G4008">
        <f t="shared" ca="1" si="129"/>
        <v>6.5610590964216647E-2</v>
      </c>
    </row>
    <row r="4009" spans="2:7" x14ac:dyDescent="0.35">
      <c r="B4009" s="2">
        <v>41150</v>
      </c>
      <c r="C4009" s="4">
        <v>93.64</v>
      </c>
      <c r="D4009">
        <f t="shared" si="128"/>
        <v>-0.87988712160082094</v>
      </c>
      <c r="E4009">
        <v>-1.3900589721988155E-2</v>
      </c>
      <c r="F4009">
        <v>4006</v>
      </c>
      <c r="G4009">
        <f t="shared" ca="1" si="129"/>
        <v>-3.7474252219699022E-2</v>
      </c>
    </row>
    <row r="4010" spans="2:7" x14ac:dyDescent="0.35">
      <c r="B4010" s="2">
        <v>43951</v>
      </c>
      <c r="C4010" s="4">
        <v>779.6</v>
      </c>
      <c r="D4010">
        <f t="shared" si="128"/>
        <v>10.849825201398389</v>
      </c>
      <c r="E4010">
        <v>-1.3938428069110276E-2</v>
      </c>
      <c r="F4010">
        <v>4007</v>
      </c>
      <c r="G4010">
        <f t="shared" ca="1" si="129"/>
        <v>-4.5150136921487276E-2</v>
      </c>
    </row>
    <row r="4011" spans="2:7" x14ac:dyDescent="0.35">
      <c r="B4011" s="2">
        <v>38763</v>
      </c>
      <c r="C4011" s="4">
        <v>65.790000000000006</v>
      </c>
      <c r="D4011">
        <f t="shared" si="128"/>
        <v>1.3255567338282082</v>
      </c>
      <c r="E4011">
        <v>-1.3938848920863167E-2</v>
      </c>
      <c r="F4011">
        <v>4008</v>
      </c>
      <c r="G4011">
        <f t="shared" ca="1" si="129"/>
        <v>-3.0316670488883372E-2</v>
      </c>
    </row>
    <row r="4012" spans="2:7" x14ac:dyDescent="0.35">
      <c r="B4012" s="2">
        <v>37587</v>
      </c>
      <c r="C4012" s="4">
        <v>28.29</v>
      </c>
      <c r="D4012">
        <f t="shared" si="128"/>
        <v>-0.74145494425150793</v>
      </c>
      <c r="E4012">
        <v>-1.3942140118508251E-2</v>
      </c>
      <c r="F4012">
        <v>4009</v>
      </c>
      <c r="G4012">
        <f t="shared" ca="1" si="129"/>
        <v>-1.3213796533546729E-2</v>
      </c>
    </row>
    <row r="4013" spans="2:7" x14ac:dyDescent="0.35">
      <c r="B4013" s="2">
        <v>39198</v>
      </c>
      <c r="C4013" s="4">
        <v>109.42</v>
      </c>
      <c r="D4013">
        <f t="shared" si="128"/>
        <v>-0.87908189764727984</v>
      </c>
      <c r="E4013">
        <v>-1.3967739028566295E-2</v>
      </c>
      <c r="F4013">
        <v>4010</v>
      </c>
      <c r="G4013">
        <f t="shared" ca="1" si="129"/>
        <v>-2.1142590148096482E-2</v>
      </c>
    </row>
    <row r="4014" spans="2:7" x14ac:dyDescent="0.35">
      <c r="B4014" s="2">
        <v>43559</v>
      </c>
      <c r="C4014" s="4">
        <v>904.91</v>
      </c>
      <c r="D4014">
        <f t="shared" si="128"/>
        <v>0.27299711612857847</v>
      </c>
      <c r="E4014">
        <v>-1.4001481868898158E-2</v>
      </c>
      <c r="F4014">
        <v>4011</v>
      </c>
      <c r="G4014">
        <f t="shared" ca="1" si="129"/>
        <v>9.3909577333569014E-3</v>
      </c>
    </row>
    <row r="4015" spans="2:7" x14ac:dyDescent="0.35">
      <c r="B4015" s="2">
        <v>43664</v>
      </c>
      <c r="C4015" s="4">
        <v>710.85</v>
      </c>
      <c r="D4015">
        <f t="shared" si="128"/>
        <v>11.626110124333927</v>
      </c>
      <c r="E4015">
        <v>-1.4009293293571035E-2</v>
      </c>
      <c r="F4015">
        <v>4012</v>
      </c>
      <c r="G4015">
        <f t="shared" ca="1" si="129"/>
        <v>1.1723914444215179E-2</v>
      </c>
    </row>
    <row r="4016" spans="2:7" x14ac:dyDescent="0.35">
      <c r="B4016" s="2">
        <v>39707</v>
      </c>
      <c r="C4016" s="4">
        <v>56.3</v>
      </c>
      <c r="D4016">
        <f t="shared" si="128"/>
        <v>-0.94033172592867365</v>
      </c>
      <c r="E4016">
        <v>-1.4010507880910739E-2</v>
      </c>
      <c r="F4016">
        <v>4013</v>
      </c>
      <c r="G4016">
        <f t="shared" ca="1" si="129"/>
        <v>-1.9309730743288251E-2</v>
      </c>
    </row>
    <row r="4017" spans="2:7" x14ac:dyDescent="0.35">
      <c r="B4017" s="2">
        <v>43433</v>
      </c>
      <c r="C4017" s="4">
        <v>943.55</v>
      </c>
      <c r="D4017">
        <f t="shared" si="128"/>
        <v>0.12882386016964364</v>
      </c>
      <c r="E4017">
        <v>-1.4013124895502549E-2</v>
      </c>
      <c r="F4017">
        <v>4014</v>
      </c>
      <c r="G4017">
        <f t="shared" ca="1" si="129"/>
        <v>2.5475735815954588E-2</v>
      </c>
    </row>
    <row r="4018" spans="2:7" x14ac:dyDescent="0.35">
      <c r="B4018" s="2">
        <v>42292</v>
      </c>
      <c r="C4018" s="4">
        <v>835.87</v>
      </c>
      <c r="D4018">
        <f t="shared" si="128"/>
        <v>3.7906350298028428</v>
      </c>
      <c r="E4018">
        <v>-1.401356531996456E-2</v>
      </c>
      <c r="F4018">
        <v>4015</v>
      </c>
      <c r="G4018">
        <f t="shared" ca="1" si="129"/>
        <v>8.8110888136496701E-3</v>
      </c>
    </row>
    <row r="4019" spans="2:7" x14ac:dyDescent="0.35">
      <c r="B4019" s="2">
        <v>41682</v>
      </c>
      <c r="C4019" s="4">
        <v>174.48</v>
      </c>
      <c r="D4019">
        <f t="shared" si="128"/>
        <v>-0.97221660475062943</v>
      </c>
      <c r="E4019">
        <v>-1.401446654611227E-2</v>
      </c>
      <c r="F4019">
        <v>4016</v>
      </c>
      <c r="G4019">
        <f t="shared" ca="1" si="129"/>
        <v>2.3330932938231772E-2</v>
      </c>
    </row>
    <row r="4020" spans="2:7" x14ac:dyDescent="0.35">
      <c r="B4020" s="2">
        <v>44575</v>
      </c>
      <c r="C4020" s="4">
        <v>6280.01</v>
      </c>
      <c r="D4020">
        <f t="shared" si="128"/>
        <v>52.256529850746269</v>
      </c>
      <c r="E4020">
        <v>-1.4020356993143746E-2</v>
      </c>
      <c r="F4020">
        <v>4017</v>
      </c>
      <c r="G4020">
        <f t="shared" ca="1" si="129"/>
        <v>-6.4006845424596184E-2</v>
      </c>
    </row>
    <row r="4021" spans="2:7" x14ac:dyDescent="0.35">
      <c r="B4021" s="2">
        <v>39282</v>
      </c>
      <c r="C4021" s="4">
        <v>117.92</v>
      </c>
      <c r="D4021">
        <f t="shared" si="128"/>
        <v>0.76871156442177879</v>
      </c>
      <c r="E4021">
        <v>-1.4046822742474818E-2</v>
      </c>
      <c r="F4021">
        <v>4018</v>
      </c>
      <c r="G4021">
        <f t="shared" ca="1" si="129"/>
        <v>-4.1070746704507471E-2</v>
      </c>
    </row>
    <row r="4022" spans="2:7" x14ac:dyDescent="0.35">
      <c r="B4022" s="2">
        <v>38782</v>
      </c>
      <c r="C4022" s="4">
        <v>66.67</v>
      </c>
      <c r="D4022">
        <f t="shared" si="128"/>
        <v>5.5907507127019418E-2</v>
      </c>
      <c r="E4022">
        <v>-1.4049097900029617E-2</v>
      </c>
      <c r="F4022">
        <v>4019</v>
      </c>
      <c r="G4022">
        <f t="shared" ca="1" si="129"/>
        <v>4.4518648028197119E-2</v>
      </c>
    </row>
    <row r="4023" spans="2:7" x14ac:dyDescent="0.35">
      <c r="B4023" s="2">
        <v>38750</v>
      </c>
      <c r="C4023" s="4">
        <v>63.14</v>
      </c>
      <c r="D4023">
        <f t="shared" si="128"/>
        <v>1.2501781895937278</v>
      </c>
      <c r="E4023">
        <v>-1.4053716427233076E-2</v>
      </c>
      <c r="F4023">
        <v>4020</v>
      </c>
      <c r="G4023">
        <f t="shared" ca="1" si="129"/>
        <v>-3.7597440155258323E-2</v>
      </c>
    </row>
    <row r="4024" spans="2:7" x14ac:dyDescent="0.35">
      <c r="B4024" s="2">
        <v>38055</v>
      </c>
      <c r="C4024" s="4">
        <v>28.06</v>
      </c>
      <c r="D4024">
        <f t="shared" si="128"/>
        <v>-0.99335423850846949</v>
      </c>
      <c r="E4024">
        <v>-1.4054813773717534E-2</v>
      </c>
      <c r="F4024">
        <v>4021</v>
      </c>
      <c r="G4024">
        <f t="shared" ca="1" si="129"/>
        <v>-1.3637734526125525E-2</v>
      </c>
    </row>
    <row r="4025" spans="2:7" x14ac:dyDescent="0.35">
      <c r="B4025" s="2">
        <v>44378</v>
      </c>
      <c r="C4025" s="4">
        <v>4222.24</v>
      </c>
      <c r="D4025">
        <f t="shared" si="128"/>
        <v>14.49161621720785</v>
      </c>
      <c r="E4025">
        <v>-1.4068917849195173E-2</v>
      </c>
      <c r="F4025">
        <v>4022</v>
      </c>
      <c r="G4025">
        <f t="shared" ca="1" si="129"/>
        <v>3.3541400588759304E-2</v>
      </c>
    </row>
    <row r="4026" spans="2:7" x14ac:dyDescent="0.35">
      <c r="B4026" s="2">
        <v>41848</v>
      </c>
      <c r="C4026" s="4">
        <v>272.55</v>
      </c>
      <c r="D4026">
        <f t="shared" si="128"/>
        <v>-0.68266073632489577</v>
      </c>
      <c r="E4026">
        <v>-1.4071769642598708E-2</v>
      </c>
      <c r="F4026">
        <v>4023</v>
      </c>
      <c r="G4026">
        <f t="shared" ca="1" si="129"/>
        <v>-5.6994386290908292E-3</v>
      </c>
    </row>
    <row r="4027" spans="2:7" x14ac:dyDescent="0.35">
      <c r="B4027" s="2">
        <v>43082</v>
      </c>
      <c r="C4027" s="4">
        <v>858.86</v>
      </c>
      <c r="D4027">
        <f t="shared" si="128"/>
        <v>0.21877705090181498</v>
      </c>
      <c r="E4027">
        <v>-1.4096471290492851E-2</v>
      </c>
      <c r="F4027">
        <v>4024</v>
      </c>
      <c r="G4027">
        <f t="shared" ca="1" si="129"/>
        <v>3.1316849415673247E-2</v>
      </c>
    </row>
    <row r="4028" spans="2:7" x14ac:dyDescent="0.35">
      <c r="B4028" s="2">
        <v>42894</v>
      </c>
      <c r="C4028" s="4">
        <v>704.69</v>
      </c>
      <c r="D4028">
        <f t="shared" si="128"/>
        <v>12.286010558069384</v>
      </c>
      <c r="E4028">
        <v>-1.4102438546665264E-2</v>
      </c>
      <c r="F4028">
        <v>4025</v>
      </c>
      <c r="G4028">
        <f t="shared" ca="1" si="129"/>
        <v>-6.162351830948036E-3</v>
      </c>
    </row>
    <row r="4029" spans="2:7" x14ac:dyDescent="0.35">
      <c r="B4029" s="2">
        <v>39989</v>
      </c>
      <c r="C4029" s="4">
        <v>53.04</v>
      </c>
      <c r="D4029">
        <f t="shared" si="128"/>
        <v>-0.95169442901248624</v>
      </c>
      <c r="E4029">
        <v>-1.4126394052044522E-2</v>
      </c>
      <c r="F4029">
        <v>4026</v>
      </c>
      <c r="G4029">
        <f t="shared" ca="1" si="129"/>
        <v>1.4161212145301876E-2</v>
      </c>
    </row>
    <row r="4030" spans="2:7" x14ac:dyDescent="0.35">
      <c r="B4030" s="2">
        <v>43230</v>
      </c>
      <c r="C4030" s="4">
        <v>1098.01</v>
      </c>
      <c r="D4030">
        <f t="shared" si="128"/>
        <v>0.57925697930300468</v>
      </c>
      <c r="E4030">
        <v>-1.4132435465768811E-2</v>
      </c>
      <c r="F4030">
        <v>4027</v>
      </c>
      <c r="G4030">
        <f t="shared" ca="1" si="129"/>
        <v>3.0045835956826646E-2</v>
      </c>
    </row>
    <row r="4031" spans="2:7" x14ac:dyDescent="0.35">
      <c r="B4031" s="2">
        <v>42815</v>
      </c>
      <c r="C4031" s="4">
        <v>695.27</v>
      </c>
      <c r="D4031">
        <f t="shared" si="128"/>
        <v>-0.66311500033917692</v>
      </c>
      <c r="E4031">
        <v>-1.4137031365209052E-2</v>
      </c>
      <c r="F4031">
        <v>4028</v>
      </c>
      <c r="G4031">
        <f t="shared" ca="1" si="129"/>
        <v>-2.4551626773162697E-2</v>
      </c>
    </row>
    <row r="4032" spans="2:7" x14ac:dyDescent="0.35">
      <c r="B4032" s="2">
        <v>44208</v>
      </c>
      <c r="C4032" s="4">
        <v>2063.8200000000002</v>
      </c>
      <c r="D4032">
        <f t="shared" si="128"/>
        <v>20.460122699386503</v>
      </c>
      <c r="E4032">
        <v>-1.4144251300497124E-2</v>
      </c>
      <c r="F4032">
        <v>4029</v>
      </c>
      <c r="G4032">
        <f t="shared" ca="1" si="129"/>
        <v>4.8264571979308932E-2</v>
      </c>
    </row>
    <row r="4033" spans="2:7" x14ac:dyDescent="0.35">
      <c r="B4033" s="2">
        <v>40325</v>
      </c>
      <c r="C4033" s="4">
        <v>96.17</v>
      </c>
      <c r="D4033">
        <f t="shared" si="128"/>
        <v>-9.1621800321148639E-2</v>
      </c>
      <c r="E4033">
        <v>-1.4146591491542737E-2</v>
      </c>
      <c r="F4033">
        <v>4030</v>
      </c>
      <c r="G4033">
        <f t="shared" ca="1" si="129"/>
        <v>3.7614103470170801E-2</v>
      </c>
    </row>
    <row r="4034" spans="2:7" x14ac:dyDescent="0.35">
      <c r="B4034" s="2">
        <v>39115</v>
      </c>
      <c r="C4034" s="4">
        <v>105.87</v>
      </c>
      <c r="D4034">
        <f t="shared" si="128"/>
        <v>0.24979341282021017</v>
      </c>
      <c r="E4034">
        <v>-1.4154018064996721E-2</v>
      </c>
      <c r="F4034">
        <v>4031</v>
      </c>
      <c r="G4034">
        <f t="shared" ca="1" si="129"/>
        <v>1.8442841210205306E-2</v>
      </c>
    </row>
    <row r="4035" spans="2:7" x14ac:dyDescent="0.35">
      <c r="B4035" s="2">
        <v>39400</v>
      </c>
      <c r="C4035" s="4">
        <v>84.71</v>
      </c>
      <c r="D4035">
        <f t="shared" si="128"/>
        <v>2.7007426823940581</v>
      </c>
      <c r="E4035">
        <v>-1.4197602699872136E-2</v>
      </c>
      <c r="F4035">
        <v>4032</v>
      </c>
      <c r="G4035">
        <f t="shared" ca="1" si="129"/>
        <v>-1.931006329335133E-3</v>
      </c>
    </row>
    <row r="4036" spans="2:7" x14ac:dyDescent="0.35">
      <c r="B4036" s="2">
        <v>37685</v>
      </c>
      <c r="C4036" s="4">
        <v>22.89</v>
      </c>
      <c r="D4036">
        <f t="shared" ref="D4036:D4099" si="130">C4036/C4037-1</f>
        <v>-0.97286017476672082</v>
      </c>
      <c r="E4036">
        <v>-1.4211886304909438E-2</v>
      </c>
      <c r="F4036">
        <v>4033</v>
      </c>
      <c r="G4036">
        <f t="shared" ca="1" si="129"/>
        <v>5.1677984887195751E-2</v>
      </c>
    </row>
    <row r="4037" spans="2:7" x14ac:dyDescent="0.35">
      <c r="B4037" s="2">
        <v>42247</v>
      </c>
      <c r="C4037" s="4">
        <v>843.41</v>
      </c>
      <c r="D4037">
        <f t="shared" si="130"/>
        <v>37.025698827772764</v>
      </c>
      <c r="E4037">
        <v>-1.4212747057517294E-2</v>
      </c>
      <c r="F4037">
        <v>4034</v>
      </c>
      <c r="G4037">
        <f t="shared" ref="G4037:G4100" ca="1" si="131">_xlfn.NORM.INV(RAND(),K$6,K$7)</f>
        <v>7.4390077977993744E-3</v>
      </c>
    </row>
    <row r="4038" spans="2:7" x14ac:dyDescent="0.35">
      <c r="B4038" s="2">
        <v>37705</v>
      </c>
      <c r="C4038" s="4">
        <v>22.18</v>
      </c>
      <c r="D4038">
        <f t="shared" si="130"/>
        <v>-0.42746515229736715</v>
      </c>
      <c r="E4038">
        <v>-1.4222222222222247E-2</v>
      </c>
      <c r="F4038">
        <v>4035</v>
      </c>
      <c r="G4038">
        <f t="shared" ca="1" si="131"/>
        <v>-1.3870118981984191E-2</v>
      </c>
    </row>
    <row r="4039" spans="2:7" x14ac:dyDescent="0.35">
      <c r="B4039" s="2">
        <v>39819</v>
      </c>
      <c r="C4039" s="4">
        <v>38.74</v>
      </c>
      <c r="D4039">
        <f t="shared" si="130"/>
        <v>-0.60501631321370308</v>
      </c>
      <c r="E4039">
        <v>-1.4249363867684384E-2</v>
      </c>
      <c r="F4039">
        <v>4036</v>
      </c>
      <c r="G4039">
        <f t="shared" ca="1" si="131"/>
        <v>-9.2781127605426218E-3</v>
      </c>
    </row>
    <row r="4040" spans="2:7" x14ac:dyDescent="0.35">
      <c r="B4040" s="2">
        <v>40700</v>
      </c>
      <c r="C4040" s="4">
        <v>98.08</v>
      </c>
      <c r="D4040">
        <f t="shared" si="130"/>
        <v>0.51194697086480634</v>
      </c>
      <c r="E4040">
        <v>-1.4271356783919664E-2</v>
      </c>
      <c r="F4040">
        <v>4037</v>
      </c>
      <c r="G4040">
        <f t="shared" ca="1" si="131"/>
        <v>-7.3400916020634269E-3</v>
      </c>
    </row>
    <row r="4041" spans="2:7" x14ac:dyDescent="0.35">
      <c r="B4041" s="2">
        <v>40052</v>
      </c>
      <c r="C4041" s="4">
        <v>64.87</v>
      </c>
      <c r="D4041">
        <f t="shared" si="130"/>
        <v>-0.90869424465494675</v>
      </c>
      <c r="E4041">
        <v>-1.4283543534417187E-2</v>
      </c>
      <c r="F4041">
        <v>4038</v>
      </c>
      <c r="G4041">
        <f t="shared" ca="1" si="131"/>
        <v>-2.0814914045408049E-2</v>
      </c>
    </row>
    <row r="4042" spans="2:7" x14ac:dyDescent="0.35">
      <c r="B4042" s="2">
        <v>42832</v>
      </c>
      <c r="C4042" s="4">
        <v>710.47</v>
      </c>
      <c r="D4042">
        <f t="shared" si="130"/>
        <v>-0.31880764731826117</v>
      </c>
      <c r="E4042">
        <v>-1.4344973016467422E-2</v>
      </c>
      <c r="F4042">
        <v>4039</v>
      </c>
      <c r="G4042">
        <f t="shared" ca="1" si="131"/>
        <v>-1.1030606214018175E-2</v>
      </c>
    </row>
    <row r="4043" spans="2:7" x14ac:dyDescent="0.35">
      <c r="B4043" s="2">
        <v>44062</v>
      </c>
      <c r="C4043" s="4">
        <v>1042.98</v>
      </c>
      <c r="D4043">
        <f t="shared" si="130"/>
        <v>0.71528657182797484</v>
      </c>
      <c r="E4043">
        <v>-1.4345656611476576E-2</v>
      </c>
      <c r="F4043">
        <v>4040</v>
      </c>
      <c r="G4043">
        <f t="shared" ca="1" si="131"/>
        <v>1.9108492632304991E-2</v>
      </c>
    </row>
    <row r="4044" spans="2:7" x14ac:dyDescent="0.35">
      <c r="B4044" s="2">
        <v>42668</v>
      </c>
      <c r="C4044" s="4">
        <v>608.04999999999995</v>
      </c>
      <c r="D4044">
        <f t="shared" si="130"/>
        <v>4.9536864780182119</v>
      </c>
      <c r="E4044">
        <v>-1.4361900439286091E-2</v>
      </c>
      <c r="F4044">
        <v>4041</v>
      </c>
      <c r="G4044">
        <f t="shared" ca="1" si="131"/>
        <v>-3.0881927836842262E-2</v>
      </c>
    </row>
    <row r="4045" spans="2:7" x14ac:dyDescent="0.35">
      <c r="B4045" s="2">
        <v>41585</v>
      </c>
      <c r="C4045" s="4">
        <v>102.13</v>
      </c>
      <c r="D4045">
        <f t="shared" si="130"/>
        <v>-0.86940732689725719</v>
      </c>
      <c r="E4045">
        <v>-1.4379463424049499E-2</v>
      </c>
      <c r="F4045">
        <v>4042</v>
      </c>
      <c r="G4045">
        <f t="shared" ca="1" si="131"/>
        <v>2.6022140406998222E-3</v>
      </c>
    </row>
    <row r="4046" spans="2:7" x14ac:dyDescent="0.35">
      <c r="B4046" s="2">
        <v>42563</v>
      </c>
      <c r="C4046" s="4">
        <v>782.05</v>
      </c>
      <c r="D4046">
        <f t="shared" si="130"/>
        <v>-0.21805165328507303</v>
      </c>
      <c r="E4046">
        <v>-1.4404899934466031E-2</v>
      </c>
      <c r="F4046">
        <v>4043</v>
      </c>
      <c r="G4046">
        <f t="shared" ca="1" si="131"/>
        <v>2.3628150834230324E-2</v>
      </c>
    </row>
    <row r="4047" spans="2:7" x14ac:dyDescent="0.35">
      <c r="B4047" s="2">
        <v>42374</v>
      </c>
      <c r="C4047" s="4">
        <v>1000.13</v>
      </c>
      <c r="D4047">
        <f t="shared" si="130"/>
        <v>23.798661046367471</v>
      </c>
      <c r="E4047">
        <v>-1.4417202097047555E-2</v>
      </c>
      <c r="F4047">
        <v>4044</v>
      </c>
      <c r="G4047">
        <f t="shared" ca="1" si="131"/>
        <v>-8.5635218887113417E-3</v>
      </c>
    </row>
    <row r="4048" spans="2:7" x14ac:dyDescent="0.35">
      <c r="B4048" s="2">
        <v>37991</v>
      </c>
      <c r="C4048" s="4">
        <v>40.33</v>
      </c>
      <c r="D4048">
        <f t="shared" si="130"/>
        <v>-0.94767570092245412</v>
      </c>
      <c r="E4048">
        <v>-1.4418377321603226E-2</v>
      </c>
      <c r="F4048">
        <v>4045</v>
      </c>
      <c r="G4048">
        <f t="shared" ca="1" si="131"/>
        <v>9.3481356384174223E-4</v>
      </c>
    </row>
    <row r="4049" spans="2:7" x14ac:dyDescent="0.35">
      <c r="B4049" s="2">
        <v>42564</v>
      </c>
      <c r="C4049" s="4">
        <v>770.77</v>
      </c>
      <c r="D4049">
        <f t="shared" si="130"/>
        <v>-6.6118205830324572E-2</v>
      </c>
      <c r="E4049">
        <v>-1.4423630202672455E-2</v>
      </c>
      <c r="F4049">
        <v>4046</v>
      </c>
      <c r="G4049">
        <f t="shared" ca="1" si="131"/>
        <v>6.3481837392463589E-3</v>
      </c>
    </row>
    <row r="4050" spans="2:7" x14ac:dyDescent="0.35">
      <c r="B4050" s="2">
        <v>43805</v>
      </c>
      <c r="C4050" s="4">
        <v>825.34</v>
      </c>
      <c r="D4050">
        <f t="shared" si="130"/>
        <v>27.130197682344924</v>
      </c>
      <c r="E4050">
        <v>-1.4425258532158258E-2</v>
      </c>
      <c r="F4050">
        <v>4047</v>
      </c>
      <c r="G4050">
        <f t="shared" ca="1" si="131"/>
        <v>5.1035321947331905E-3</v>
      </c>
    </row>
    <row r="4051" spans="2:7" x14ac:dyDescent="0.35">
      <c r="B4051" s="2">
        <v>39889</v>
      </c>
      <c r="C4051" s="4">
        <v>29.34</v>
      </c>
      <c r="D4051">
        <f t="shared" si="130"/>
        <v>-0.96167060760055911</v>
      </c>
      <c r="E4051">
        <v>-1.4444071212630138E-2</v>
      </c>
      <c r="F4051">
        <v>4048</v>
      </c>
      <c r="G4051">
        <f t="shared" ca="1" si="131"/>
        <v>-6.3371349963845421E-3</v>
      </c>
    </row>
    <row r="4052" spans="2:7" x14ac:dyDescent="0.35">
      <c r="B4052" s="2">
        <v>43791</v>
      </c>
      <c r="C4052" s="4">
        <v>765.47</v>
      </c>
      <c r="D4052">
        <f t="shared" si="130"/>
        <v>6.4396928758868697</v>
      </c>
      <c r="E4052">
        <v>-1.4445917933796015E-2</v>
      </c>
      <c r="F4052">
        <v>4049</v>
      </c>
      <c r="G4052">
        <f t="shared" ca="1" si="131"/>
        <v>-3.4418518051465572E-3</v>
      </c>
    </row>
    <row r="4053" spans="2:7" x14ac:dyDescent="0.35">
      <c r="B4053" s="2">
        <v>40435</v>
      </c>
      <c r="C4053" s="4">
        <v>102.89</v>
      </c>
      <c r="D4053">
        <f t="shared" si="130"/>
        <v>-0.41879907360334412</v>
      </c>
      <c r="E4053">
        <v>-1.4463601532567094E-2</v>
      </c>
      <c r="F4053">
        <v>4050</v>
      </c>
      <c r="G4053">
        <f t="shared" ca="1" si="131"/>
        <v>1.8686608014318096E-2</v>
      </c>
    </row>
    <row r="4054" spans="2:7" x14ac:dyDescent="0.35">
      <c r="B4054" s="2">
        <v>41669</v>
      </c>
      <c r="C4054" s="4">
        <v>177.03</v>
      </c>
      <c r="D4054">
        <f t="shared" si="130"/>
        <v>0.80587575232071806</v>
      </c>
      <c r="E4054">
        <v>-1.4474196960418628E-2</v>
      </c>
      <c r="F4054">
        <v>4051</v>
      </c>
      <c r="G4054">
        <f t="shared" ca="1" si="131"/>
        <v>1.8349756588675829E-2</v>
      </c>
    </row>
    <row r="4055" spans="2:7" x14ac:dyDescent="0.35">
      <c r="B4055" s="2">
        <v>39444</v>
      </c>
      <c r="C4055" s="4">
        <v>98.03</v>
      </c>
      <c r="D4055">
        <f t="shared" si="130"/>
        <v>-0.59618553303674404</v>
      </c>
      <c r="E4055">
        <v>-1.4476726651251659E-2</v>
      </c>
      <c r="F4055">
        <v>4052</v>
      </c>
      <c r="G4055">
        <f t="shared" ca="1" si="131"/>
        <v>3.8111465405484185E-2</v>
      </c>
    </row>
    <row r="4056" spans="2:7" x14ac:dyDescent="0.35">
      <c r="B4056" s="2">
        <v>41802</v>
      </c>
      <c r="C4056" s="4">
        <v>242.76</v>
      </c>
      <c r="D4056">
        <f t="shared" si="130"/>
        <v>2.6060606060606064</v>
      </c>
      <c r="E4056">
        <v>-1.449275362318847E-2</v>
      </c>
      <c r="F4056">
        <v>4053</v>
      </c>
      <c r="G4056">
        <f t="shared" ca="1" si="131"/>
        <v>-3.9023511807659228E-2</v>
      </c>
    </row>
    <row r="4057" spans="2:7" x14ac:dyDescent="0.35">
      <c r="B4057" s="2">
        <v>38644</v>
      </c>
      <c r="C4057" s="4">
        <v>67.319999999999993</v>
      </c>
      <c r="D4057">
        <f t="shared" si="130"/>
        <v>1.1535508637236083</v>
      </c>
      <c r="E4057">
        <v>-1.4492753623188581E-2</v>
      </c>
      <c r="F4057">
        <v>4054</v>
      </c>
      <c r="G4057">
        <f t="shared" ca="1" si="131"/>
        <v>-3.3997037176252194E-2</v>
      </c>
    </row>
    <row r="4058" spans="2:7" x14ac:dyDescent="0.35">
      <c r="B4058" s="2">
        <v>37481</v>
      </c>
      <c r="C4058" s="4">
        <v>31.26</v>
      </c>
      <c r="D4058">
        <f t="shared" si="130"/>
        <v>-0.1146983857264231</v>
      </c>
      <c r="E4058">
        <v>-1.4501891551071844E-2</v>
      </c>
      <c r="F4058">
        <v>4055</v>
      </c>
      <c r="G4058">
        <f t="shared" ca="1" si="131"/>
        <v>-3.8905278512868478E-2</v>
      </c>
    </row>
    <row r="4059" spans="2:7" x14ac:dyDescent="0.35">
      <c r="B4059" s="2">
        <v>39799</v>
      </c>
      <c r="C4059" s="4">
        <v>35.31</v>
      </c>
      <c r="D4059">
        <f t="shared" si="130"/>
        <v>-0.95134889360412245</v>
      </c>
      <c r="E4059">
        <v>-1.4512977951437245E-2</v>
      </c>
      <c r="F4059">
        <v>4056</v>
      </c>
      <c r="G4059">
        <f t="shared" ca="1" si="131"/>
        <v>9.4605671312474986E-3</v>
      </c>
    </row>
    <row r="4060" spans="2:7" x14ac:dyDescent="0.35">
      <c r="B4060" s="2">
        <v>42851</v>
      </c>
      <c r="C4060" s="4">
        <v>725.78</v>
      </c>
      <c r="D4060">
        <f t="shared" si="130"/>
        <v>-0.79413533322743879</v>
      </c>
      <c r="E4060">
        <v>-1.4515187312450051E-2</v>
      </c>
      <c r="F4060">
        <v>4057</v>
      </c>
      <c r="G4060">
        <f t="shared" ca="1" si="131"/>
        <v>9.6162132731748996E-3</v>
      </c>
    </row>
    <row r="4061" spans="2:7" x14ac:dyDescent="0.35">
      <c r="B4061" s="2">
        <v>44337</v>
      </c>
      <c r="C4061" s="4">
        <v>3525.52</v>
      </c>
      <c r="D4061">
        <f t="shared" si="130"/>
        <v>3.3790383683811749</v>
      </c>
      <c r="E4061">
        <v>-1.4576526063052264E-2</v>
      </c>
      <c r="F4061">
        <v>4058</v>
      </c>
      <c r="G4061">
        <f t="shared" ca="1" si="131"/>
        <v>1.9918220416907047E-2</v>
      </c>
    </row>
    <row r="4062" spans="2:7" x14ac:dyDescent="0.35">
      <c r="B4062" s="2">
        <v>43622</v>
      </c>
      <c r="C4062" s="4">
        <v>805.09</v>
      </c>
      <c r="D4062">
        <f t="shared" si="130"/>
        <v>-0.90885801099468377</v>
      </c>
      <c r="E4062">
        <v>-1.4577723378212948E-2</v>
      </c>
      <c r="F4062">
        <v>4059</v>
      </c>
      <c r="G4062">
        <f t="shared" ca="1" si="131"/>
        <v>2.4588491620618651E-2</v>
      </c>
    </row>
    <row r="4063" spans="2:7" x14ac:dyDescent="0.35">
      <c r="B4063" s="2">
        <v>44656</v>
      </c>
      <c r="C4063" s="4">
        <v>8833.36</v>
      </c>
      <c r="D4063">
        <f t="shared" si="130"/>
        <v>35.71693407598304</v>
      </c>
      <c r="E4063">
        <v>-1.4578248200588173E-2</v>
      </c>
      <c r="F4063">
        <v>4060</v>
      </c>
      <c r="G4063">
        <f t="shared" ca="1" si="131"/>
        <v>-1.1196923603806636E-2</v>
      </c>
    </row>
    <row r="4064" spans="2:7" x14ac:dyDescent="0.35">
      <c r="B4064" s="2">
        <v>41764</v>
      </c>
      <c r="C4064" s="4">
        <v>240.58</v>
      </c>
      <c r="D4064">
        <f t="shared" si="130"/>
        <v>-0.70674922902521975</v>
      </c>
      <c r="E4064">
        <v>-1.4581797329401014E-2</v>
      </c>
      <c r="F4064">
        <v>4061</v>
      </c>
      <c r="G4064">
        <f t="shared" ca="1" si="131"/>
        <v>1.8245920430387648E-2</v>
      </c>
    </row>
    <row r="4065" spans="2:7" x14ac:dyDescent="0.35">
      <c r="B4065" s="2">
        <v>43616</v>
      </c>
      <c r="C4065" s="4">
        <v>820.39</v>
      </c>
      <c r="D4065">
        <f t="shared" si="130"/>
        <v>0.39574330531831636</v>
      </c>
      <c r="E4065">
        <v>-1.4582057103047275E-2</v>
      </c>
      <c r="F4065">
        <v>4062</v>
      </c>
      <c r="G4065">
        <f t="shared" ca="1" si="131"/>
        <v>3.2190806927814373E-3</v>
      </c>
    </row>
    <row r="4066" spans="2:7" x14ac:dyDescent="0.35">
      <c r="B4066" s="2">
        <v>42109</v>
      </c>
      <c r="C4066" s="4">
        <v>587.78</v>
      </c>
      <c r="D4066">
        <f t="shared" si="130"/>
        <v>15.112390350877195</v>
      </c>
      <c r="E4066">
        <v>-1.4585568669527982E-2</v>
      </c>
      <c r="F4066">
        <v>4063</v>
      </c>
      <c r="G4066">
        <f t="shared" ca="1" si="131"/>
        <v>-5.7156501431291348E-2</v>
      </c>
    </row>
    <row r="4067" spans="2:7" x14ac:dyDescent="0.35">
      <c r="B4067" s="2">
        <v>39758</v>
      </c>
      <c r="C4067" s="4">
        <v>36.479999999999997</v>
      </c>
      <c r="D4067">
        <f t="shared" si="130"/>
        <v>-0.5964601769911505</v>
      </c>
      <c r="E4067">
        <v>-1.4586709886547977E-2</v>
      </c>
      <c r="F4067">
        <v>4064</v>
      </c>
      <c r="G4067">
        <f t="shared" ca="1" si="131"/>
        <v>4.0843738395866476E-2</v>
      </c>
    </row>
    <row r="4068" spans="2:7" x14ac:dyDescent="0.35">
      <c r="B4068" s="2">
        <v>41319</v>
      </c>
      <c r="C4068" s="4">
        <v>90.4</v>
      </c>
      <c r="D4068">
        <f t="shared" si="130"/>
        <v>0.18900434039195058</v>
      </c>
      <c r="E4068">
        <v>-1.4606496620884979E-2</v>
      </c>
      <c r="F4068">
        <v>4065</v>
      </c>
      <c r="G4068">
        <f t="shared" ca="1" si="131"/>
        <v>-1.3241385354455968E-2</v>
      </c>
    </row>
    <row r="4069" spans="2:7" x14ac:dyDescent="0.35">
      <c r="B4069" s="2">
        <v>41498</v>
      </c>
      <c r="C4069" s="4">
        <v>76.03</v>
      </c>
      <c r="D4069">
        <f t="shared" si="130"/>
        <v>-0.18088773971126904</v>
      </c>
      <c r="E4069">
        <v>-1.4644893727319808E-2</v>
      </c>
      <c r="F4069">
        <v>4066</v>
      </c>
      <c r="G4069">
        <f t="shared" ca="1" si="131"/>
        <v>6.0093690698219279E-2</v>
      </c>
    </row>
    <row r="4070" spans="2:7" x14ac:dyDescent="0.35">
      <c r="B4070" s="2">
        <v>41311</v>
      </c>
      <c r="C4070" s="4">
        <v>92.82</v>
      </c>
      <c r="D4070">
        <f t="shared" si="130"/>
        <v>-0.98522797803771778</v>
      </c>
      <c r="E4070">
        <v>-1.4649681528662528E-2</v>
      </c>
      <c r="F4070">
        <v>4067</v>
      </c>
      <c r="G4070">
        <f t="shared" ca="1" si="131"/>
        <v>-6.073222403821698E-3</v>
      </c>
    </row>
    <row r="4071" spans="2:7" x14ac:dyDescent="0.35">
      <c r="B4071" s="2">
        <v>45029</v>
      </c>
      <c r="C4071" s="4">
        <v>6283.5</v>
      </c>
      <c r="D4071">
        <f t="shared" si="130"/>
        <v>61.753420553280741</v>
      </c>
      <c r="E4071">
        <v>-1.4654341025098216E-2</v>
      </c>
      <c r="F4071">
        <v>4068</v>
      </c>
      <c r="G4071">
        <f t="shared" ca="1" si="131"/>
        <v>4.4609050969970053E-2</v>
      </c>
    </row>
    <row r="4072" spans="2:7" x14ac:dyDescent="0.35">
      <c r="B4072" s="2">
        <v>40696</v>
      </c>
      <c r="C4072" s="4">
        <v>100.13</v>
      </c>
      <c r="D4072">
        <f t="shared" si="130"/>
        <v>-0.1945785070785071</v>
      </c>
      <c r="E4072">
        <v>-1.4662468018106778E-2</v>
      </c>
      <c r="F4072">
        <v>4069</v>
      </c>
      <c r="G4072">
        <f t="shared" ca="1" si="131"/>
        <v>-6.8213900185655568E-2</v>
      </c>
    </row>
    <row r="4073" spans="2:7" x14ac:dyDescent="0.35">
      <c r="B4073" s="2">
        <v>40274</v>
      </c>
      <c r="C4073" s="4">
        <v>124.32</v>
      </c>
      <c r="D4073">
        <f t="shared" si="130"/>
        <v>1.0330335241210138</v>
      </c>
      <c r="E4073">
        <v>-1.4662756598240567E-2</v>
      </c>
      <c r="F4073">
        <v>4070</v>
      </c>
      <c r="G4073">
        <f t="shared" ca="1" si="131"/>
        <v>1.1938779383434394E-2</v>
      </c>
    </row>
    <row r="4074" spans="2:7" x14ac:dyDescent="0.35">
      <c r="B4074" s="2">
        <v>38902</v>
      </c>
      <c r="C4074" s="4">
        <v>61.15</v>
      </c>
      <c r="D4074">
        <f t="shared" si="130"/>
        <v>0.16676206830757501</v>
      </c>
      <c r="E4074">
        <v>-1.4663229133097033E-2</v>
      </c>
      <c r="F4074">
        <v>4071</v>
      </c>
      <c r="G4074">
        <f t="shared" ca="1" si="131"/>
        <v>3.1275103430801747E-2</v>
      </c>
    </row>
    <row r="4075" spans="2:7" x14ac:dyDescent="0.35">
      <c r="B4075" s="2">
        <v>38358</v>
      </c>
      <c r="C4075" s="4">
        <v>52.41</v>
      </c>
      <c r="D4075">
        <f t="shared" si="130"/>
        <v>-0.29089433094303885</v>
      </c>
      <c r="E4075">
        <v>-1.466441060349688E-2</v>
      </c>
      <c r="F4075">
        <v>4072</v>
      </c>
      <c r="G4075">
        <f t="shared" ca="1" si="131"/>
        <v>6.7977514107482716E-3</v>
      </c>
    </row>
    <row r="4076" spans="2:7" x14ac:dyDescent="0.35">
      <c r="B4076" s="2">
        <v>39506</v>
      </c>
      <c r="C4076" s="4">
        <v>73.91</v>
      </c>
      <c r="D4076">
        <f t="shared" si="130"/>
        <v>1.5583246798200068</v>
      </c>
      <c r="E4076">
        <v>-1.4664711371817241E-2</v>
      </c>
      <c r="F4076">
        <v>4073</v>
      </c>
      <c r="G4076">
        <f t="shared" ca="1" si="131"/>
        <v>2.9551048321624675E-2</v>
      </c>
    </row>
    <row r="4077" spans="2:7" x14ac:dyDescent="0.35">
      <c r="B4077" s="2">
        <v>38050</v>
      </c>
      <c r="C4077" s="4">
        <v>28.89</v>
      </c>
      <c r="D4077">
        <f t="shared" si="130"/>
        <v>-0.64699413489736068</v>
      </c>
      <c r="E4077">
        <v>-1.4665757162346527E-2</v>
      </c>
      <c r="F4077">
        <v>4074</v>
      </c>
      <c r="G4077">
        <f t="shared" ca="1" si="131"/>
        <v>-2.0093557138128795E-4</v>
      </c>
    </row>
    <row r="4078" spans="2:7" x14ac:dyDescent="0.35">
      <c r="B4078" s="2">
        <v>40928</v>
      </c>
      <c r="C4078" s="4">
        <v>81.84</v>
      </c>
      <c r="D4078">
        <f t="shared" si="130"/>
        <v>-0.2466169566418116</v>
      </c>
      <c r="E4078">
        <v>-1.4688177221285792E-2</v>
      </c>
      <c r="F4078">
        <v>4075</v>
      </c>
      <c r="G4078">
        <f t="shared" ca="1" si="131"/>
        <v>-2.3403822581101467E-2</v>
      </c>
    </row>
    <row r="4079" spans="2:7" x14ac:dyDescent="0.35">
      <c r="B4079" s="2">
        <v>40359</v>
      </c>
      <c r="C4079" s="4">
        <v>108.63</v>
      </c>
      <c r="D4079">
        <f t="shared" si="130"/>
        <v>0.28708530805687182</v>
      </c>
      <c r="E4079">
        <v>-1.4693877551020473E-2</v>
      </c>
      <c r="F4079">
        <v>4076</v>
      </c>
      <c r="G4079">
        <f t="shared" ca="1" si="131"/>
        <v>-4.7159468221581229E-2</v>
      </c>
    </row>
    <row r="4080" spans="2:7" x14ac:dyDescent="0.35">
      <c r="B4080" s="2">
        <v>41411</v>
      </c>
      <c r="C4080" s="4">
        <v>84.4</v>
      </c>
      <c r="D4080">
        <f t="shared" si="130"/>
        <v>-0.90978568756346534</v>
      </c>
      <c r="E4080">
        <v>-1.4709315900069964E-2</v>
      </c>
      <c r="F4080">
        <v>4077</v>
      </c>
      <c r="G4080">
        <f t="shared" ca="1" si="131"/>
        <v>-5.1020798735246543E-2</v>
      </c>
    </row>
    <row r="4081" spans="2:7" x14ac:dyDescent="0.35">
      <c r="B4081" s="2">
        <v>43418</v>
      </c>
      <c r="C4081" s="4">
        <v>935.55</v>
      </c>
      <c r="D4081">
        <f t="shared" si="130"/>
        <v>8.0138741689950859</v>
      </c>
      <c r="E4081">
        <v>-1.4712696941612591E-2</v>
      </c>
      <c r="F4081">
        <v>4078</v>
      </c>
      <c r="G4081">
        <f t="shared" ca="1" si="131"/>
        <v>-1.4610279520269092E-2</v>
      </c>
    </row>
    <row r="4082" spans="2:7" x14ac:dyDescent="0.35">
      <c r="B4082" s="2">
        <v>40402</v>
      </c>
      <c r="C4082" s="4">
        <v>103.79</v>
      </c>
      <c r="D4082">
        <f t="shared" si="130"/>
        <v>-7.0981023988542669E-2</v>
      </c>
      <c r="E4082">
        <v>-1.4714258591228324E-2</v>
      </c>
      <c r="F4082">
        <v>4079</v>
      </c>
      <c r="G4082">
        <f t="shared" ca="1" si="131"/>
        <v>-1.5195263239374104E-2</v>
      </c>
    </row>
    <row r="4083" spans="2:7" x14ac:dyDescent="0.35">
      <c r="B4083" s="2">
        <v>39359</v>
      </c>
      <c r="C4083" s="4">
        <v>111.72</v>
      </c>
      <c r="D4083">
        <f t="shared" si="130"/>
        <v>1.2569696969696968</v>
      </c>
      <c r="E4083">
        <v>-1.472793015257079E-2</v>
      </c>
      <c r="F4083">
        <v>4080</v>
      </c>
      <c r="G4083">
        <f t="shared" ca="1" si="131"/>
        <v>3.8927675128318196E-3</v>
      </c>
    </row>
    <row r="4084" spans="2:7" x14ac:dyDescent="0.35">
      <c r="B4084" s="2">
        <v>38366</v>
      </c>
      <c r="C4084" s="4">
        <v>49.5</v>
      </c>
      <c r="D4084">
        <f t="shared" si="130"/>
        <v>-5.0086355785837644E-2</v>
      </c>
      <c r="E4084">
        <v>-1.4729299363057335E-2</v>
      </c>
      <c r="F4084">
        <v>4081</v>
      </c>
      <c r="G4084">
        <f t="shared" ca="1" si="131"/>
        <v>2.1486120750028741E-2</v>
      </c>
    </row>
    <row r="4085" spans="2:7" x14ac:dyDescent="0.35">
      <c r="B4085" s="2">
        <v>38316</v>
      </c>
      <c r="C4085" s="4">
        <v>52.11</v>
      </c>
      <c r="D4085">
        <f t="shared" si="130"/>
        <v>-0.39024104844371632</v>
      </c>
      <c r="E4085">
        <v>-1.4747589336358446E-2</v>
      </c>
      <c r="F4085">
        <v>4082</v>
      </c>
      <c r="G4085">
        <f t="shared" ca="1" si="131"/>
        <v>5.0734261448577407E-2</v>
      </c>
    </row>
    <row r="4086" spans="2:7" x14ac:dyDescent="0.35">
      <c r="B4086" s="2">
        <v>39398</v>
      </c>
      <c r="C4086" s="4">
        <v>85.46</v>
      </c>
      <c r="D4086">
        <f t="shared" si="130"/>
        <v>-0.89330836454431961</v>
      </c>
      <c r="E4086">
        <v>-1.4756744293290325E-2</v>
      </c>
      <c r="F4086">
        <v>4083</v>
      </c>
      <c r="G4086">
        <f t="shared" ca="1" si="131"/>
        <v>4.1167477329820276E-2</v>
      </c>
    </row>
    <row r="4087" spans="2:7" x14ac:dyDescent="0.35">
      <c r="B4087" s="2">
        <v>42949</v>
      </c>
      <c r="C4087" s="4">
        <v>801</v>
      </c>
      <c r="D4087">
        <f t="shared" si="130"/>
        <v>10.563447379818104</v>
      </c>
      <c r="E4087">
        <v>-1.4784384147991436E-2</v>
      </c>
      <c r="F4087">
        <v>4084</v>
      </c>
      <c r="G4087">
        <f t="shared" ca="1" si="131"/>
        <v>-1.6556125670152293E-2</v>
      </c>
    </row>
    <row r="4088" spans="2:7" x14ac:dyDescent="0.35">
      <c r="B4088" s="2">
        <v>38740</v>
      </c>
      <c r="C4088" s="4">
        <v>69.27</v>
      </c>
      <c r="D4088">
        <f t="shared" si="130"/>
        <v>1.4186452513966477</v>
      </c>
      <c r="E4088">
        <v>-1.4791637035983629E-2</v>
      </c>
      <c r="F4088">
        <v>4085</v>
      </c>
      <c r="G4088">
        <f t="shared" ca="1" si="131"/>
        <v>4.0859685488234189E-2</v>
      </c>
    </row>
    <row r="4089" spans="2:7" x14ac:dyDescent="0.35">
      <c r="B4089" s="2">
        <v>37628</v>
      </c>
      <c r="C4089" s="4">
        <v>28.64</v>
      </c>
      <c r="D4089">
        <f t="shared" si="130"/>
        <v>-0.70522848909016056</v>
      </c>
      <c r="E4089">
        <v>-1.4791881664946716E-2</v>
      </c>
      <c r="F4089">
        <v>4086</v>
      </c>
      <c r="G4089">
        <f t="shared" ca="1" si="131"/>
        <v>1.3779926626055898E-2</v>
      </c>
    </row>
    <row r="4090" spans="2:7" x14ac:dyDescent="0.35">
      <c r="B4090" s="2">
        <v>40620</v>
      </c>
      <c r="C4090" s="4">
        <v>97.16</v>
      </c>
      <c r="D4090">
        <f t="shared" si="130"/>
        <v>-0.94414808001839501</v>
      </c>
      <c r="E4090">
        <v>-1.4804299330764659E-2</v>
      </c>
      <c r="F4090">
        <v>4087</v>
      </c>
      <c r="G4090">
        <f t="shared" ca="1" si="131"/>
        <v>1.9109249398782932E-2</v>
      </c>
    </row>
    <row r="4091" spans="2:7" x14ac:dyDescent="0.35">
      <c r="B4091" s="2">
        <v>44189</v>
      </c>
      <c r="C4091" s="4">
        <v>1739.6</v>
      </c>
      <c r="D4091">
        <f t="shared" si="130"/>
        <v>26.275007839448101</v>
      </c>
      <c r="E4091">
        <v>-1.4809571003822741E-2</v>
      </c>
      <c r="F4091">
        <v>4088</v>
      </c>
      <c r="G4091">
        <f t="shared" ca="1" si="131"/>
        <v>-9.9437811003557103E-3</v>
      </c>
    </row>
    <row r="4092" spans="2:7" x14ac:dyDescent="0.35">
      <c r="B4092" s="2">
        <v>38513</v>
      </c>
      <c r="C4092" s="4">
        <v>63.78</v>
      </c>
      <c r="D4092">
        <f t="shared" si="130"/>
        <v>-1.9824804057169132E-2</v>
      </c>
      <c r="E4092">
        <v>-1.4828544949026745E-2</v>
      </c>
      <c r="F4092">
        <v>4089</v>
      </c>
      <c r="G4092">
        <f t="shared" ca="1" si="131"/>
        <v>1.1125665829018959E-2</v>
      </c>
    </row>
    <row r="4093" spans="2:7" x14ac:dyDescent="0.35">
      <c r="B4093" s="2">
        <v>39519</v>
      </c>
      <c r="C4093" s="4">
        <v>65.069999999999993</v>
      </c>
      <c r="D4093">
        <f t="shared" si="130"/>
        <v>-0.99049129062426933</v>
      </c>
      <c r="E4093">
        <v>-1.4837244511733627E-2</v>
      </c>
      <c r="F4093">
        <v>4090</v>
      </c>
      <c r="G4093">
        <f t="shared" ca="1" si="131"/>
        <v>1.4454398232374386E-2</v>
      </c>
    </row>
    <row r="4094" spans="2:7" x14ac:dyDescent="0.35">
      <c r="B4094" s="2">
        <v>44882</v>
      </c>
      <c r="C4094" s="4">
        <v>6843.2</v>
      </c>
      <c r="D4094">
        <f t="shared" si="130"/>
        <v>-0.22737690666245169</v>
      </c>
      <c r="E4094">
        <v>-1.4849525290260401E-2</v>
      </c>
      <c r="F4094">
        <v>4091</v>
      </c>
      <c r="G4094">
        <f t="shared" ca="1" si="131"/>
        <v>-1.2875952658310381E-2</v>
      </c>
    </row>
    <row r="4095" spans="2:7" x14ac:dyDescent="0.35">
      <c r="B4095" s="2">
        <v>44827</v>
      </c>
      <c r="C4095" s="4">
        <v>8857.1</v>
      </c>
      <c r="D4095">
        <f t="shared" si="130"/>
        <v>0.42997142349731199</v>
      </c>
      <c r="E4095">
        <v>-1.4854320877800697E-2</v>
      </c>
      <c r="F4095">
        <v>4092</v>
      </c>
      <c r="G4095">
        <f t="shared" ca="1" si="131"/>
        <v>6.2482005712662103E-2</v>
      </c>
    </row>
    <row r="4096" spans="2:7" x14ac:dyDescent="0.35">
      <c r="B4096" s="2">
        <v>44932</v>
      </c>
      <c r="C4096" s="4">
        <v>6193.9</v>
      </c>
      <c r="D4096">
        <f t="shared" si="130"/>
        <v>155.13561885555833</v>
      </c>
      <c r="E4096">
        <v>-1.4878845955037412E-2</v>
      </c>
      <c r="F4096">
        <v>4093</v>
      </c>
      <c r="G4096">
        <f t="shared" ca="1" si="131"/>
        <v>7.8235924511085315E-3</v>
      </c>
    </row>
    <row r="4097" spans="2:7" x14ac:dyDescent="0.35">
      <c r="B4097" s="2">
        <v>38187</v>
      </c>
      <c r="C4097" s="4">
        <v>39.67</v>
      </c>
      <c r="D4097">
        <f t="shared" si="130"/>
        <v>-0.41072489601901363</v>
      </c>
      <c r="E4097">
        <v>-1.4899428855227215E-2</v>
      </c>
      <c r="F4097">
        <v>4094</v>
      </c>
      <c r="G4097">
        <f t="shared" ca="1" si="131"/>
        <v>6.1109597776950422E-2</v>
      </c>
    </row>
    <row r="4098" spans="2:7" x14ac:dyDescent="0.35">
      <c r="B4098" s="2">
        <v>38679</v>
      </c>
      <c r="C4098" s="4">
        <v>67.319999999999993</v>
      </c>
      <c r="D4098">
        <f t="shared" si="130"/>
        <v>-0.92072072072072075</v>
      </c>
      <c r="E4098">
        <v>-1.4925373134328512E-2</v>
      </c>
      <c r="F4098">
        <v>4095</v>
      </c>
      <c r="G4098">
        <f t="shared" ca="1" si="131"/>
        <v>1.6534835138211919E-2</v>
      </c>
    </row>
    <row r="4099" spans="2:7" x14ac:dyDescent="0.35">
      <c r="B4099" s="2">
        <v>42221</v>
      </c>
      <c r="C4099" s="4">
        <v>849.15</v>
      </c>
      <c r="D4099">
        <f t="shared" si="130"/>
        <v>22.83913531723751</v>
      </c>
      <c r="E4099">
        <v>-1.4930048026727927E-2</v>
      </c>
      <c r="F4099">
        <v>4096</v>
      </c>
      <c r="G4099">
        <f t="shared" ca="1" si="131"/>
        <v>-1.0164279325768811E-2</v>
      </c>
    </row>
    <row r="4100" spans="2:7" x14ac:dyDescent="0.35">
      <c r="B4100" s="2">
        <v>38005</v>
      </c>
      <c r="C4100" s="4">
        <v>35.619999999999997</v>
      </c>
      <c r="D4100">
        <f t="shared" ref="D4100:D4163" si="132">C4100/C4101-1</f>
        <v>-0.95954938790342725</v>
      </c>
      <c r="E4100">
        <v>-1.4933628318584025E-2</v>
      </c>
      <c r="F4100">
        <v>4097</v>
      </c>
      <c r="G4100">
        <f t="shared" ca="1" si="131"/>
        <v>-1.1919966701524122E-2</v>
      </c>
    </row>
    <row r="4101" spans="2:7" x14ac:dyDescent="0.35">
      <c r="B4101" s="2">
        <v>43069</v>
      </c>
      <c r="C4101" s="4">
        <v>880.58</v>
      </c>
      <c r="D4101">
        <f t="shared" si="132"/>
        <v>0.1747488627116156</v>
      </c>
      <c r="E4101">
        <v>-1.493405523922442E-2</v>
      </c>
      <c r="F4101">
        <v>4098</v>
      </c>
      <c r="G4101">
        <f t="shared" ref="G4101:G4164" ca="1" si="133">_xlfn.NORM.INV(RAND(),K$6,K$7)</f>
        <v>-1.8656308413181243E-2</v>
      </c>
    </row>
    <row r="4102" spans="2:7" x14ac:dyDescent="0.35">
      <c r="B4102" s="2">
        <v>43965</v>
      </c>
      <c r="C4102" s="4">
        <v>749.59</v>
      </c>
      <c r="D4102">
        <f t="shared" si="132"/>
        <v>-8.813439735292683E-2</v>
      </c>
      <c r="E4102">
        <v>-1.4941652649285153E-2</v>
      </c>
      <c r="F4102">
        <v>4099</v>
      </c>
      <c r="G4102">
        <f t="shared" ca="1" si="133"/>
        <v>1.877402968359361E-2</v>
      </c>
    </row>
    <row r="4103" spans="2:7" x14ac:dyDescent="0.35">
      <c r="B4103" s="2">
        <v>42524</v>
      </c>
      <c r="C4103" s="4">
        <v>822.04</v>
      </c>
      <c r="D4103">
        <f t="shared" si="132"/>
        <v>0.16286373088511974</v>
      </c>
      <c r="E4103">
        <v>-1.4942900624318467E-2</v>
      </c>
      <c r="F4103">
        <v>4100</v>
      </c>
      <c r="G4103">
        <f t="shared" ca="1" si="133"/>
        <v>2.6922142100893224E-2</v>
      </c>
    </row>
    <row r="4104" spans="2:7" x14ac:dyDescent="0.35">
      <c r="B4104" s="2">
        <v>42877</v>
      </c>
      <c r="C4104" s="4">
        <v>706.91</v>
      </c>
      <c r="D4104">
        <f t="shared" si="132"/>
        <v>28.067023026315788</v>
      </c>
      <c r="E4104">
        <v>-1.4951786411013912E-2</v>
      </c>
      <c r="F4104">
        <v>4101</v>
      </c>
      <c r="G4104">
        <f t="shared" ca="1" si="133"/>
        <v>3.3589585642018832E-2</v>
      </c>
    </row>
    <row r="4105" spans="2:7" x14ac:dyDescent="0.35">
      <c r="B4105" s="2">
        <v>37650</v>
      </c>
      <c r="C4105" s="4">
        <v>24.32</v>
      </c>
      <c r="D4105">
        <f t="shared" si="132"/>
        <v>-0.79436881711338458</v>
      </c>
      <c r="E4105">
        <v>-1.4985824220332122E-2</v>
      </c>
      <c r="F4105">
        <v>4102</v>
      </c>
      <c r="G4105">
        <f t="shared" ca="1" si="133"/>
        <v>9.316027919158202E-3</v>
      </c>
    </row>
    <row r="4106" spans="2:7" x14ac:dyDescent="0.35">
      <c r="B4106" s="2">
        <v>39248</v>
      </c>
      <c r="C4106" s="4">
        <v>118.27</v>
      </c>
      <c r="D4106">
        <f t="shared" si="132"/>
        <v>-0.87438130642591605</v>
      </c>
      <c r="E4106">
        <v>-1.4991255101190926E-2</v>
      </c>
      <c r="F4106">
        <v>4103</v>
      </c>
      <c r="G4106">
        <f t="shared" ca="1" si="133"/>
        <v>8.0287473696348515E-3</v>
      </c>
    </row>
    <row r="4107" spans="2:7" x14ac:dyDescent="0.35">
      <c r="B4107" s="2">
        <v>42377</v>
      </c>
      <c r="C4107" s="4">
        <v>941.5</v>
      </c>
      <c r="D4107">
        <f t="shared" si="132"/>
        <v>13.80578707343922</v>
      </c>
      <c r="E4107">
        <v>-1.4992205726959806E-2</v>
      </c>
      <c r="F4107">
        <v>4104</v>
      </c>
      <c r="G4107">
        <f t="shared" ca="1" si="133"/>
        <v>-5.4739530057412826E-3</v>
      </c>
    </row>
    <row r="4108" spans="2:7" x14ac:dyDescent="0.35">
      <c r="B4108" s="2">
        <v>40056</v>
      </c>
      <c r="C4108" s="4">
        <v>63.59</v>
      </c>
      <c r="D4108">
        <f t="shared" si="132"/>
        <v>1.1098208360982085</v>
      </c>
      <c r="E4108">
        <v>-1.5024783147459697E-2</v>
      </c>
      <c r="F4108">
        <v>4105</v>
      </c>
      <c r="G4108">
        <f t="shared" ca="1" si="133"/>
        <v>6.1859237773250917E-3</v>
      </c>
    </row>
    <row r="4109" spans="2:7" x14ac:dyDescent="0.35">
      <c r="B4109" s="2">
        <v>38100</v>
      </c>
      <c r="C4109" s="4">
        <v>30.14</v>
      </c>
      <c r="D4109">
        <f t="shared" si="132"/>
        <v>-0.89519438069406776</v>
      </c>
      <c r="E4109">
        <v>-1.5032679738562149E-2</v>
      </c>
      <c r="F4109">
        <v>4106</v>
      </c>
      <c r="G4109">
        <f t="shared" ca="1" si="133"/>
        <v>-1.3445383977226007E-2</v>
      </c>
    </row>
    <row r="4110" spans="2:7" x14ac:dyDescent="0.35">
      <c r="B4110" s="2">
        <v>41906</v>
      </c>
      <c r="C4110" s="4">
        <v>287.58</v>
      </c>
      <c r="D4110">
        <f t="shared" si="132"/>
        <v>1.7675873351939178</v>
      </c>
      <c r="E4110">
        <v>-1.5035791348426364E-2</v>
      </c>
      <c r="F4110">
        <v>4107</v>
      </c>
      <c r="G4110">
        <f t="shared" ca="1" si="133"/>
        <v>4.9303016427639727E-2</v>
      </c>
    </row>
    <row r="4111" spans="2:7" x14ac:dyDescent="0.35">
      <c r="B4111" s="2">
        <v>40735</v>
      </c>
      <c r="C4111" s="4">
        <v>103.91</v>
      </c>
      <c r="D4111">
        <f t="shared" si="132"/>
        <v>0.14501377410468308</v>
      </c>
      <c r="E4111">
        <v>-1.5071090047393376E-2</v>
      </c>
      <c r="F4111">
        <v>4108</v>
      </c>
      <c r="G4111">
        <f t="shared" ca="1" si="133"/>
        <v>-1.5042059680629111E-3</v>
      </c>
    </row>
    <row r="4112" spans="2:7" x14ac:dyDescent="0.35">
      <c r="B4112" s="2">
        <v>39388</v>
      </c>
      <c r="C4112" s="4">
        <v>90.75</v>
      </c>
      <c r="D4112">
        <f t="shared" si="132"/>
        <v>-0.8700303620531622</v>
      </c>
      <c r="E4112">
        <v>-1.5085739092685069E-2</v>
      </c>
      <c r="F4112">
        <v>4109</v>
      </c>
      <c r="G4112">
        <f t="shared" ca="1" si="133"/>
        <v>-3.0103731160896794E-2</v>
      </c>
    </row>
    <row r="4113" spans="2:7" x14ac:dyDescent="0.35">
      <c r="B4113" s="2">
        <v>42625</v>
      </c>
      <c r="C4113" s="4">
        <v>698.24</v>
      </c>
      <c r="D4113">
        <f t="shared" si="132"/>
        <v>-0.29218323922673772</v>
      </c>
      <c r="E4113">
        <v>-1.5106848155723274E-2</v>
      </c>
      <c r="F4113">
        <v>4110</v>
      </c>
      <c r="G4113">
        <f t="shared" ca="1" si="133"/>
        <v>-1.7650802391851064E-3</v>
      </c>
    </row>
    <row r="4114" spans="2:7" x14ac:dyDescent="0.35">
      <c r="B4114" s="2">
        <v>43410</v>
      </c>
      <c r="C4114" s="4">
        <v>986.47</v>
      </c>
      <c r="D4114">
        <f t="shared" si="132"/>
        <v>0.17727017769980802</v>
      </c>
      <c r="E4114">
        <v>-1.5125496695353458E-2</v>
      </c>
      <c r="F4114">
        <v>4111</v>
      </c>
      <c r="G4114">
        <f t="shared" ca="1" si="133"/>
        <v>1.0801667631253051E-2</v>
      </c>
    </row>
    <row r="4115" spans="2:7" x14ac:dyDescent="0.35">
      <c r="B4115" s="2">
        <v>42307</v>
      </c>
      <c r="C4115" s="4">
        <v>837.93</v>
      </c>
      <c r="D4115">
        <f t="shared" si="132"/>
        <v>-0.36235931543021516</v>
      </c>
      <c r="E4115">
        <v>-1.5126939351198909E-2</v>
      </c>
      <c r="F4115">
        <v>4112</v>
      </c>
      <c r="G4115">
        <f t="shared" ca="1" si="133"/>
        <v>-2.3614553982041292E-2</v>
      </c>
    </row>
    <row r="4116" spans="2:7" x14ac:dyDescent="0.35">
      <c r="B4116" s="2">
        <v>43341</v>
      </c>
      <c r="C4116" s="4">
        <v>1314.11</v>
      </c>
      <c r="D4116">
        <f t="shared" si="132"/>
        <v>-0.7751271007342837</v>
      </c>
      <c r="E4116">
        <v>-1.5131529641010277E-2</v>
      </c>
      <c r="F4116">
        <v>4113</v>
      </c>
      <c r="G4116">
        <f t="shared" ca="1" si="133"/>
        <v>9.0467579180350168E-3</v>
      </c>
    </row>
    <row r="4117" spans="2:7" x14ac:dyDescent="0.35">
      <c r="B4117" s="2">
        <v>44567</v>
      </c>
      <c r="C4117" s="4">
        <v>5843.79</v>
      </c>
      <c r="D4117">
        <f t="shared" si="132"/>
        <v>10.072817189631651</v>
      </c>
      <c r="E4117">
        <v>-1.5132516962777953E-2</v>
      </c>
      <c r="F4117">
        <v>4114</v>
      </c>
      <c r="G4117">
        <f t="shared" ca="1" si="133"/>
        <v>7.059758191545254E-2</v>
      </c>
    </row>
    <row r="4118" spans="2:7" x14ac:dyDescent="0.35">
      <c r="B4118" s="2">
        <v>42145</v>
      </c>
      <c r="C4118" s="4">
        <v>527.76</v>
      </c>
      <c r="D4118">
        <f t="shared" si="132"/>
        <v>6.5903926362721128</v>
      </c>
      <c r="E4118">
        <v>-1.5134267639539511E-2</v>
      </c>
      <c r="F4118">
        <v>4115</v>
      </c>
      <c r="G4118">
        <f t="shared" ca="1" si="133"/>
        <v>4.9710897087136371E-2</v>
      </c>
    </row>
    <row r="4119" spans="2:7" x14ac:dyDescent="0.35">
      <c r="B4119" s="2">
        <v>38861</v>
      </c>
      <c r="C4119" s="4">
        <v>69.53</v>
      </c>
      <c r="D4119">
        <f t="shared" si="132"/>
        <v>1.327753598928691</v>
      </c>
      <c r="E4119">
        <v>-1.5155807365438978E-2</v>
      </c>
      <c r="F4119">
        <v>4116</v>
      </c>
      <c r="G4119">
        <f t="shared" ca="1" si="133"/>
        <v>1.3729052272936628E-2</v>
      </c>
    </row>
    <row r="4120" spans="2:7" x14ac:dyDescent="0.35">
      <c r="B4120" s="2">
        <v>37607</v>
      </c>
      <c r="C4120" s="4">
        <v>29.87</v>
      </c>
      <c r="D4120">
        <f t="shared" si="132"/>
        <v>-0.98890284134815432</v>
      </c>
      <c r="E4120">
        <v>-1.5166501813385969E-2</v>
      </c>
      <c r="F4120">
        <v>4117</v>
      </c>
      <c r="G4120">
        <f t="shared" ca="1" si="133"/>
        <v>-1.5011316311688998E-2</v>
      </c>
    </row>
    <row r="4121" spans="2:7" x14ac:dyDescent="0.35">
      <c r="B4121" s="2">
        <v>44277</v>
      </c>
      <c r="C4121" s="4">
        <v>2691.68</v>
      </c>
      <c r="D4121">
        <f t="shared" si="132"/>
        <v>-0.59199660462014192</v>
      </c>
      <c r="E4121">
        <v>-1.5172968918647056E-2</v>
      </c>
      <c r="F4121">
        <v>4118</v>
      </c>
      <c r="G4121">
        <f t="shared" ca="1" si="133"/>
        <v>-3.2105637389646967E-2</v>
      </c>
    </row>
    <row r="4122" spans="2:7" x14ac:dyDescent="0.35">
      <c r="B4122" s="2">
        <v>44951</v>
      </c>
      <c r="C4122" s="4">
        <v>6597.2</v>
      </c>
      <c r="D4122">
        <f t="shared" si="132"/>
        <v>225.24142661179698</v>
      </c>
      <c r="E4122">
        <v>-1.5174246325861951E-2</v>
      </c>
      <c r="F4122">
        <v>4119</v>
      </c>
      <c r="G4122">
        <f t="shared" ca="1" si="133"/>
        <v>-5.0921265654154148E-2</v>
      </c>
    </row>
    <row r="4123" spans="2:7" x14ac:dyDescent="0.35">
      <c r="B4123" s="2">
        <v>37530</v>
      </c>
      <c r="C4123" s="4">
        <v>29.16</v>
      </c>
      <c r="D4123">
        <f t="shared" si="132"/>
        <v>-0.53103891926664515</v>
      </c>
      <c r="E4123">
        <v>-1.5197568389057725E-2</v>
      </c>
      <c r="F4123">
        <v>4120</v>
      </c>
      <c r="G4123">
        <f t="shared" ca="1" si="133"/>
        <v>-1.073485405548886E-2</v>
      </c>
    </row>
    <row r="4124" spans="2:7" x14ac:dyDescent="0.35">
      <c r="B4124" s="2">
        <v>38751</v>
      </c>
      <c r="C4124" s="4">
        <v>62.18</v>
      </c>
      <c r="D4124">
        <f t="shared" si="132"/>
        <v>1.4635499207606975</v>
      </c>
      <c r="E4124">
        <v>-1.5204307887234703E-2</v>
      </c>
      <c r="F4124">
        <v>4121</v>
      </c>
      <c r="G4124">
        <f t="shared" ca="1" si="133"/>
        <v>-1.4849329807951103E-2</v>
      </c>
    </row>
    <row r="4125" spans="2:7" x14ac:dyDescent="0.35">
      <c r="B4125" s="2">
        <v>37852</v>
      </c>
      <c r="C4125" s="4">
        <v>25.24</v>
      </c>
      <c r="D4125">
        <f t="shared" si="132"/>
        <v>-0.97376026613993139</v>
      </c>
      <c r="E4125">
        <v>-1.5216543113538816E-2</v>
      </c>
      <c r="F4125">
        <v>4122</v>
      </c>
      <c r="G4125">
        <f t="shared" ca="1" si="133"/>
        <v>-6.3438166731416964E-3</v>
      </c>
    </row>
    <row r="4126" spans="2:7" x14ac:dyDescent="0.35">
      <c r="B4126" s="2">
        <v>43451</v>
      </c>
      <c r="C4126" s="4">
        <v>961.9</v>
      </c>
      <c r="D4126">
        <f t="shared" si="132"/>
        <v>-0.77233567175059403</v>
      </c>
      <c r="E4126">
        <v>-1.5223645279850984E-2</v>
      </c>
      <c r="F4126">
        <v>4123</v>
      </c>
      <c r="G4126">
        <f t="shared" ca="1" si="133"/>
        <v>3.0259542668371893E-2</v>
      </c>
    </row>
    <row r="4127" spans="2:7" x14ac:dyDescent="0.35">
      <c r="B4127" s="2">
        <v>44384</v>
      </c>
      <c r="C4127" s="4">
        <v>4225.08</v>
      </c>
      <c r="D4127">
        <f t="shared" si="132"/>
        <v>4.495824553188168</v>
      </c>
      <c r="E4127">
        <v>-1.5224687674808779E-2</v>
      </c>
      <c r="F4127">
        <v>4124</v>
      </c>
      <c r="G4127">
        <f t="shared" ca="1" si="133"/>
        <v>-8.5676733084666078E-3</v>
      </c>
    </row>
    <row r="4128" spans="2:7" x14ac:dyDescent="0.35">
      <c r="B4128" s="2">
        <v>42976</v>
      </c>
      <c r="C4128" s="4">
        <v>768.78</v>
      </c>
      <c r="D4128">
        <f t="shared" si="132"/>
        <v>35.076020647583292</v>
      </c>
      <c r="E4128">
        <v>-1.5243121381359859E-2</v>
      </c>
      <c r="F4128">
        <v>4125</v>
      </c>
      <c r="G4128">
        <f t="shared" ca="1" si="133"/>
        <v>6.3919939173087095E-2</v>
      </c>
    </row>
    <row r="4129" spans="2:7" x14ac:dyDescent="0.35">
      <c r="B4129" s="2">
        <v>37764</v>
      </c>
      <c r="C4129" s="4">
        <v>21.31</v>
      </c>
      <c r="D4129">
        <f t="shared" si="132"/>
        <v>-0.99503309714711918</v>
      </c>
      <c r="E4129">
        <v>-1.5249537892791265E-2</v>
      </c>
      <c r="F4129">
        <v>4126</v>
      </c>
      <c r="G4129">
        <f t="shared" ca="1" si="133"/>
        <v>-7.6433771607239773E-3</v>
      </c>
    </row>
    <row r="4130" spans="2:7" x14ac:dyDescent="0.35">
      <c r="B4130" s="2">
        <v>44383</v>
      </c>
      <c r="C4130" s="4">
        <v>4290.3999999999996</v>
      </c>
      <c r="D4130">
        <f t="shared" si="132"/>
        <v>3.9638448277856835</v>
      </c>
      <c r="E4130">
        <v>-1.5254105020588216E-2</v>
      </c>
      <c r="F4130">
        <v>4127</v>
      </c>
      <c r="G4130">
        <f t="shared" ca="1" si="133"/>
        <v>-5.0562462112228677E-3</v>
      </c>
    </row>
    <row r="4131" spans="2:7" x14ac:dyDescent="0.35">
      <c r="B4131" s="2">
        <v>42423</v>
      </c>
      <c r="C4131" s="4">
        <v>864.33</v>
      </c>
      <c r="D4131">
        <f t="shared" si="132"/>
        <v>-3.2289485764188108E-2</v>
      </c>
      <c r="E4131">
        <v>-1.526665375457148E-2</v>
      </c>
      <c r="F4131">
        <v>4128</v>
      </c>
      <c r="G4131">
        <f t="shared" ca="1" si="133"/>
        <v>-1.1160607582272249E-2</v>
      </c>
    </row>
    <row r="4132" spans="2:7" x14ac:dyDescent="0.35">
      <c r="B4132" s="2">
        <v>42481</v>
      </c>
      <c r="C4132" s="4">
        <v>893.17</v>
      </c>
      <c r="D4132">
        <f t="shared" si="132"/>
        <v>12.210619730809052</v>
      </c>
      <c r="E4132">
        <v>-1.5269784569248768E-2</v>
      </c>
      <c r="F4132">
        <v>4129</v>
      </c>
      <c r="G4132">
        <f t="shared" ca="1" si="133"/>
        <v>-8.1007093378388396E-3</v>
      </c>
    </row>
    <row r="4133" spans="2:7" x14ac:dyDescent="0.35">
      <c r="B4133" s="2">
        <v>40094</v>
      </c>
      <c r="C4133" s="4">
        <v>67.61</v>
      </c>
      <c r="D4133">
        <f t="shared" si="132"/>
        <v>0.12965747702589803</v>
      </c>
      <c r="E4133">
        <v>-1.5292746868628027E-2</v>
      </c>
      <c r="F4133">
        <v>4130</v>
      </c>
      <c r="G4133">
        <f t="shared" ca="1" si="133"/>
        <v>-1.5928282322652261E-3</v>
      </c>
    </row>
    <row r="4134" spans="2:7" x14ac:dyDescent="0.35">
      <c r="B4134" s="2">
        <v>38505</v>
      </c>
      <c r="C4134" s="4">
        <v>59.85</v>
      </c>
      <c r="D4134">
        <f t="shared" si="132"/>
        <v>-0.46202247191011236</v>
      </c>
      <c r="E4134">
        <v>-1.5301085883514309E-2</v>
      </c>
      <c r="F4134">
        <v>4131</v>
      </c>
      <c r="G4134">
        <f t="shared" ca="1" si="133"/>
        <v>-3.1219516097771464E-2</v>
      </c>
    </row>
    <row r="4135" spans="2:7" x14ac:dyDescent="0.35">
      <c r="B4135" s="2">
        <v>39310</v>
      </c>
      <c r="C4135" s="4">
        <v>111.25</v>
      </c>
      <c r="D4135">
        <f t="shared" si="132"/>
        <v>-0.76126097126547787</v>
      </c>
      <c r="E4135">
        <v>-1.5312444680474435E-2</v>
      </c>
      <c r="F4135">
        <v>4132</v>
      </c>
      <c r="G4135">
        <f t="shared" ca="1" si="133"/>
        <v>2.7382437152305237E-3</v>
      </c>
    </row>
    <row r="4136" spans="2:7" x14ac:dyDescent="0.35">
      <c r="B4136" s="2">
        <v>42059</v>
      </c>
      <c r="C4136" s="4">
        <v>465.99</v>
      </c>
      <c r="D4136">
        <f t="shared" si="132"/>
        <v>5.0050257731958769</v>
      </c>
      <c r="E4136">
        <v>-1.5319922238187789E-2</v>
      </c>
      <c r="F4136">
        <v>4133</v>
      </c>
      <c r="G4136">
        <f t="shared" ca="1" si="133"/>
        <v>4.3721702906439081E-3</v>
      </c>
    </row>
    <row r="4137" spans="2:7" x14ac:dyDescent="0.35">
      <c r="B4137" s="2">
        <v>39618</v>
      </c>
      <c r="C4137" s="4">
        <v>77.599999999999994</v>
      </c>
      <c r="D4137">
        <f t="shared" si="132"/>
        <v>0.13152522601341499</v>
      </c>
      <c r="E4137">
        <v>-1.535338155056476E-2</v>
      </c>
      <c r="F4137">
        <v>4134</v>
      </c>
      <c r="G4137">
        <f t="shared" ca="1" si="133"/>
        <v>-2.5578753456972296E-2</v>
      </c>
    </row>
    <row r="4138" spans="2:7" x14ac:dyDescent="0.35">
      <c r="B4138" s="2">
        <v>38719</v>
      </c>
      <c r="C4138" s="4">
        <v>68.58</v>
      </c>
      <c r="D4138">
        <f t="shared" si="132"/>
        <v>-0.93874269789377784</v>
      </c>
      <c r="E4138">
        <v>-1.5362526920315922E-2</v>
      </c>
      <c r="F4138">
        <v>4135</v>
      </c>
      <c r="G4138">
        <f t="shared" ca="1" si="133"/>
        <v>-6.0118923228788944E-2</v>
      </c>
    </row>
    <row r="4139" spans="2:7" x14ac:dyDescent="0.35">
      <c r="B4139" s="2">
        <v>43217</v>
      </c>
      <c r="C4139" s="4">
        <v>1119.54</v>
      </c>
      <c r="D4139">
        <f t="shared" si="132"/>
        <v>40.60312151616499</v>
      </c>
      <c r="E4139">
        <v>-1.5364860467366181E-2</v>
      </c>
      <c r="F4139">
        <v>4136</v>
      </c>
      <c r="G4139">
        <f t="shared" ca="1" si="133"/>
        <v>-1.9809142300866334E-2</v>
      </c>
    </row>
    <row r="4140" spans="2:7" x14ac:dyDescent="0.35">
      <c r="B4140" s="2">
        <v>37642</v>
      </c>
      <c r="C4140" s="4">
        <v>26.91</v>
      </c>
      <c r="D4140">
        <f t="shared" si="132"/>
        <v>-0.44709266488596677</v>
      </c>
      <c r="E4140">
        <v>-1.5367727771679385E-2</v>
      </c>
      <c r="F4140">
        <v>4137</v>
      </c>
      <c r="G4140">
        <f t="shared" ca="1" si="133"/>
        <v>2.8144395610662884E-2</v>
      </c>
    </row>
    <row r="4141" spans="2:7" x14ac:dyDescent="0.35">
      <c r="B4141" s="2">
        <v>40004</v>
      </c>
      <c r="C4141" s="4">
        <v>48.67</v>
      </c>
      <c r="D4141">
        <f t="shared" si="132"/>
        <v>-0.99329734345089726</v>
      </c>
      <c r="E4141">
        <v>-1.537527817115103E-2</v>
      </c>
      <c r="F4141">
        <v>4138</v>
      </c>
      <c r="G4141">
        <f t="shared" ca="1" si="133"/>
        <v>1.6239207966184575E-2</v>
      </c>
    </row>
    <row r="4142" spans="2:7" x14ac:dyDescent="0.35">
      <c r="B4142" s="2">
        <v>44855</v>
      </c>
      <c r="C4142" s="4">
        <v>7261.3</v>
      </c>
      <c r="D4142">
        <f t="shared" si="132"/>
        <v>72.235501765002525</v>
      </c>
      <c r="E4142">
        <v>-1.5383572324485506E-2</v>
      </c>
      <c r="F4142">
        <v>4139</v>
      </c>
      <c r="G4142">
        <f t="shared" ca="1" si="133"/>
        <v>3.3544869128086664E-2</v>
      </c>
    </row>
    <row r="4143" spans="2:7" x14ac:dyDescent="0.35">
      <c r="B4143" s="2">
        <v>40681</v>
      </c>
      <c r="C4143" s="4">
        <v>99.15</v>
      </c>
      <c r="D4143">
        <f t="shared" si="132"/>
        <v>0.74222456510279411</v>
      </c>
      <c r="E4143">
        <v>-1.5392254220456758E-2</v>
      </c>
      <c r="F4143">
        <v>4140</v>
      </c>
      <c r="G4143">
        <f t="shared" ca="1" si="133"/>
        <v>3.2935665949586711E-2</v>
      </c>
    </row>
    <row r="4144" spans="2:7" x14ac:dyDescent="0.35">
      <c r="B4144" s="2">
        <v>38401</v>
      </c>
      <c r="C4144" s="4">
        <v>56.91</v>
      </c>
      <c r="D4144">
        <f t="shared" si="132"/>
        <v>-0.93203071815022276</v>
      </c>
      <c r="E4144">
        <v>-1.5397923875432484E-2</v>
      </c>
      <c r="F4144">
        <v>4141</v>
      </c>
      <c r="G4144">
        <f t="shared" ca="1" si="133"/>
        <v>-1.6386781515381046E-2</v>
      </c>
    </row>
    <row r="4145" spans="2:7" x14ac:dyDescent="0.35">
      <c r="B4145" s="2">
        <v>42286</v>
      </c>
      <c r="C4145" s="4">
        <v>837.29</v>
      </c>
      <c r="D4145">
        <f t="shared" si="132"/>
        <v>6.9901708178261277</v>
      </c>
      <c r="E4145">
        <v>-1.5404696668587348E-2</v>
      </c>
      <c r="F4145">
        <v>4142</v>
      </c>
      <c r="G4145">
        <f t="shared" ca="1" si="133"/>
        <v>4.0466758284845215E-2</v>
      </c>
    </row>
    <row r="4146" spans="2:7" x14ac:dyDescent="0.35">
      <c r="B4146" s="2">
        <v>40665</v>
      </c>
      <c r="C4146" s="4">
        <v>104.79</v>
      </c>
      <c r="D4146">
        <f t="shared" si="132"/>
        <v>0.49103585657370519</v>
      </c>
      <c r="E4146">
        <v>-1.5409189138400836E-2</v>
      </c>
      <c r="F4146">
        <v>4143</v>
      </c>
      <c r="G4146">
        <f t="shared" ca="1" si="133"/>
        <v>-3.9341128620978098E-2</v>
      </c>
    </row>
    <row r="4147" spans="2:7" x14ac:dyDescent="0.35">
      <c r="B4147" s="2">
        <v>38733</v>
      </c>
      <c r="C4147" s="4">
        <v>70.28</v>
      </c>
      <c r="D4147">
        <f t="shared" si="132"/>
        <v>-0.92239313596660744</v>
      </c>
      <c r="E4147">
        <v>-1.541047912580551E-2</v>
      </c>
      <c r="F4147">
        <v>4144</v>
      </c>
      <c r="G4147">
        <f t="shared" ca="1" si="133"/>
        <v>-1.0231394251154392E-2</v>
      </c>
    </row>
    <row r="4148" spans="2:7" x14ac:dyDescent="0.35">
      <c r="B4148" s="2">
        <v>43859</v>
      </c>
      <c r="C4148" s="4">
        <v>905.59</v>
      </c>
      <c r="D4148">
        <f t="shared" si="132"/>
        <v>7.2139682539682539</v>
      </c>
      <c r="E4148">
        <v>-1.5416897702686505E-2</v>
      </c>
      <c r="F4148">
        <v>4145</v>
      </c>
      <c r="G4148">
        <f t="shared" ca="1" si="133"/>
        <v>3.9396238704747746E-2</v>
      </c>
    </row>
    <row r="4149" spans="2:7" x14ac:dyDescent="0.35">
      <c r="B4149" s="2">
        <v>40358</v>
      </c>
      <c r="C4149" s="4">
        <v>110.25</v>
      </c>
      <c r="D4149">
        <f t="shared" si="132"/>
        <v>-0.85361093038386471</v>
      </c>
      <c r="E4149">
        <v>-1.5449187354884875E-2</v>
      </c>
      <c r="F4149">
        <v>4146</v>
      </c>
      <c r="G4149">
        <f t="shared" ca="1" si="133"/>
        <v>4.2510082359735413E-2</v>
      </c>
    </row>
    <row r="4150" spans="2:7" x14ac:dyDescent="0.35">
      <c r="B4150" s="2">
        <v>42598</v>
      </c>
      <c r="C4150" s="4">
        <v>753.13</v>
      </c>
      <c r="D4150">
        <f t="shared" si="132"/>
        <v>-0.88106063597097306</v>
      </c>
      <c r="E4150">
        <v>-1.5451990326165177E-2</v>
      </c>
      <c r="F4150">
        <v>4147</v>
      </c>
      <c r="G4150">
        <f t="shared" ca="1" si="133"/>
        <v>-2.4490215668044314E-2</v>
      </c>
    </row>
    <row r="4151" spans="2:7" x14ac:dyDescent="0.35">
      <c r="B4151" s="2">
        <v>44923</v>
      </c>
      <c r="C4151" s="4">
        <v>6332.05</v>
      </c>
      <c r="D4151">
        <f t="shared" si="132"/>
        <v>5.5917655631896732</v>
      </c>
      <c r="E4151">
        <v>-1.5485917299604246E-2</v>
      </c>
      <c r="F4151">
        <v>4148</v>
      </c>
      <c r="G4151">
        <f t="shared" ca="1" si="133"/>
        <v>-3.2202303292662424E-2</v>
      </c>
    </row>
    <row r="4152" spans="2:7" x14ac:dyDescent="0.35">
      <c r="B4152" s="2">
        <v>43886</v>
      </c>
      <c r="C4152" s="4">
        <v>960.6</v>
      </c>
      <c r="D4152">
        <f t="shared" si="132"/>
        <v>9.1137081490840171</v>
      </c>
      <c r="E4152">
        <v>-1.5526518063028405E-2</v>
      </c>
      <c r="F4152">
        <v>4149</v>
      </c>
      <c r="G4152">
        <f t="shared" ca="1" si="133"/>
        <v>2.5517833367703913E-2</v>
      </c>
    </row>
    <row r="4153" spans="2:7" x14ac:dyDescent="0.35">
      <c r="B4153" s="2">
        <v>41131</v>
      </c>
      <c r="C4153" s="4">
        <v>94.98</v>
      </c>
      <c r="D4153">
        <f t="shared" si="132"/>
        <v>0.47118959107806702</v>
      </c>
      <c r="E4153">
        <v>-1.5547263681592094E-2</v>
      </c>
      <c r="F4153">
        <v>4150</v>
      </c>
      <c r="G4153">
        <f t="shared" ca="1" si="133"/>
        <v>-5.8451052964304182E-2</v>
      </c>
    </row>
    <row r="4154" spans="2:7" x14ac:dyDescent="0.35">
      <c r="B4154" s="2">
        <v>38785</v>
      </c>
      <c r="C4154" s="4">
        <v>64.56</v>
      </c>
      <c r="D4154">
        <f t="shared" si="132"/>
        <v>0.70073761854583783</v>
      </c>
      <c r="E4154">
        <v>-1.5553522415370447E-2</v>
      </c>
      <c r="F4154">
        <v>4151</v>
      </c>
      <c r="G4154">
        <f t="shared" ca="1" si="133"/>
        <v>-2.0251101422115139E-2</v>
      </c>
    </row>
    <row r="4155" spans="2:7" x14ac:dyDescent="0.35">
      <c r="B4155" s="2">
        <v>38001</v>
      </c>
      <c r="C4155" s="4">
        <v>37.96</v>
      </c>
      <c r="D4155">
        <f t="shared" si="132"/>
        <v>-0.14253444770725099</v>
      </c>
      <c r="E4155">
        <v>-1.556016597510379E-2</v>
      </c>
      <c r="F4155">
        <v>4152</v>
      </c>
      <c r="G4155">
        <f t="shared" ca="1" si="133"/>
        <v>-1.3139294236000309E-2</v>
      </c>
    </row>
    <row r="4156" spans="2:7" x14ac:dyDescent="0.35">
      <c r="B4156" s="2">
        <v>39941</v>
      </c>
      <c r="C4156" s="4">
        <v>44.27</v>
      </c>
      <c r="D4156">
        <f t="shared" si="132"/>
        <v>0.12991322103113845</v>
      </c>
      <c r="E4156">
        <v>-1.5565932844118224E-2</v>
      </c>
      <c r="F4156">
        <v>4153</v>
      </c>
      <c r="G4156">
        <f t="shared" ca="1" si="133"/>
        <v>4.0905128697575108E-2</v>
      </c>
    </row>
    <row r="4157" spans="2:7" x14ac:dyDescent="0.35">
      <c r="B4157" s="2">
        <v>38203</v>
      </c>
      <c r="C4157" s="4">
        <v>39.18</v>
      </c>
      <c r="D4157">
        <f t="shared" si="132"/>
        <v>-0.6264302059496567</v>
      </c>
      <c r="E4157">
        <v>-1.5577889447236148E-2</v>
      </c>
      <c r="F4157">
        <v>4154</v>
      </c>
      <c r="G4157">
        <f t="shared" ca="1" si="133"/>
        <v>3.8376890413054275E-2</v>
      </c>
    </row>
    <row r="4158" spans="2:7" x14ac:dyDescent="0.35">
      <c r="B4158" s="2">
        <v>39121</v>
      </c>
      <c r="C4158" s="4">
        <v>104.88</v>
      </c>
      <c r="D4158">
        <f t="shared" si="132"/>
        <v>1.3235436189739991E-2</v>
      </c>
      <c r="E4158">
        <v>-1.5581002440398062E-2</v>
      </c>
      <c r="F4158">
        <v>4155</v>
      </c>
      <c r="G4158">
        <f t="shared" ca="1" si="133"/>
        <v>3.7019250557003204E-2</v>
      </c>
    </row>
    <row r="4159" spans="2:7" x14ac:dyDescent="0.35">
      <c r="B4159" s="2">
        <v>40745</v>
      </c>
      <c r="C4159" s="4">
        <v>103.51</v>
      </c>
      <c r="D4159">
        <f t="shared" si="132"/>
        <v>-0.79445988880063545</v>
      </c>
      <c r="E4159">
        <v>-1.5596766524013317E-2</v>
      </c>
      <c r="F4159">
        <v>4156</v>
      </c>
      <c r="G4159">
        <f t="shared" ca="1" si="133"/>
        <v>1.0818668151433846E-2</v>
      </c>
    </row>
    <row r="4160" spans="2:7" x14ac:dyDescent="0.35">
      <c r="B4160" s="2">
        <v>42136</v>
      </c>
      <c r="C4160" s="4">
        <v>503.6</v>
      </c>
      <c r="D4160">
        <f t="shared" si="132"/>
        <v>3.8172948153816719</v>
      </c>
      <c r="E4160">
        <v>-1.559873333593953E-2</v>
      </c>
      <c r="F4160">
        <v>4157</v>
      </c>
      <c r="G4160">
        <f t="shared" ca="1" si="133"/>
        <v>9.148641514632485E-3</v>
      </c>
    </row>
    <row r="4161" spans="2:7" x14ac:dyDescent="0.35">
      <c r="B4161" s="2">
        <v>39119</v>
      </c>
      <c r="C4161" s="4">
        <v>104.54</v>
      </c>
      <c r="D4161">
        <f t="shared" si="132"/>
        <v>7.7954217364404998E-2</v>
      </c>
      <c r="E4161">
        <v>-1.5630885122410509E-2</v>
      </c>
      <c r="F4161">
        <v>4158</v>
      </c>
      <c r="G4161">
        <f t="shared" ca="1" si="133"/>
        <v>3.2302734322486128E-2</v>
      </c>
    </row>
    <row r="4162" spans="2:7" x14ac:dyDescent="0.35">
      <c r="B4162" s="2">
        <v>41591</v>
      </c>
      <c r="C4162" s="4">
        <v>96.98</v>
      </c>
      <c r="D4162">
        <f t="shared" si="132"/>
        <v>-0.14381566169329918</v>
      </c>
      <c r="E4162">
        <v>-1.5631343889565441E-2</v>
      </c>
      <c r="F4162">
        <v>4159</v>
      </c>
      <c r="G4162">
        <f t="shared" ca="1" si="133"/>
        <v>3.279148253803682E-3</v>
      </c>
    </row>
    <row r="4163" spans="2:7" x14ac:dyDescent="0.35">
      <c r="B4163" s="2">
        <v>39223</v>
      </c>
      <c r="C4163" s="4">
        <v>113.27</v>
      </c>
      <c r="D4163">
        <f t="shared" si="132"/>
        <v>1.145671528698617</v>
      </c>
      <c r="E4163">
        <v>-1.5642652298600845E-2</v>
      </c>
      <c r="F4163">
        <v>4160</v>
      </c>
      <c r="G4163">
        <f t="shared" ca="1" si="133"/>
        <v>2.9981323193540424E-2</v>
      </c>
    </row>
    <row r="4164" spans="2:7" x14ac:dyDescent="0.35">
      <c r="B4164" s="2">
        <v>38266</v>
      </c>
      <c r="C4164" s="4">
        <v>52.79</v>
      </c>
      <c r="D4164">
        <f t="shared" ref="D4164:D4227" si="134">C4164/C4165-1</f>
        <v>-0.46132653061224493</v>
      </c>
      <c r="E4164">
        <v>-1.5662875256386433E-2</v>
      </c>
      <c r="F4164">
        <v>4161</v>
      </c>
      <c r="G4164">
        <f t="shared" ca="1" si="133"/>
        <v>1.1160333899930288E-2</v>
      </c>
    </row>
    <row r="4165" spans="2:7" x14ac:dyDescent="0.35">
      <c r="B4165" s="2">
        <v>40617</v>
      </c>
      <c r="C4165" s="4">
        <v>98</v>
      </c>
      <c r="D4165">
        <f t="shared" si="134"/>
        <v>-0.87015912132172712</v>
      </c>
      <c r="E4165">
        <v>-1.5668943350743314E-2</v>
      </c>
      <c r="F4165">
        <v>4162</v>
      </c>
      <c r="G4165">
        <f t="shared" ref="G4165:G4228" ca="1" si="135">_xlfn.NORM.INV(RAND(),K$6,K$7)</f>
        <v>-3.9529563475961545E-2</v>
      </c>
    </row>
    <row r="4166" spans="2:7" x14ac:dyDescent="0.35">
      <c r="B4166" s="2">
        <v>42969</v>
      </c>
      <c r="C4166" s="4">
        <v>754.77</v>
      </c>
      <c r="D4166">
        <f t="shared" si="134"/>
        <v>-0.90139087764039427</v>
      </c>
      <c r="E4166">
        <v>-1.5701412344648613E-2</v>
      </c>
      <c r="F4166">
        <v>4163</v>
      </c>
      <c r="G4166">
        <f t="shared" ca="1" si="135"/>
        <v>1.6386956942672504E-4</v>
      </c>
    </row>
    <row r="4167" spans="2:7" x14ac:dyDescent="0.35">
      <c r="B4167" s="2">
        <v>44670</v>
      </c>
      <c r="C4167" s="4">
        <v>7654.16</v>
      </c>
      <c r="D4167">
        <f t="shared" si="134"/>
        <v>11.303943159349933</v>
      </c>
      <c r="E4167">
        <v>-1.5711761574211058E-2</v>
      </c>
      <c r="F4167">
        <v>4164</v>
      </c>
      <c r="G4167">
        <f t="shared" ca="1" si="135"/>
        <v>-8.7117864558823033E-2</v>
      </c>
    </row>
    <row r="4168" spans="2:7" x14ac:dyDescent="0.35">
      <c r="B4168" s="2">
        <v>42650</v>
      </c>
      <c r="C4168" s="4">
        <v>622.09</v>
      </c>
      <c r="D4168">
        <f t="shared" si="134"/>
        <v>10.188669064748202</v>
      </c>
      <c r="E4168">
        <v>-1.5727101561634593E-2</v>
      </c>
      <c r="F4168">
        <v>4165</v>
      </c>
      <c r="G4168">
        <f t="shared" ca="1" si="135"/>
        <v>5.7802520134922781E-3</v>
      </c>
    </row>
    <row r="4169" spans="2:7" x14ac:dyDescent="0.35">
      <c r="B4169" s="2">
        <v>38880</v>
      </c>
      <c r="C4169" s="4">
        <v>55.6</v>
      </c>
      <c r="D4169">
        <f t="shared" si="134"/>
        <v>-0.4653332051158765</v>
      </c>
      <c r="E4169">
        <v>-1.5755000885112391E-2</v>
      </c>
      <c r="F4169">
        <v>4166</v>
      </c>
      <c r="G4169">
        <f t="shared" ca="1" si="135"/>
        <v>3.6593976357710868E-2</v>
      </c>
    </row>
    <row r="4170" spans="2:7" x14ac:dyDescent="0.35">
      <c r="B4170" s="2">
        <v>40234</v>
      </c>
      <c r="C4170" s="4">
        <v>103.99</v>
      </c>
      <c r="D4170">
        <f t="shared" si="134"/>
        <v>-0.98506540974259771</v>
      </c>
      <c r="E4170">
        <v>-1.5805413590762818E-2</v>
      </c>
      <c r="F4170">
        <v>4167</v>
      </c>
      <c r="G4170">
        <f t="shared" ca="1" si="135"/>
        <v>2.5466833714570831E-2</v>
      </c>
    </row>
    <row r="4171" spans="2:7" x14ac:dyDescent="0.35">
      <c r="B4171" s="2">
        <v>44608</v>
      </c>
      <c r="C4171" s="4">
        <v>6963.03</v>
      </c>
      <c r="D4171">
        <f t="shared" si="134"/>
        <v>44.9</v>
      </c>
      <c r="E4171">
        <v>-1.5827539466375384E-2</v>
      </c>
      <c r="F4171">
        <v>4168</v>
      </c>
      <c r="G4171">
        <f t="shared" ca="1" si="135"/>
        <v>-1.3245843906955986E-2</v>
      </c>
    </row>
    <row r="4172" spans="2:7" x14ac:dyDescent="0.35">
      <c r="B4172" s="2">
        <v>41625</v>
      </c>
      <c r="C4172" s="4">
        <v>151.69999999999999</v>
      </c>
      <c r="D4172">
        <f t="shared" si="134"/>
        <v>0.78135274776890551</v>
      </c>
      <c r="E4172">
        <v>-1.5829765148566266E-2</v>
      </c>
      <c r="F4172">
        <v>4169</v>
      </c>
      <c r="G4172">
        <f t="shared" ca="1" si="135"/>
        <v>-1.2287728608955623E-2</v>
      </c>
    </row>
    <row r="4173" spans="2:7" x14ac:dyDescent="0.35">
      <c r="B4173" s="2">
        <v>40815</v>
      </c>
      <c r="C4173" s="4">
        <v>85.16</v>
      </c>
      <c r="D4173">
        <f t="shared" si="134"/>
        <v>-0.89087647360328037</v>
      </c>
      <c r="E4173">
        <v>-1.5832659193343424E-2</v>
      </c>
      <c r="F4173">
        <v>4170</v>
      </c>
      <c r="G4173">
        <f t="shared" ca="1" si="135"/>
        <v>6.8498915852102556E-3</v>
      </c>
    </row>
    <row r="4174" spans="2:7" x14ac:dyDescent="0.35">
      <c r="B4174" s="2">
        <v>42389</v>
      </c>
      <c r="C4174" s="4">
        <v>780.4</v>
      </c>
      <c r="D4174">
        <f t="shared" si="134"/>
        <v>8.3126491646778042</v>
      </c>
      <c r="E4174">
        <v>-1.5851797672043144E-2</v>
      </c>
      <c r="F4174">
        <v>4171</v>
      </c>
      <c r="G4174">
        <f t="shared" ca="1" si="135"/>
        <v>-2.1156123715071206E-2</v>
      </c>
    </row>
    <row r="4175" spans="2:7" x14ac:dyDescent="0.35">
      <c r="B4175" s="2">
        <v>41544</v>
      </c>
      <c r="C4175" s="4">
        <v>83.8</v>
      </c>
      <c r="D4175">
        <f t="shared" si="134"/>
        <v>-0.87752835262480999</v>
      </c>
      <c r="E4175">
        <v>-1.5854374633000656E-2</v>
      </c>
      <c r="F4175">
        <v>4172</v>
      </c>
      <c r="G4175">
        <f t="shared" ca="1" si="135"/>
        <v>-2.2594562882901788E-2</v>
      </c>
    </row>
    <row r="4176" spans="2:7" x14ac:dyDescent="0.35">
      <c r="B4176" s="2">
        <v>42816</v>
      </c>
      <c r="C4176" s="4">
        <v>684.24</v>
      </c>
      <c r="D4176">
        <f t="shared" si="134"/>
        <v>-0.25317616240995422</v>
      </c>
      <c r="E4176">
        <v>-1.5864340472046767E-2</v>
      </c>
      <c r="F4176">
        <v>4173</v>
      </c>
      <c r="G4176">
        <f t="shared" ca="1" si="135"/>
        <v>2.0166184404162443E-2</v>
      </c>
    </row>
    <row r="4177" spans="2:7" x14ac:dyDescent="0.35">
      <c r="B4177" s="2">
        <v>43425</v>
      </c>
      <c r="C4177" s="4">
        <v>916.2</v>
      </c>
      <c r="D4177">
        <f t="shared" si="134"/>
        <v>0.15087490107902379</v>
      </c>
      <c r="E4177">
        <v>-1.5875743839824707E-2</v>
      </c>
      <c r="F4177">
        <v>4174</v>
      </c>
      <c r="G4177">
        <f t="shared" ca="1" si="135"/>
        <v>7.2378434669475231E-3</v>
      </c>
    </row>
    <row r="4178" spans="2:7" x14ac:dyDescent="0.35">
      <c r="B4178" s="2">
        <v>42556</v>
      </c>
      <c r="C4178" s="4">
        <v>796.09</v>
      </c>
      <c r="D4178">
        <f t="shared" si="134"/>
        <v>23.337817181290127</v>
      </c>
      <c r="E4178">
        <v>-1.5909315664557E-2</v>
      </c>
      <c r="F4178">
        <v>4175</v>
      </c>
      <c r="G4178">
        <f t="shared" ca="1" si="135"/>
        <v>5.7176529017307402E-2</v>
      </c>
    </row>
    <row r="4179" spans="2:7" x14ac:dyDescent="0.35">
      <c r="B4179" s="2">
        <v>38034</v>
      </c>
      <c r="C4179" s="4">
        <v>32.71</v>
      </c>
      <c r="D4179">
        <f t="shared" si="134"/>
        <v>-0.95999364007729748</v>
      </c>
      <c r="E4179">
        <v>-1.5944645006016889E-2</v>
      </c>
      <c r="F4179">
        <v>4176</v>
      </c>
      <c r="G4179">
        <f t="shared" ca="1" si="135"/>
        <v>-1.871077768563921E-2</v>
      </c>
    </row>
    <row r="4180" spans="2:7" x14ac:dyDescent="0.35">
      <c r="B4180" s="2">
        <v>43823</v>
      </c>
      <c r="C4180" s="4">
        <v>817.62</v>
      </c>
      <c r="D4180">
        <f t="shared" si="134"/>
        <v>7.2813734427225771</v>
      </c>
      <c r="E4180">
        <v>-1.5947139745086436E-2</v>
      </c>
      <c r="F4180">
        <v>4177</v>
      </c>
      <c r="G4180">
        <f t="shared" ca="1" si="135"/>
        <v>-4.5231322131285862E-2</v>
      </c>
    </row>
    <row r="4181" spans="2:7" x14ac:dyDescent="0.35">
      <c r="B4181" s="2">
        <v>41264</v>
      </c>
      <c r="C4181" s="4">
        <v>98.73</v>
      </c>
      <c r="D4181">
        <f t="shared" si="134"/>
        <v>-6.4170616113744083E-2</v>
      </c>
      <c r="E4181">
        <v>-1.5947373666899134E-2</v>
      </c>
      <c r="F4181">
        <v>4178</v>
      </c>
      <c r="G4181">
        <f t="shared" ca="1" si="135"/>
        <v>-4.0646355869466246E-3</v>
      </c>
    </row>
    <row r="4182" spans="2:7" x14ac:dyDescent="0.35">
      <c r="B4182" s="2">
        <v>40732</v>
      </c>
      <c r="C4182" s="4">
        <v>105.5</v>
      </c>
      <c r="D4182">
        <f t="shared" si="134"/>
        <v>-0.88550529605834349</v>
      </c>
      <c r="E4182">
        <v>-1.5950004663743966E-2</v>
      </c>
      <c r="F4182">
        <v>4179</v>
      </c>
      <c r="G4182">
        <f t="shared" ca="1" si="135"/>
        <v>-2.0485443063960026E-3</v>
      </c>
    </row>
    <row r="4183" spans="2:7" x14ac:dyDescent="0.35">
      <c r="B4183" s="2">
        <v>43150</v>
      </c>
      <c r="C4183" s="4">
        <v>921.44</v>
      </c>
      <c r="D4183">
        <f t="shared" si="134"/>
        <v>9.4483501530785805</v>
      </c>
      <c r="E4183">
        <v>-1.5955060979516822E-2</v>
      </c>
      <c r="F4183">
        <v>4180</v>
      </c>
      <c r="G4183">
        <f t="shared" ca="1" si="135"/>
        <v>1.3977906443405181E-2</v>
      </c>
    </row>
    <row r="4184" spans="2:7" x14ac:dyDescent="0.35">
      <c r="B4184" s="2">
        <v>41071</v>
      </c>
      <c r="C4184" s="4">
        <v>88.19</v>
      </c>
      <c r="D4184">
        <f t="shared" si="134"/>
        <v>-0.85338564612392143</v>
      </c>
      <c r="E4184">
        <v>-1.5956259763445724E-2</v>
      </c>
      <c r="F4184">
        <v>4181</v>
      </c>
      <c r="G4184">
        <f t="shared" ca="1" si="135"/>
        <v>-5.5242449146678156E-3</v>
      </c>
    </row>
    <row r="4185" spans="2:7" x14ac:dyDescent="0.35">
      <c r="B4185" s="2">
        <v>43697</v>
      </c>
      <c r="C4185" s="4">
        <v>601.51</v>
      </c>
      <c r="D4185">
        <f t="shared" si="134"/>
        <v>7.7276552524666275</v>
      </c>
      <c r="E4185">
        <v>-1.5966757733898218E-2</v>
      </c>
      <c r="F4185">
        <v>4182</v>
      </c>
      <c r="G4185">
        <f t="shared" ca="1" si="135"/>
        <v>-5.6242980450422761E-3</v>
      </c>
    </row>
    <row r="4186" spans="2:7" x14ac:dyDescent="0.35">
      <c r="B4186" s="2">
        <v>40091</v>
      </c>
      <c r="C4186" s="4">
        <v>68.92</v>
      </c>
      <c r="D4186">
        <f t="shared" si="134"/>
        <v>-0.91189855294779365</v>
      </c>
      <c r="E4186">
        <v>-1.5990862364363312E-2</v>
      </c>
      <c r="F4186">
        <v>4183</v>
      </c>
      <c r="G4186">
        <f t="shared" ca="1" si="135"/>
        <v>1.3457297490510721E-2</v>
      </c>
    </row>
    <row r="4187" spans="2:7" x14ac:dyDescent="0.35">
      <c r="B4187" s="2">
        <v>42216</v>
      </c>
      <c r="C4187" s="4">
        <v>782.28</v>
      </c>
      <c r="D4187">
        <f t="shared" si="134"/>
        <v>12.989270386266094</v>
      </c>
      <c r="E4187">
        <v>-1.6012377202802464E-2</v>
      </c>
      <c r="F4187">
        <v>4184</v>
      </c>
      <c r="G4187">
        <f t="shared" ca="1" si="135"/>
        <v>-2.8039667554204104E-2</v>
      </c>
    </row>
    <row r="4188" spans="2:7" x14ac:dyDescent="0.35">
      <c r="B4188" s="2">
        <v>38405</v>
      </c>
      <c r="C4188" s="4">
        <v>55.92</v>
      </c>
      <c r="D4188">
        <f t="shared" si="134"/>
        <v>-0.41266673668732268</v>
      </c>
      <c r="E4188">
        <v>-1.6012669364772081E-2</v>
      </c>
      <c r="F4188">
        <v>4185</v>
      </c>
      <c r="G4188">
        <f t="shared" ca="1" si="135"/>
        <v>-1.5252134805865514E-2</v>
      </c>
    </row>
    <row r="4189" spans="2:7" x14ac:dyDescent="0.35">
      <c r="B4189" s="2">
        <v>40850</v>
      </c>
      <c r="C4189" s="4">
        <v>95.21</v>
      </c>
      <c r="D4189">
        <f t="shared" si="134"/>
        <v>1.9250384024577571</v>
      </c>
      <c r="E4189">
        <v>-1.6019016122364782E-2</v>
      </c>
      <c r="F4189">
        <v>4186</v>
      </c>
      <c r="G4189">
        <f t="shared" ca="1" si="135"/>
        <v>-3.1322604273053112E-2</v>
      </c>
    </row>
    <row r="4190" spans="2:7" x14ac:dyDescent="0.35">
      <c r="B4190" s="2">
        <v>38015</v>
      </c>
      <c r="C4190" s="4">
        <v>32.549999999999997</v>
      </c>
      <c r="D4190">
        <f t="shared" si="134"/>
        <v>-0.96154300567107753</v>
      </c>
      <c r="E4190">
        <v>-1.6021765417170486E-2</v>
      </c>
      <c r="F4190">
        <v>4187</v>
      </c>
      <c r="G4190">
        <f t="shared" ca="1" si="135"/>
        <v>1.7620314305190687E-2</v>
      </c>
    </row>
    <row r="4191" spans="2:7" x14ac:dyDescent="0.35">
      <c r="B4191" s="2">
        <v>42510</v>
      </c>
      <c r="C4191" s="4">
        <v>846.4</v>
      </c>
      <c r="D4191">
        <f t="shared" si="134"/>
        <v>32.667462211614954</v>
      </c>
      <c r="E4191">
        <v>-1.6042780748663166E-2</v>
      </c>
      <c r="F4191">
        <v>4188</v>
      </c>
      <c r="G4191">
        <f t="shared" ca="1" si="135"/>
        <v>4.1088333774857322E-2</v>
      </c>
    </row>
    <row r="4192" spans="2:7" x14ac:dyDescent="0.35">
      <c r="B4192" s="2">
        <v>37656</v>
      </c>
      <c r="C4192" s="4">
        <v>25.14</v>
      </c>
      <c r="D4192">
        <f t="shared" si="134"/>
        <v>-0.62722419928825623</v>
      </c>
      <c r="E4192">
        <v>-1.6046966731898205E-2</v>
      </c>
      <c r="F4192">
        <v>4189</v>
      </c>
      <c r="G4192">
        <f t="shared" ca="1" si="135"/>
        <v>-4.3021043094227315E-2</v>
      </c>
    </row>
    <row r="4193" spans="2:7" x14ac:dyDescent="0.35">
      <c r="B4193" s="2">
        <v>38639</v>
      </c>
      <c r="C4193" s="4">
        <v>67.44</v>
      </c>
      <c r="D4193">
        <f t="shared" si="134"/>
        <v>-0.26174055829228238</v>
      </c>
      <c r="E4193">
        <v>-1.6049022468631602E-2</v>
      </c>
      <c r="F4193">
        <v>4190</v>
      </c>
      <c r="G4193">
        <f t="shared" ca="1" si="135"/>
        <v>1.5353711334400583E-2</v>
      </c>
    </row>
    <row r="4194" spans="2:7" x14ac:dyDescent="0.35">
      <c r="B4194" s="2">
        <v>41313</v>
      </c>
      <c r="C4194" s="4">
        <v>91.35</v>
      </c>
      <c r="D4194">
        <f t="shared" si="134"/>
        <v>3.2587412587412583</v>
      </c>
      <c r="E4194">
        <v>-1.6049116760017301E-2</v>
      </c>
      <c r="F4194">
        <v>4191</v>
      </c>
      <c r="G4194">
        <f t="shared" ca="1" si="135"/>
        <v>-3.5702790610778433E-2</v>
      </c>
    </row>
    <row r="4195" spans="2:7" x14ac:dyDescent="0.35">
      <c r="B4195" s="2">
        <v>37770</v>
      </c>
      <c r="C4195" s="4">
        <v>21.45</v>
      </c>
      <c r="D4195">
        <f t="shared" si="134"/>
        <v>-0.90919097413318661</v>
      </c>
      <c r="E4195">
        <v>-1.6055045871559703E-2</v>
      </c>
      <c r="F4195">
        <v>4192</v>
      </c>
      <c r="G4195">
        <f t="shared" ca="1" si="135"/>
        <v>9.3860382168585912E-3</v>
      </c>
    </row>
    <row r="4196" spans="2:7" x14ac:dyDescent="0.35">
      <c r="B4196" s="2">
        <v>41766</v>
      </c>
      <c r="C4196" s="4">
        <v>236.21</v>
      </c>
      <c r="D4196">
        <f t="shared" si="134"/>
        <v>-0.81348799014576056</v>
      </c>
      <c r="E4196">
        <v>-1.6078643728912323E-2</v>
      </c>
      <c r="F4196">
        <v>4193</v>
      </c>
      <c r="G4196">
        <f t="shared" ca="1" si="135"/>
        <v>-1.9113373419931187E-2</v>
      </c>
    </row>
    <row r="4197" spans="2:7" x14ac:dyDescent="0.35">
      <c r="B4197" s="2">
        <v>44103</v>
      </c>
      <c r="C4197" s="4">
        <v>1266.46</v>
      </c>
      <c r="D4197">
        <f t="shared" si="134"/>
        <v>-0.70058702400344219</v>
      </c>
      <c r="E4197">
        <v>-1.6089560819472215E-2</v>
      </c>
      <c r="F4197">
        <v>4194</v>
      </c>
      <c r="G4197">
        <f t="shared" ca="1" si="135"/>
        <v>4.3627659587593112E-2</v>
      </c>
    </row>
    <row r="4198" spans="2:7" x14ac:dyDescent="0.35">
      <c r="B4198" s="2">
        <v>44412</v>
      </c>
      <c r="C4198" s="4">
        <v>4229.8100000000004</v>
      </c>
      <c r="D4198">
        <f t="shared" si="134"/>
        <v>7.1088319306788339</v>
      </c>
      <c r="E4198">
        <v>-1.6094440567573809E-2</v>
      </c>
      <c r="F4198">
        <v>4195</v>
      </c>
      <c r="G4198">
        <f t="shared" ca="1" si="135"/>
        <v>-8.9493442004473456E-2</v>
      </c>
    </row>
    <row r="4199" spans="2:7" x14ac:dyDescent="0.35">
      <c r="B4199" s="2">
        <v>42094</v>
      </c>
      <c r="C4199" s="4">
        <v>521.63</v>
      </c>
      <c r="D4199">
        <f t="shared" si="134"/>
        <v>0.48850017121333189</v>
      </c>
      <c r="E4199">
        <v>-1.6108040817096381E-2</v>
      </c>
      <c r="F4199">
        <v>4196</v>
      </c>
      <c r="G4199">
        <f t="shared" ca="1" si="135"/>
        <v>1.2025839265117879E-2</v>
      </c>
    </row>
    <row r="4200" spans="2:7" x14ac:dyDescent="0.35">
      <c r="B4200" s="2">
        <v>42040</v>
      </c>
      <c r="C4200" s="4">
        <v>350.44</v>
      </c>
      <c r="D4200">
        <f t="shared" si="134"/>
        <v>1.7216526871699287</v>
      </c>
      <c r="E4200">
        <v>-1.6115447245774628E-2</v>
      </c>
      <c r="F4200">
        <v>4197</v>
      </c>
      <c r="G4200">
        <f t="shared" ca="1" si="135"/>
        <v>1.5189194327460049E-3</v>
      </c>
    </row>
    <row r="4201" spans="2:7" x14ac:dyDescent="0.35">
      <c r="B4201" s="2">
        <v>40262</v>
      </c>
      <c r="C4201" s="4">
        <v>128.76</v>
      </c>
      <c r="D4201">
        <f t="shared" si="134"/>
        <v>0.19899431976906601</v>
      </c>
      <c r="E4201">
        <v>-1.612287002368773E-2</v>
      </c>
      <c r="F4201">
        <v>4198</v>
      </c>
      <c r="G4201">
        <f t="shared" ca="1" si="135"/>
        <v>3.6738714713604832E-3</v>
      </c>
    </row>
    <row r="4202" spans="2:7" x14ac:dyDescent="0.35">
      <c r="B4202" s="2">
        <v>39114</v>
      </c>
      <c r="C4202" s="4">
        <v>107.39</v>
      </c>
      <c r="D4202">
        <f t="shared" si="134"/>
        <v>1.0966419367434597</v>
      </c>
      <c r="E4202">
        <v>-1.612459917544673E-2</v>
      </c>
      <c r="F4202">
        <v>4199</v>
      </c>
      <c r="G4202">
        <f t="shared" ca="1" si="135"/>
        <v>1.0515147305145609E-2</v>
      </c>
    </row>
    <row r="4203" spans="2:7" x14ac:dyDescent="0.35">
      <c r="B4203" s="2">
        <v>38313</v>
      </c>
      <c r="C4203" s="4">
        <v>51.22</v>
      </c>
      <c r="D4203">
        <f t="shared" si="134"/>
        <v>-0.50938697318007664</v>
      </c>
      <c r="E4203">
        <v>-1.6135228582405015E-2</v>
      </c>
      <c r="F4203">
        <v>4200</v>
      </c>
      <c r="G4203">
        <f t="shared" ca="1" si="135"/>
        <v>1.1766289328446354E-2</v>
      </c>
    </row>
    <row r="4204" spans="2:7" x14ac:dyDescent="0.35">
      <c r="B4204" s="2">
        <v>40434</v>
      </c>
      <c r="C4204" s="4">
        <v>104.4</v>
      </c>
      <c r="D4204">
        <f t="shared" si="134"/>
        <v>8.2538365823309867E-2</v>
      </c>
      <c r="E4204">
        <v>-1.62080663399925E-2</v>
      </c>
      <c r="F4204">
        <v>4201</v>
      </c>
      <c r="G4204">
        <f t="shared" ca="1" si="135"/>
        <v>-3.4497617569751594E-2</v>
      </c>
    </row>
    <row r="4205" spans="2:7" x14ac:dyDescent="0.35">
      <c r="B4205" s="2">
        <v>39457</v>
      </c>
      <c r="C4205" s="4">
        <v>96.44</v>
      </c>
      <c r="D4205">
        <f t="shared" si="134"/>
        <v>-0.87583205654765739</v>
      </c>
      <c r="E4205">
        <v>-1.621952463531573E-2</v>
      </c>
      <c r="F4205">
        <v>4202</v>
      </c>
      <c r="G4205">
        <f t="shared" ca="1" si="135"/>
        <v>-1.991955367958767E-2</v>
      </c>
    </row>
    <row r="4206" spans="2:7" x14ac:dyDescent="0.35">
      <c r="B4206" s="2">
        <v>43790</v>
      </c>
      <c r="C4206" s="4">
        <v>776.69</v>
      </c>
      <c r="D4206">
        <f t="shared" si="134"/>
        <v>-1.5302500126781249E-2</v>
      </c>
      <c r="E4206">
        <v>-1.6225459151361532E-2</v>
      </c>
      <c r="F4206">
        <v>4203</v>
      </c>
      <c r="G4206">
        <f t="shared" ca="1" si="135"/>
        <v>-4.6477919326341793E-2</v>
      </c>
    </row>
    <row r="4207" spans="2:7" x14ac:dyDescent="0.35">
      <c r="B4207" s="2">
        <v>42956</v>
      </c>
      <c r="C4207" s="4">
        <v>788.76</v>
      </c>
      <c r="D4207">
        <f t="shared" si="134"/>
        <v>2.0764070361558566</v>
      </c>
      <c r="E4207">
        <v>-1.6251138078549165E-2</v>
      </c>
      <c r="F4207">
        <v>4204</v>
      </c>
      <c r="G4207">
        <f t="shared" ca="1" si="135"/>
        <v>-6.0403085078809043E-3</v>
      </c>
    </row>
    <row r="4208" spans="2:7" x14ac:dyDescent="0.35">
      <c r="B4208" s="2">
        <v>41717</v>
      </c>
      <c r="C4208" s="4">
        <v>256.39</v>
      </c>
      <c r="D4208">
        <f t="shared" si="134"/>
        <v>-0.57551324503311263</v>
      </c>
      <c r="E4208">
        <v>-1.6268273030733305E-2</v>
      </c>
      <c r="F4208">
        <v>4205</v>
      </c>
      <c r="G4208">
        <f t="shared" ca="1" si="135"/>
        <v>-5.7007882448855871E-4</v>
      </c>
    </row>
    <row r="4209" spans="2:7" x14ac:dyDescent="0.35">
      <c r="B4209" s="2">
        <v>42103</v>
      </c>
      <c r="C4209" s="4">
        <v>604</v>
      </c>
      <c r="D4209">
        <f t="shared" si="134"/>
        <v>-0.79633950608958359</v>
      </c>
      <c r="E4209">
        <v>-1.6270623300053799E-2</v>
      </c>
      <c r="F4209">
        <v>4206</v>
      </c>
      <c r="G4209">
        <f t="shared" ca="1" si="135"/>
        <v>-1.5458765871280762E-2</v>
      </c>
    </row>
    <row r="4210" spans="2:7" x14ac:dyDescent="0.35">
      <c r="B4210" s="2">
        <v>44306</v>
      </c>
      <c r="C4210" s="4">
        <v>2965.72</v>
      </c>
      <c r="D4210">
        <f t="shared" si="134"/>
        <v>3.8861868986424142</v>
      </c>
      <c r="E4210">
        <v>-1.6299264310780659E-2</v>
      </c>
      <c r="F4210">
        <v>4207</v>
      </c>
      <c r="G4210">
        <f t="shared" ca="1" si="135"/>
        <v>-4.8136932231776203E-2</v>
      </c>
    </row>
    <row r="4211" spans="2:7" x14ac:dyDescent="0.35">
      <c r="B4211" s="2">
        <v>42885</v>
      </c>
      <c r="C4211" s="4">
        <v>606.96</v>
      </c>
      <c r="D4211">
        <f t="shared" si="134"/>
        <v>8.8676637945049599</v>
      </c>
      <c r="E4211">
        <v>-1.630417166380338E-2</v>
      </c>
      <c r="F4211">
        <v>4208</v>
      </c>
      <c r="G4211">
        <f t="shared" ca="1" si="135"/>
        <v>-1.3373816823162889E-2</v>
      </c>
    </row>
    <row r="4212" spans="2:7" x14ac:dyDescent="0.35">
      <c r="B4212" s="2">
        <v>39674</v>
      </c>
      <c r="C4212" s="4">
        <v>61.51</v>
      </c>
      <c r="D4212">
        <f t="shared" si="134"/>
        <v>1.3211320754716982</v>
      </c>
      <c r="E4212">
        <v>-1.6312170158324091E-2</v>
      </c>
      <c r="F4212">
        <v>4209</v>
      </c>
      <c r="G4212">
        <f t="shared" ca="1" si="135"/>
        <v>1.6481532777791175E-2</v>
      </c>
    </row>
    <row r="4213" spans="2:7" x14ac:dyDescent="0.35">
      <c r="B4213" s="2">
        <v>37805</v>
      </c>
      <c r="C4213" s="4">
        <v>26.5</v>
      </c>
      <c r="D4213">
        <f t="shared" si="134"/>
        <v>-0.90408628614861197</v>
      </c>
      <c r="E4213">
        <v>-1.6332590942836012E-2</v>
      </c>
      <c r="F4213">
        <v>4210</v>
      </c>
      <c r="G4213">
        <f t="shared" ca="1" si="135"/>
        <v>6.3843757314232932E-2</v>
      </c>
    </row>
    <row r="4214" spans="2:7" x14ac:dyDescent="0.35">
      <c r="B4214" s="2">
        <v>41971</v>
      </c>
      <c r="C4214" s="4">
        <v>276.29000000000002</v>
      </c>
      <c r="D4214">
        <f t="shared" si="134"/>
        <v>1.6876459143968874</v>
      </c>
      <c r="E4214">
        <v>-1.6341498148675471E-2</v>
      </c>
      <c r="F4214">
        <v>4211</v>
      </c>
      <c r="G4214">
        <f t="shared" ca="1" si="135"/>
        <v>-1.0770194577560831E-2</v>
      </c>
    </row>
    <row r="4215" spans="2:7" x14ac:dyDescent="0.35">
      <c r="B4215" s="2">
        <v>41281</v>
      </c>
      <c r="C4215" s="4">
        <v>102.8</v>
      </c>
      <c r="D4215">
        <f t="shared" si="134"/>
        <v>-0.9877896977356303</v>
      </c>
      <c r="E4215">
        <v>-1.6362070615252189E-2</v>
      </c>
      <c r="F4215">
        <v>4212</v>
      </c>
      <c r="G4215">
        <f t="shared" ca="1" si="135"/>
        <v>1.8455558677605389E-2</v>
      </c>
    </row>
    <row r="4216" spans="2:7" x14ac:dyDescent="0.35">
      <c r="B4216" s="2">
        <v>44725</v>
      </c>
      <c r="C4216" s="4">
        <v>8419.1200000000008</v>
      </c>
      <c r="D4216">
        <f t="shared" si="134"/>
        <v>-3.2670877247810148E-2</v>
      </c>
      <c r="E4216">
        <v>-1.6377507506454836E-2</v>
      </c>
      <c r="F4216">
        <v>4213</v>
      </c>
      <c r="G4216">
        <f t="shared" ca="1" si="135"/>
        <v>-2.0478335956058642E-2</v>
      </c>
    </row>
    <row r="4217" spans="2:7" x14ac:dyDescent="0.35">
      <c r="B4217" s="2">
        <v>44658</v>
      </c>
      <c r="C4217" s="4">
        <v>8703.4699999999993</v>
      </c>
      <c r="D4217">
        <f t="shared" si="134"/>
        <v>268.20723785957313</v>
      </c>
      <c r="E4217">
        <v>-1.6399241460211766E-2</v>
      </c>
      <c r="F4217">
        <v>4214</v>
      </c>
      <c r="G4217">
        <f t="shared" ca="1" si="135"/>
        <v>3.2157369889198407E-2</v>
      </c>
    </row>
    <row r="4218" spans="2:7" x14ac:dyDescent="0.35">
      <c r="B4218" s="2">
        <v>37490</v>
      </c>
      <c r="C4218" s="4">
        <v>32.33</v>
      </c>
      <c r="D4218">
        <f t="shared" si="134"/>
        <v>-0.95917310703641967</v>
      </c>
      <c r="E4218">
        <v>-1.6428354122299926E-2</v>
      </c>
      <c r="F4218">
        <v>4215</v>
      </c>
      <c r="G4218">
        <f t="shared" ca="1" si="135"/>
        <v>2.7905138080448473E-3</v>
      </c>
    </row>
    <row r="4219" spans="2:7" x14ac:dyDescent="0.35">
      <c r="B4219" s="2">
        <v>43949</v>
      </c>
      <c r="C4219" s="4">
        <v>791.88</v>
      </c>
      <c r="D4219">
        <f t="shared" si="134"/>
        <v>0.78838727161860023</v>
      </c>
      <c r="E4219">
        <v>-1.6469185483270032E-2</v>
      </c>
      <c r="F4219">
        <v>4216</v>
      </c>
      <c r="G4219">
        <f t="shared" ca="1" si="135"/>
        <v>-5.3269854275731547E-2</v>
      </c>
    </row>
    <row r="4220" spans="2:7" x14ac:dyDescent="0.35">
      <c r="B4220" s="2">
        <v>42055</v>
      </c>
      <c r="C4220" s="4">
        <v>442.79</v>
      </c>
      <c r="D4220">
        <f t="shared" si="134"/>
        <v>3.0136874546773029</v>
      </c>
      <c r="E4220">
        <v>-1.6481197663312575E-2</v>
      </c>
      <c r="F4220">
        <v>4217</v>
      </c>
      <c r="G4220">
        <f t="shared" ca="1" si="135"/>
        <v>1.6057198380036154E-2</v>
      </c>
    </row>
    <row r="4221" spans="2:7" x14ac:dyDescent="0.35">
      <c r="B4221" s="2">
        <v>40374</v>
      </c>
      <c r="C4221" s="4">
        <v>110.32</v>
      </c>
      <c r="D4221">
        <f t="shared" si="134"/>
        <v>-0.79610394410971053</v>
      </c>
      <c r="E4221">
        <v>-1.6492823393064127E-2</v>
      </c>
      <c r="F4221">
        <v>4218</v>
      </c>
      <c r="G4221">
        <f t="shared" ca="1" si="135"/>
        <v>1.8923754467552709E-2</v>
      </c>
    </row>
    <row r="4222" spans="2:7" x14ac:dyDescent="0.35">
      <c r="B4222" s="2">
        <v>42178</v>
      </c>
      <c r="C4222" s="4">
        <v>541.05999999999995</v>
      </c>
      <c r="D4222">
        <f t="shared" si="134"/>
        <v>4.5544605276665635</v>
      </c>
      <c r="E4222">
        <v>-1.6504889664449074E-2</v>
      </c>
      <c r="F4222">
        <v>4219</v>
      </c>
      <c r="G4222">
        <f t="shared" ca="1" si="135"/>
        <v>1.1756346104352985E-2</v>
      </c>
    </row>
    <row r="4223" spans="2:7" x14ac:dyDescent="0.35">
      <c r="B4223" s="2">
        <v>40757</v>
      </c>
      <c r="C4223" s="4">
        <v>97.41</v>
      </c>
      <c r="D4223">
        <f t="shared" si="134"/>
        <v>1.0524652338811631</v>
      </c>
      <c r="E4223">
        <v>-1.655729429581021E-2</v>
      </c>
      <c r="F4223">
        <v>4220</v>
      </c>
      <c r="G4223">
        <f t="shared" ca="1" si="135"/>
        <v>-3.4594467942934998E-2</v>
      </c>
    </row>
    <row r="4224" spans="2:7" x14ac:dyDescent="0.35">
      <c r="B4224" s="2">
        <v>39721</v>
      </c>
      <c r="C4224" s="4">
        <v>47.46</v>
      </c>
      <c r="D4224">
        <f t="shared" si="134"/>
        <v>-0.49952546662448594</v>
      </c>
      <c r="E4224">
        <v>-1.6576875259013635E-2</v>
      </c>
      <c r="F4224">
        <v>4221</v>
      </c>
      <c r="G4224">
        <f t="shared" ca="1" si="135"/>
        <v>4.4192804358567796E-2</v>
      </c>
    </row>
    <row r="4225" spans="2:7" x14ac:dyDescent="0.35">
      <c r="B4225" s="2">
        <v>41297</v>
      </c>
      <c r="C4225" s="4">
        <v>94.83</v>
      </c>
      <c r="D4225">
        <f t="shared" si="134"/>
        <v>0.92822285481903211</v>
      </c>
      <c r="E4225">
        <v>-1.659234678004784E-2</v>
      </c>
      <c r="F4225">
        <v>4222</v>
      </c>
      <c r="G4225">
        <f t="shared" ca="1" si="135"/>
        <v>-3.2875506692749849E-2</v>
      </c>
    </row>
    <row r="4226" spans="2:7" x14ac:dyDescent="0.35">
      <c r="B4226" s="2">
        <v>38244</v>
      </c>
      <c r="C4226" s="4">
        <v>49.18</v>
      </c>
      <c r="D4226">
        <f t="shared" si="134"/>
        <v>-0.48329480983399875</v>
      </c>
      <c r="E4226">
        <v>-1.6596680663867214E-2</v>
      </c>
      <c r="F4226">
        <v>4223</v>
      </c>
      <c r="G4226">
        <f t="shared" ca="1" si="135"/>
        <v>-8.6115241796319263E-3</v>
      </c>
    </row>
    <row r="4227" spans="2:7" x14ac:dyDescent="0.35">
      <c r="B4227" s="2">
        <v>39428</v>
      </c>
      <c r="C4227" s="4">
        <v>95.18</v>
      </c>
      <c r="D4227">
        <f t="shared" si="134"/>
        <v>-0.98655383832961319</v>
      </c>
      <c r="E4227">
        <v>-1.6633949788201208E-2</v>
      </c>
      <c r="F4227">
        <v>4224</v>
      </c>
      <c r="G4227">
        <f t="shared" ca="1" si="135"/>
        <v>8.7302836552594302E-3</v>
      </c>
    </row>
    <row r="4228" spans="2:7" x14ac:dyDescent="0.35">
      <c r="B4228" s="2">
        <v>45058</v>
      </c>
      <c r="C4228" s="4">
        <v>7078.6</v>
      </c>
      <c r="D4228">
        <f t="shared" ref="D4228:D4291" si="136">C4228/C4229-1</f>
        <v>27.736248122437381</v>
      </c>
      <c r="E4228">
        <v>-1.6635756805378987E-2</v>
      </c>
      <c r="F4228">
        <v>4225</v>
      </c>
      <c r="G4228">
        <f t="shared" ca="1" si="135"/>
        <v>2.1394539065019598E-2</v>
      </c>
    </row>
    <row r="4229" spans="2:7" x14ac:dyDescent="0.35">
      <c r="B4229" s="2">
        <v>41801</v>
      </c>
      <c r="C4229" s="4">
        <v>246.33</v>
      </c>
      <c r="D4229">
        <f t="shared" si="136"/>
        <v>4.0989443179465948</v>
      </c>
      <c r="E4229">
        <v>-1.6685960640293707E-2</v>
      </c>
      <c r="F4229">
        <v>4226</v>
      </c>
      <c r="G4229">
        <f t="shared" ref="G4229:G4292" ca="1" si="137">_xlfn.NORM.INV(RAND(),K$6,K$7)</f>
        <v>-2.7484299133176994E-2</v>
      </c>
    </row>
    <row r="4230" spans="2:7" x14ac:dyDescent="0.35">
      <c r="B4230" s="2">
        <v>38372</v>
      </c>
      <c r="C4230" s="4">
        <v>48.31</v>
      </c>
      <c r="D4230">
        <f t="shared" si="136"/>
        <v>-0.99264906154185595</v>
      </c>
      <c r="E4230">
        <v>-1.6690413189497266E-2</v>
      </c>
      <c r="F4230">
        <v>4227</v>
      </c>
      <c r="G4230">
        <f t="shared" ca="1" si="137"/>
        <v>-4.3013611176873617E-3</v>
      </c>
    </row>
    <row r="4231" spans="2:7" x14ac:dyDescent="0.35">
      <c r="B4231" s="2">
        <v>44970</v>
      </c>
      <c r="C4231" s="4">
        <v>6571.95</v>
      </c>
      <c r="D4231">
        <f t="shared" si="136"/>
        <v>191.78234086242298</v>
      </c>
      <c r="E4231">
        <v>-1.6712425097065164E-2</v>
      </c>
      <c r="F4231">
        <v>4228</v>
      </c>
      <c r="G4231">
        <f t="shared" ca="1" si="137"/>
        <v>8.0740163259674133E-2</v>
      </c>
    </row>
    <row r="4232" spans="2:7" x14ac:dyDescent="0.35">
      <c r="B4232" s="2">
        <v>39773</v>
      </c>
      <c r="C4232" s="4">
        <v>34.090000000000003</v>
      </c>
      <c r="D4232">
        <f t="shared" si="136"/>
        <v>0.13899097895088541</v>
      </c>
      <c r="E4232">
        <v>-1.6729160657628972E-2</v>
      </c>
      <c r="F4232">
        <v>4229</v>
      </c>
      <c r="G4232">
        <f t="shared" ca="1" si="137"/>
        <v>1.127597690565733E-2</v>
      </c>
    </row>
    <row r="4233" spans="2:7" x14ac:dyDescent="0.35">
      <c r="B4233" s="2">
        <v>38029</v>
      </c>
      <c r="C4233" s="4">
        <v>29.93</v>
      </c>
      <c r="D4233">
        <f t="shared" si="136"/>
        <v>-0.9892949625878078</v>
      </c>
      <c r="E4233">
        <v>-1.6754270696452078E-2</v>
      </c>
      <c r="F4233">
        <v>4230</v>
      </c>
      <c r="G4233">
        <f t="shared" ca="1" si="137"/>
        <v>-4.5097554241622664E-2</v>
      </c>
    </row>
    <row r="4234" spans="2:7" x14ac:dyDescent="0.35">
      <c r="B4234" s="2">
        <v>44231</v>
      </c>
      <c r="C4234" s="4">
        <v>2795.88</v>
      </c>
      <c r="D4234">
        <f t="shared" si="136"/>
        <v>9.6623445961406453</v>
      </c>
      <c r="E4234">
        <v>-1.6757340348088512E-2</v>
      </c>
      <c r="F4234">
        <v>4231</v>
      </c>
      <c r="G4234">
        <f t="shared" ca="1" si="137"/>
        <v>1.5130980433948251E-3</v>
      </c>
    </row>
    <row r="4235" spans="2:7" x14ac:dyDescent="0.35">
      <c r="B4235" s="2">
        <v>41852</v>
      </c>
      <c r="C4235" s="4">
        <v>262.22000000000003</v>
      </c>
      <c r="D4235">
        <f t="shared" si="136"/>
        <v>-0.82735622345853765</v>
      </c>
      <c r="E4235">
        <v>-1.6761033409576576E-2</v>
      </c>
      <c r="F4235">
        <v>4232</v>
      </c>
      <c r="G4235">
        <f t="shared" ca="1" si="137"/>
        <v>1.0047128618444188E-3</v>
      </c>
    </row>
    <row r="4236" spans="2:7" x14ac:dyDescent="0.35">
      <c r="B4236" s="2">
        <v>44160</v>
      </c>
      <c r="C4236" s="4">
        <v>1518.85</v>
      </c>
      <c r="D4236">
        <f t="shared" si="136"/>
        <v>-0.78864939329845263</v>
      </c>
      <c r="E4236">
        <v>-1.6798291040911462E-2</v>
      </c>
      <c r="F4236">
        <v>4233</v>
      </c>
      <c r="G4236">
        <f t="shared" ca="1" si="137"/>
        <v>3.7735670219281505E-3</v>
      </c>
    </row>
    <row r="4237" spans="2:7" x14ac:dyDescent="0.35">
      <c r="B4237" s="2">
        <v>44859</v>
      </c>
      <c r="C4237" s="4">
        <v>7186.4</v>
      </c>
      <c r="D4237">
        <f t="shared" si="136"/>
        <v>96.707681849082249</v>
      </c>
      <c r="E4237">
        <v>-1.6814195613807148E-2</v>
      </c>
      <c r="F4237">
        <v>4234</v>
      </c>
      <c r="G4237">
        <f t="shared" ca="1" si="137"/>
        <v>-3.1025979227641842E-2</v>
      </c>
    </row>
    <row r="4238" spans="2:7" x14ac:dyDescent="0.35">
      <c r="B4238" s="2">
        <v>39626</v>
      </c>
      <c r="C4238" s="4">
        <v>73.55</v>
      </c>
      <c r="D4238">
        <f t="shared" si="136"/>
        <v>-0.91129683900768232</v>
      </c>
      <c r="E4238">
        <v>-1.6842668092501123E-2</v>
      </c>
      <c r="F4238">
        <v>4235</v>
      </c>
      <c r="G4238">
        <f t="shared" ca="1" si="137"/>
        <v>3.994126598735525E-2</v>
      </c>
    </row>
    <row r="4239" spans="2:7" x14ac:dyDescent="0.35">
      <c r="B4239" s="2">
        <v>42248</v>
      </c>
      <c r="C4239" s="4">
        <v>829.17</v>
      </c>
      <c r="D4239">
        <f t="shared" si="136"/>
        <v>9.4944943678015434</v>
      </c>
      <c r="E4239">
        <v>-1.6883840599471234E-2</v>
      </c>
      <c r="F4239">
        <v>4236</v>
      </c>
      <c r="G4239">
        <f t="shared" ca="1" si="137"/>
        <v>-3.8099906724808064E-3</v>
      </c>
    </row>
    <row r="4240" spans="2:7" x14ac:dyDescent="0.35">
      <c r="B4240" s="2">
        <v>40890</v>
      </c>
      <c r="C4240" s="4">
        <v>79.010000000000005</v>
      </c>
      <c r="D4240">
        <f t="shared" si="136"/>
        <v>-0.92738585398132489</v>
      </c>
      <c r="E4240">
        <v>-1.6921736966529766E-2</v>
      </c>
      <c r="F4240">
        <v>4237</v>
      </c>
      <c r="G4240">
        <f t="shared" ca="1" si="137"/>
        <v>1.9416061904808022E-2</v>
      </c>
    </row>
    <row r="4241" spans="2:7" x14ac:dyDescent="0.35">
      <c r="B4241" s="2">
        <v>43371</v>
      </c>
      <c r="C4241" s="4">
        <v>1088.08</v>
      </c>
      <c r="D4241">
        <f t="shared" si="136"/>
        <v>11.261437908496731</v>
      </c>
      <c r="E4241">
        <v>-1.6922507024692557E-2</v>
      </c>
      <c r="F4241">
        <v>4238</v>
      </c>
      <c r="G4241">
        <f t="shared" ca="1" si="137"/>
        <v>-2.8244993505386565E-3</v>
      </c>
    </row>
    <row r="4242" spans="2:7" x14ac:dyDescent="0.35">
      <c r="B4242" s="2">
        <v>40963</v>
      </c>
      <c r="C4242" s="4">
        <v>88.74</v>
      </c>
      <c r="D4242">
        <f t="shared" si="136"/>
        <v>2.7332772402187628</v>
      </c>
      <c r="E4242">
        <v>-1.6949152542372947E-2</v>
      </c>
      <c r="F4242">
        <v>4239</v>
      </c>
      <c r="G4242">
        <f t="shared" ca="1" si="137"/>
        <v>8.0421407052098728E-3</v>
      </c>
    </row>
    <row r="4243" spans="2:7" x14ac:dyDescent="0.35">
      <c r="B4243" s="2">
        <v>37719</v>
      </c>
      <c r="C4243" s="4">
        <v>23.77</v>
      </c>
      <c r="D4243">
        <f t="shared" si="136"/>
        <v>-0.68690727081138037</v>
      </c>
      <c r="E4243">
        <v>-1.6956162117452434E-2</v>
      </c>
      <c r="F4243">
        <v>4240</v>
      </c>
      <c r="G4243">
        <f t="shared" ca="1" si="137"/>
        <v>1.5200874895503607E-2</v>
      </c>
    </row>
    <row r="4244" spans="2:7" x14ac:dyDescent="0.35">
      <c r="B4244" s="2">
        <v>41533</v>
      </c>
      <c r="C4244" s="4">
        <v>75.92</v>
      </c>
      <c r="D4244">
        <f t="shared" si="136"/>
        <v>-0.91284982895975386</v>
      </c>
      <c r="E4244">
        <v>-1.696232034183609E-2</v>
      </c>
      <c r="F4244">
        <v>4241</v>
      </c>
      <c r="G4244">
        <f t="shared" ca="1" si="137"/>
        <v>9.1394068528571112E-4</v>
      </c>
    </row>
    <row r="4245" spans="2:7" x14ac:dyDescent="0.35">
      <c r="B4245" s="2">
        <v>43081</v>
      </c>
      <c r="C4245" s="4">
        <v>871.14</v>
      </c>
      <c r="D4245">
        <f t="shared" si="136"/>
        <v>-0.68789096928136884</v>
      </c>
      <c r="E4245">
        <v>-1.6971721320724886E-2</v>
      </c>
      <c r="F4245">
        <v>4242</v>
      </c>
      <c r="G4245">
        <f t="shared" ca="1" si="137"/>
        <v>2.7169900236046412E-2</v>
      </c>
    </row>
    <row r="4246" spans="2:7" x14ac:dyDescent="0.35">
      <c r="B4246" s="2">
        <v>44237</v>
      </c>
      <c r="C4246" s="4">
        <v>2791.14</v>
      </c>
      <c r="D4246">
        <f t="shared" si="136"/>
        <v>26.095815940199977</v>
      </c>
      <c r="E4246">
        <v>-1.6972313890953217E-2</v>
      </c>
      <c r="F4246">
        <v>4243</v>
      </c>
      <c r="G4246">
        <f t="shared" ca="1" si="137"/>
        <v>-1.7332585066845367E-2</v>
      </c>
    </row>
    <row r="4247" spans="2:7" x14ac:dyDescent="0.35">
      <c r="B4247" s="2">
        <v>40666</v>
      </c>
      <c r="C4247" s="4">
        <v>103.01</v>
      </c>
      <c r="D4247">
        <f t="shared" si="136"/>
        <v>5.3271983640081899E-2</v>
      </c>
      <c r="E4247">
        <v>-1.6986353659700359E-2</v>
      </c>
      <c r="F4247">
        <v>4244</v>
      </c>
      <c r="G4247">
        <f t="shared" ca="1" si="137"/>
        <v>-4.6119899818653116E-3</v>
      </c>
    </row>
    <row r="4248" spans="2:7" x14ac:dyDescent="0.35">
      <c r="B4248" s="2">
        <v>41253</v>
      </c>
      <c r="C4248" s="4">
        <v>97.8</v>
      </c>
      <c r="D4248">
        <f t="shared" si="136"/>
        <v>-0.87106810451657135</v>
      </c>
      <c r="E4248">
        <v>-1.6986631822293652E-2</v>
      </c>
      <c r="F4248">
        <v>4245</v>
      </c>
      <c r="G4248">
        <f t="shared" ca="1" si="137"/>
        <v>1.4855216544619106E-2</v>
      </c>
    </row>
    <row r="4249" spans="2:7" x14ac:dyDescent="0.35">
      <c r="B4249" s="2">
        <v>42579</v>
      </c>
      <c r="C4249" s="4">
        <v>758.54</v>
      </c>
      <c r="D4249">
        <f t="shared" si="136"/>
        <v>-0.88538921793787018</v>
      </c>
      <c r="E4249">
        <v>-1.6989567809239992E-2</v>
      </c>
      <c r="F4249">
        <v>4246</v>
      </c>
      <c r="G4249">
        <f t="shared" ca="1" si="137"/>
        <v>2.29945965792566E-2</v>
      </c>
    </row>
    <row r="4250" spans="2:7" x14ac:dyDescent="0.35">
      <c r="B4250" s="2">
        <v>44889</v>
      </c>
      <c r="C4250" s="4">
        <v>6618.4</v>
      </c>
      <c r="D4250">
        <f t="shared" si="136"/>
        <v>183.56218627997768</v>
      </c>
      <c r="E4250">
        <v>-1.699144486692028E-2</v>
      </c>
      <c r="F4250">
        <v>4247</v>
      </c>
      <c r="G4250">
        <f t="shared" ca="1" si="137"/>
        <v>1.9933655694842022E-2</v>
      </c>
    </row>
    <row r="4251" spans="2:7" x14ac:dyDescent="0.35">
      <c r="B4251" s="2">
        <v>38173</v>
      </c>
      <c r="C4251" s="4">
        <v>35.86</v>
      </c>
      <c r="D4251">
        <f t="shared" si="136"/>
        <v>-0.92003924454255581</v>
      </c>
      <c r="E4251">
        <v>-1.6995614035087647E-2</v>
      </c>
      <c r="F4251">
        <v>4248</v>
      </c>
      <c r="G4251">
        <f t="shared" ca="1" si="137"/>
        <v>-4.7471862931276448E-2</v>
      </c>
    </row>
    <row r="4252" spans="2:7" x14ac:dyDescent="0.35">
      <c r="B4252" s="2">
        <v>42053</v>
      </c>
      <c r="C4252" s="4">
        <v>448.47</v>
      </c>
      <c r="D4252">
        <f t="shared" si="136"/>
        <v>2.860795454545455</v>
      </c>
      <c r="E4252">
        <v>-1.7008964776538127E-2</v>
      </c>
      <c r="F4252">
        <v>4249</v>
      </c>
      <c r="G4252">
        <f t="shared" ca="1" si="137"/>
        <v>-4.0658606299452851E-2</v>
      </c>
    </row>
    <row r="4253" spans="2:7" x14ac:dyDescent="0.35">
      <c r="B4253" s="2">
        <v>40557</v>
      </c>
      <c r="C4253" s="4">
        <v>116.16</v>
      </c>
      <c r="D4253">
        <f t="shared" si="136"/>
        <v>-0.89098178337134326</v>
      </c>
      <c r="E4253">
        <v>-1.7009393247017002E-2</v>
      </c>
      <c r="F4253">
        <v>4250</v>
      </c>
      <c r="G4253">
        <f t="shared" ca="1" si="137"/>
        <v>-3.6881550915605476E-3</v>
      </c>
    </row>
    <row r="4254" spans="2:7" x14ac:dyDescent="0.35">
      <c r="B4254" s="2">
        <v>43227</v>
      </c>
      <c r="C4254" s="4">
        <v>1065.51</v>
      </c>
      <c r="D4254">
        <f t="shared" si="136"/>
        <v>9.4831759149940975</v>
      </c>
      <c r="E4254">
        <v>-1.7011854790350167E-2</v>
      </c>
      <c r="F4254">
        <v>4251</v>
      </c>
      <c r="G4254">
        <f t="shared" ca="1" si="137"/>
        <v>5.8004116402130624E-3</v>
      </c>
    </row>
    <row r="4255" spans="2:7" x14ac:dyDescent="0.35">
      <c r="B4255" s="2">
        <v>40596</v>
      </c>
      <c r="C4255" s="4">
        <v>101.64</v>
      </c>
      <c r="D4255">
        <f t="shared" si="136"/>
        <v>-0.87716923671871228</v>
      </c>
      <c r="E4255">
        <v>-1.7021276595744705E-2</v>
      </c>
      <c r="F4255">
        <v>4252</v>
      </c>
      <c r="G4255">
        <f t="shared" ca="1" si="137"/>
        <v>-6.7083455349510213E-2</v>
      </c>
    </row>
    <row r="4256" spans="2:7" x14ac:dyDescent="0.35">
      <c r="B4256" s="2">
        <v>42997</v>
      </c>
      <c r="C4256" s="4">
        <v>827.48</v>
      </c>
      <c r="D4256">
        <f t="shared" si="136"/>
        <v>7.1014294106128837</v>
      </c>
      <c r="E4256">
        <v>-1.7022843634549312E-2</v>
      </c>
      <c r="F4256">
        <v>4253</v>
      </c>
      <c r="G4256">
        <f t="shared" ca="1" si="137"/>
        <v>6.8892467992664368E-3</v>
      </c>
    </row>
    <row r="4257" spans="2:7" x14ac:dyDescent="0.35">
      <c r="B4257" s="2">
        <v>40736</v>
      </c>
      <c r="C4257" s="4">
        <v>102.14</v>
      </c>
      <c r="D4257">
        <f t="shared" si="136"/>
        <v>3.7270234589215079E-2</v>
      </c>
      <c r="E4257">
        <v>-1.703397170628429E-2</v>
      </c>
      <c r="F4257">
        <v>4254</v>
      </c>
      <c r="G4257">
        <f t="shared" ca="1" si="137"/>
        <v>-1.3515265602956773E-2</v>
      </c>
    </row>
    <row r="4258" spans="2:7" x14ac:dyDescent="0.35">
      <c r="B4258" s="2">
        <v>40176</v>
      </c>
      <c r="C4258" s="4">
        <v>98.47</v>
      </c>
      <c r="D4258">
        <f t="shared" si="136"/>
        <v>0.68037542662116035</v>
      </c>
      <c r="E4258">
        <v>-1.7069275304452014E-2</v>
      </c>
      <c r="F4258">
        <v>4255</v>
      </c>
      <c r="G4258">
        <f t="shared" ca="1" si="137"/>
        <v>-3.4099345246391619E-2</v>
      </c>
    </row>
    <row r="4259" spans="2:7" x14ac:dyDescent="0.35">
      <c r="B4259" s="2">
        <v>38489</v>
      </c>
      <c r="C4259" s="4">
        <v>58.6</v>
      </c>
      <c r="D4259">
        <f t="shared" si="136"/>
        <v>-0.92991352812428985</v>
      </c>
      <c r="E4259">
        <v>-1.7108352901710755E-2</v>
      </c>
      <c r="F4259">
        <v>4256</v>
      </c>
      <c r="G4259">
        <f t="shared" ca="1" si="137"/>
        <v>-2.1777004129628448E-3</v>
      </c>
    </row>
    <row r="4260" spans="2:7" x14ac:dyDescent="0.35">
      <c r="B4260" s="2">
        <v>43508</v>
      </c>
      <c r="C4260" s="4">
        <v>836.11</v>
      </c>
      <c r="D4260">
        <f t="shared" si="136"/>
        <v>11.462513042182144</v>
      </c>
      <c r="E4260">
        <v>-1.7139028318188809E-2</v>
      </c>
      <c r="F4260">
        <v>4257</v>
      </c>
      <c r="G4260">
        <f t="shared" ca="1" si="137"/>
        <v>-1.5275579983681249E-2</v>
      </c>
    </row>
    <row r="4261" spans="2:7" x14ac:dyDescent="0.35">
      <c r="B4261" s="2">
        <v>39562</v>
      </c>
      <c r="C4261" s="4">
        <v>67.09</v>
      </c>
      <c r="D4261">
        <f t="shared" si="136"/>
        <v>-0.95907923708913034</v>
      </c>
      <c r="E4261">
        <v>-1.7140345736888385E-2</v>
      </c>
      <c r="F4261">
        <v>4258</v>
      </c>
      <c r="G4261">
        <f t="shared" ca="1" si="137"/>
        <v>4.6252964863190305E-2</v>
      </c>
    </row>
    <row r="4262" spans="2:7" x14ac:dyDescent="0.35">
      <c r="B4262" s="2">
        <v>44131</v>
      </c>
      <c r="C4262" s="4">
        <v>1639.51</v>
      </c>
      <c r="D4262">
        <f t="shared" si="136"/>
        <v>-0.78990741630626304</v>
      </c>
      <c r="E4262">
        <v>-1.7156936210007689E-2</v>
      </c>
      <c r="F4262">
        <v>4259</v>
      </c>
      <c r="G4262">
        <f t="shared" ca="1" si="137"/>
        <v>-2.3363753454720703E-2</v>
      </c>
    </row>
    <row r="4263" spans="2:7" x14ac:dyDescent="0.35">
      <c r="B4263" s="2">
        <v>44679</v>
      </c>
      <c r="C4263" s="4">
        <v>7803.75</v>
      </c>
      <c r="D4263">
        <f t="shared" si="136"/>
        <v>6.6902420276715677</v>
      </c>
      <c r="E4263">
        <v>-1.7210698188128815E-2</v>
      </c>
      <c r="F4263">
        <v>4260</v>
      </c>
      <c r="G4263">
        <f t="shared" ca="1" si="137"/>
        <v>-2.4976402746117635E-2</v>
      </c>
    </row>
    <row r="4264" spans="2:7" x14ac:dyDescent="0.35">
      <c r="B4264" s="2">
        <v>42373</v>
      </c>
      <c r="C4264" s="4">
        <v>1014.76</v>
      </c>
      <c r="D4264">
        <f t="shared" si="136"/>
        <v>33.247721903476204</v>
      </c>
      <c r="E4264">
        <v>-1.7238707678004173E-2</v>
      </c>
      <c r="F4264">
        <v>4261</v>
      </c>
      <c r="G4264">
        <f t="shared" ca="1" si="137"/>
        <v>-8.3117147877435349E-3</v>
      </c>
    </row>
    <row r="4265" spans="2:7" x14ac:dyDescent="0.35">
      <c r="B4265" s="2">
        <v>37935</v>
      </c>
      <c r="C4265" s="4">
        <v>29.63</v>
      </c>
      <c r="D4265">
        <f t="shared" si="136"/>
        <v>-0.45772327964860915</v>
      </c>
      <c r="E4265">
        <v>-1.7247097844112713E-2</v>
      </c>
      <c r="F4265">
        <v>4262</v>
      </c>
      <c r="G4265">
        <f t="shared" ca="1" si="137"/>
        <v>8.5794600416074628E-3</v>
      </c>
    </row>
    <row r="4266" spans="2:7" x14ac:dyDescent="0.35">
      <c r="B4266" s="2">
        <v>38390</v>
      </c>
      <c r="C4266" s="4">
        <v>54.64</v>
      </c>
      <c r="D4266">
        <f t="shared" si="136"/>
        <v>-0.9850248033546195</v>
      </c>
      <c r="E4266">
        <v>-1.726618705035976E-2</v>
      </c>
      <c r="F4266">
        <v>4263</v>
      </c>
      <c r="G4266">
        <f t="shared" ca="1" si="137"/>
        <v>-1.9504670304199501E-2</v>
      </c>
    </row>
    <row r="4267" spans="2:7" x14ac:dyDescent="0.35">
      <c r="B4267" s="2">
        <v>44323</v>
      </c>
      <c r="C4267" s="4">
        <v>3648.7</v>
      </c>
      <c r="D4267">
        <f t="shared" si="136"/>
        <v>1.2267586981331284</v>
      </c>
      <c r="E4267">
        <v>-1.7280479199323517E-2</v>
      </c>
      <c r="F4267">
        <v>4264</v>
      </c>
      <c r="G4267">
        <f t="shared" ca="1" si="137"/>
        <v>5.9385222009941036E-2</v>
      </c>
    </row>
    <row r="4268" spans="2:7" x14ac:dyDescent="0.35">
      <c r="B4268" s="2">
        <v>44174</v>
      </c>
      <c r="C4268" s="4">
        <v>1638.57</v>
      </c>
      <c r="D4268">
        <f t="shared" si="136"/>
        <v>22.844150174621653</v>
      </c>
      <c r="E4268">
        <v>-1.7284498527639136E-2</v>
      </c>
      <c r="F4268">
        <v>4265</v>
      </c>
      <c r="G4268">
        <f t="shared" ca="1" si="137"/>
        <v>1.2420957316553172E-3</v>
      </c>
    </row>
    <row r="4269" spans="2:7" x14ac:dyDescent="0.35">
      <c r="B4269" s="2">
        <v>40066</v>
      </c>
      <c r="C4269" s="4">
        <v>68.72</v>
      </c>
      <c r="D4269">
        <f t="shared" si="136"/>
        <v>1.1236093943139678</v>
      </c>
      <c r="E4269">
        <v>-1.7303017303017421E-2</v>
      </c>
      <c r="F4269">
        <v>4266</v>
      </c>
      <c r="G4269">
        <f t="shared" ca="1" si="137"/>
        <v>1.1848288207519788E-2</v>
      </c>
    </row>
    <row r="4270" spans="2:7" x14ac:dyDescent="0.35">
      <c r="B4270" s="2">
        <v>37512</v>
      </c>
      <c r="C4270" s="4">
        <v>32.36</v>
      </c>
      <c r="D4270">
        <f t="shared" si="136"/>
        <v>-0.4346610761705102</v>
      </c>
      <c r="E4270">
        <v>-1.7309444275736441E-2</v>
      </c>
      <c r="F4270">
        <v>4267</v>
      </c>
      <c r="G4270">
        <f t="shared" ca="1" si="137"/>
        <v>4.7439621776937058E-2</v>
      </c>
    </row>
    <row r="4271" spans="2:7" x14ac:dyDescent="0.35">
      <c r="B4271" s="2">
        <v>38471</v>
      </c>
      <c r="C4271" s="4">
        <v>57.24</v>
      </c>
      <c r="D4271">
        <f t="shared" si="136"/>
        <v>-0.99404912280701752</v>
      </c>
      <c r="E4271">
        <v>-1.733905579399142E-2</v>
      </c>
      <c r="F4271">
        <v>4268</v>
      </c>
      <c r="G4271">
        <f t="shared" ca="1" si="137"/>
        <v>-5.4484308324325249E-2</v>
      </c>
    </row>
    <row r="4272" spans="2:7" x14ac:dyDescent="0.35">
      <c r="B4272" s="2">
        <v>44796</v>
      </c>
      <c r="C4272" s="4">
        <v>9618.75</v>
      </c>
      <c r="D4272">
        <f t="shared" si="136"/>
        <v>9.6422114778221566</v>
      </c>
      <c r="E4272">
        <v>-1.7361856017653055E-2</v>
      </c>
      <c r="F4272">
        <v>4269</v>
      </c>
      <c r="G4272">
        <f t="shared" ca="1" si="137"/>
        <v>-3.9706242445661191E-2</v>
      </c>
    </row>
    <row r="4273" spans="2:7" x14ac:dyDescent="0.35">
      <c r="B4273" s="2">
        <v>42340</v>
      </c>
      <c r="C4273" s="4">
        <v>903.83</v>
      </c>
      <c r="D4273">
        <f t="shared" si="136"/>
        <v>23.218381564844588</v>
      </c>
      <c r="E4273">
        <v>-1.7362470102196048E-2</v>
      </c>
      <c r="F4273">
        <v>4270</v>
      </c>
      <c r="G4273">
        <f t="shared" ca="1" si="137"/>
        <v>-1.1228815240041332E-2</v>
      </c>
    </row>
    <row r="4274" spans="2:7" x14ac:dyDescent="0.35">
      <c r="B4274" s="2">
        <v>39756</v>
      </c>
      <c r="C4274" s="4">
        <v>37.32</v>
      </c>
      <c r="D4274">
        <f t="shared" si="136"/>
        <v>-0.26578792051937827</v>
      </c>
      <c r="E4274">
        <v>-1.7377567140600236E-2</v>
      </c>
      <c r="F4274">
        <v>4271</v>
      </c>
      <c r="G4274">
        <f t="shared" ca="1" si="137"/>
        <v>5.2351623467033863E-3</v>
      </c>
    </row>
    <row r="4275" spans="2:7" x14ac:dyDescent="0.35">
      <c r="B4275" s="2">
        <v>40001</v>
      </c>
      <c r="C4275" s="4">
        <v>50.83</v>
      </c>
      <c r="D4275">
        <f t="shared" si="136"/>
        <v>-0.99422080985975547</v>
      </c>
      <c r="E4275">
        <v>-1.7398028223468032E-2</v>
      </c>
      <c r="F4275">
        <v>4272</v>
      </c>
      <c r="G4275">
        <f t="shared" ca="1" si="137"/>
        <v>-1.6158695832834035E-2</v>
      </c>
    </row>
    <row r="4276" spans="2:7" x14ac:dyDescent="0.35">
      <c r="B4276" s="2">
        <v>44651</v>
      </c>
      <c r="C4276" s="4">
        <v>8795.35</v>
      </c>
      <c r="D4276">
        <f t="shared" si="136"/>
        <v>80.64253225656735</v>
      </c>
      <c r="E4276">
        <v>-1.7412171091952811E-2</v>
      </c>
      <c r="F4276">
        <v>4273</v>
      </c>
      <c r="G4276">
        <f t="shared" ca="1" si="137"/>
        <v>-8.796175664109368E-3</v>
      </c>
    </row>
    <row r="4277" spans="2:7" x14ac:dyDescent="0.35">
      <c r="B4277" s="2">
        <v>39345</v>
      </c>
      <c r="C4277" s="4">
        <v>107.73</v>
      </c>
      <c r="D4277">
        <f t="shared" si="136"/>
        <v>-0.98766021786192915</v>
      </c>
      <c r="E4277">
        <v>-1.7420649398029897E-2</v>
      </c>
      <c r="F4277">
        <v>4274</v>
      </c>
      <c r="G4277">
        <f t="shared" ca="1" si="137"/>
        <v>-1.7384422604282544E-2</v>
      </c>
    </row>
    <row r="4278" spans="2:7" x14ac:dyDescent="0.35">
      <c r="B4278" s="2">
        <v>44820</v>
      </c>
      <c r="C4278" s="4">
        <v>8730.2999999999993</v>
      </c>
      <c r="D4278">
        <f t="shared" si="136"/>
        <v>120.28785773826061</v>
      </c>
      <c r="E4278">
        <v>-1.7439014096395811E-2</v>
      </c>
      <c r="F4278">
        <v>4275</v>
      </c>
      <c r="G4278">
        <f t="shared" ca="1" si="137"/>
        <v>-4.6910790170195893E-2</v>
      </c>
    </row>
    <row r="4279" spans="2:7" x14ac:dyDescent="0.35">
      <c r="B4279" s="2">
        <v>39478</v>
      </c>
      <c r="C4279" s="4">
        <v>71.98</v>
      </c>
      <c r="D4279">
        <f t="shared" si="136"/>
        <v>-0.2170981074613878</v>
      </c>
      <c r="E4279">
        <v>-1.7472017472017431E-2</v>
      </c>
      <c r="F4279">
        <v>4276</v>
      </c>
      <c r="G4279">
        <f t="shared" ca="1" si="137"/>
        <v>-1.0219082279540916E-2</v>
      </c>
    </row>
    <row r="4280" spans="2:7" x14ac:dyDescent="0.35">
      <c r="B4280" s="2">
        <v>39463</v>
      </c>
      <c r="C4280" s="4">
        <v>91.94</v>
      </c>
      <c r="D4280">
        <f t="shared" si="136"/>
        <v>-0.98900324735516976</v>
      </c>
      <c r="E4280">
        <v>-1.7525112203462312E-2</v>
      </c>
      <c r="F4280">
        <v>4277</v>
      </c>
      <c r="G4280">
        <f t="shared" ca="1" si="137"/>
        <v>-2.1230212981625935E-2</v>
      </c>
    </row>
    <row r="4281" spans="2:7" x14ac:dyDescent="0.35">
      <c r="B4281" s="2">
        <v>44846</v>
      </c>
      <c r="C4281" s="4">
        <v>8360.65</v>
      </c>
      <c r="D4281">
        <f t="shared" si="136"/>
        <v>116.54041895121608</v>
      </c>
      <c r="E4281">
        <v>-1.7538396455892502E-2</v>
      </c>
      <c r="F4281">
        <v>4278</v>
      </c>
      <c r="G4281">
        <f t="shared" ca="1" si="137"/>
        <v>-3.2866941343685563E-2</v>
      </c>
    </row>
    <row r="4282" spans="2:7" x14ac:dyDescent="0.35">
      <c r="B4282" s="2">
        <v>38576</v>
      </c>
      <c r="C4282" s="4">
        <v>71.13</v>
      </c>
      <c r="D4282">
        <f t="shared" si="136"/>
        <v>-0.91103745857044593</v>
      </c>
      <c r="E4282">
        <v>-1.7541436464088567E-2</v>
      </c>
      <c r="F4282">
        <v>4279</v>
      </c>
      <c r="G4282">
        <f t="shared" ca="1" si="137"/>
        <v>-4.1748535100559281E-3</v>
      </c>
    </row>
    <row r="4283" spans="2:7" x14ac:dyDescent="0.35">
      <c r="B4283" s="2">
        <v>43836</v>
      </c>
      <c r="C4283" s="4">
        <v>799.55</v>
      </c>
      <c r="D4283">
        <f t="shared" si="136"/>
        <v>-0.86993984585704198</v>
      </c>
      <c r="E4283">
        <v>-1.7546662079304109E-2</v>
      </c>
      <c r="F4283">
        <v>4280</v>
      </c>
      <c r="G4283">
        <f t="shared" ca="1" si="137"/>
        <v>1.6924418437739331E-2</v>
      </c>
    </row>
    <row r="4284" spans="2:7" x14ac:dyDescent="0.35">
      <c r="B4284" s="2">
        <v>44489</v>
      </c>
      <c r="C4284" s="4">
        <v>6147.54</v>
      </c>
      <c r="D4284">
        <f t="shared" si="136"/>
        <v>48.564943965169718</v>
      </c>
      <c r="E4284">
        <v>-1.756937297442418E-2</v>
      </c>
      <c r="F4284">
        <v>4281</v>
      </c>
      <c r="G4284">
        <f t="shared" ca="1" si="137"/>
        <v>-5.7508831527573268E-3</v>
      </c>
    </row>
    <row r="4285" spans="2:7" x14ac:dyDescent="0.35">
      <c r="B4285" s="2">
        <v>40287</v>
      </c>
      <c r="C4285" s="4">
        <v>124.03</v>
      </c>
      <c r="D4285">
        <f t="shared" si="136"/>
        <v>1.2424516362321461</v>
      </c>
      <c r="E4285">
        <v>-1.75841584158416E-2</v>
      </c>
      <c r="F4285">
        <v>4282</v>
      </c>
      <c r="G4285">
        <f t="shared" ca="1" si="137"/>
        <v>-1.715535927317527E-3</v>
      </c>
    </row>
    <row r="4286" spans="2:7" x14ac:dyDescent="0.35">
      <c r="B4286" s="2">
        <v>39708</v>
      </c>
      <c r="C4286" s="4">
        <v>55.31</v>
      </c>
      <c r="D4286">
        <f t="shared" si="136"/>
        <v>0.98030791263873973</v>
      </c>
      <c r="E4286">
        <v>-1.7584369449378245E-2</v>
      </c>
      <c r="F4286">
        <v>4283</v>
      </c>
      <c r="G4286">
        <f t="shared" ca="1" si="137"/>
        <v>2.3202248552439794E-2</v>
      </c>
    </row>
    <row r="4287" spans="2:7" x14ac:dyDescent="0.35">
      <c r="B4287" s="2">
        <v>37638</v>
      </c>
      <c r="C4287" s="4">
        <v>27.93</v>
      </c>
      <c r="D4287">
        <f t="shared" si="136"/>
        <v>-0.71750783857590772</v>
      </c>
      <c r="E4287">
        <v>-1.7587055926837847E-2</v>
      </c>
      <c r="F4287">
        <v>4284</v>
      </c>
      <c r="G4287">
        <f t="shared" ca="1" si="137"/>
        <v>-2.1212783124078514E-2</v>
      </c>
    </row>
    <row r="4288" spans="2:7" x14ac:dyDescent="0.35">
      <c r="B4288" s="2">
        <v>39155</v>
      </c>
      <c r="C4288" s="4">
        <v>98.87</v>
      </c>
      <c r="D4288">
        <f t="shared" si="136"/>
        <v>0.34370752921989678</v>
      </c>
      <c r="E4288">
        <v>-1.7587440381558017E-2</v>
      </c>
      <c r="F4288">
        <v>4285</v>
      </c>
      <c r="G4288">
        <f t="shared" ca="1" si="137"/>
        <v>-1.8119815399716813E-2</v>
      </c>
    </row>
    <row r="4289" spans="2:7" x14ac:dyDescent="0.35">
      <c r="B4289" s="2">
        <v>39632</v>
      </c>
      <c r="C4289" s="4">
        <v>73.58</v>
      </c>
      <c r="D4289">
        <f t="shared" si="136"/>
        <v>-0.23186136339910224</v>
      </c>
      <c r="E4289">
        <v>-1.7623497997329873E-2</v>
      </c>
      <c r="F4289">
        <v>4286</v>
      </c>
      <c r="G4289">
        <f t="shared" ca="1" si="137"/>
        <v>4.3080089891376669E-2</v>
      </c>
    </row>
    <row r="4290" spans="2:7" x14ac:dyDescent="0.35">
      <c r="B4290" s="2">
        <v>40714</v>
      </c>
      <c r="C4290" s="4">
        <v>95.79</v>
      </c>
      <c r="D4290">
        <f t="shared" si="136"/>
        <v>-9.8701543093714705E-2</v>
      </c>
      <c r="E4290">
        <v>-1.7639216490616283E-2</v>
      </c>
      <c r="F4290">
        <v>4287</v>
      </c>
      <c r="G4290">
        <f t="shared" ca="1" si="137"/>
        <v>1.6786981107754086E-2</v>
      </c>
    </row>
    <row r="4291" spans="2:7" x14ac:dyDescent="0.35">
      <c r="B4291" s="2">
        <v>40224</v>
      </c>
      <c r="C4291" s="4">
        <v>106.28</v>
      </c>
      <c r="D4291">
        <f t="shared" si="136"/>
        <v>2.2975488675147382</v>
      </c>
      <c r="E4291">
        <v>-1.7654126998798425E-2</v>
      </c>
      <c r="F4291">
        <v>4288</v>
      </c>
      <c r="G4291">
        <f t="shared" ca="1" si="137"/>
        <v>-1.7436422442911154E-3</v>
      </c>
    </row>
    <row r="4292" spans="2:7" x14ac:dyDescent="0.35">
      <c r="B4292" s="2">
        <v>38134</v>
      </c>
      <c r="C4292" s="4">
        <v>32.229999999999997</v>
      </c>
      <c r="D4292">
        <f t="shared" ref="D4292:D4355" si="138">C4292/C4293-1</f>
        <v>-0.67038249130701577</v>
      </c>
      <c r="E4292">
        <v>-1.7677537336178162E-2</v>
      </c>
      <c r="F4292">
        <v>4289</v>
      </c>
      <c r="G4292">
        <f t="shared" ca="1" si="137"/>
        <v>-2.1487019428005058E-2</v>
      </c>
    </row>
    <row r="4293" spans="2:7" x14ac:dyDescent="0.35">
      <c r="B4293" s="2">
        <v>40613</v>
      </c>
      <c r="C4293" s="4">
        <v>97.78</v>
      </c>
      <c r="D4293">
        <f t="shared" si="138"/>
        <v>-0.98423564311740241</v>
      </c>
      <c r="E4293">
        <v>-1.7681334137030436E-2</v>
      </c>
      <c r="F4293">
        <v>4290</v>
      </c>
      <c r="G4293">
        <f t="shared" ref="G4293:G4356" ca="1" si="139">_xlfn.NORM.INV(RAND(),K$6,K$7)</f>
        <v>6.7672497815043833E-3</v>
      </c>
    </row>
    <row r="4294" spans="2:7" x14ac:dyDescent="0.35">
      <c r="B4294" s="2">
        <v>44916</v>
      </c>
      <c r="C4294" s="4">
        <v>6202.6</v>
      </c>
      <c r="D4294">
        <f t="shared" si="138"/>
        <v>84.317744154057777</v>
      </c>
      <c r="E4294">
        <v>-1.7682226709426985E-2</v>
      </c>
      <c r="F4294">
        <v>4291</v>
      </c>
      <c r="G4294">
        <f t="shared" ca="1" si="139"/>
        <v>-3.0360920624550359E-2</v>
      </c>
    </row>
    <row r="4295" spans="2:7" x14ac:dyDescent="0.35">
      <c r="B4295" s="2">
        <v>39503</v>
      </c>
      <c r="C4295" s="4">
        <v>72.7</v>
      </c>
      <c r="D4295">
        <f t="shared" si="138"/>
        <v>-0.92282050193214149</v>
      </c>
      <c r="E4295">
        <v>-1.7700310768815064E-2</v>
      </c>
      <c r="F4295">
        <v>4292</v>
      </c>
      <c r="G4295">
        <f t="shared" ca="1" si="139"/>
        <v>7.083239561409228E-3</v>
      </c>
    </row>
    <row r="4296" spans="2:7" x14ac:dyDescent="0.35">
      <c r="B4296" s="2">
        <v>43879</v>
      </c>
      <c r="C4296" s="4">
        <v>941.96</v>
      </c>
      <c r="D4296">
        <f t="shared" si="138"/>
        <v>30.588195841716971</v>
      </c>
      <c r="E4296">
        <v>-1.7717294958026986E-2</v>
      </c>
      <c r="F4296">
        <v>4293</v>
      </c>
      <c r="G4296">
        <f t="shared" ca="1" si="139"/>
        <v>-9.5091786809780674E-3</v>
      </c>
    </row>
    <row r="4297" spans="2:7" x14ac:dyDescent="0.35">
      <c r="B4297" s="2">
        <v>37594</v>
      </c>
      <c r="C4297" s="4">
        <v>29.82</v>
      </c>
      <c r="D4297">
        <f t="shared" si="138"/>
        <v>-0.69984901862103666</v>
      </c>
      <c r="E4297">
        <v>-1.7786561264822143E-2</v>
      </c>
      <c r="F4297">
        <v>4294</v>
      </c>
      <c r="G4297">
        <f t="shared" ca="1" si="139"/>
        <v>3.280880138420747E-3</v>
      </c>
    </row>
    <row r="4298" spans="2:7" x14ac:dyDescent="0.35">
      <c r="B4298" s="2">
        <v>40417</v>
      </c>
      <c r="C4298" s="4">
        <v>99.35</v>
      </c>
      <c r="D4298">
        <f t="shared" si="138"/>
        <v>-0.98476584482475737</v>
      </c>
      <c r="E4298">
        <v>-1.779535343549199E-2</v>
      </c>
      <c r="F4298">
        <v>4295</v>
      </c>
      <c r="G4298">
        <f t="shared" ca="1" si="139"/>
        <v>2.4409202598648469E-2</v>
      </c>
    </row>
    <row r="4299" spans="2:7" x14ac:dyDescent="0.35">
      <c r="B4299" s="2">
        <v>44627</v>
      </c>
      <c r="C4299" s="4">
        <v>6521.53</v>
      </c>
      <c r="D4299">
        <f t="shared" si="138"/>
        <v>63.723402143707816</v>
      </c>
      <c r="E4299">
        <v>-1.7809325007756227E-2</v>
      </c>
      <c r="F4299">
        <v>4296</v>
      </c>
      <c r="G4299">
        <f t="shared" ca="1" si="139"/>
        <v>-9.0540553771203732E-3</v>
      </c>
    </row>
    <row r="4300" spans="2:7" x14ac:dyDescent="0.35">
      <c r="B4300" s="2">
        <v>40231</v>
      </c>
      <c r="C4300" s="4">
        <v>100.76</v>
      </c>
      <c r="D4300">
        <f t="shared" si="138"/>
        <v>1.901294498381878E-2</v>
      </c>
      <c r="E4300">
        <v>-1.7837995906033743E-2</v>
      </c>
      <c r="F4300">
        <v>4297</v>
      </c>
      <c r="G4300">
        <f t="shared" ca="1" si="139"/>
        <v>-2.3785570762328206E-2</v>
      </c>
    </row>
    <row r="4301" spans="2:7" x14ac:dyDescent="0.35">
      <c r="B4301" s="2">
        <v>39377</v>
      </c>
      <c r="C4301" s="4">
        <v>98.88</v>
      </c>
      <c r="D4301">
        <f t="shared" si="138"/>
        <v>0.96112653708845674</v>
      </c>
      <c r="E4301">
        <v>-1.7878426698450633E-2</v>
      </c>
      <c r="F4301">
        <v>4298</v>
      </c>
      <c r="G4301">
        <f t="shared" ca="1" si="139"/>
        <v>1.9635562899264873E-2</v>
      </c>
    </row>
    <row r="4302" spans="2:7" x14ac:dyDescent="0.35">
      <c r="B4302" s="2">
        <v>39717</v>
      </c>
      <c r="C4302" s="4">
        <v>50.42</v>
      </c>
      <c r="D4302">
        <f t="shared" si="138"/>
        <v>-0.3904001934469834</v>
      </c>
      <c r="E4302">
        <v>-1.7919750681729685E-2</v>
      </c>
      <c r="F4302">
        <v>4299</v>
      </c>
      <c r="G4302">
        <f t="shared" ca="1" si="139"/>
        <v>4.3535546484353448E-2</v>
      </c>
    </row>
    <row r="4303" spans="2:7" x14ac:dyDescent="0.35">
      <c r="B4303" s="2">
        <v>40864</v>
      </c>
      <c r="C4303" s="4">
        <v>82.71</v>
      </c>
      <c r="D4303">
        <f t="shared" si="138"/>
        <v>7.1095571095570964E-2</v>
      </c>
      <c r="E4303">
        <v>-1.7929232961291897E-2</v>
      </c>
      <c r="F4303">
        <v>4300</v>
      </c>
      <c r="G4303">
        <f t="shared" ca="1" si="139"/>
        <v>1.2683306582072796E-2</v>
      </c>
    </row>
    <row r="4304" spans="2:7" x14ac:dyDescent="0.35">
      <c r="B4304" s="2">
        <v>39009</v>
      </c>
      <c r="C4304" s="4">
        <v>77.22</v>
      </c>
      <c r="D4304">
        <f t="shared" si="138"/>
        <v>0.21625452827216884</v>
      </c>
      <c r="E4304">
        <v>-1.7932086989698504E-2</v>
      </c>
      <c r="F4304">
        <v>4301</v>
      </c>
      <c r="G4304">
        <f t="shared" ca="1" si="139"/>
        <v>1.5308477134140182E-2</v>
      </c>
    </row>
    <row r="4305" spans="2:7" x14ac:dyDescent="0.35">
      <c r="B4305" s="2">
        <v>38891</v>
      </c>
      <c r="C4305" s="4">
        <v>63.49</v>
      </c>
      <c r="D4305">
        <f t="shared" si="138"/>
        <v>-0.95267238166231827</v>
      </c>
      <c r="E4305">
        <v>-1.7942768754833804E-2</v>
      </c>
      <c r="F4305">
        <v>4302</v>
      </c>
      <c r="G4305">
        <f t="shared" ca="1" si="139"/>
        <v>3.3046308231763383E-2</v>
      </c>
    </row>
    <row r="4306" spans="2:7" x14ac:dyDescent="0.35">
      <c r="B4306" s="2">
        <v>43311</v>
      </c>
      <c r="C4306" s="4">
        <v>1341.5</v>
      </c>
      <c r="D4306">
        <f t="shared" si="138"/>
        <v>14.763807285546417</v>
      </c>
      <c r="E4306">
        <v>-1.7985901161726714E-2</v>
      </c>
      <c r="F4306">
        <v>4303</v>
      </c>
      <c r="G4306">
        <f t="shared" ca="1" si="139"/>
        <v>-4.1898227927282927E-2</v>
      </c>
    </row>
    <row r="4307" spans="2:7" x14ac:dyDescent="0.35">
      <c r="B4307" s="2">
        <v>40829</v>
      </c>
      <c r="C4307" s="4">
        <v>85.1</v>
      </c>
      <c r="D4307">
        <f t="shared" si="138"/>
        <v>0.34758511480601739</v>
      </c>
      <c r="E4307">
        <v>-1.8001384721901714E-2</v>
      </c>
      <c r="F4307">
        <v>4304</v>
      </c>
      <c r="G4307">
        <f t="shared" ca="1" si="139"/>
        <v>-1.0689055703019585E-2</v>
      </c>
    </row>
    <row r="4308" spans="2:7" x14ac:dyDescent="0.35">
      <c r="B4308" s="2">
        <v>38450</v>
      </c>
      <c r="C4308" s="4">
        <v>63.15</v>
      </c>
      <c r="D4308">
        <f t="shared" si="138"/>
        <v>-0.74690393170614411</v>
      </c>
      <c r="E4308">
        <v>-1.8037630228580404E-2</v>
      </c>
      <c r="F4308">
        <v>4305</v>
      </c>
      <c r="G4308">
        <f t="shared" ca="1" si="139"/>
        <v>-1.7493263319309137E-2</v>
      </c>
    </row>
    <row r="4309" spans="2:7" x14ac:dyDescent="0.35">
      <c r="B4309" s="2">
        <v>41813</v>
      </c>
      <c r="C4309" s="4">
        <v>249.51</v>
      </c>
      <c r="D4309">
        <f t="shared" si="138"/>
        <v>1.8000224441701267</v>
      </c>
      <c r="E4309">
        <v>-1.8063754427390832E-2</v>
      </c>
      <c r="F4309">
        <v>4306</v>
      </c>
      <c r="G4309">
        <f t="shared" ca="1" si="139"/>
        <v>-2.3094589307254821E-2</v>
      </c>
    </row>
    <row r="4310" spans="2:7" x14ac:dyDescent="0.35">
      <c r="B4310" s="2">
        <v>39041</v>
      </c>
      <c r="C4310" s="4">
        <v>89.11</v>
      </c>
      <c r="D4310">
        <f t="shared" si="138"/>
        <v>0.80457675172134446</v>
      </c>
      <c r="E4310">
        <v>-1.8071625344352582E-2</v>
      </c>
      <c r="F4310">
        <v>4307</v>
      </c>
      <c r="G4310">
        <f t="shared" ca="1" si="139"/>
        <v>3.3167819543902834E-2</v>
      </c>
    </row>
    <row r="4311" spans="2:7" x14ac:dyDescent="0.35">
      <c r="B4311" s="2">
        <v>38250</v>
      </c>
      <c r="C4311" s="4">
        <v>49.38</v>
      </c>
      <c r="D4311">
        <f t="shared" si="138"/>
        <v>-0.15633008713480268</v>
      </c>
      <c r="E4311">
        <v>-1.8095048717438833E-2</v>
      </c>
      <c r="F4311">
        <v>4308</v>
      </c>
      <c r="G4311">
        <f t="shared" ca="1" si="139"/>
        <v>3.2617967718568258E-2</v>
      </c>
    </row>
    <row r="4312" spans="2:7" x14ac:dyDescent="0.35">
      <c r="B4312" s="2">
        <v>38483</v>
      </c>
      <c r="C4312" s="4">
        <v>58.53</v>
      </c>
      <c r="D4312">
        <f t="shared" si="138"/>
        <v>0.11422044545973731</v>
      </c>
      <c r="E4312">
        <v>-1.8117765475591296E-2</v>
      </c>
      <c r="F4312">
        <v>4309</v>
      </c>
      <c r="G4312">
        <f t="shared" ca="1" si="139"/>
        <v>4.4987109906051093E-2</v>
      </c>
    </row>
    <row r="4313" spans="2:7" x14ac:dyDescent="0.35">
      <c r="B4313" s="2">
        <v>38301</v>
      </c>
      <c r="C4313" s="4">
        <v>52.53</v>
      </c>
      <c r="D4313">
        <f t="shared" si="138"/>
        <v>-0.7984499098338641</v>
      </c>
      <c r="E4313">
        <v>-1.8130841121495322E-2</v>
      </c>
      <c r="F4313">
        <v>4310</v>
      </c>
      <c r="G4313">
        <f t="shared" ca="1" si="139"/>
        <v>-3.6605678991403393E-2</v>
      </c>
    </row>
    <row r="4314" spans="2:7" x14ac:dyDescent="0.35">
      <c r="B4314" s="2">
        <v>41716</v>
      </c>
      <c r="C4314" s="4">
        <v>260.63</v>
      </c>
      <c r="D4314">
        <f t="shared" si="138"/>
        <v>1.4018984425398577</v>
      </c>
      <c r="E4314">
        <v>-1.8157845168581654E-2</v>
      </c>
      <c r="F4314">
        <v>4311</v>
      </c>
      <c r="G4314">
        <f t="shared" ca="1" si="139"/>
        <v>-3.9557787214991272E-2</v>
      </c>
    </row>
    <row r="4315" spans="2:7" x14ac:dyDescent="0.35">
      <c r="B4315" s="2">
        <v>40660</v>
      </c>
      <c r="C4315" s="4">
        <v>108.51</v>
      </c>
      <c r="D4315">
        <f t="shared" si="138"/>
        <v>-0.86558900037160902</v>
      </c>
      <c r="E4315">
        <v>-1.818675352877297E-2</v>
      </c>
      <c r="F4315">
        <v>4312</v>
      </c>
      <c r="G4315">
        <f t="shared" ca="1" si="139"/>
        <v>-2.9641903184474124E-2</v>
      </c>
    </row>
    <row r="4316" spans="2:7" x14ac:dyDescent="0.35">
      <c r="B4316" s="2">
        <v>43591</v>
      </c>
      <c r="C4316" s="4">
        <v>807.3</v>
      </c>
      <c r="D4316">
        <f t="shared" si="138"/>
        <v>11.804123711340207</v>
      </c>
      <c r="E4316">
        <v>-1.8205698858039354E-2</v>
      </c>
      <c r="F4316">
        <v>4313</v>
      </c>
      <c r="G4316">
        <f t="shared" ca="1" si="139"/>
        <v>3.0025882071580079E-2</v>
      </c>
    </row>
    <row r="4317" spans="2:7" x14ac:dyDescent="0.35">
      <c r="B4317" s="2">
        <v>38653</v>
      </c>
      <c r="C4317" s="4">
        <v>63.05</v>
      </c>
      <c r="D4317">
        <f t="shared" si="138"/>
        <v>-0.45791419482417683</v>
      </c>
      <c r="E4317">
        <v>-1.8218623481781382E-2</v>
      </c>
      <c r="F4317">
        <v>4314</v>
      </c>
      <c r="G4317">
        <f t="shared" ca="1" si="139"/>
        <v>3.2175823935660555E-2</v>
      </c>
    </row>
    <row r="4318" spans="2:7" x14ac:dyDescent="0.35">
      <c r="B4318" s="2">
        <v>40553</v>
      </c>
      <c r="C4318" s="4">
        <v>116.31</v>
      </c>
      <c r="D4318">
        <f t="shared" si="138"/>
        <v>0.15010382675763867</v>
      </c>
      <c r="E4318">
        <v>-1.8232463914915176E-2</v>
      </c>
      <c r="F4318">
        <v>4315</v>
      </c>
      <c r="G4318">
        <f t="shared" ca="1" si="139"/>
        <v>-4.6513543200032174E-3</v>
      </c>
    </row>
    <row r="4319" spans="2:7" x14ac:dyDescent="0.35">
      <c r="B4319" s="2">
        <v>40667</v>
      </c>
      <c r="C4319" s="4">
        <v>101.13</v>
      </c>
      <c r="D4319">
        <f t="shared" si="138"/>
        <v>0.37237074229881939</v>
      </c>
      <c r="E4319">
        <v>-1.8250655276186856E-2</v>
      </c>
      <c r="F4319">
        <v>4316</v>
      </c>
      <c r="G4319">
        <f t="shared" ca="1" si="139"/>
        <v>5.0152594288942406E-2</v>
      </c>
    </row>
    <row r="4320" spans="2:7" x14ac:dyDescent="0.35">
      <c r="B4320" s="2">
        <v>40907</v>
      </c>
      <c r="C4320" s="4">
        <v>73.69</v>
      </c>
      <c r="D4320">
        <f t="shared" si="138"/>
        <v>-0.93507488986784137</v>
      </c>
      <c r="E4320">
        <v>-1.8252065014655039E-2</v>
      </c>
      <c r="F4320">
        <v>4317</v>
      </c>
      <c r="G4320">
        <f t="shared" ca="1" si="139"/>
        <v>-2.9979487657005924E-2</v>
      </c>
    </row>
    <row r="4321" spans="2:7" x14ac:dyDescent="0.35">
      <c r="B4321" s="2">
        <v>43222</v>
      </c>
      <c r="C4321" s="4">
        <v>1135</v>
      </c>
      <c r="D4321">
        <f t="shared" si="138"/>
        <v>1.0867039270480956</v>
      </c>
      <c r="E4321">
        <v>-1.8259508178287476E-2</v>
      </c>
      <c r="F4321">
        <v>4318</v>
      </c>
      <c r="G4321">
        <f t="shared" ca="1" si="139"/>
        <v>-8.4480154730309509E-3</v>
      </c>
    </row>
    <row r="4322" spans="2:7" x14ac:dyDescent="0.35">
      <c r="B4322" s="2">
        <v>42079</v>
      </c>
      <c r="C4322" s="4">
        <v>543.91999999999996</v>
      </c>
      <c r="D4322">
        <f t="shared" si="138"/>
        <v>9.132637853949328</v>
      </c>
      <c r="E4322">
        <v>-1.8265829182008475E-2</v>
      </c>
      <c r="F4322">
        <v>4319</v>
      </c>
      <c r="G4322">
        <f t="shared" ca="1" si="139"/>
        <v>4.6327685589387844E-2</v>
      </c>
    </row>
    <row r="4323" spans="2:7" x14ac:dyDescent="0.35">
      <c r="B4323" s="2">
        <v>38408</v>
      </c>
      <c r="C4323" s="4">
        <v>53.68</v>
      </c>
      <c r="D4323">
        <f t="shared" si="138"/>
        <v>-0.45497004772058069</v>
      </c>
      <c r="E4323">
        <v>-1.8288222384784225E-2</v>
      </c>
      <c r="F4323">
        <v>4320</v>
      </c>
      <c r="G4323">
        <f t="shared" ca="1" si="139"/>
        <v>-4.1863697761390104E-3</v>
      </c>
    </row>
    <row r="4324" spans="2:7" x14ac:dyDescent="0.35">
      <c r="B4324" s="2">
        <v>40186</v>
      </c>
      <c r="C4324" s="4">
        <v>98.49</v>
      </c>
      <c r="D4324">
        <f t="shared" si="138"/>
        <v>-0.12367648367292472</v>
      </c>
      <c r="E4324">
        <v>-1.8339479716934171E-2</v>
      </c>
      <c r="F4324">
        <v>4321</v>
      </c>
      <c r="G4324">
        <f t="shared" ca="1" si="139"/>
        <v>4.3561620268015758E-2</v>
      </c>
    </row>
    <row r="4325" spans="2:7" x14ac:dyDescent="0.35">
      <c r="B4325" s="2">
        <v>40248</v>
      </c>
      <c r="C4325" s="4">
        <v>112.39</v>
      </c>
      <c r="D4325">
        <f t="shared" si="138"/>
        <v>0.3378169265563622</v>
      </c>
      <c r="E4325">
        <v>-1.8342213293737419E-2</v>
      </c>
      <c r="F4325">
        <v>4322</v>
      </c>
      <c r="G4325">
        <f t="shared" ca="1" si="139"/>
        <v>2.0416404584609152E-2</v>
      </c>
    </row>
    <row r="4326" spans="2:7" x14ac:dyDescent="0.35">
      <c r="B4326" s="2">
        <v>41012</v>
      </c>
      <c r="C4326" s="4">
        <v>84.01</v>
      </c>
      <c r="D4326">
        <f t="shared" si="138"/>
        <v>-0.9864502622529886</v>
      </c>
      <c r="E4326">
        <v>-1.8345407805561931E-2</v>
      </c>
      <c r="F4326">
        <v>4323</v>
      </c>
      <c r="G4326">
        <f t="shared" ca="1" si="139"/>
        <v>-1.4880991807303422E-2</v>
      </c>
    </row>
    <row r="4327" spans="2:7" x14ac:dyDescent="0.35">
      <c r="B4327" s="2">
        <v>44477</v>
      </c>
      <c r="C4327" s="4">
        <v>6200.12</v>
      </c>
      <c r="D4327">
        <f t="shared" si="138"/>
        <v>6.0512800100080746</v>
      </c>
      <c r="E4327">
        <v>-1.8359488796848678E-2</v>
      </c>
      <c r="F4327">
        <v>4324</v>
      </c>
      <c r="G4327">
        <f t="shared" ca="1" si="139"/>
        <v>-2.8219589668501376E-2</v>
      </c>
    </row>
    <row r="4328" spans="2:7" x14ac:dyDescent="0.35">
      <c r="B4328" s="2">
        <v>42284</v>
      </c>
      <c r="C4328" s="4">
        <v>879.29</v>
      </c>
      <c r="D4328">
        <f t="shared" si="138"/>
        <v>15.313358070500929</v>
      </c>
      <c r="E4328">
        <v>-1.8364704043584146E-2</v>
      </c>
      <c r="F4328">
        <v>4325</v>
      </c>
      <c r="G4328">
        <f t="shared" ca="1" si="139"/>
        <v>-3.126926542834637E-3</v>
      </c>
    </row>
    <row r="4329" spans="2:7" x14ac:dyDescent="0.35">
      <c r="B4329" s="2">
        <v>38385</v>
      </c>
      <c r="C4329" s="4">
        <v>53.9</v>
      </c>
      <c r="D4329">
        <f t="shared" si="138"/>
        <v>-0.98717262223491475</v>
      </c>
      <c r="E4329">
        <v>-1.8393735203059536E-2</v>
      </c>
      <c r="F4329">
        <v>4326</v>
      </c>
      <c r="G4329">
        <f t="shared" ca="1" si="139"/>
        <v>-7.5495248572434552E-3</v>
      </c>
    </row>
    <row r="4330" spans="2:7" x14ac:dyDescent="0.35">
      <c r="B4330" s="2">
        <v>44396</v>
      </c>
      <c r="C4330" s="4">
        <v>4201.95</v>
      </c>
      <c r="D4330">
        <f t="shared" si="138"/>
        <v>11.216036282233913</v>
      </c>
      <c r="E4330">
        <v>-1.843091909317085E-2</v>
      </c>
      <c r="F4330">
        <v>4327</v>
      </c>
      <c r="G4330">
        <f t="shared" ca="1" si="139"/>
        <v>-4.0348294582073625E-2</v>
      </c>
    </row>
    <row r="4331" spans="2:7" x14ac:dyDescent="0.35">
      <c r="B4331" s="2">
        <v>42041</v>
      </c>
      <c r="C4331" s="4">
        <v>343.97</v>
      </c>
      <c r="D4331">
        <f t="shared" si="138"/>
        <v>-0.94650045105297542</v>
      </c>
      <c r="E4331">
        <v>-1.8462504280333247E-2</v>
      </c>
      <c r="F4331">
        <v>4328</v>
      </c>
      <c r="G4331">
        <f t="shared" ca="1" si="139"/>
        <v>-2.606582129846197E-2</v>
      </c>
    </row>
    <row r="4332" spans="2:7" x14ac:dyDescent="0.35">
      <c r="B4332" s="2">
        <v>44911</v>
      </c>
      <c r="C4332" s="4">
        <v>6429.4</v>
      </c>
      <c r="D4332">
        <f t="shared" si="138"/>
        <v>9.5684134394108735</v>
      </c>
      <c r="E4332">
        <v>-1.8464662193623305E-2</v>
      </c>
      <c r="F4332">
        <v>4329</v>
      </c>
      <c r="G4332">
        <f t="shared" ca="1" si="139"/>
        <v>-9.9874497648067551E-3</v>
      </c>
    </row>
    <row r="4333" spans="2:7" x14ac:dyDescent="0.35">
      <c r="B4333" s="2">
        <v>43727</v>
      </c>
      <c r="C4333" s="4">
        <v>608.36</v>
      </c>
      <c r="D4333">
        <f t="shared" si="138"/>
        <v>7.9019607843137258</v>
      </c>
      <c r="E4333">
        <v>-1.8473403139671718E-2</v>
      </c>
      <c r="F4333">
        <v>4330</v>
      </c>
      <c r="G4333">
        <f t="shared" ca="1" si="139"/>
        <v>2.6926869879644968E-3</v>
      </c>
    </row>
    <row r="4334" spans="2:7" x14ac:dyDescent="0.35">
      <c r="B4334" s="2">
        <v>38678</v>
      </c>
      <c r="C4334" s="4">
        <v>68.34</v>
      </c>
      <c r="D4334">
        <f t="shared" si="138"/>
        <v>1.6426914153132253</v>
      </c>
      <c r="E4334">
        <v>-1.852649719948285E-2</v>
      </c>
      <c r="F4334">
        <v>4331</v>
      </c>
      <c r="G4334">
        <f t="shared" ca="1" si="139"/>
        <v>2.780859525809054E-3</v>
      </c>
    </row>
    <row r="4335" spans="2:7" x14ac:dyDescent="0.35">
      <c r="B4335" s="2">
        <v>37855</v>
      </c>
      <c r="C4335" s="4">
        <v>25.86</v>
      </c>
      <c r="D4335">
        <f t="shared" si="138"/>
        <v>-0.98283711854732736</v>
      </c>
      <c r="E4335">
        <v>-1.8595825426945045E-2</v>
      </c>
      <c r="F4335">
        <v>4332</v>
      </c>
      <c r="G4335">
        <f t="shared" ca="1" si="139"/>
        <v>3.9814147987717083E-2</v>
      </c>
    </row>
    <row r="4336" spans="2:7" x14ac:dyDescent="0.35">
      <c r="B4336" s="2">
        <v>44144</v>
      </c>
      <c r="C4336" s="4">
        <v>1506.74</v>
      </c>
      <c r="D4336">
        <f t="shared" si="138"/>
        <v>11.103301469997591</v>
      </c>
      <c r="E4336">
        <v>-1.860861975757333E-2</v>
      </c>
      <c r="F4336">
        <v>4333</v>
      </c>
      <c r="G4336">
        <f t="shared" ca="1" si="139"/>
        <v>1.0710270314306146E-2</v>
      </c>
    </row>
    <row r="4337" spans="2:7" x14ac:dyDescent="0.35">
      <c r="B4337" s="2">
        <v>40485</v>
      </c>
      <c r="C4337" s="4">
        <v>124.49</v>
      </c>
      <c r="D4337">
        <f t="shared" si="138"/>
        <v>0.12355595667870034</v>
      </c>
      <c r="E4337">
        <v>-1.868201166640393E-2</v>
      </c>
      <c r="F4337">
        <v>4334</v>
      </c>
      <c r="G4337">
        <f t="shared" ca="1" si="139"/>
        <v>-4.0600545716163294E-3</v>
      </c>
    </row>
    <row r="4338" spans="2:7" x14ac:dyDescent="0.35">
      <c r="B4338" s="2">
        <v>39342</v>
      </c>
      <c r="C4338" s="4">
        <v>110.8</v>
      </c>
      <c r="D4338">
        <f t="shared" si="138"/>
        <v>3.6909398814563925</v>
      </c>
      <c r="E4338">
        <v>-1.8687450181560483E-2</v>
      </c>
      <c r="F4338">
        <v>4335</v>
      </c>
      <c r="G4338">
        <f t="shared" ca="1" si="139"/>
        <v>1.3818804125677129E-2</v>
      </c>
    </row>
    <row r="4339" spans="2:7" x14ac:dyDescent="0.35">
      <c r="B4339" s="2">
        <v>38069</v>
      </c>
      <c r="C4339" s="4">
        <v>23.62</v>
      </c>
      <c r="D4339">
        <f t="shared" si="138"/>
        <v>-0.99681972042622746</v>
      </c>
      <c r="E4339">
        <v>-1.8695471541337771E-2</v>
      </c>
      <c r="F4339">
        <v>4336</v>
      </c>
      <c r="G4339">
        <f t="shared" ca="1" si="139"/>
        <v>7.7464860633504773E-2</v>
      </c>
    </row>
    <row r="4340" spans="2:7" x14ac:dyDescent="0.35">
      <c r="B4340" s="2">
        <v>44593</v>
      </c>
      <c r="C4340" s="4">
        <v>7427.02</v>
      </c>
      <c r="D4340">
        <f t="shared" si="138"/>
        <v>9.021616515989745</v>
      </c>
      <c r="E4340">
        <v>-1.873216361906771E-2</v>
      </c>
      <c r="F4340">
        <v>4337</v>
      </c>
      <c r="G4340">
        <f t="shared" ca="1" si="139"/>
        <v>4.5258111539177295E-3</v>
      </c>
    </row>
    <row r="4341" spans="2:7" x14ac:dyDescent="0.35">
      <c r="B4341" s="2">
        <v>43969</v>
      </c>
      <c r="C4341" s="4">
        <v>741.1</v>
      </c>
      <c r="D4341">
        <f t="shared" si="138"/>
        <v>-0.50269421498694833</v>
      </c>
      <c r="E4341">
        <v>-1.8826457660329421E-2</v>
      </c>
      <c r="F4341">
        <v>4338</v>
      </c>
      <c r="G4341">
        <f t="shared" ca="1" si="139"/>
        <v>1.6993659365694067E-2</v>
      </c>
    </row>
    <row r="4342" spans="2:7" x14ac:dyDescent="0.35">
      <c r="B4342" s="2">
        <v>44161</v>
      </c>
      <c r="C4342" s="4">
        <v>1490.23</v>
      </c>
      <c r="D4342">
        <f t="shared" si="138"/>
        <v>23.051484828921886</v>
      </c>
      <c r="E4342">
        <v>-1.884320373967141E-2</v>
      </c>
      <c r="F4342">
        <v>4339</v>
      </c>
      <c r="G4342">
        <f t="shared" ca="1" si="139"/>
        <v>-1.612697431279882E-2</v>
      </c>
    </row>
    <row r="4343" spans="2:7" x14ac:dyDescent="0.35">
      <c r="B4343" s="2">
        <v>38453</v>
      </c>
      <c r="C4343" s="4">
        <v>61.96</v>
      </c>
      <c r="D4343">
        <f t="shared" si="138"/>
        <v>4.7152273111374043E-2</v>
      </c>
      <c r="E4343">
        <v>-1.8844022169437813E-2</v>
      </c>
      <c r="F4343">
        <v>4340</v>
      </c>
      <c r="G4343">
        <f t="shared" ca="1" si="139"/>
        <v>3.1300778979635041E-2</v>
      </c>
    </row>
    <row r="4344" spans="2:7" x14ac:dyDescent="0.35">
      <c r="B4344" s="2">
        <v>38905</v>
      </c>
      <c r="C4344" s="4">
        <v>59.17</v>
      </c>
      <c r="D4344">
        <f t="shared" si="138"/>
        <v>-0.75525314361350104</v>
      </c>
      <c r="E4344">
        <v>-1.8902337920742807E-2</v>
      </c>
      <c r="F4344">
        <v>4341</v>
      </c>
      <c r="G4344">
        <f t="shared" ca="1" si="139"/>
        <v>2.5176859282215469E-2</v>
      </c>
    </row>
    <row r="4345" spans="2:7" x14ac:dyDescent="0.35">
      <c r="B4345" s="2">
        <v>41808</v>
      </c>
      <c r="C4345" s="4">
        <v>241.76</v>
      </c>
      <c r="D4345">
        <f t="shared" si="138"/>
        <v>-0.96056728565719829</v>
      </c>
      <c r="E4345">
        <v>-1.8910802694586448E-2</v>
      </c>
      <c r="F4345">
        <v>4342</v>
      </c>
      <c r="G4345">
        <f t="shared" ca="1" si="139"/>
        <v>-5.6082646187009255E-2</v>
      </c>
    </row>
    <row r="4346" spans="2:7" x14ac:dyDescent="0.35">
      <c r="B4346" s="2">
        <v>44998</v>
      </c>
      <c r="C4346" s="4">
        <v>6130.95</v>
      </c>
      <c r="D4346">
        <f t="shared" si="138"/>
        <v>24.046776697442599</v>
      </c>
      <c r="E4346">
        <v>-1.8938121069559832E-2</v>
      </c>
      <c r="F4346">
        <v>4343</v>
      </c>
      <c r="G4346">
        <f t="shared" ca="1" si="139"/>
        <v>4.233202233866766E-2</v>
      </c>
    </row>
    <row r="4347" spans="2:7" x14ac:dyDescent="0.35">
      <c r="B4347" s="2">
        <v>41732</v>
      </c>
      <c r="C4347" s="4">
        <v>244.78</v>
      </c>
      <c r="D4347">
        <f t="shared" si="138"/>
        <v>2.2412605932203391</v>
      </c>
      <c r="E4347">
        <v>-1.8957156025810495E-2</v>
      </c>
      <c r="F4347">
        <v>4344</v>
      </c>
      <c r="G4347">
        <f t="shared" ca="1" si="139"/>
        <v>3.6974779309806149E-3</v>
      </c>
    </row>
    <row r="4348" spans="2:7" x14ac:dyDescent="0.35">
      <c r="B4348" s="2">
        <v>41505</v>
      </c>
      <c r="C4348" s="4">
        <v>75.52</v>
      </c>
      <c r="D4348">
        <f t="shared" si="138"/>
        <v>-0.28423846080940207</v>
      </c>
      <c r="E4348">
        <v>-1.8965965185762657E-2</v>
      </c>
      <c r="F4348">
        <v>4345</v>
      </c>
      <c r="G4348">
        <f t="shared" ca="1" si="139"/>
        <v>2.7419255294000633E-2</v>
      </c>
    </row>
    <row r="4349" spans="2:7" x14ac:dyDescent="0.35">
      <c r="B4349" s="2">
        <v>40644</v>
      </c>
      <c r="C4349" s="4">
        <v>105.51</v>
      </c>
      <c r="D4349">
        <f t="shared" si="138"/>
        <v>-0.98183558544987526</v>
      </c>
      <c r="E4349">
        <v>-1.8967921896792084E-2</v>
      </c>
      <c r="F4349">
        <v>4346</v>
      </c>
      <c r="G4349">
        <f t="shared" ca="1" si="139"/>
        <v>-7.4733168278941463E-3</v>
      </c>
    </row>
    <row r="4350" spans="2:7" x14ac:dyDescent="0.35">
      <c r="B4350" s="2">
        <v>44526</v>
      </c>
      <c r="C4350" s="4">
        <v>5808.61</v>
      </c>
      <c r="D4350">
        <f t="shared" si="138"/>
        <v>74.40711411138517</v>
      </c>
      <c r="E4350">
        <v>-1.8971649771826748E-2</v>
      </c>
      <c r="F4350">
        <v>4347</v>
      </c>
      <c r="G4350">
        <f t="shared" ca="1" si="139"/>
        <v>2.0702236085467344E-2</v>
      </c>
    </row>
    <row r="4351" spans="2:7" x14ac:dyDescent="0.35">
      <c r="B4351" s="2">
        <v>40892</v>
      </c>
      <c r="C4351" s="4">
        <v>77.03</v>
      </c>
      <c r="D4351">
        <f t="shared" si="138"/>
        <v>3.8280091656557547E-2</v>
      </c>
      <c r="E4351">
        <v>-1.8976057055527185E-2</v>
      </c>
      <c r="F4351">
        <v>4348</v>
      </c>
      <c r="G4351">
        <f t="shared" ca="1" si="139"/>
        <v>-3.7217018794649063E-3</v>
      </c>
    </row>
    <row r="4352" spans="2:7" x14ac:dyDescent="0.35">
      <c r="B4352" s="2">
        <v>41492</v>
      </c>
      <c r="C4352" s="4">
        <v>74.19</v>
      </c>
      <c r="D4352">
        <f t="shared" si="138"/>
        <v>-0.94444694042591426</v>
      </c>
      <c r="E4352">
        <v>-1.9040063466878143E-2</v>
      </c>
      <c r="F4352">
        <v>4349</v>
      </c>
      <c r="G4352">
        <f t="shared" ca="1" si="139"/>
        <v>-7.2596916611170806E-2</v>
      </c>
    </row>
    <row r="4353" spans="2:7" x14ac:dyDescent="0.35">
      <c r="B4353" s="2">
        <v>43336</v>
      </c>
      <c r="C4353" s="4">
        <v>1335.48</v>
      </c>
      <c r="D4353">
        <f t="shared" si="138"/>
        <v>4.5658914728682172</v>
      </c>
      <c r="E4353">
        <v>-1.9046429804393972E-2</v>
      </c>
      <c r="F4353">
        <v>4350</v>
      </c>
      <c r="G4353">
        <f t="shared" ca="1" si="139"/>
        <v>5.6521053195785417E-3</v>
      </c>
    </row>
    <row r="4354" spans="2:7" x14ac:dyDescent="0.35">
      <c r="B4354" s="2">
        <v>41745</v>
      </c>
      <c r="C4354" s="4">
        <v>239.94</v>
      </c>
      <c r="D4354">
        <f t="shared" si="138"/>
        <v>2.3529904974846283</v>
      </c>
      <c r="E4354">
        <v>-1.9051512673753046E-2</v>
      </c>
      <c r="F4354">
        <v>4351</v>
      </c>
      <c r="G4354">
        <f t="shared" ca="1" si="139"/>
        <v>8.635898593220696E-3</v>
      </c>
    </row>
    <row r="4355" spans="2:7" x14ac:dyDescent="0.35">
      <c r="B4355" s="2">
        <v>39622</v>
      </c>
      <c r="C4355" s="4">
        <v>71.56</v>
      </c>
      <c r="D4355">
        <f t="shared" si="138"/>
        <v>-0.74113731732021415</v>
      </c>
      <c r="E4355">
        <v>-1.9054146675805406E-2</v>
      </c>
      <c r="F4355">
        <v>4352</v>
      </c>
      <c r="G4355">
        <f t="shared" ca="1" si="139"/>
        <v>1.2360050137570499E-2</v>
      </c>
    </row>
    <row r="4356" spans="2:7" x14ac:dyDescent="0.35">
      <c r="B4356" s="2">
        <v>41845</v>
      </c>
      <c r="C4356" s="4">
        <v>276.44</v>
      </c>
      <c r="D4356">
        <f t="shared" ref="D4356:D4419" si="140">C4356/C4357-1</f>
        <v>-0.7913187891598098</v>
      </c>
      <c r="E4356">
        <v>-1.9055391930733467E-2</v>
      </c>
      <c r="F4356">
        <v>4353</v>
      </c>
      <c r="G4356">
        <f t="shared" ca="1" si="139"/>
        <v>3.7852382412221927E-2</v>
      </c>
    </row>
    <row r="4357" spans="2:7" x14ac:dyDescent="0.35">
      <c r="B4357" s="2">
        <v>43314</v>
      </c>
      <c r="C4357" s="4">
        <v>1324.7</v>
      </c>
      <c r="D4357">
        <f t="shared" si="140"/>
        <v>0.40230347426587354</v>
      </c>
      <c r="E4357">
        <v>-1.9096772282652941E-2</v>
      </c>
      <c r="F4357">
        <v>4354</v>
      </c>
      <c r="G4357">
        <f t="shared" ref="G4357:G4420" ca="1" si="141">_xlfn.NORM.INV(RAND(),K$6,K$7)</f>
        <v>1.3022540871899151E-2</v>
      </c>
    </row>
    <row r="4358" spans="2:7" x14ac:dyDescent="0.35">
      <c r="B4358" s="2">
        <v>42237</v>
      </c>
      <c r="C4358" s="4">
        <v>944.66</v>
      </c>
      <c r="D4358">
        <f t="shared" si="140"/>
        <v>24.916598079561041</v>
      </c>
      <c r="E4358">
        <v>-1.9105767034244936E-2</v>
      </c>
      <c r="F4358">
        <v>4355</v>
      </c>
      <c r="G4358">
        <f t="shared" ca="1" si="141"/>
        <v>1.7174446743594061E-2</v>
      </c>
    </row>
    <row r="4359" spans="2:7" x14ac:dyDescent="0.35">
      <c r="B4359" s="2">
        <v>39766</v>
      </c>
      <c r="C4359" s="4">
        <v>36.450000000000003</v>
      </c>
      <c r="D4359">
        <f t="shared" si="140"/>
        <v>-0.58199541284403666</v>
      </c>
      <c r="E4359">
        <v>-1.9106566200215114E-2</v>
      </c>
      <c r="F4359">
        <v>4356</v>
      </c>
      <c r="G4359">
        <f t="shared" ca="1" si="141"/>
        <v>-1.9286278901037786E-2</v>
      </c>
    </row>
    <row r="4360" spans="2:7" x14ac:dyDescent="0.35">
      <c r="B4360" s="2">
        <v>39071</v>
      </c>
      <c r="C4360" s="4">
        <v>87.2</v>
      </c>
      <c r="D4360">
        <f t="shared" si="140"/>
        <v>5.0096339113680166E-2</v>
      </c>
      <c r="E4360">
        <v>-1.9122609673790758E-2</v>
      </c>
      <c r="F4360">
        <v>4357</v>
      </c>
      <c r="G4360">
        <f t="shared" ca="1" si="141"/>
        <v>-7.9887613380274815E-3</v>
      </c>
    </row>
    <row r="4361" spans="2:7" x14ac:dyDescent="0.35">
      <c r="B4361" s="2">
        <v>40780</v>
      </c>
      <c r="C4361" s="4">
        <v>83.04</v>
      </c>
      <c r="D4361">
        <f t="shared" si="140"/>
        <v>-0.92699395132930085</v>
      </c>
      <c r="E4361">
        <v>-1.9135364989369075E-2</v>
      </c>
      <c r="F4361">
        <v>4358</v>
      </c>
      <c r="G4361">
        <f t="shared" ca="1" si="141"/>
        <v>3.5402772091940413E-2</v>
      </c>
    </row>
    <row r="4362" spans="2:7" x14ac:dyDescent="0.35">
      <c r="B4362" s="2">
        <v>44078</v>
      </c>
      <c r="C4362" s="4">
        <v>1137.44</v>
      </c>
      <c r="D4362">
        <f t="shared" si="140"/>
        <v>11.070890374615303</v>
      </c>
      <c r="E4362">
        <v>-1.9143872236211279E-2</v>
      </c>
      <c r="F4362">
        <v>4359</v>
      </c>
      <c r="G4362">
        <f t="shared" ca="1" si="141"/>
        <v>9.5929798559243953E-3</v>
      </c>
    </row>
    <row r="4363" spans="2:7" x14ac:dyDescent="0.35">
      <c r="B4363" s="2">
        <v>41213</v>
      </c>
      <c r="C4363" s="4">
        <v>94.23</v>
      </c>
      <c r="D4363">
        <f t="shared" si="140"/>
        <v>1.968809073724008</v>
      </c>
      <c r="E4363">
        <v>-1.9152701155407459E-2</v>
      </c>
      <c r="F4363">
        <v>4360</v>
      </c>
      <c r="G4363">
        <f t="shared" ca="1" si="141"/>
        <v>-3.6522756666923742E-2</v>
      </c>
    </row>
    <row r="4364" spans="2:7" x14ac:dyDescent="0.35">
      <c r="B4364" s="2">
        <v>37515</v>
      </c>
      <c r="C4364" s="4">
        <v>31.74</v>
      </c>
      <c r="D4364">
        <f t="shared" si="140"/>
        <v>-0.95872400743852171</v>
      </c>
      <c r="E4364">
        <v>-1.9159456118665097E-2</v>
      </c>
      <c r="F4364">
        <v>4361</v>
      </c>
      <c r="G4364">
        <f t="shared" ca="1" si="141"/>
        <v>6.0572256149008526E-2</v>
      </c>
    </row>
    <row r="4365" spans="2:7" x14ac:dyDescent="0.35">
      <c r="B4365" s="2">
        <v>43782</v>
      </c>
      <c r="C4365" s="4">
        <v>768.97</v>
      </c>
      <c r="D4365">
        <f t="shared" si="140"/>
        <v>-0.91374134855912148</v>
      </c>
      <c r="E4365">
        <v>-1.9195938879110197E-2</v>
      </c>
      <c r="F4365">
        <v>4362</v>
      </c>
      <c r="G4365">
        <f t="shared" ca="1" si="141"/>
        <v>1.7809754234947885E-2</v>
      </c>
    </row>
    <row r="4366" spans="2:7" x14ac:dyDescent="0.35">
      <c r="B4366" s="2">
        <v>44818</v>
      </c>
      <c r="C4366" s="4">
        <v>8914.7000000000007</v>
      </c>
      <c r="D4366">
        <f t="shared" si="140"/>
        <v>322.93531976744191</v>
      </c>
      <c r="E4366">
        <v>-1.9198609338555661E-2</v>
      </c>
      <c r="F4366">
        <v>4363</v>
      </c>
      <c r="G4366">
        <f t="shared" ca="1" si="141"/>
        <v>6.5971886029459158E-3</v>
      </c>
    </row>
    <row r="4367" spans="2:7" x14ac:dyDescent="0.35">
      <c r="B4367" s="2">
        <v>38056</v>
      </c>
      <c r="C4367" s="4">
        <v>27.52</v>
      </c>
      <c r="D4367">
        <f t="shared" si="140"/>
        <v>-0.70955145118733509</v>
      </c>
      <c r="E4367">
        <v>-1.9244476122594389E-2</v>
      </c>
      <c r="F4367">
        <v>4364</v>
      </c>
      <c r="G4367">
        <f t="shared" ca="1" si="141"/>
        <v>1.9512550473657995E-2</v>
      </c>
    </row>
    <row r="4368" spans="2:7" x14ac:dyDescent="0.35">
      <c r="B4368" s="2">
        <v>41124</v>
      </c>
      <c r="C4368" s="4">
        <v>94.75</v>
      </c>
      <c r="D4368">
        <f t="shared" si="140"/>
        <v>-0.6386070638492638</v>
      </c>
      <c r="E4368">
        <v>-1.9252665355553256E-2</v>
      </c>
      <c r="F4368">
        <v>4365</v>
      </c>
      <c r="G4368">
        <f t="shared" ca="1" si="141"/>
        <v>5.9296227993733866E-2</v>
      </c>
    </row>
    <row r="4369" spans="2:7" x14ac:dyDescent="0.35">
      <c r="B4369" s="2">
        <v>41992</v>
      </c>
      <c r="C4369" s="4">
        <v>262.18</v>
      </c>
      <c r="D4369">
        <f t="shared" si="140"/>
        <v>1.6170892393691356</v>
      </c>
      <c r="E4369">
        <v>-1.9374625972471637E-2</v>
      </c>
      <c r="F4369">
        <v>4366</v>
      </c>
      <c r="G4369">
        <f t="shared" ca="1" si="141"/>
        <v>-1.8913193120299824E-2</v>
      </c>
    </row>
    <row r="4370" spans="2:7" x14ac:dyDescent="0.35">
      <c r="B4370" s="2">
        <v>40337</v>
      </c>
      <c r="C4370" s="4">
        <v>100.18</v>
      </c>
      <c r="D4370">
        <f t="shared" si="140"/>
        <v>0.47998227212291344</v>
      </c>
      <c r="E4370">
        <v>-1.9381362568519855E-2</v>
      </c>
      <c r="F4370">
        <v>4367</v>
      </c>
      <c r="G4370">
        <f t="shared" ca="1" si="141"/>
        <v>2.0795921011162666E-2</v>
      </c>
    </row>
    <row r="4371" spans="2:7" x14ac:dyDescent="0.35">
      <c r="B4371" s="2">
        <v>40079</v>
      </c>
      <c r="C4371" s="4">
        <v>67.69</v>
      </c>
      <c r="D4371">
        <f t="shared" si="140"/>
        <v>-0.94025543032153858</v>
      </c>
      <c r="E4371">
        <v>-1.941184992032452E-2</v>
      </c>
      <c r="F4371">
        <v>4368</v>
      </c>
      <c r="G4371">
        <f t="shared" ca="1" si="141"/>
        <v>1.2844981312226758E-2</v>
      </c>
    </row>
    <row r="4372" spans="2:7" x14ac:dyDescent="0.35">
      <c r="B4372" s="2">
        <v>43252</v>
      </c>
      <c r="C4372" s="4">
        <v>1132.99</v>
      </c>
      <c r="D4372">
        <f t="shared" si="140"/>
        <v>1.2239037412161897</v>
      </c>
      <c r="E4372">
        <v>-1.9438314076766661E-2</v>
      </c>
      <c r="F4372">
        <v>4369</v>
      </c>
      <c r="G4372">
        <f t="shared" ca="1" si="141"/>
        <v>4.2080386531231632E-2</v>
      </c>
    </row>
    <row r="4373" spans="2:7" x14ac:dyDescent="0.35">
      <c r="B4373" s="2">
        <v>42115</v>
      </c>
      <c r="C4373" s="4">
        <v>509.46</v>
      </c>
      <c r="D4373">
        <f t="shared" si="140"/>
        <v>6.5733610822060351</v>
      </c>
      <c r="E4373">
        <v>-1.9515011547344141E-2</v>
      </c>
      <c r="F4373">
        <v>4370</v>
      </c>
      <c r="G4373">
        <f t="shared" ca="1" si="141"/>
        <v>-2.2403259784842824E-2</v>
      </c>
    </row>
    <row r="4374" spans="2:7" x14ac:dyDescent="0.35">
      <c r="B4374" s="2">
        <v>39576</v>
      </c>
      <c r="C4374" s="4">
        <v>67.27</v>
      </c>
      <c r="D4374">
        <f t="shared" si="140"/>
        <v>1.393098541444326</v>
      </c>
      <c r="E4374">
        <v>-1.9530680658796151E-2</v>
      </c>
      <c r="F4374">
        <v>4371</v>
      </c>
      <c r="G4374">
        <f t="shared" ca="1" si="141"/>
        <v>-1.7101431942245161E-2</v>
      </c>
    </row>
    <row r="4375" spans="2:7" x14ac:dyDescent="0.35">
      <c r="B4375" s="2">
        <v>37866</v>
      </c>
      <c r="C4375" s="4">
        <v>28.11</v>
      </c>
      <c r="D4375">
        <f t="shared" si="140"/>
        <v>-0.96467572288475312</v>
      </c>
      <c r="E4375">
        <v>-1.9532612486920176E-2</v>
      </c>
      <c r="F4375">
        <v>4372</v>
      </c>
      <c r="G4375">
        <f t="shared" ca="1" si="141"/>
        <v>-3.94042857686039E-2</v>
      </c>
    </row>
    <row r="4376" spans="2:7" x14ac:dyDescent="0.35">
      <c r="B4376" s="2">
        <v>43598</v>
      </c>
      <c r="C4376" s="4">
        <v>795.77</v>
      </c>
      <c r="D4376">
        <f t="shared" si="140"/>
        <v>19.14097696785624</v>
      </c>
      <c r="E4376">
        <v>-1.9601320717524073E-2</v>
      </c>
      <c r="F4376">
        <v>4373</v>
      </c>
      <c r="G4376">
        <f t="shared" ca="1" si="141"/>
        <v>-4.3077667062906791E-2</v>
      </c>
    </row>
    <row r="4377" spans="2:7" x14ac:dyDescent="0.35">
      <c r="B4377" s="2">
        <v>38194</v>
      </c>
      <c r="C4377" s="4">
        <v>39.51</v>
      </c>
      <c r="D4377">
        <f t="shared" si="140"/>
        <v>-0.99345638834372596</v>
      </c>
      <c r="E4377">
        <v>-1.9602977667493748E-2</v>
      </c>
      <c r="F4377">
        <v>4374</v>
      </c>
      <c r="G4377">
        <f t="shared" ca="1" si="141"/>
        <v>-8.029243899091763E-3</v>
      </c>
    </row>
    <row r="4378" spans="2:7" x14ac:dyDescent="0.35">
      <c r="B4378" s="2">
        <v>45005</v>
      </c>
      <c r="C4378" s="4">
        <v>6037.95</v>
      </c>
      <c r="D4378">
        <f t="shared" si="140"/>
        <v>100.80323722812341</v>
      </c>
      <c r="E4378">
        <v>-1.9654164637116445E-2</v>
      </c>
      <c r="F4378">
        <v>4375</v>
      </c>
      <c r="G4378">
        <f t="shared" ca="1" si="141"/>
        <v>4.1132350644856555E-2</v>
      </c>
    </row>
    <row r="4379" spans="2:7" x14ac:dyDescent="0.35">
      <c r="B4379" s="2">
        <v>38432</v>
      </c>
      <c r="C4379" s="4">
        <v>59.31</v>
      </c>
      <c r="D4379">
        <f t="shared" si="140"/>
        <v>1.3838424437299035</v>
      </c>
      <c r="E4379">
        <v>-1.9669421487603311E-2</v>
      </c>
      <c r="F4379">
        <v>4376</v>
      </c>
      <c r="G4379">
        <f t="shared" ca="1" si="141"/>
        <v>-2.1125670679533262E-2</v>
      </c>
    </row>
    <row r="4380" spans="2:7" x14ac:dyDescent="0.35">
      <c r="B4380" s="2">
        <v>37833</v>
      </c>
      <c r="C4380" s="4">
        <v>24.88</v>
      </c>
      <c r="D4380">
        <f t="shared" si="140"/>
        <v>-0.99702438616004685</v>
      </c>
      <c r="E4380">
        <v>-1.9700551615445261E-2</v>
      </c>
      <c r="F4380">
        <v>4377</v>
      </c>
      <c r="G4380">
        <f t="shared" ca="1" si="141"/>
        <v>-1.1841911243945465E-2</v>
      </c>
    </row>
    <row r="4381" spans="2:7" x14ac:dyDescent="0.35">
      <c r="B4381" s="2">
        <v>44768</v>
      </c>
      <c r="C4381" s="4">
        <v>8361.2999999999993</v>
      </c>
      <c r="D4381">
        <f t="shared" si="140"/>
        <v>10.334282228548188</v>
      </c>
      <c r="E4381">
        <v>-1.9708303045935294E-2</v>
      </c>
      <c r="F4381">
        <v>4378</v>
      </c>
      <c r="G4381">
        <f t="shared" ca="1" si="141"/>
        <v>1.2862335283476476E-2</v>
      </c>
    </row>
    <row r="4382" spans="2:7" x14ac:dyDescent="0.35">
      <c r="B4382" s="2">
        <v>43977</v>
      </c>
      <c r="C4382" s="4">
        <v>737.7</v>
      </c>
      <c r="D4382">
        <f t="shared" si="140"/>
        <v>-0.14448735344257724</v>
      </c>
      <c r="E4382">
        <v>-1.9745933879026123E-2</v>
      </c>
      <c r="F4382">
        <v>4379</v>
      </c>
      <c r="G4382">
        <f t="shared" ca="1" si="141"/>
        <v>-3.9347079794283431E-2</v>
      </c>
    </row>
    <row r="4383" spans="2:7" x14ac:dyDescent="0.35">
      <c r="B4383" s="2">
        <v>42269</v>
      </c>
      <c r="C4383" s="4">
        <v>862.29</v>
      </c>
      <c r="D4383">
        <f t="shared" si="140"/>
        <v>9.2288256227758012</v>
      </c>
      <c r="E4383">
        <v>-1.9746265602619162E-2</v>
      </c>
      <c r="F4383">
        <v>4380</v>
      </c>
      <c r="G4383">
        <f t="shared" ca="1" si="141"/>
        <v>4.2934042987156799E-2</v>
      </c>
    </row>
    <row r="4384" spans="2:7" x14ac:dyDescent="0.35">
      <c r="B4384" s="2">
        <v>40812</v>
      </c>
      <c r="C4384" s="4">
        <v>84.3</v>
      </c>
      <c r="D4384">
        <f t="shared" si="140"/>
        <v>-0.67331912420073636</v>
      </c>
      <c r="E4384">
        <v>-1.9767441860465196E-2</v>
      </c>
      <c r="F4384">
        <v>4381</v>
      </c>
      <c r="G4384">
        <f t="shared" ca="1" si="141"/>
        <v>2.9583163391663638E-2</v>
      </c>
    </row>
    <row r="4385" spans="2:7" x14ac:dyDescent="0.35">
      <c r="B4385" s="2">
        <v>41864</v>
      </c>
      <c r="C4385" s="4">
        <v>258.05</v>
      </c>
      <c r="D4385">
        <f t="shared" si="140"/>
        <v>-0.77134375969163971</v>
      </c>
      <c r="E4385">
        <v>-1.9790321355314111E-2</v>
      </c>
      <c r="F4385">
        <v>4382</v>
      </c>
      <c r="G4385">
        <f t="shared" ca="1" si="141"/>
        <v>6.8640597738485534E-3</v>
      </c>
    </row>
    <row r="4386" spans="2:7" x14ac:dyDescent="0.35">
      <c r="B4386" s="2">
        <v>43248</v>
      </c>
      <c r="C4386" s="4">
        <v>1128.55</v>
      </c>
      <c r="D4386">
        <f t="shared" si="140"/>
        <v>36.985526758667113</v>
      </c>
      <c r="E4386">
        <v>-1.9794326610731772E-2</v>
      </c>
      <c r="F4386">
        <v>4383</v>
      </c>
      <c r="G4386">
        <f t="shared" ca="1" si="141"/>
        <v>2.2551450672315388E-2</v>
      </c>
    </row>
    <row r="4387" spans="2:7" x14ac:dyDescent="0.35">
      <c r="B4387" s="2">
        <v>37551</v>
      </c>
      <c r="C4387" s="4">
        <v>29.71</v>
      </c>
      <c r="D4387">
        <f t="shared" si="140"/>
        <v>-0.96696025444273925</v>
      </c>
      <c r="E4387">
        <v>-1.979544704717906E-2</v>
      </c>
      <c r="F4387">
        <v>4384</v>
      </c>
      <c r="G4387">
        <f t="shared" ca="1" si="141"/>
        <v>-1.7719521206054779E-2</v>
      </c>
    </row>
    <row r="4388" spans="2:7" x14ac:dyDescent="0.35">
      <c r="B4388" s="2">
        <v>43398</v>
      </c>
      <c r="C4388" s="4">
        <v>899.22</v>
      </c>
      <c r="D4388">
        <f t="shared" si="140"/>
        <v>13.429075738125803</v>
      </c>
      <c r="E4388">
        <v>-1.9795504589156021E-2</v>
      </c>
      <c r="F4388">
        <v>4385</v>
      </c>
      <c r="G4388">
        <f t="shared" ca="1" si="141"/>
        <v>5.5259034164921407E-3</v>
      </c>
    </row>
    <row r="4389" spans="2:7" x14ac:dyDescent="0.35">
      <c r="B4389" s="2">
        <v>38875</v>
      </c>
      <c r="C4389" s="4">
        <v>62.32</v>
      </c>
      <c r="D4389">
        <f t="shared" si="140"/>
        <v>-0.20235504927684622</v>
      </c>
      <c r="E4389">
        <v>-1.9817552689525009E-2</v>
      </c>
      <c r="F4389">
        <v>4386</v>
      </c>
      <c r="G4389">
        <f t="shared" ca="1" si="141"/>
        <v>4.0884094463492768E-2</v>
      </c>
    </row>
    <row r="4390" spans="2:7" x14ac:dyDescent="0.35">
      <c r="B4390" s="2">
        <v>41436</v>
      </c>
      <c r="C4390" s="4">
        <v>78.13</v>
      </c>
      <c r="D4390">
        <f t="shared" si="140"/>
        <v>-0.92415888485507391</v>
      </c>
      <c r="E4390">
        <v>-1.9821854221553137E-2</v>
      </c>
      <c r="F4390">
        <v>4387</v>
      </c>
      <c r="G4390">
        <f t="shared" ca="1" si="141"/>
        <v>-2.2088571395832927E-3</v>
      </c>
    </row>
    <row r="4391" spans="2:7" x14ac:dyDescent="0.35">
      <c r="B4391" s="2">
        <v>43873</v>
      </c>
      <c r="C4391" s="4">
        <v>1030.18</v>
      </c>
      <c r="D4391">
        <f t="shared" si="140"/>
        <v>19.682192330857259</v>
      </c>
      <c r="E4391">
        <v>-1.9856334142048349E-2</v>
      </c>
      <c r="F4391">
        <v>4388</v>
      </c>
      <c r="G4391">
        <f t="shared" ca="1" si="141"/>
        <v>8.8519031901490713E-3</v>
      </c>
    </row>
    <row r="4392" spans="2:7" x14ac:dyDescent="0.35">
      <c r="B4392" s="2">
        <v>38239</v>
      </c>
      <c r="C4392" s="4">
        <v>49.81</v>
      </c>
      <c r="D4392">
        <f t="shared" si="140"/>
        <v>-0.92996442682189506</v>
      </c>
      <c r="E4392">
        <v>-1.9874065328610691E-2</v>
      </c>
      <c r="F4392">
        <v>4389</v>
      </c>
      <c r="G4392">
        <f t="shared" ca="1" si="141"/>
        <v>-9.4984860308630539E-5</v>
      </c>
    </row>
    <row r="4393" spans="2:7" x14ac:dyDescent="0.35">
      <c r="B4393" s="2">
        <v>42619</v>
      </c>
      <c r="C4393" s="4">
        <v>711.21</v>
      </c>
      <c r="D4393">
        <f t="shared" si="140"/>
        <v>20.577973300970875</v>
      </c>
      <c r="E4393">
        <v>-1.9899400537449097E-2</v>
      </c>
      <c r="F4393">
        <v>4390</v>
      </c>
      <c r="G4393">
        <f t="shared" ca="1" si="141"/>
        <v>4.4055570370238065E-2</v>
      </c>
    </row>
    <row r="4394" spans="2:7" x14ac:dyDescent="0.35">
      <c r="B4394" s="2">
        <v>39777</v>
      </c>
      <c r="C4394" s="4">
        <v>32.96</v>
      </c>
      <c r="D4394">
        <f t="shared" si="140"/>
        <v>-0.9612850179127268</v>
      </c>
      <c r="E4394">
        <v>-1.9922688076122519E-2</v>
      </c>
      <c r="F4394">
        <v>4391</v>
      </c>
      <c r="G4394">
        <f t="shared" ca="1" si="141"/>
        <v>2.4915452975799175E-2</v>
      </c>
    </row>
    <row r="4395" spans="2:7" x14ac:dyDescent="0.35">
      <c r="B4395" s="2">
        <v>43504</v>
      </c>
      <c r="C4395" s="4">
        <v>851.35</v>
      </c>
      <c r="D4395">
        <f t="shared" si="140"/>
        <v>28.367023111417733</v>
      </c>
      <c r="E4395">
        <v>-1.9938526713251248E-2</v>
      </c>
      <c r="F4395">
        <v>4392</v>
      </c>
      <c r="G4395">
        <f t="shared" ca="1" si="141"/>
        <v>-3.8168790081836686E-3</v>
      </c>
    </row>
    <row r="4396" spans="2:7" x14ac:dyDescent="0.35">
      <c r="B4396" s="2">
        <v>38042</v>
      </c>
      <c r="C4396" s="4">
        <v>28.99</v>
      </c>
      <c r="D4396">
        <f t="shared" si="140"/>
        <v>-0.52769631801889871</v>
      </c>
      <c r="E4396">
        <v>-1.9945909398242034E-2</v>
      </c>
      <c r="F4396">
        <v>4393</v>
      </c>
      <c r="G4396">
        <f t="shared" ca="1" si="141"/>
        <v>2.0521025366876312E-2</v>
      </c>
    </row>
    <row r="4397" spans="2:7" x14ac:dyDescent="0.35">
      <c r="B4397" s="2">
        <v>39696</v>
      </c>
      <c r="C4397" s="4">
        <v>61.38</v>
      </c>
      <c r="D4397">
        <f t="shared" si="140"/>
        <v>-0.89769147428952412</v>
      </c>
      <c r="E4397">
        <v>-1.9958486348395366E-2</v>
      </c>
      <c r="F4397">
        <v>4394</v>
      </c>
      <c r="G4397">
        <f t="shared" ca="1" si="141"/>
        <v>2.5453328430401129E-2</v>
      </c>
    </row>
    <row r="4398" spans="2:7" x14ac:dyDescent="0.35">
      <c r="B4398" s="2">
        <v>42730</v>
      </c>
      <c r="C4398" s="4">
        <v>599.95000000000005</v>
      </c>
      <c r="D4398">
        <f t="shared" si="140"/>
        <v>-0.89733721887304518</v>
      </c>
      <c r="E4398">
        <v>-2.0025808137730472E-2</v>
      </c>
      <c r="F4398">
        <v>4395</v>
      </c>
      <c r="G4398">
        <f t="shared" ca="1" si="141"/>
        <v>-6.995755932738737E-2</v>
      </c>
    </row>
    <row r="4399" spans="2:7" x14ac:dyDescent="0.35">
      <c r="B4399" s="2">
        <v>44543</v>
      </c>
      <c r="C4399" s="4">
        <v>5843.89</v>
      </c>
      <c r="D4399">
        <f t="shared" si="140"/>
        <v>47.380577862405829</v>
      </c>
      <c r="E4399">
        <v>-2.0037294286126328E-2</v>
      </c>
      <c r="F4399">
        <v>4396</v>
      </c>
      <c r="G4399">
        <f t="shared" ca="1" si="141"/>
        <v>8.6636395362890001E-3</v>
      </c>
    </row>
    <row r="4400" spans="2:7" x14ac:dyDescent="0.35">
      <c r="B4400" s="2">
        <v>40500</v>
      </c>
      <c r="C4400" s="4">
        <v>120.79</v>
      </c>
      <c r="D4400">
        <f t="shared" si="140"/>
        <v>0.14710351377018061</v>
      </c>
      <c r="E4400">
        <v>-2.0038942073665411E-2</v>
      </c>
      <c r="F4400">
        <v>4397</v>
      </c>
      <c r="G4400">
        <f t="shared" ca="1" si="141"/>
        <v>2.4751459687411994E-3</v>
      </c>
    </row>
    <row r="4401" spans="2:7" x14ac:dyDescent="0.35">
      <c r="B4401" s="2">
        <v>39349</v>
      </c>
      <c r="C4401" s="4">
        <v>105.3</v>
      </c>
      <c r="D4401">
        <f t="shared" si="140"/>
        <v>-0.87571848407237363</v>
      </c>
      <c r="E4401">
        <v>-2.010050251256279E-2</v>
      </c>
      <c r="F4401">
        <v>4398</v>
      </c>
      <c r="G4401">
        <f t="shared" ca="1" si="141"/>
        <v>2.4741061491048336E-2</v>
      </c>
    </row>
    <row r="4402" spans="2:7" x14ac:dyDescent="0.35">
      <c r="B4402" s="2">
        <v>42494</v>
      </c>
      <c r="C4402" s="4">
        <v>847.27</v>
      </c>
      <c r="D4402">
        <f t="shared" si="140"/>
        <v>31.301563095691954</v>
      </c>
      <c r="E4402">
        <v>-2.0157279981496523E-2</v>
      </c>
      <c r="F4402">
        <v>4399</v>
      </c>
      <c r="G4402">
        <f t="shared" ca="1" si="141"/>
        <v>-3.4459797102569731E-3</v>
      </c>
    </row>
    <row r="4403" spans="2:7" x14ac:dyDescent="0.35">
      <c r="B4403" s="2">
        <v>37644</v>
      </c>
      <c r="C4403" s="4">
        <v>26.23</v>
      </c>
      <c r="D4403">
        <f t="shared" si="140"/>
        <v>-0.69097549481621112</v>
      </c>
      <c r="E4403">
        <v>-2.0171834142696965E-2</v>
      </c>
      <c r="F4403">
        <v>4400</v>
      </c>
      <c r="G4403">
        <f t="shared" ca="1" si="141"/>
        <v>2.8727098202109558E-2</v>
      </c>
    </row>
    <row r="4404" spans="2:7" x14ac:dyDescent="0.35">
      <c r="B4404" s="2">
        <v>41397</v>
      </c>
      <c r="C4404" s="4">
        <v>84.88</v>
      </c>
      <c r="D4404">
        <f t="shared" si="140"/>
        <v>-9.7501329080276422E-2</v>
      </c>
      <c r="E4404">
        <v>-2.0200854207549357E-2</v>
      </c>
      <c r="F4404">
        <v>4401</v>
      </c>
      <c r="G4404">
        <f t="shared" ca="1" si="141"/>
        <v>-3.8585735449251694E-2</v>
      </c>
    </row>
    <row r="4405" spans="2:7" x14ac:dyDescent="0.35">
      <c r="B4405" s="2">
        <v>40945</v>
      </c>
      <c r="C4405" s="4">
        <v>94.05</v>
      </c>
      <c r="D4405">
        <f t="shared" si="140"/>
        <v>9.0561224489795977E-2</v>
      </c>
      <c r="E4405">
        <v>-2.021043858735283E-2</v>
      </c>
      <c r="F4405">
        <v>4402</v>
      </c>
      <c r="G4405">
        <f t="shared" ca="1" si="141"/>
        <v>-1.7197362776190293E-2</v>
      </c>
    </row>
    <row r="4406" spans="2:7" x14ac:dyDescent="0.35">
      <c r="B4406" s="2">
        <v>41480</v>
      </c>
      <c r="C4406" s="4">
        <v>86.24</v>
      </c>
      <c r="D4406">
        <f t="shared" si="140"/>
        <v>-0.8848920863309353</v>
      </c>
      <c r="E4406">
        <v>-2.0222676664394479E-2</v>
      </c>
      <c r="F4406">
        <v>4403</v>
      </c>
      <c r="G4406">
        <f t="shared" ca="1" si="141"/>
        <v>4.1922186769642204E-2</v>
      </c>
    </row>
    <row r="4407" spans="2:7" x14ac:dyDescent="0.35">
      <c r="B4407" s="2">
        <v>43972</v>
      </c>
      <c r="C4407" s="4">
        <v>749.21</v>
      </c>
      <c r="D4407">
        <f t="shared" si="140"/>
        <v>6.3022417153996111</v>
      </c>
      <c r="E4407">
        <v>-2.024349736494524E-2</v>
      </c>
      <c r="F4407">
        <v>4404</v>
      </c>
      <c r="G4407">
        <f t="shared" ca="1" si="141"/>
        <v>-1.0887148164192392E-2</v>
      </c>
    </row>
    <row r="4408" spans="2:7" x14ac:dyDescent="0.35">
      <c r="B4408" s="2">
        <v>41107</v>
      </c>
      <c r="C4408" s="4">
        <v>102.6</v>
      </c>
      <c r="D4408">
        <f t="shared" si="140"/>
        <v>1.6504779126840607</v>
      </c>
      <c r="E4408">
        <v>-2.0244461420932058E-2</v>
      </c>
      <c r="F4408">
        <v>4405</v>
      </c>
      <c r="G4408">
        <f t="shared" ca="1" si="141"/>
        <v>-2.0644850475755845E-3</v>
      </c>
    </row>
    <row r="4409" spans="2:7" x14ac:dyDescent="0.35">
      <c r="B4409" s="2">
        <v>38195</v>
      </c>
      <c r="C4409" s="4">
        <v>38.71</v>
      </c>
      <c r="D4409">
        <f t="shared" si="140"/>
        <v>0.19549104385423099</v>
      </c>
      <c r="E4409">
        <v>-2.0248038471272989E-2</v>
      </c>
      <c r="F4409">
        <v>4406</v>
      </c>
      <c r="G4409">
        <f t="shared" ca="1" si="141"/>
        <v>1.3413257014716819E-2</v>
      </c>
    </row>
    <row r="4410" spans="2:7" x14ac:dyDescent="0.35">
      <c r="B4410" s="2">
        <v>39834</v>
      </c>
      <c r="C4410" s="4">
        <v>32.380000000000003</v>
      </c>
      <c r="D4410">
        <f t="shared" si="140"/>
        <v>-0.5675170295178309</v>
      </c>
      <c r="E4410">
        <v>-2.0272314674735115E-2</v>
      </c>
      <c r="F4410">
        <v>4407</v>
      </c>
      <c r="G4410">
        <f t="shared" ca="1" si="141"/>
        <v>2.1406211546134975E-2</v>
      </c>
    </row>
    <row r="4411" spans="2:7" x14ac:dyDescent="0.35">
      <c r="B4411" s="2">
        <v>40905</v>
      </c>
      <c r="C4411" s="4">
        <v>74.87</v>
      </c>
      <c r="D4411">
        <f t="shared" si="140"/>
        <v>2.7446136956223333E-2</v>
      </c>
      <c r="E4411">
        <v>-2.0282648521329438E-2</v>
      </c>
      <c r="F4411">
        <v>4408</v>
      </c>
      <c r="G4411">
        <f t="shared" ca="1" si="141"/>
        <v>-5.1949342050486421E-4</v>
      </c>
    </row>
    <row r="4412" spans="2:7" x14ac:dyDescent="0.35">
      <c r="B4412" s="2">
        <v>39644</v>
      </c>
      <c r="C4412" s="4">
        <v>72.87</v>
      </c>
      <c r="D4412">
        <f t="shared" si="140"/>
        <v>-0.90750777432252328</v>
      </c>
      <c r="E4412">
        <v>-2.030115622479145E-2</v>
      </c>
      <c r="F4412">
        <v>4409</v>
      </c>
      <c r="G4412">
        <f t="shared" ca="1" si="141"/>
        <v>8.5601751953272871E-3</v>
      </c>
    </row>
    <row r="4413" spans="2:7" x14ac:dyDescent="0.35">
      <c r="B4413" s="2">
        <v>42591</v>
      </c>
      <c r="C4413" s="4">
        <v>787.85</v>
      </c>
      <c r="D4413">
        <f t="shared" si="140"/>
        <v>10.603092783505154</v>
      </c>
      <c r="E4413">
        <v>-2.0330763491668735E-2</v>
      </c>
      <c r="F4413">
        <v>4410</v>
      </c>
      <c r="G4413">
        <f t="shared" ca="1" si="141"/>
        <v>-3.3549837473559281E-2</v>
      </c>
    </row>
    <row r="4414" spans="2:7" x14ac:dyDescent="0.35">
      <c r="B4414" s="2">
        <v>38544</v>
      </c>
      <c r="C4414" s="4">
        <v>67.900000000000006</v>
      </c>
      <c r="D4414">
        <f t="shared" si="140"/>
        <v>1.5204157386785448</v>
      </c>
      <c r="E4414">
        <v>-2.0343384792959163E-2</v>
      </c>
      <c r="F4414">
        <v>4411</v>
      </c>
      <c r="G4414">
        <f t="shared" ca="1" si="141"/>
        <v>-5.402380914771483E-4</v>
      </c>
    </row>
    <row r="4415" spans="2:7" x14ac:dyDescent="0.35">
      <c r="B4415" s="2">
        <v>37804</v>
      </c>
      <c r="C4415" s="4">
        <v>26.94</v>
      </c>
      <c r="D4415">
        <f t="shared" si="140"/>
        <v>-3.3369214208826659E-2</v>
      </c>
      <c r="E4415">
        <v>-2.0363636363636362E-2</v>
      </c>
      <c r="F4415">
        <v>4412</v>
      </c>
      <c r="G4415">
        <f t="shared" ca="1" si="141"/>
        <v>-1.992364701712581E-2</v>
      </c>
    </row>
    <row r="4416" spans="2:7" x14ac:dyDescent="0.35">
      <c r="B4416" s="2">
        <v>37901</v>
      </c>
      <c r="C4416" s="4">
        <v>27.87</v>
      </c>
      <c r="D4416">
        <f t="shared" si="140"/>
        <v>-0.67200188301753561</v>
      </c>
      <c r="E4416">
        <v>-2.0386643233743396E-2</v>
      </c>
      <c r="F4416">
        <v>4413</v>
      </c>
      <c r="G4416">
        <f t="shared" ca="1" si="141"/>
        <v>3.4684950354135595E-3</v>
      </c>
    </row>
    <row r="4417" spans="2:7" x14ac:dyDescent="0.35">
      <c r="B4417" s="2">
        <v>40925</v>
      </c>
      <c r="C4417" s="4">
        <v>84.97</v>
      </c>
      <c r="D4417">
        <f t="shared" si="140"/>
        <v>-0.84981795044010044</v>
      </c>
      <c r="E4417">
        <v>-2.0405810468065444E-2</v>
      </c>
      <c r="F4417">
        <v>4414</v>
      </c>
      <c r="G4417">
        <f t="shared" ca="1" si="141"/>
        <v>7.6860297519217666E-3</v>
      </c>
    </row>
    <row r="4418" spans="2:7" x14ac:dyDescent="0.35">
      <c r="B4418" s="2">
        <v>42074</v>
      </c>
      <c r="C4418" s="4">
        <v>565.78</v>
      </c>
      <c r="D4418">
        <f t="shared" si="140"/>
        <v>-0.55556428363824883</v>
      </c>
      <c r="E4418">
        <v>-2.0413110099208875E-2</v>
      </c>
      <c r="F4418">
        <v>4415</v>
      </c>
      <c r="G4418">
        <f t="shared" ca="1" si="141"/>
        <v>2.3828304383127448E-2</v>
      </c>
    </row>
    <row r="4419" spans="2:7" x14ac:dyDescent="0.35">
      <c r="B4419" s="2">
        <v>43349</v>
      </c>
      <c r="C4419" s="4">
        <v>1273.03</v>
      </c>
      <c r="D4419">
        <f t="shared" si="140"/>
        <v>11.290307009075111</v>
      </c>
      <c r="E4419">
        <v>-2.0422139630800973E-2</v>
      </c>
      <c r="F4419">
        <v>4416</v>
      </c>
      <c r="G4419">
        <f t="shared" ca="1" si="141"/>
        <v>-3.6648703632443679E-2</v>
      </c>
    </row>
    <row r="4420" spans="2:7" x14ac:dyDescent="0.35">
      <c r="B4420" s="2">
        <v>40340</v>
      </c>
      <c r="C4420" s="4">
        <v>103.58</v>
      </c>
      <c r="D4420">
        <f t="shared" ref="D4420:D4483" si="142">C4420/C4421-1</f>
        <v>-9.6567549478918657E-3</v>
      </c>
      <c r="E4420">
        <v>-2.0427463589937522E-2</v>
      </c>
      <c r="F4420">
        <v>4417</v>
      </c>
      <c r="G4420">
        <f t="shared" ca="1" si="141"/>
        <v>-6.1496920326897684E-3</v>
      </c>
    </row>
    <row r="4421" spans="2:7" x14ac:dyDescent="0.35">
      <c r="B4421" s="2">
        <v>40455</v>
      </c>
      <c r="C4421" s="4">
        <v>104.59</v>
      </c>
      <c r="D4421">
        <f t="shared" si="142"/>
        <v>-0.87167500981546919</v>
      </c>
      <c r="E4421">
        <v>-2.05094587001311E-2</v>
      </c>
      <c r="F4421">
        <v>4418</v>
      </c>
      <c r="G4421">
        <f t="shared" ref="G4421:G4484" ca="1" si="143">_xlfn.NORM.INV(RAND(),K$6,K$7)</f>
        <v>6.3142387703007908E-4</v>
      </c>
    </row>
    <row r="4422" spans="2:7" x14ac:dyDescent="0.35">
      <c r="B4422" s="2">
        <v>43809</v>
      </c>
      <c r="C4422" s="4">
        <v>815.04</v>
      </c>
      <c r="D4422">
        <f t="shared" si="142"/>
        <v>2.2504087736789629</v>
      </c>
      <c r="E4422">
        <v>-2.0537656375806734E-2</v>
      </c>
      <c r="F4422">
        <v>4419</v>
      </c>
      <c r="G4422">
        <f t="shared" ca="1" si="143"/>
        <v>2.4764274701439212E-2</v>
      </c>
    </row>
    <row r="4423" spans="2:7" x14ac:dyDescent="0.35">
      <c r="B4423" s="2">
        <v>41752</v>
      </c>
      <c r="C4423" s="4">
        <v>250.75</v>
      </c>
      <c r="D4423">
        <f t="shared" si="142"/>
        <v>-0.96862448228831688</v>
      </c>
      <c r="E4423">
        <v>-2.0546072419046046E-2</v>
      </c>
      <c r="F4423">
        <v>4420</v>
      </c>
      <c r="G4423">
        <f t="shared" ca="1" si="143"/>
        <v>3.239990660058828E-2</v>
      </c>
    </row>
    <row r="4424" spans="2:7" x14ac:dyDescent="0.35">
      <c r="B4424" s="2">
        <v>44728</v>
      </c>
      <c r="C4424" s="4">
        <v>7991.9</v>
      </c>
      <c r="D4424">
        <f t="shared" si="142"/>
        <v>9.3568975571826609</v>
      </c>
      <c r="E4424">
        <v>-2.0558479836757737E-2</v>
      </c>
      <c r="F4424">
        <v>4421</v>
      </c>
      <c r="G4424">
        <f t="shared" ca="1" si="143"/>
        <v>-1.164521328586341E-3</v>
      </c>
    </row>
    <row r="4425" spans="2:7" x14ac:dyDescent="0.35">
      <c r="B4425" s="2">
        <v>42592</v>
      </c>
      <c r="C4425" s="4">
        <v>771.65</v>
      </c>
      <c r="D4425">
        <f t="shared" si="142"/>
        <v>20.614845938375346</v>
      </c>
      <c r="E4425">
        <v>-2.0562289775972631E-2</v>
      </c>
      <c r="F4425">
        <v>4422</v>
      </c>
      <c r="G4425">
        <f t="shared" ca="1" si="143"/>
        <v>2.4724356598887293E-2</v>
      </c>
    </row>
    <row r="4426" spans="2:7" x14ac:dyDescent="0.35">
      <c r="B4426" s="2">
        <v>39769</v>
      </c>
      <c r="C4426" s="4">
        <v>35.700000000000003</v>
      </c>
      <c r="D4426">
        <f t="shared" si="142"/>
        <v>-0.94351533946173438</v>
      </c>
      <c r="E4426">
        <v>-2.0576131687242816E-2</v>
      </c>
      <c r="F4426">
        <v>4423</v>
      </c>
      <c r="G4426">
        <f t="shared" ca="1" si="143"/>
        <v>-1.4506791579252328E-2</v>
      </c>
    </row>
    <row r="4427" spans="2:7" x14ac:dyDescent="0.35">
      <c r="B4427" s="2">
        <v>42649</v>
      </c>
      <c r="C4427" s="4">
        <v>632.03</v>
      </c>
      <c r="D4427">
        <f t="shared" si="142"/>
        <v>8.9407046240956269</v>
      </c>
      <c r="E4427">
        <v>-2.0609610586831639E-2</v>
      </c>
      <c r="F4427">
        <v>4424</v>
      </c>
      <c r="G4427">
        <f t="shared" ca="1" si="143"/>
        <v>-1.0159156004252991E-2</v>
      </c>
    </row>
    <row r="4428" spans="2:7" x14ac:dyDescent="0.35">
      <c r="B4428" s="2">
        <v>39658</v>
      </c>
      <c r="C4428" s="4">
        <v>63.58</v>
      </c>
      <c r="D4428">
        <f t="shared" si="142"/>
        <v>-0.28457297175649832</v>
      </c>
      <c r="E4428">
        <v>-2.0640788662969811E-2</v>
      </c>
      <c r="F4428">
        <v>4425</v>
      </c>
      <c r="G4428">
        <f t="shared" ca="1" si="143"/>
        <v>-1.1932056749998827E-2</v>
      </c>
    </row>
    <row r="4429" spans="2:7" x14ac:dyDescent="0.35">
      <c r="B4429" s="2">
        <v>39391</v>
      </c>
      <c r="C4429" s="4">
        <v>88.87</v>
      </c>
      <c r="D4429">
        <f t="shared" si="142"/>
        <v>1.3800214247455811</v>
      </c>
      <c r="E4429">
        <v>-2.0716253443526123E-2</v>
      </c>
      <c r="F4429">
        <v>4426</v>
      </c>
      <c r="G4429">
        <f t="shared" ca="1" si="143"/>
        <v>1.6615448078945418E-2</v>
      </c>
    </row>
    <row r="4430" spans="2:7" x14ac:dyDescent="0.35">
      <c r="B4430" s="2">
        <v>38212</v>
      </c>
      <c r="C4430" s="4">
        <v>37.340000000000003</v>
      </c>
      <c r="D4430">
        <f t="shared" si="142"/>
        <v>-0.99613321458898574</v>
      </c>
      <c r="E4430">
        <v>-2.0718594282717051E-2</v>
      </c>
      <c r="F4430">
        <v>4427</v>
      </c>
      <c r="G4430">
        <f t="shared" ca="1" si="143"/>
        <v>-6.3890530847464252E-2</v>
      </c>
    </row>
    <row r="4431" spans="2:7" x14ac:dyDescent="0.35">
      <c r="B4431" s="2">
        <v>44798</v>
      </c>
      <c r="C4431" s="4">
        <v>9656.6</v>
      </c>
      <c r="D4431">
        <f t="shared" si="142"/>
        <v>313.54723127035834</v>
      </c>
      <c r="E4431">
        <v>-2.0728120880235235E-2</v>
      </c>
      <c r="F4431">
        <v>4428</v>
      </c>
      <c r="G4431">
        <f t="shared" ca="1" si="143"/>
        <v>-4.2238737875467176E-2</v>
      </c>
    </row>
    <row r="4432" spans="2:7" x14ac:dyDescent="0.35">
      <c r="B4432" s="2">
        <v>39871</v>
      </c>
      <c r="C4432" s="4">
        <v>30.7</v>
      </c>
      <c r="D4432">
        <f t="shared" si="142"/>
        <v>-0.87546144172650198</v>
      </c>
      <c r="E4432">
        <v>-2.0733652312599715E-2</v>
      </c>
      <c r="F4432">
        <v>4429</v>
      </c>
      <c r="G4432">
        <f t="shared" ca="1" si="143"/>
        <v>3.4990924657268014E-3</v>
      </c>
    </row>
    <row r="4433" spans="2:7" x14ac:dyDescent="0.35">
      <c r="B4433" s="2">
        <v>41736</v>
      </c>
      <c r="C4433" s="4">
        <v>246.51</v>
      </c>
      <c r="D4433">
        <f t="shared" si="142"/>
        <v>1.3732550303263693</v>
      </c>
      <c r="E4433">
        <v>-2.0736503396496242E-2</v>
      </c>
      <c r="F4433">
        <v>4430</v>
      </c>
      <c r="G4433">
        <f t="shared" ca="1" si="143"/>
        <v>2.8077013364455929E-3</v>
      </c>
    </row>
    <row r="4434" spans="2:7" x14ac:dyDescent="0.35">
      <c r="B4434" s="2">
        <v>39293</v>
      </c>
      <c r="C4434" s="4">
        <v>103.87</v>
      </c>
      <c r="D4434">
        <f t="shared" si="142"/>
        <v>1.6229797979797982</v>
      </c>
      <c r="E4434">
        <v>-2.0741020081078476E-2</v>
      </c>
      <c r="F4434">
        <v>4431</v>
      </c>
      <c r="G4434">
        <f t="shared" ca="1" si="143"/>
        <v>3.2583237701570733E-2</v>
      </c>
    </row>
    <row r="4435" spans="2:7" x14ac:dyDescent="0.35">
      <c r="B4435" s="2">
        <v>39926</v>
      </c>
      <c r="C4435" s="4">
        <v>39.6</v>
      </c>
      <c r="D4435">
        <f t="shared" si="142"/>
        <v>0.82994454713493537</v>
      </c>
      <c r="E4435">
        <v>-2.0771513353115667E-2</v>
      </c>
      <c r="F4435">
        <v>4432</v>
      </c>
      <c r="G4435">
        <f t="shared" ca="1" si="143"/>
        <v>1.6893489237785681E-2</v>
      </c>
    </row>
    <row r="4436" spans="2:7" x14ac:dyDescent="0.35">
      <c r="B4436" s="2">
        <v>37763</v>
      </c>
      <c r="C4436" s="4">
        <v>21.64</v>
      </c>
      <c r="D4436">
        <f t="shared" si="142"/>
        <v>-0.71026911233096801</v>
      </c>
      <c r="E4436">
        <v>-2.0814479638009087E-2</v>
      </c>
      <c r="F4436">
        <v>4433</v>
      </c>
      <c r="G4436">
        <f t="shared" ca="1" si="143"/>
        <v>9.6340827831968463E-3</v>
      </c>
    </row>
    <row r="4437" spans="2:7" x14ac:dyDescent="0.35">
      <c r="B4437" s="2">
        <v>38951</v>
      </c>
      <c r="C4437" s="4">
        <v>74.69</v>
      </c>
      <c r="D4437">
        <f t="shared" si="142"/>
        <v>-0.99042756205936222</v>
      </c>
      <c r="E4437">
        <v>-2.0844257996853743E-2</v>
      </c>
      <c r="F4437">
        <v>4434</v>
      </c>
      <c r="G4437">
        <f t="shared" ca="1" si="143"/>
        <v>-1.8772895058639476E-2</v>
      </c>
    </row>
    <row r="4438" spans="2:7" x14ac:dyDescent="0.35">
      <c r="B4438" s="2">
        <v>44677</v>
      </c>
      <c r="C4438" s="4">
        <v>7802.61</v>
      </c>
      <c r="D4438">
        <f t="shared" si="142"/>
        <v>-5.0734643773503119E-2</v>
      </c>
      <c r="E4438">
        <v>-2.0856313552462757E-2</v>
      </c>
      <c r="F4438">
        <v>4435</v>
      </c>
      <c r="G4438">
        <f t="shared" ca="1" si="143"/>
        <v>-1.6351608488373894E-2</v>
      </c>
    </row>
    <row r="4439" spans="2:7" x14ac:dyDescent="0.35">
      <c r="B4439" s="2">
        <v>44700</v>
      </c>
      <c r="C4439" s="4">
        <v>8219.6299999999992</v>
      </c>
      <c r="D4439">
        <f t="shared" si="142"/>
        <v>100.70292006928977</v>
      </c>
      <c r="E4439">
        <v>-2.0882817506736373E-2</v>
      </c>
      <c r="F4439">
        <v>4436</v>
      </c>
      <c r="G4439">
        <f t="shared" ca="1" si="143"/>
        <v>1.3216677746968043E-2</v>
      </c>
    </row>
    <row r="4440" spans="2:7" x14ac:dyDescent="0.35">
      <c r="B4440" s="2">
        <v>39021</v>
      </c>
      <c r="C4440" s="4">
        <v>80.819999999999993</v>
      </c>
      <c r="D4440">
        <f t="shared" si="142"/>
        <v>1.4387447193723593</v>
      </c>
      <c r="E4440">
        <v>-2.0956995760145425E-2</v>
      </c>
      <c r="F4440">
        <v>4437</v>
      </c>
      <c r="G4440">
        <f t="shared" ca="1" si="143"/>
        <v>-2.5103933098187828E-2</v>
      </c>
    </row>
    <row r="4441" spans="2:7" x14ac:dyDescent="0.35">
      <c r="B4441" s="2">
        <v>39806</v>
      </c>
      <c r="C4441" s="4">
        <v>33.14</v>
      </c>
      <c r="D4441">
        <f t="shared" si="142"/>
        <v>-0.99518005701320611</v>
      </c>
      <c r="E4441">
        <v>-2.0974889217134418E-2</v>
      </c>
      <c r="F4441">
        <v>4438</v>
      </c>
      <c r="G4441">
        <f t="shared" ca="1" si="143"/>
        <v>7.4669057295129432E-2</v>
      </c>
    </row>
    <row r="4442" spans="2:7" x14ac:dyDescent="0.35">
      <c r="B4442" s="2">
        <v>44862</v>
      </c>
      <c r="C4442" s="4">
        <v>6875.6</v>
      </c>
      <c r="D4442">
        <f t="shared" si="142"/>
        <v>240.84312346113262</v>
      </c>
      <c r="E4442">
        <v>-2.1002121570246723E-2</v>
      </c>
      <c r="F4442">
        <v>4439</v>
      </c>
      <c r="G4442">
        <f t="shared" ca="1" si="143"/>
        <v>-2.3875155214928893E-2</v>
      </c>
    </row>
    <row r="4443" spans="2:7" x14ac:dyDescent="0.35">
      <c r="B4443" s="2">
        <v>37637</v>
      </c>
      <c r="C4443" s="4">
        <v>28.43</v>
      </c>
      <c r="D4443">
        <f t="shared" si="142"/>
        <v>-0.66837746413157584</v>
      </c>
      <c r="E4443">
        <v>-2.100550964187331E-2</v>
      </c>
      <c r="F4443">
        <v>4440</v>
      </c>
      <c r="G4443">
        <f t="shared" ca="1" si="143"/>
        <v>-1.0348209396468952E-2</v>
      </c>
    </row>
    <row r="4444" spans="2:7" x14ac:dyDescent="0.35">
      <c r="B4444" s="2">
        <v>39412</v>
      </c>
      <c r="C4444" s="4">
        <v>85.73</v>
      </c>
      <c r="D4444">
        <f t="shared" si="142"/>
        <v>-0.68093341769325244</v>
      </c>
      <c r="E4444">
        <v>-2.1011762018956159E-2</v>
      </c>
      <c r="F4444">
        <v>4441</v>
      </c>
      <c r="G4444">
        <f t="shared" ca="1" si="143"/>
        <v>-1.1943036442914834E-2</v>
      </c>
    </row>
    <row r="4445" spans="2:7" x14ac:dyDescent="0.35">
      <c r="B4445" s="2">
        <v>41857</v>
      </c>
      <c r="C4445" s="4">
        <v>268.69</v>
      </c>
      <c r="D4445">
        <f t="shared" si="142"/>
        <v>-0.92477862480018136</v>
      </c>
      <c r="E4445">
        <v>-2.1023099905268516E-2</v>
      </c>
      <c r="F4445">
        <v>4442</v>
      </c>
      <c r="G4445">
        <f t="shared" ca="1" si="143"/>
        <v>-1.3037821068354397E-2</v>
      </c>
    </row>
    <row r="4446" spans="2:7" x14ac:dyDescent="0.35">
      <c r="B4446" s="2">
        <v>44326</v>
      </c>
      <c r="C4446" s="4">
        <v>3571.99</v>
      </c>
      <c r="D4446">
        <f t="shared" si="142"/>
        <v>4.78909921882597</v>
      </c>
      <c r="E4446">
        <v>-2.1023926329925779E-2</v>
      </c>
      <c r="F4446">
        <v>4443</v>
      </c>
      <c r="G4446">
        <f t="shared" ca="1" si="143"/>
        <v>-3.4084827297251347E-2</v>
      </c>
    </row>
    <row r="4447" spans="2:7" x14ac:dyDescent="0.35">
      <c r="B4447" s="2">
        <v>42884</v>
      </c>
      <c r="C4447" s="4">
        <v>617.02</v>
      </c>
      <c r="D4447">
        <f t="shared" si="142"/>
        <v>3.7382890493011827</v>
      </c>
      <c r="E4447">
        <v>-2.1100393450945609E-2</v>
      </c>
      <c r="F4447">
        <v>4444</v>
      </c>
      <c r="G4447">
        <f t="shared" ca="1" si="143"/>
        <v>5.4642364736546656E-2</v>
      </c>
    </row>
    <row r="4448" spans="2:7" x14ac:dyDescent="0.35">
      <c r="B4448" s="2">
        <v>41610</v>
      </c>
      <c r="C4448" s="4">
        <v>130.22</v>
      </c>
      <c r="D4448">
        <f t="shared" si="142"/>
        <v>1.1211923766085681</v>
      </c>
      <c r="E4448">
        <v>-2.1123054950011322E-2</v>
      </c>
      <c r="F4448">
        <v>4445</v>
      </c>
      <c r="G4448">
        <f t="shared" ca="1" si="143"/>
        <v>5.2252837684860567E-4</v>
      </c>
    </row>
    <row r="4449" spans="2:7" x14ac:dyDescent="0.35">
      <c r="B4449" s="2">
        <v>38530</v>
      </c>
      <c r="C4449" s="4">
        <v>61.39</v>
      </c>
      <c r="D4449">
        <f t="shared" si="142"/>
        <v>-0.92930839916169594</v>
      </c>
      <c r="E4449">
        <v>-2.1205357142857095E-2</v>
      </c>
      <c r="F4449">
        <v>4446</v>
      </c>
      <c r="G4449">
        <f t="shared" ca="1" si="143"/>
        <v>1.2605474483285178E-2</v>
      </c>
    </row>
    <row r="4450" spans="2:7" x14ac:dyDescent="0.35">
      <c r="B4450" s="2">
        <v>42457</v>
      </c>
      <c r="C4450" s="4">
        <v>868.42</v>
      </c>
      <c r="D4450">
        <f t="shared" si="142"/>
        <v>39.074757729580057</v>
      </c>
      <c r="E4450">
        <v>-2.1222879684418161E-2</v>
      </c>
      <c r="F4450">
        <v>4447</v>
      </c>
      <c r="G4450">
        <f t="shared" ca="1" si="143"/>
        <v>-8.5824129442998442E-3</v>
      </c>
    </row>
    <row r="4451" spans="2:7" x14ac:dyDescent="0.35">
      <c r="B4451" s="2">
        <v>37728</v>
      </c>
      <c r="C4451" s="4">
        <v>21.67</v>
      </c>
      <c r="D4451">
        <f t="shared" si="142"/>
        <v>-0.97810779411021875</v>
      </c>
      <c r="E4451">
        <v>-2.1228545618789507E-2</v>
      </c>
      <c r="F4451">
        <v>4448</v>
      </c>
      <c r="G4451">
        <f t="shared" ca="1" si="143"/>
        <v>1.7350533487134275E-2</v>
      </c>
    </row>
    <row r="4452" spans="2:7" x14ac:dyDescent="0.35">
      <c r="B4452" s="2">
        <v>43131</v>
      </c>
      <c r="C4452" s="4">
        <v>989.85</v>
      </c>
      <c r="D4452">
        <f t="shared" si="142"/>
        <v>8.1271505816811418E-2</v>
      </c>
      <c r="E4452">
        <v>-2.124903593252514E-2</v>
      </c>
      <c r="F4452">
        <v>4449</v>
      </c>
      <c r="G4452">
        <f t="shared" ca="1" si="143"/>
        <v>-7.5167624939987909E-2</v>
      </c>
    </row>
    <row r="4453" spans="2:7" x14ac:dyDescent="0.35">
      <c r="B4453" s="2">
        <v>43857</v>
      </c>
      <c r="C4453" s="4">
        <v>915.45</v>
      </c>
      <c r="D4453">
        <f t="shared" si="142"/>
        <v>26.673821039903267</v>
      </c>
      <c r="E4453">
        <v>-2.1275458384561907E-2</v>
      </c>
      <c r="F4453">
        <v>4450</v>
      </c>
      <c r="G4453">
        <f t="shared" ca="1" si="143"/>
        <v>3.1841154813537366E-2</v>
      </c>
    </row>
    <row r="4454" spans="2:7" x14ac:dyDescent="0.35">
      <c r="B4454" s="2">
        <v>38014</v>
      </c>
      <c r="C4454" s="4">
        <v>33.08</v>
      </c>
      <c r="D4454">
        <f t="shared" si="142"/>
        <v>-0.88277401750593576</v>
      </c>
      <c r="E4454">
        <v>-2.130177514792897E-2</v>
      </c>
      <c r="F4454">
        <v>4451</v>
      </c>
      <c r="G4454">
        <f t="shared" ca="1" si="143"/>
        <v>-2.3410471901695463E-2</v>
      </c>
    </row>
    <row r="4455" spans="2:7" x14ac:dyDescent="0.35">
      <c r="B4455" s="2">
        <v>41919</v>
      </c>
      <c r="C4455" s="4">
        <v>282.19</v>
      </c>
      <c r="D4455">
        <f t="shared" si="142"/>
        <v>-0.58095987645154579</v>
      </c>
      <c r="E4455">
        <v>-2.132898661302618E-2</v>
      </c>
      <c r="F4455">
        <v>4452</v>
      </c>
      <c r="G4455">
        <f t="shared" ca="1" si="143"/>
        <v>-1.2206196911007631E-2</v>
      </c>
    </row>
    <row r="4456" spans="2:7" x14ac:dyDescent="0.35">
      <c r="B4456" s="2">
        <v>42718</v>
      </c>
      <c r="C4456" s="4">
        <v>673.42</v>
      </c>
      <c r="D4456">
        <f t="shared" si="142"/>
        <v>-0.10632481354672618</v>
      </c>
      <c r="E4456">
        <v>-2.1334108414474695E-2</v>
      </c>
      <c r="F4456">
        <v>4453</v>
      </c>
      <c r="G4456">
        <f t="shared" ca="1" si="143"/>
        <v>2.4131056564168449E-2</v>
      </c>
    </row>
    <row r="4457" spans="2:7" x14ac:dyDescent="0.35">
      <c r="B4457" s="2">
        <v>42566</v>
      </c>
      <c r="C4457" s="4">
        <v>753.54</v>
      </c>
      <c r="D4457">
        <f t="shared" si="142"/>
        <v>9.0539026017344888</v>
      </c>
      <c r="E4457">
        <v>-2.1363913817062596E-2</v>
      </c>
      <c r="F4457">
        <v>4454</v>
      </c>
      <c r="G4457">
        <f t="shared" ca="1" si="143"/>
        <v>-1.2456616016733337E-3</v>
      </c>
    </row>
    <row r="4458" spans="2:7" x14ac:dyDescent="0.35">
      <c r="B4458" s="2">
        <v>39611</v>
      </c>
      <c r="C4458" s="4">
        <v>74.95</v>
      </c>
      <c r="D4458">
        <f t="shared" si="142"/>
        <v>-0.97143739091331749</v>
      </c>
      <c r="E4458">
        <v>-2.1412717064891007E-2</v>
      </c>
      <c r="F4458">
        <v>4455</v>
      </c>
      <c r="G4458">
        <f t="shared" ca="1" si="143"/>
        <v>-1.0634194001180049E-2</v>
      </c>
    </row>
    <row r="4459" spans="2:7" x14ac:dyDescent="0.35">
      <c r="B4459" s="2">
        <v>44264</v>
      </c>
      <c r="C4459" s="4">
        <v>2624.06</v>
      </c>
      <c r="D4459">
        <f t="shared" si="142"/>
        <v>95.013904134650573</v>
      </c>
      <c r="E4459">
        <v>-2.1439093061848657E-2</v>
      </c>
      <c r="F4459">
        <v>4456</v>
      </c>
      <c r="G4459">
        <f t="shared" ca="1" si="143"/>
        <v>7.0538068351615546E-3</v>
      </c>
    </row>
    <row r="4460" spans="2:7" x14ac:dyDescent="0.35">
      <c r="B4460" s="2">
        <v>37641</v>
      </c>
      <c r="C4460" s="4">
        <v>27.33</v>
      </c>
      <c r="D4460">
        <f t="shared" si="142"/>
        <v>-0.73063276167947966</v>
      </c>
      <c r="E4460">
        <v>-2.148227712137496E-2</v>
      </c>
      <c r="F4460">
        <v>4457</v>
      </c>
      <c r="G4460">
        <f t="shared" ca="1" si="143"/>
        <v>4.6983410241418864E-3</v>
      </c>
    </row>
    <row r="4461" spans="2:7" x14ac:dyDescent="0.35">
      <c r="B4461" s="2">
        <v>40442</v>
      </c>
      <c r="C4461" s="4">
        <v>101.46</v>
      </c>
      <c r="D4461">
        <f t="shared" si="142"/>
        <v>0.16781767955801108</v>
      </c>
      <c r="E4461">
        <v>-2.1506413347478048E-2</v>
      </c>
      <c r="F4461">
        <v>4458</v>
      </c>
      <c r="G4461">
        <f t="shared" ca="1" si="143"/>
        <v>5.5440912674865062E-2</v>
      </c>
    </row>
    <row r="4462" spans="2:7" x14ac:dyDescent="0.35">
      <c r="B4462" s="2">
        <v>39059</v>
      </c>
      <c r="C4462" s="4">
        <v>86.88</v>
      </c>
      <c r="D4462">
        <f t="shared" si="142"/>
        <v>-0.90621964119945597</v>
      </c>
      <c r="E4462">
        <v>-2.1511431467507669E-2</v>
      </c>
      <c r="F4462">
        <v>4459</v>
      </c>
      <c r="G4462">
        <f t="shared" ca="1" si="143"/>
        <v>-2.2850035817327204E-4</v>
      </c>
    </row>
    <row r="4463" spans="2:7" x14ac:dyDescent="0.35">
      <c r="B4463" s="2">
        <v>44047</v>
      </c>
      <c r="C4463" s="4">
        <v>926.42</v>
      </c>
      <c r="D4463">
        <f t="shared" si="142"/>
        <v>4.537146614069691</v>
      </c>
      <c r="E4463">
        <v>-2.1514802648950671E-2</v>
      </c>
      <c r="F4463">
        <v>4460</v>
      </c>
      <c r="G4463">
        <f t="shared" ca="1" si="143"/>
        <v>4.1760752581083319E-2</v>
      </c>
    </row>
    <row r="4464" spans="2:7" x14ac:dyDescent="0.35">
      <c r="B4464" s="2">
        <v>41662</v>
      </c>
      <c r="C4464" s="4">
        <v>167.31</v>
      </c>
      <c r="D4464">
        <f t="shared" si="142"/>
        <v>1.0468558845118672</v>
      </c>
      <c r="E4464">
        <v>-2.1521726416749543E-2</v>
      </c>
      <c r="F4464">
        <v>4461</v>
      </c>
      <c r="G4464">
        <f t="shared" ca="1" si="143"/>
        <v>1.2462993704485635E-2</v>
      </c>
    </row>
    <row r="4465" spans="2:7" x14ac:dyDescent="0.35">
      <c r="B4465" s="2">
        <v>41417</v>
      </c>
      <c r="C4465" s="4">
        <v>81.739999999999995</v>
      </c>
      <c r="D4465">
        <f t="shared" si="142"/>
        <v>-0.93858568251487651</v>
      </c>
      <c r="E4465">
        <v>-2.1546564519990596E-2</v>
      </c>
      <c r="F4465">
        <v>4462</v>
      </c>
      <c r="G4465">
        <f t="shared" ca="1" si="143"/>
        <v>-5.9997467020096687E-2</v>
      </c>
    </row>
    <row r="4466" spans="2:7" x14ac:dyDescent="0.35">
      <c r="B4466" s="2">
        <v>43347</v>
      </c>
      <c r="C4466" s="4">
        <v>1330.96</v>
      </c>
      <c r="D4466">
        <f t="shared" si="142"/>
        <v>14.773406020383979</v>
      </c>
      <c r="E4466">
        <v>-2.1554385861734304E-2</v>
      </c>
      <c r="F4466">
        <v>4463</v>
      </c>
      <c r="G4466">
        <f t="shared" ca="1" si="143"/>
        <v>1.5124604437485206E-2</v>
      </c>
    </row>
    <row r="4467" spans="2:7" x14ac:dyDescent="0.35">
      <c r="B4467" s="2">
        <v>41481</v>
      </c>
      <c r="C4467" s="4">
        <v>84.38</v>
      </c>
      <c r="D4467">
        <f t="shared" si="142"/>
        <v>-0.98705421183040676</v>
      </c>
      <c r="E4467">
        <v>-2.1567717996289426E-2</v>
      </c>
      <c r="F4467">
        <v>4464</v>
      </c>
      <c r="G4467">
        <f t="shared" ca="1" si="143"/>
        <v>-1.9696930274631576E-2</v>
      </c>
    </row>
    <row r="4468" spans="2:7" x14ac:dyDescent="0.35">
      <c r="B4468" s="2">
        <v>44979</v>
      </c>
      <c r="C4468" s="4">
        <v>6517.95</v>
      </c>
      <c r="D4468">
        <f t="shared" si="142"/>
        <v>214.68332230311051</v>
      </c>
      <c r="E4468">
        <v>-2.1585919615716653E-2</v>
      </c>
      <c r="F4468">
        <v>4465</v>
      </c>
      <c r="G4468">
        <f t="shared" ca="1" si="143"/>
        <v>2.1725350034312346E-2</v>
      </c>
    </row>
    <row r="4469" spans="2:7" x14ac:dyDescent="0.35">
      <c r="B4469" s="2">
        <v>37623</v>
      </c>
      <c r="C4469" s="4">
        <v>30.22</v>
      </c>
      <c r="D4469">
        <f t="shared" si="142"/>
        <v>0.175875486381323</v>
      </c>
      <c r="E4469">
        <v>-2.168986727096156E-2</v>
      </c>
      <c r="F4469">
        <v>4466</v>
      </c>
      <c r="G4469">
        <f t="shared" ca="1" si="143"/>
        <v>1.4641253816514391E-2</v>
      </c>
    </row>
    <row r="4470" spans="2:7" x14ac:dyDescent="0.35">
      <c r="B4470" s="2">
        <v>37847</v>
      </c>
      <c r="C4470" s="4">
        <v>25.7</v>
      </c>
      <c r="D4470">
        <f t="shared" si="142"/>
        <v>-0.96904807784950386</v>
      </c>
      <c r="E4470">
        <v>-2.1697754092120269E-2</v>
      </c>
      <c r="F4470">
        <v>4467</v>
      </c>
      <c r="G4470">
        <f t="shared" ca="1" si="143"/>
        <v>1.4316237953287307E-3</v>
      </c>
    </row>
    <row r="4471" spans="2:7" x14ac:dyDescent="0.35">
      <c r="B4471" s="2">
        <v>43522</v>
      </c>
      <c r="C4471" s="4">
        <v>830.32</v>
      </c>
      <c r="D4471">
        <f t="shared" si="142"/>
        <v>-9.7792072322670398E-2</v>
      </c>
      <c r="E4471">
        <v>-2.1725811772468018E-2</v>
      </c>
      <c r="F4471">
        <v>4468</v>
      </c>
      <c r="G4471">
        <f t="shared" ca="1" si="143"/>
        <v>4.9766707794518833E-2</v>
      </c>
    </row>
    <row r="4472" spans="2:7" x14ac:dyDescent="0.35">
      <c r="B4472" s="2">
        <v>43187</v>
      </c>
      <c r="C4472" s="4">
        <v>920.32</v>
      </c>
      <c r="D4472">
        <f t="shared" si="142"/>
        <v>-0.20757706216635097</v>
      </c>
      <c r="E4472">
        <v>-2.1737512888378552E-2</v>
      </c>
      <c r="F4472">
        <v>4469</v>
      </c>
      <c r="G4472">
        <f t="shared" ca="1" si="143"/>
        <v>-1.7527930104709176E-2</v>
      </c>
    </row>
    <row r="4473" spans="2:7" x14ac:dyDescent="0.35">
      <c r="B4473" s="2">
        <v>43368</v>
      </c>
      <c r="C4473" s="4">
        <v>1161.4000000000001</v>
      </c>
      <c r="D4473">
        <f t="shared" si="142"/>
        <v>29.458956202465252</v>
      </c>
      <c r="E4473">
        <v>-2.1797722525436214E-2</v>
      </c>
      <c r="F4473">
        <v>4470</v>
      </c>
      <c r="G4473">
        <f t="shared" ca="1" si="143"/>
        <v>-3.9609844239158358E-2</v>
      </c>
    </row>
    <row r="4474" spans="2:7" x14ac:dyDescent="0.35">
      <c r="B4474" s="2">
        <v>38211</v>
      </c>
      <c r="C4474" s="4">
        <v>38.130000000000003</v>
      </c>
      <c r="D4474">
        <f t="shared" si="142"/>
        <v>-0.95603191808307009</v>
      </c>
      <c r="E4474">
        <v>-2.1806054386864893E-2</v>
      </c>
      <c r="F4474">
        <v>4471</v>
      </c>
      <c r="G4474">
        <f t="shared" ca="1" si="143"/>
        <v>-1.9518464363279784E-2</v>
      </c>
    </row>
    <row r="4475" spans="2:7" x14ac:dyDescent="0.35">
      <c r="B4475" s="2">
        <v>42383</v>
      </c>
      <c r="C4475" s="4">
        <v>867.22</v>
      </c>
      <c r="D4475">
        <f t="shared" si="142"/>
        <v>0.32529494467877007</v>
      </c>
      <c r="E4475">
        <v>-2.1869818747814684E-2</v>
      </c>
      <c r="F4475">
        <v>4472</v>
      </c>
      <c r="G4475">
        <f t="shared" ca="1" si="143"/>
        <v>6.2598962406396879E-3</v>
      </c>
    </row>
    <row r="4476" spans="2:7" x14ac:dyDescent="0.35">
      <c r="B4476" s="2">
        <v>42723</v>
      </c>
      <c r="C4476" s="4">
        <v>654.36</v>
      </c>
      <c r="D4476">
        <f t="shared" si="142"/>
        <v>4.5538957732133767</v>
      </c>
      <c r="E4476">
        <v>-2.1912648351319786E-2</v>
      </c>
      <c r="F4476">
        <v>4473</v>
      </c>
      <c r="G4476">
        <f t="shared" ca="1" si="143"/>
        <v>1.8623594224604297E-2</v>
      </c>
    </row>
    <row r="4477" spans="2:7" x14ac:dyDescent="0.35">
      <c r="B4477" s="2">
        <v>40532</v>
      </c>
      <c r="C4477" s="4">
        <v>117.82</v>
      </c>
      <c r="D4477">
        <f t="shared" si="142"/>
        <v>0.18926011910770169</v>
      </c>
      <c r="E4477">
        <v>-2.1915988709945267E-2</v>
      </c>
      <c r="F4477">
        <v>4474</v>
      </c>
      <c r="G4477">
        <f t="shared" ca="1" si="143"/>
        <v>1.5371608961825089E-3</v>
      </c>
    </row>
    <row r="4478" spans="2:7" x14ac:dyDescent="0.35">
      <c r="B4478" s="2">
        <v>41589</v>
      </c>
      <c r="C4478" s="4">
        <v>99.07</v>
      </c>
      <c r="D4478">
        <f t="shared" si="142"/>
        <v>-5.4946103214728703E-2</v>
      </c>
      <c r="E4478">
        <v>-2.1917267252443584E-2</v>
      </c>
      <c r="F4478">
        <v>4475</v>
      </c>
      <c r="G4478">
        <f t="shared" ca="1" si="143"/>
        <v>-1.7015347791035113E-2</v>
      </c>
    </row>
    <row r="4479" spans="2:7" x14ac:dyDescent="0.35">
      <c r="B4479" s="2">
        <v>39184</v>
      </c>
      <c r="C4479" s="4">
        <v>104.83</v>
      </c>
      <c r="D4479">
        <f t="shared" si="142"/>
        <v>-0.88021071395922845</v>
      </c>
      <c r="E4479">
        <v>-2.1925732412763632E-2</v>
      </c>
      <c r="F4479">
        <v>4476</v>
      </c>
      <c r="G4479">
        <f t="shared" ca="1" si="143"/>
        <v>-1.5084801917302215E-2</v>
      </c>
    </row>
    <row r="4480" spans="2:7" x14ac:dyDescent="0.35">
      <c r="B4480" s="2">
        <v>43579</v>
      </c>
      <c r="C4480" s="4">
        <v>875.12</v>
      </c>
      <c r="D4480">
        <f t="shared" si="142"/>
        <v>1.8564428460025484E-2</v>
      </c>
      <c r="E4480">
        <v>-2.1928157900619194E-2</v>
      </c>
      <c r="F4480">
        <v>4477</v>
      </c>
      <c r="G4480">
        <f t="shared" ca="1" si="143"/>
        <v>5.2773610667433725E-3</v>
      </c>
    </row>
    <row r="4481" spans="2:7" x14ac:dyDescent="0.35">
      <c r="B4481" s="2">
        <v>43490</v>
      </c>
      <c r="C4481" s="4">
        <v>859.17</v>
      </c>
      <c r="D4481">
        <f t="shared" si="142"/>
        <v>39.261012183692593</v>
      </c>
      <c r="E4481">
        <v>-2.1958882589987128E-2</v>
      </c>
      <c r="F4481">
        <v>4478</v>
      </c>
      <c r="G4481">
        <f t="shared" ca="1" si="143"/>
        <v>2.5041826389040452E-2</v>
      </c>
    </row>
    <row r="4482" spans="2:7" x14ac:dyDescent="0.35">
      <c r="B4482" s="2">
        <v>37690</v>
      </c>
      <c r="C4482" s="4">
        <v>21.34</v>
      </c>
      <c r="D4482">
        <f t="shared" si="142"/>
        <v>-0.31338481338481339</v>
      </c>
      <c r="E4482">
        <v>-2.1998166819431786E-2</v>
      </c>
      <c r="F4482">
        <v>4479</v>
      </c>
      <c r="G4482">
        <f t="shared" ca="1" si="143"/>
        <v>1.2458547345683305E-2</v>
      </c>
    </row>
    <row r="4483" spans="2:7" x14ac:dyDescent="0.35">
      <c r="B4483" s="2">
        <v>37518</v>
      </c>
      <c r="C4483" s="4">
        <v>31.08</v>
      </c>
      <c r="D4483">
        <f t="shared" si="142"/>
        <v>-0.40115606936416182</v>
      </c>
      <c r="E4483">
        <v>-2.2026431718061734E-2</v>
      </c>
      <c r="F4483">
        <v>4480</v>
      </c>
      <c r="G4483">
        <f t="shared" ca="1" si="143"/>
        <v>-5.0221215180570621E-2</v>
      </c>
    </row>
    <row r="4484" spans="2:7" x14ac:dyDescent="0.35">
      <c r="B4484" s="2">
        <v>38350</v>
      </c>
      <c r="C4484" s="4">
        <v>51.9</v>
      </c>
      <c r="D4484">
        <f t="shared" ref="D4484:D4547" si="144">C4484/C4485-1</f>
        <v>-0.8385892890464639</v>
      </c>
      <c r="E4484">
        <v>-2.2046353872244184E-2</v>
      </c>
      <c r="F4484">
        <v>4481</v>
      </c>
      <c r="G4484">
        <f t="shared" ca="1" si="143"/>
        <v>-7.7294610637867849E-3</v>
      </c>
    </row>
    <row r="4485" spans="2:7" x14ac:dyDescent="0.35">
      <c r="B4485" s="2">
        <v>42017</v>
      </c>
      <c r="C4485" s="4">
        <v>321.54000000000002</v>
      </c>
      <c r="D4485">
        <f t="shared" si="144"/>
        <v>-0.96059389802258677</v>
      </c>
      <c r="E4485">
        <v>-2.2080291970802857E-2</v>
      </c>
      <c r="F4485">
        <v>4482</v>
      </c>
      <c r="G4485">
        <f t="shared" ref="G4485:G4548" ca="1" si="145">_xlfn.NORM.INV(RAND(),K$6,K$7)</f>
        <v>-5.5695845924681985E-3</v>
      </c>
    </row>
    <row r="4486" spans="2:7" x14ac:dyDescent="0.35">
      <c r="B4486" s="2">
        <v>44727</v>
      </c>
      <c r="C4486" s="4">
        <v>8159.65</v>
      </c>
      <c r="D4486">
        <f t="shared" si="144"/>
        <v>75.695648087226246</v>
      </c>
      <c r="E4486">
        <v>-2.2123018845312648E-2</v>
      </c>
      <c r="F4486">
        <v>4483</v>
      </c>
      <c r="G4486">
        <f t="shared" ca="1" si="145"/>
        <v>-4.359349687745831E-3</v>
      </c>
    </row>
    <row r="4487" spans="2:7" x14ac:dyDescent="0.35">
      <c r="B4487" s="2">
        <v>40651</v>
      </c>
      <c r="C4487" s="4">
        <v>106.39</v>
      </c>
      <c r="D4487">
        <f t="shared" si="144"/>
        <v>-0.83331244320496345</v>
      </c>
      <c r="E4487">
        <v>-2.2150735294117596E-2</v>
      </c>
      <c r="F4487">
        <v>4484</v>
      </c>
      <c r="G4487">
        <f t="shared" ca="1" si="145"/>
        <v>3.8825137207463938E-3</v>
      </c>
    </row>
    <row r="4488" spans="2:7" x14ac:dyDescent="0.35">
      <c r="B4488" s="2">
        <v>43670</v>
      </c>
      <c r="C4488" s="4">
        <v>638.26</v>
      </c>
      <c r="D4488">
        <f t="shared" si="144"/>
        <v>15.454240783707142</v>
      </c>
      <c r="E4488">
        <v>-2.216843105112376E-2</v>
      </c>
      <c r="F4488">
        <v>4485</v>
      </c>
      <c r="G4488">
        <f t="shared" ca="1" si="145"/>
        <v>-7.9908768714199194E-4</v>
      </c>
    </row>
    <row r="4489" spans="2:7" x14ac:dyDescent="0.35">
      <c r="B4489" s="2">
        <v>38188</v>
      </c>
      <c r="C4489" s="4">
        <v>38.79</v>
      </c>
      <c r="D4489">
        <f t="shared" si="144"/>
        <v>-0.95263562767866961</v>
      </c>
      <c r="E4489">
        <v>-2.2183009831106659E-2</v>
      </c>
      <c r="F4489">
        <v>4486</v>
      </c>
      <c r="G4489">
        <f t="shared" ca="1" si="145"/>
        <v>-1.3411883716085506E-2</v>
      </c>
    </row>
    <row r="4490" spans="2:7" x14ac:dyDescent="0.35">
      <c r="B4490" s="2">
        <v>43654</v>
      </c>
      <c r="C4490" s="4">
        <v>818.97</v>
      </c>
      <c r="D4490">
        <f t="shared" si="144"/>
        <v>1.3320519391764907</v>
      </c>
      <c r="E4490">
        <v>-2.2195424805386943E-2</v>
      </c>
      <c r="F4490">
        <v>4487</v>
      </c>
      <c r="G4490">
        <f t="shared" ca="1" si="145"/>
        <v>-3.3425446666128768E-2</v>
      </c>
    </row>
    <row r="4491" spans="2:7" x14ac:dyDescent="0.35">
      <c r="B4491" s="2">
        <v>42027</v>
      </c>
      <c r="C4491" s="4">
        <v>351.18</v>
      </c>
      <c r="D4491">
        <f t="shared" si="144"/>
        <v>-0.94986738082118249</v>
      </c>
      <c r="E4491">
        <v>-2.2218509856331448E-2</v>
      </c>
      <c r="F4491">
        <v>4488</v>
      </c>
      <c r="G4491">
        <f t="shared" ca="1" si="145"/>
        <v>4.5913170580593118E-3</v>
      </c>
    </row>
    <row r="4492" spans="2:7" x14ac:dyDescent="0.35">
      <c r="B4492" s="2">
        <v>44585</v>
      </c>
      <c r="C4492" s="4">
        <v>7005.02</v>
      </c>
      <c r="D4492">
        <f t="shared" si="144"/>
        <v>27.687935129822264</v>
      </c>
      <c r="E4492">
        <v>-2.2220175008828558E-2</v>
      </c>
      <c r="F4492">
        <v>4489</v>
      </c>
      <c r="G4492">
        <f t="shared" ca="1" si="145"/>
        <v>2.6627475270831442E-2</v>
      </c>
    </row>
    <row r="4493" spans="2:7" x14ac:dyDescent="0.35">
      <c r="B4493" s="2">
        <v>41759</v>
      </c>
      <c r="C4493" s="4">
        <v>244.18</v>
      </c>
      <c r="D4493">
        <f t="shared" si="144"/>
        <v>1.5282667218885897</v>
      </c>
      <c r="E4493">
        <v>-2.2224001922075742E-2</v>
      </c>
      <c r="F4493">
        <v>4490</v>
      </c>
      <c r="G4493">
        <f t="shared" ca="1" si="145"/>
        <v>2.9080222097407574E-2</v>
      </c>
    </row>
    <row r="4494" spans="2:7" x14ac:dyDescent="0.35">
      <c r="B4494" s="2">
        <v>41578</v>
      </c>
      <c r="C4494" s="4">
        <v>96.58</v>
      </c>
      <c r="D4494">
        <f t="shared" si="144"/>
        <v>0.19856043683296098</v>
      </c>
      <c r="E4494">
        <v>-2.2271714922049046E-2</v>
      </c>
      <c r="F4494">
        <v>4491</v>
      </c>
      <c r="G4494">
        <f t="shared" ca="1" si="145"/>
        <v>-5.2583854550503815E-2</v>
      </c>
    </row>
    <row r="4495" spans="2:7" x14ac:dyDescent="0.35">
      <c r="B4495" s="2">
        <v>41487</v>
      </c>
      <c r="C4495" s="4">
        <v>80.58</v>
      </c>
      <c r="D4495">
        <f t="shared" si="144"/>
        <v>-0.89751351351351349</v>
      </c>
      <c r="E4495">
        <v>-2.2324678476098092E-2</v>
      </c>
      <c r="F4495">
        <v>4492</v>
      </c>
      <c r="G4495">
        <f t="shared" ca="1" si="145"/>
        <v>1.6076573883280869E-2</v>
      </c>
    </row>
    <row r="4496" spans="2:7" x14ac:dyDescent="0.35">
      <c r="B4496" s="2">
        <v>43774</v>
      </c>
      <c r="C4496" s="4">
        <v>786.25</v>
      </c>
      <c r="D4496">
        <f t="shared" si="144"/>
        <v>6.9203183237634738</v>
      </c>
      <c r="E4496">
        <v>-2.2344632065852688E-2</v>
      </c>
      <c r="F4496">
        <v>4493</v>
      </c>
      <c r="G4496">
        <f t="shared" ca="1" si="145"/>
        <v>7.6578216115465465E-3</v>
      </c>
    </row>
    <row r="4497" spans="2:7" x14ac:dyDescent="0.35">
      <c r="B4497" s="2">
        <v>41199</v>
      </c>
      <c r="C4497" s="4">
        <v>99.27</v>
      </c>
      <c r="D4497">
        <f t="shared" si="144"/>
        <v>-0.62777007011886465</v>
      </c>
      <c r="E4497">
        <v>-2.2355721883001833E-2</v>
      </c>
      <c r="F4497">
        <v>4494</v>
      </c>
      <c r="G4497">
        <f t="shared" ca="1" si="145"/>
        <v>5.862537505990071E-2</v>
      </c>
    </row>
    <row r="4498" spans="2:7" x14ac:dyDescent="0.35">
      <c r="B4498" s="2">
        <v>41851</v>
      </c>
      <c r="C4498" s="4">
        <v>266.69</v>
      </c>
      <c r="D4498">
        <f t="shared" si="144"/>
        <v>7.9764389094580945</v>
      </c>
      <c r="E4498">
        <v>-2.2361523516257975E-2</v>
      </c>
      <c r="F4498">
        <v>4495</v>
      </c>
      <c r="G4498">
        <f t="shared" ca="1" si="145"/>
        <v>-1.423439328973657E-2</v>
      </c>
    </row>
    <row r="4499" spans="2:7" x14ac:dyDescent="0.35">
      <c r="B4499" s="2">
        <v>38138</v>
      </c>
      <c r="C4499" s="4">
        <v>29.71</v>
      </c>
      <c r="D4499">
        <f t="shared" si="144"/>
        <v>-0.99619729036139182</v>
      </c>
      <c r="E4499">
        <v>-2.2375781507074644E-2</v>
      </c>
      <c r="F4499">
        <v>4496</v>
      </c>
      <c r="G4499">
        <f t="shared" ca="1" si="145"/>
        <v>-2.9459742555107356E-2</v>
      </c>
    </row>
    <row r="4500" spans="2:7" x14ac:dyDescent="0.35">
      <c r="B4500" s="2">
        <v>44729</v>
      </c>
      <c r="C4500" s="4">
        <v>7812.85</v>
      </c>
      <c r="D4500">
        <f t="shared" si="144"/>
        <v>12.554327648722266</v>
      </c>
      <c r="E4500">
        <v>-2.2403933983157875E-2</v>
      </c>
      <c r="F4500">
        <v>4497</v>
      </c>
      <c r="G4500">
        <f t="shared" ca="1" si="145"/>
        <v>5.2957393210745878E-2</v>
      </c>
    </row>
    <row r="4501" spans="2:7" x14ac:dyDescent="0.35">
      <c r="B4501" s="2">
        <v>43924</v>
      </c>
      <c r="C4501" s="4">
        <v>576.41</v>
      </c>
      <c r="D4501">
        <f t="shared" si="144"/>
        <v>10.142663831432438</v>
      </c>
      <c r="E4501">
        <v>-2.240426037108656E-2</v>
      </c>
      <c r="F4501">
        <v>4498</v>
      </c>
      <c r="G4501">
        <f t="shared" ca="1" si="145"/>
        <v>1.5679471881804047E-2</v>
      </c>
    </row>
    <row r="4502" spans="2:7" x14ac:dyDescent="0.35">
      <c r="B4502" s="2">
        <v>40000</v>
      </c>
      <c r="C4502" s="4">
        <v>51.73</v>
      </c>
      <c r="D4502">
        <f t="shared" si="144"/>
        <v>0.58778391651319817</v>
      </c>
      <c r="E4502">
        <v>-2.2486772486772555E-2</v>
      </c>
      <c r="F4502">
        <v>4499</v>
      </c>
      <c r="G4502">
        <f t="shared" ca="1" si="145"/>
        <v>1.953363329756299E-2</v>
      </c>
    </row>
    <row r="4503" spans="2:7" x14ac:dyDescent="0.35">
      <c r="B4503" s="2">
        <v>39860</v>
      </c>
      <c r="C4503" s="4">
        <v>32.58</v>
      </c>
      <c r="D4503">
        <f t="shared" si="144"/>
        <v>0.13717277486910984</v>
      </c>
      <c r="E4503">
        <v>-2.2502250225022502E-2</v>
      </c>
      <c r="F4503">
        <v>4500</v>
      </c>
      <c r="G4503">
        <f t="shared" ca="1" si="145"/>
        <v>-1.1449742019842451E-2</v>
      </c>
    </row>
    <row r="4504" spans="2:7" x14ac:dyDescent="0.35">
      <c r="B4504" s="2">
        <v>37929</v>
      </c>
      <c r="C4504" s="4">
        <v>28.65</v>
      </c>
      <c r="D4504">
        <f t="shared" si="144"/>
        <v>-0.5251118846345102</v>
      </c>
      <c r="E4504">
        <v>-2.2517911975434957E-2</v>
      </c>
      <c r="F4504">
        <v>4501</v>
      </c>
      <c r="G4504">
        <f t="shared" ca="1" si="145"/>
        <v>-2.3119366578444184E-2</v>
      </c>
    </row>
    <row r="4505" spans="2:7" x14ac:dyDescent="0.35">
      <c r="B4505" s="2">
        <v>38419</v>
      </c>
      <c r="C4505" s="4">
        <v>60.33</v>
      </c>
      <c r="D4505">
        <f t="shared" si="144"/>
        <v>-0.18703678749494668</v>
      </c>
      <c r="E4505">
        <v>-2.2521062864549579E-2</v>
      </c>
      <c r="F4505">
        <v>4502</v>
      </c>
      <c r="G4505">
        <f t="shared" ca="1" si="145"/>
        <v>-1.7250097916162745E-2</v>
      </c>
    </row>
    <row r="4506" spans="2:7" x14ac:dyDescent="0.35">
      <c r="B4506" s="2">
        <v>41513</v>
      </c>
      <c r="C4506" s="4">
        <v>74.209999999999994</v>
      </c>
      <c r="D4506">
        <f t="shared" si="144"/>
        <v>1.7143379663496705</v>
      </c>
      <c r="E4506">
        <v>-2.252370916754487E-2</v>
      </c>
      <c r="F4506">
        <v>4503</v>
      </c>
      <c r="G4506">
        <f t="shared" ca="1" si="145"/>
        <v>-2.0488162909062514E-2</v>
      </c>
    </row>
    <row r="4507" spans="2:7" x14ac:dyDescent="0.35">
      <c r="B4507" s="2">
        <v>37921</v>
      </c>
      <c r="C4507" s="4">
        <v>27.34</v>
      </c>
      <c r="D4507">
        <f t="shared" si="144"/>
        <v>-0.74687528932506253</v>
      </c>
      <c r="E4507">
        <v>-2.2524132999642399E-2</v>
      </c>
      <c r="F4507">
        <v>4504</v>
      </c>
      <c r="G4507">
        <f t="shared" ca="1" si="145"/>
        <v>-2.0194482745866233E-2</v>
      </c>
    </row>
    <row r="4508" spans="2:7" x14ac:dyDescent="0.35">
      <c r="B4508" s="2">
        <v>40211</v>
      </c>
      <c r="C4508" s="4">
        <v>108.01</v>
      </c>
      <c r="D4508">
        <f t="shared" si="144"/>
        <v>-0.77756955456249099</v>
      </c>
      <c r="E4508">
        <v>-2.2533936651583653E-2</v>
      </c>
      <c r="F4508">
        <v>4505</v>
      </c>
      <c r="G4508">
        <f t="shared" ca="1" si="145"/>
        <v>2.781881157808461E-2</v>
      </c>
    </row>
    <row r="4509" spans="2:7" x14ac:dyDescent="0.35">
      <c r="B4509" s="2">
        <v>42088</v>
      </c>
      <c r="C4509" s="4">
        <v>485.59</v>
      </c>
      <c r="D4509">
        <f t="shared" si="144"/>
        <v>-0.35655319543641595</v>
      </c>
      <c r="E4509">
        <v>-2.2544737212906951E-2</v>
      </c>
      <c r="F4509">
        <v>4506</v>
      </c>
      <c r="G4509">
        <f t="shared" ca="1" si="145"/>
        <v>3.1788750957592579E-2</v>
      </c>
    </row>
    <row r="4510" spans="2:7" x14ac:dyDescent="0.35">
      <c r="B4510" s="2">
        <v>43005</v>
      </c>
      <c r="C4510" s="4">
        <v>754.67</v>
      </c>
      <c r="D4510">
        <f t="shared" si="144"/>
        <v>9.6893767705382441</v>
      </c>
      <c r="E4510">
        <v>-2.2562136538486488E-2</v>
      </c>
      <c r="F4510">
        <v>4507</v>
      </c>
      <c r="G4510">
        <f t="shared" ca="1" si="145"/>
        <v>2.7561528344661117E-2</v>
      </c>
    </row>
    <row r="4511" spans="2:7" x14ac:dyDescent="0.35">
      <c r="B4511" s="2">
        <v>38567</v>
      </c>
      <c r="C4511" s="4">
        <v>70.599999999999994</v>
      </c>
      <c r="D4511">
        <f t="shared" si="144"/>
        <v>-0.10621597670591221</v>
      </c>
      <c r="E4511">
        <v>-2.256680049840798E-2</v>
      </c>
      <c r="F4511">
        <v>4508</v>
      </c>
      <c r="G4511">
        <f t="shared" ca="1" si="145"/>
        <v>-8.0303191384802318E-3</v>
      </c>
    </row>
    <row r="4512" spans="2:7" x14ac:dyDescent="0.35">
      <c r="B4512" s="2">
        <v>38975</v>
      </c>
      <c r="C4512" s="4">
        <v>78.989999999999995</v>
      </c>
      <c r="D4512">
        <f t="shared" si="144"/>
        <v>-0.17088275427731714</v>
      </c>
      <c r="E4512">
        <v>-2.2642910170749819E-2</v>
      </c>
      <c r="F4512">
        <v>4509</v>
      </c>
      <c r="G4512">
        <f t="shared" ca="1" si="145"/>
        <v>-1.0308014005957567E-2</v>
      </c>
    </row>
    <row r="4513" spans="2:7" x14ac:dyDescent="0.35">
      <c r="B4513" s="2">
        <v>40956</v>
      </c>
      <c r="C4513" s="4">
        <v>95.27</v>
      </c>
      <c r="D4513">
        <f t="shared" si="144"/>
        <v>9.9988453989146686E-2</v>
      </c>
      <c r="E4513">
        <v>-2.2671317193270535E-2</v>
      </c>
      <c r="F4513">
        <v>4510</v>
      </c>
      <c r="G4513">
        <f t="shared" ca="1" si="145"/>
        <v>4.4475365530174333E-3</v>
      </c>
    </row>
    <row r="4514" spans="2:7" x14ac:dyDescent="0.35">
      <c r="B4514" s="2">
        <v>41344</v>
      </c>
      <c r="C4514" s="4">
        <v>86.61</v>
      </c>
      <c r="D4514">
        <f t="shared" si="144"/>
        <v>-0.98967768539882917</v>
      </c>
      <c r="E4514">
        <v>-2.2681110358835577E-2</v>
      </c>
      <c r="F4514">
        <v>4511</v>
      </c>
      <c r="G4514">
        <f t="shared" ca="1" si="145"/>
        <v>6.7277017024289449E-3</v>
      </c>
    </row>
    <row r="4515" spans="2:7" x14ac:dyDescent="0.35">
      <c r="B4515" s="2">
        <v>44715</v>
      </c>
      <c r="C4515" s="4">
        <v>8390.56</v>
      </c>
      <c r="D4515">
        <f t="shared" si="144"/>
        <v>0.1947088892369464</v>
      </c>
      <c r="E4515">
        <v>-2.2696618220191977E-2</v>
      </c>
      <c r="F4515">
        <v>4512</v>
      </c>
      <c r="G4515">
        <f t="shared" ca="1" si="145"/>
        <v>-2.9438446974652865E-2</v>
      </c>
    </row>
    <row r="4516" spans="2:7" x14ac:dyDescent="0.35">
      <c r="B4516" s="2">
        <v>44861</v>
      </c>
      <c r="C4516" s="4">
        <v>7023.1</v>
      </c>
      <c r="D4516">
        <f t="shared" si="144"/>
        <v>258.92227979274611</v>
      </c>
      <c r="E4516">
        <v>-2.2723477680062221E-2</v>
      </c>
      <c r="F4516">
        <v>4513</v>
      </c>
      <c r="G4516">
        <f t="shared" ca="1" si="145"/>
        <v>4.5354324566315163E-3</v>
      </c>
    </row>
    <row r="4517" spans="2:7" x14ac:dyDescent="0.35">
      <c r="B4517" s="2">
        <v>37559</v>
      </c>
      <c r="C4517" s="4">
        <v>27.02</v>
      </c>
      <c r="D4517">
        <f t="shared" si="144"/>
        <v>-0.64605711291590251</v>
      </c>
      <c r="E4517">
        <v>-2.2784810126582289E-2</v>
      </c>
      <c r="F4517">
        <v>4514</v>
      </c>
      <c r="G4517">
        <f t="shared" ca="1" si="145"/>
        <v>1.262800866319377E-2</v>
      </c>
    </row>
    <row r="4518" spans="2:7" x14ac:dyDescent="0.35">
      <c r="B4518" s="2">
        <v>38979</v>
      </c>
      <c r="C4518" s="4">
        <v>76.34</v>
      </c>
      <c r="D4518">
        <f t="shared" si="144"/>
        <v>0.12945702026927064</v>
      </c>
      <c r="E4518">
        <v>-2.2785458269329206E-2</v>
      </c>
      <c r="F4518">
        <v>4515</v>
      </c>
      <c r="G4518">
        <f t="shared" ca="1" si="145"/>
        <v>-2.5021461819981106E-2</v>
      </c>
    </row>
    <row r="4519" spans="2:7" x14ac:dyDescent="0.35">
      <c r="B4519" s="2">
        <v>38742</v>
      </c>
      <c r="C4519" s="4">
        <v>67.59</v>
      </c>
      <c r="D4519">
        <f t="shared" si="144"/>
        <v>-0.90977895242671791</v>
      </c>
      <c r="E4519">
        <v>-2.2842272661558471E-2</v>
      </c>
      <c r="F4519">
        <v>4516</v>
      </c>
      <c r="G4519">
        <f t="shared" ca="1" si="145"/>
        <v>-1.9183578255384047E-2</v>
      </c>
    </row>
    <row r="4520" spans="2:7" x14ac:dyDescent="0.35">
      <c r="B4520" s="2">
        <v>43959</v>
      </c>
      <c r="C4520" s="4">
        <v>749.16</v>
      </c>
      <c r="D4520">
        <f t="shared" si="144"/>
        <v>11.00576923076923</v>
      </c>
      <c r="E4520">
        <v>-2.2851776490843578E-2</v>
      </c>
      <c r="F4520">
        <v>4517</v>
      </c>
      <c r="G4520">
        <f t="shared" ca="1" si="145"/>
        <v>-3.1297015469469842E-2</v>
      </c>
    </row>
    <row r="4521" spans="2:7" x14ac:dyDescent="0.35">
      <c r="B4521" s="2">
        <v>40042</v>
      </c>
      <c r="C4521" s="4">
        <v>62.4</v>
      </c>
      <c r="D4521">
        <f t="shared" si="144"/>
        <v>-0.22743592918162681</v>
      </c>
      <c r="E4521">
        <v>-2.2862511744440983E-2</v>
      </c>
      <c r="F4521">
        <v>4518</v>
      </c>
      <c r="G4521">
        <f t="shared" ca="1" si="145"/>
        <v>-3.3523912473542139E-2</v>
      </c>
    </row>
    <row r="4522" spans="2:7" x14ac:dyDescent="0.35">
      <c r="B4522" s="2">
        <v>40868</v>
      </c>
      <c r="C4522" s="4">
        <v>80.77</v>
      </c>
      <c r="D4522">
        <f t="shared" si="144"/>
        <v>-0.90127606522111137</v>
      </c>
      <c r="E4522">
        <v>-2.2864747157028797E-2</v>
      </c>
      <c r="F4522">
        <v>4519</v>
      </c>
      <c r="G4522">
        <f t="shared" ca="1" si="145"/>
        <v>-2.1470984036526093E-2</v>
      </c>
    </row>
    <row r="4523" spans="2:7" x14ac:dyDescent="0.35">
      <c r="B4523" s="2">
        <v>42289</v>
      </c>
      <c r="C4523" s="4">
        <v>818.14</v>
      </c>
      <c r="D4523">
        <f t="shared" si="144"/>
        <v>9.6459336369551085</v>
      </c>
      <c r="E4523">
        <v>-2.2871406561645324E-2</v>
      </c>
      <c r="F4523">
        <v>4520</v>
      </c>
      <c r="G4523">
        <f t="shared" ca="1" si="145"/>
        <v>1.0580536426477069E-2</v>
      </c>
    </row>
    <row r="4524" spans="2:7" x14ac:dyDescent="0.35">
      <c r="B4524" s="2">
        <v>39602</v>
      </c>
      <c r="C4524" s="4">
        <v>76.849999999999994</v>
      </c>
      <c r="D4524">
        <f t="shared" si="144"/>
        <v>0.30564050288820921</v>
      </c>
      <c r="E4524">
        <v>-2.2886204704386626E-2</v>
      </c>
      <c r="F4524">
        <v>4521</v>
      </c>
      <c r="G4524">
        <f t="shared" ca="1" si="145"/>
        <v>-9.2905681120813224E-3</v>
      </c>
    </row>
    <row r="4525" spans="2:7" x14ac:dyDescent="0.35">
      <c r="B4525" s="2">
        <v>38469</v>
      </c>
      <c r="C4525" s="4">
        <v>58.86</v>
      </c>
      <c r="D4525">
        <f t="shared" si="144"/>
        <v>-0.92312113058697531</v>
      </c>
      <c r="E4525">
        <v>-2.2908366533864633E-2</v>
      </c>
      <c r="F4525">
        <v>4522</v>
      </c>
      <c r="G4525">
        <f t="shared" ca="1" si="145"/>
        <v>5.2201848789378722E-3</v>
      </c>
    </row>
    <row r="4526" spans="2:7" x14ac:dyDescent="0.35">
      <c r="B4526" s="2">
        <v>43801</v>
      </c>
      <c r="C4526" s="4">
        <v>765.62</v>
      </c>
      <c r="D4526">
        <f t="shared" si="144"/>
        <v>-0.10690914181063138</v>
      </c>
      <c r="E4526">
        <v>-2.292044207355981E-2</v>
      </c>
      <c r="F4526">
        <v>4523</v>
      </c>
      <c r="G4526">
        <f t="shared" ca="1" si="145"/>
        <v>-2.7426059043090971E-2</v>
      </c>
    </row>
    <row r="4527" spans="2:7" x14ac:dyDescent="0.35">
      <c r="B4527" s="2">
        <v>42416</v>
      </c>
      <c r="C4527" s="4">
        <v>857.27</v>
      </c>
      <c r="D4527">
        <f t="shared" si="144"/>
        <v>2.5615704196094726</v>
      </c>
      <c r="E4527">
        <v>-2.2920513346554539E-2</v>
      </c>
      <c r="F4527">
        <v>4524</v>
      </c>
      <c r="G4527">
        <f t="shared" ca="1" si="145"/>
        <v>-3.2587569732673134E-2</v>
      </c>
    </row>
    <row r="4528" spans="2:7" x14ac:dyDescent="0.35">
      <c r="B4528" s="2">
        <v>41739</v>
      </c>
      <c r="C4528" s="4">
        <v>240.7</v>
      </c>
      <c r="D4528">
        <f t="shared" si="144"/>
        <v>2.0576727642276422</v>
      </c>
      <c r="E4528">
        <v>-2.2974508848839226E-2</v>
      </c>
      <c r="F4528">
        <v>4525</v>
      </c>
      <c r="G4528">
        <f t="shared" ca="1" si="145"/>
        <v>6.1549410814351491E-3</v>
      </c>
    </row>
    <row r="4529" spans="2:7" x14ac:dyDescent="0.35">
      <c r="B4529" s="2">
        <v>41488</v>
      </c>
      <c r="C4529" s="4">
        <v>78.72</v>
      </c>
      <c r="D4529">
        <f t="shared" si="144"/>
        <v>-0.97879801554596724</v>
      </c>
      <c r="E4529">
        <v>-2.3082650781831693E-2</v>
      </c>
      <c r="F4529">
        <v>4526</v>
      </c>
      <c r="G4529">
        <f t="shared" ca="1" si="145"/>
        <v>-1.516727296639829E-2</v>
      </c>
    </row>
    <row r="4530" spans="2:7" x14ac:dyDescent="0.35">
      <c r="B4530" s="2">
        <v>44322</v>
      </c>
      <c r="C4530" s="4">
        <v>3712.86</v>
      </c>
      <c r="D4530">
        <f t="shared" si="144"/>
        <v>32.929087087635928</v>
      </c>
      <c r="E4530">
        <v>-2.3098680488863765E-2</v>
      </c>
      <c r="F4530">
        <v>4527</v>
      </c>
      <c r="G4530">
        <f t="shared" ca="1" si="145"/>
        <v>1.2137743537497279E-2</v>
      </c>
    </row>
    <row r="4531" spans="2:7" x14ac:dyDescent="0.35">
      <c r="B4531" s="2">
        <v>40252</v>
      </c>
      <c r="C4531" s="4">
        <v>109.43</v>
      </c>
      <c r="D4531">
        <f t="shared" si="144"/>
        <v>2.8102367688022287</v>
      </c>
      <c r="E4531">
        <v>-2.3120871272986898E-2</v>
      </c>
      <c r="F4531">
        <v>4528</v>
      </c>
      <c r="G4531">
        <f t="shared" ca="1" si="145"/>
        <v>5.2133836403281751E-2</v>
      </c>
    </row>
    <row r="4532" spans="2:7" x14ac:dyDescent="0.35">
      <c r="B4532" s="2">
        <v>37553</v>
      </c>
      <c r="C4532" s="4">
        <v>28.72</v>
      </c>
      <c r="D4532">
        <f t="shared" si="144"/>
        <v>-0.96254613267954248</v>
      </c>
      <c r="E4532">
        <v>-2.3129251700680253E-2</v>
      </c>
      <c r="F4532">
        <v>4529</v>
      </c>
      <c r="G4532">
        <f t="shared" ca="1" si="145"/>
        <v>3.9505721214568038E-2</v>
      </c>
    </row>
    <row r="4533" spans="2:7" x14ac:dyDescent="0.35">
      <c r="B4533" s="2">
        <v>42968</v>
      </c>
      <c r="C4533" s="4">
        <v>766.81</v>
      </c>
      <c r="D4533">
        <f t="shared" si="144"/>
        <v>8.7745060548119813</v>
      </c>
      <c r="E4533">
        <v>-2.3147086549975882E-2</v>
      </c>
      <c r="F4533">
        <v>4530</v>
      </c>
      <c r="G4533">
        <f t="shared" ca="1" si="145"/>
        <v>-1.0456452560137459E-2</v>
      </c>
    </row>
    <row r="4534" spans="2:7" x14ac:dyDescent="0.35">
      <c r="B4534" s="2">
        <v>41458</v>
      </c>
      <c r="C4534" s="4">
        <v>78.45</v>
      </c>
      <c r="D4534">
        <f t="shared" si="144"/>
        <v>-0.23103313075867471</v>
      </c>
      <c r="E4534">
        <v>-2.3160254015689219E-2</v>
      </c>
      <c r="F4534">
        <v>4531</v>
      </c>
      <c r="G4534">
        <f t="shared" ca="1" si="145"/>
        <v>-9.5431536699795514E-3</v>
      </c>
    </row>
    <row r="4535" spans="2:7" x14ac:dyDescent="0.35">
      <c r="B4535" s="2">
        <v>39167</v>
      </c>
      <c r="C4535" s="4">
        <v>102.02</v>
      </c>
      <c r="D4535">
        <f t="shared" si="144"/>
        <v>0.46139521558515972</v>
      </c>
      <c r="E4535">
        <v>-2.317119877441598E-2</v>
      </c>
      <c r="F4535">
        <v>4532</v>
      </c>
      <c r="G4535">
        <f t="shared" ca="1" si="145"/>
        <v>-6.7648430438436782E-3</v>
      </c>
    </row>
    <row r="4536" spans="2:7" x14ac:dyDescent="0.35">
      <c r="B4536" s="2">
        <v>39511</v>
      </c>
      <c r="C4536" s="4">
        <v>69.81</v>
      </c>
      <c r="D4536">
        <f t="shared" si="144"/>
        <v>-0.99162593190146886</v>
      </c>
      <c r="E4536">
        <v>-2.3226528613404129E-2</v>
      </c>
      <c r="F4536">
        <v>4533</v>
      </c>
      <c r="G4536">
        <f t="shared" ca="1" si="145"/>
        <v>-4.4510121912797615E-2</v>
      </c>
    </row>
    <row r="4537" spans="2:7" x14ac:dyDescent="0.35">
      <c r="B4537" s="2">
        <v>44831</v>
      </c>
      <c r="C4537" s="4">
        <v>8336.4500000000007</v>
      </c>
      <c r="D4537">
        <f t="shared" si="144"/>
        <v>78.675523272484</v>
      </c>
      <c r="E4537">
        <v>-2.3240146224867475E-2</v>
      </c>
      <c r="F4537">
        <v>4534</v>
      </c>
      <c r="G4537">
        <f t="shared" ca="1" si="145"/>
        <v>-1.1168449563864818E-2</v>
      </c>
    </row>
    <row r="4538" spans="2:7" x14ac:dyDescent="0.35">
      <c r="B4538" s="2">
        <v>39315</v>
      </c>
      <c r="C4538" s="4">
        <v>104.63</v>
      </c>
      <c r="D4538">
        <f t="shared" si="144"/>
        <v>-0.87836549639618688</v>
      </c>
      <c r="E4538">
        <v>-2.324495892457068E-2</v>
      </c>
      <c r="F4538">
        <v>4535</v>
      </c>
      <c r="G4538">
        <f t="shared" ca="1" si="145"/>
        <v>-1.9659171400004113E-2</v>
      </c>
    </row>
    <row r="4539" spans="2:7" x14ac:dyDescent="0.35">
      <c r="B4539" s="2">
        <v>42509</v>
      </c>
      <c r="C4539" s="4">
        <v>860.2</v>
      </c>
      <c r="D4539">
        <f t="shared" si="144"/>
        <v>9.5094685400122181</v>
      </c>
      <c r="E4539">
        <v>-2.3265848368892561E-2</v>
      </c>
      <c r="F4539">
        <v>4536</v>
      </c>
      <c r="G4539">
        <f t="shared" ca="1" si="145"/>
        <v>-2.0906561283452463E-2</v>
      </c>
    </row>
    <row r="4540" spans="2:7" x14ac:dyDescent="0.35">
      <c r="B4540" s="2">
        <v>41547</v>
      </c>
      <c r="C4540" s="4">
        <v>81.849999999999994</v>
      </c>
      <c r="D4540">
        <f t="shared" si="144"/>
        <v>-0.91192200497153741</v>
      </c>
      <c r="E4540">
        <v>-2.3269689737470234E-2</v>
      </c>
      <c r="F4540">
        <v>4537</v>
      </c>
      <c r="G4540">
        <f t="shared" ca="1" si="145"/>
        <v>-1.1551551131381759E-3</v>
      </c>
    </row>
    <row r="4541" spans="2:7" x14ac:dyDescent="0.35">
      <c r="B4541" s="2">
        <v>44043</v>
      </c>
      <c r="C4541" s="4">
        <v>929.29</v>
      </c>
      <c r="D4541">
        <f t="shared" si="144"/>
        <v>2.9275178563881488</v>
      </c>
      <c r="E4541">
        <v>-2.328050113512159E-2</v>
      </c>
      <c r="F4541">
        <v>4538</v>
      </c>
      <c r="G4541">
        <f t="shared" ca="1" si="145"/>
        <v>3.8654812647159149E-2</v>
      </c>
    </row>
    <row r="4542" spans="2:7" x14ac:dyDescent="0.35">
      <c r="B4542" s="2">
        <v>41726</v>
      </c>
      <c r="C4542" s="4">
        <v>236.61</v>
      </c>
      <c r="D4542">
        <f t="shared" si="144"/>
        <v>2.931051669712577</v>
      </c>
      <c r="E4542">
        <v>-2.3281733746129962E-2</v>
      </c>
      <c r="F4542">
        <v>4539</v>
      </c>
      <c r="G4542">
        <f t="shared" ca="1" si="145"/>
        <v>-4.2460549109294067E-2</v>
      </c>
    </row>
    <row r="4543" spans="2:7" x14ac:dyDescent="0.35">
      <c r="B4543" s="2">
        <v>39546</v>
      </c>
      <c r="C4543" s="4">
        <v>60.19</v>
      </c>
      <c r="D4543">
        <f t="shared" si="144"/>
        <v>-0.34469243331518784</v>
      </c>
      <c r="E4543">
        <v>-2.3365244199253676E-2</v>
      </c>
      <c r="F4543">
        <v>4540</v>
      </c>
      <c r="G4543">
        <f t="shared" ca="1" si="145"/>
        <v>-2.123526623492827E-2</v>
      </c>
    </row>
    <row r="4544" spans="2:7" x14ac:dyDescent="0.35">
      <c r="B4544" s="2">
        <v>41352</v>
      </c>
      <c r="C4544" s="4">
        <v>91.85</v>
      </c>
      <c r="D4544">
        <f t="shared" si="144"/>
        <v>2.6104559748427669</v>
      </c>
      <c r="E4544">
        <v>-2.3391812865497075E-2</v>
      </c>
      <c r="F4544">
        <v>4541</v>
      </c>
      <c r="G4544">
        <f t="shared" ca="1" si="145"/>
        <v>5.8082127946332412E-3</v>
      </c>
    </row>
    <row r="4545" spans="2:7" x14ac:dyDescent="0.35">
      <c r="B4545" s="2">
        <v>37839</v>
      </c>
      <c r="C4545" s="4">
        <v>25.44</v>
      </c>
      <c r="D4545">
        <f t="shared" si="144"/>
        <v>-0.66179207657537886</v>
      </c>
      <c r="E4545">
        <v>-2.3416506717850227E-2</v>
      </c>
      <c r="F4545">
        <v>4542</v>
      </c>
      <c r="G4545">
        <f t="shared" ca="1" si="145"/>
        <v>-1.9538029914275497E-2</v>
      </c>
    </row>
    <row r="4546" spans="2:7" x14ac:dyDescent="0.35">
      <c r="B4546" s="2">
        <v>40893</v>
      </c>
      <c r="C4546" s="4">
        <v>75.22</v>
      </c>
      <c r="D4546">
        <f t="shared" si="144"/>
        <v>-0.19447419147569067</v>
      </c>
      <c r="E4546">
        <v>-2.3497338699208115E-2</v>
      </c>
      <c r="F4546">
        <v>4543</v>
      </c>
      <c r="G4546">
        <f t="shared" ca="1" si="145"/>
        <v>-1.6608288899851897E-2</v>
      </c>
    </row>
    <row r="4547" spans="2:7" x14ac:dyDescent="0.35">
      <c r="B4547" s="2">
        <v>39420</v>
      </c>
      <c r="C4547" s="4">
        <v>93.38</v>
      </c>
      <c r="D4547">
        <f t="shared" si="144"/>
        <v>-0.96562792170027312</v>
      </c>
      <c r="E4547">
        <v>-2.3528181532991743E-2</v>
      </c>
      <c r="F4547">
        <v>4544</v>
      </c>
      <c r="G4547">
        <f t="shared" ca="1" si="145"/>
        <v>1.8996421280057105E-2</v>
      </c>
    </row>
    <row r="4548" spans="2:7" x14ac:dyDescent="0.35">
      <c r="B4548" s="2">
        <v>44245</v>
      </c>
      <c r="C4548" s="4">
        <v>2716.74</v>
      </c>
      <c r="D4548">
        <f t="shared" ref="D4548:D4611" si="146">C4548/C4549-1</f>
        <v>1.0904914702555462</v>
      </c>
      <c r="E4548">
        <v>-2.3542181839093734E-2</v>
      </c>
      <c r="F4548">
        <v>4545</v>
      </c>
      <c r="G4548">
        <f t="shared" ca="1" si="145"/>
        <v>-6.7681992363951456E-3</v>
      </c>
    </row>
    <row r="4549" spans="2:7" x14ac:dyDescent="0.35">
      <c r="B4549" s="2">
        <v>43348</v>
      </c>
      <c r="C4549" s="4">
        <v>1299.57</v>
      </c>
      <c r="D4549">
        <f t="shared" si="146"/>
        <v>-0.5073187375604209</v>
      </c>
      <c r="E4549">
        <v>-2.3584480375067662E-2</v>
      </c>
      <c r="F4549">
        <v>4546</v>
      </c>
      <c r="G4549">
        <f t="shared" ref="G4549:G4612" ca="1" si="147">_xlfn.NORM.INV(RAND(),K$6,K$7)</f>
        <v>-3.4400046714611479E-3</v>
      </c>
    </row>
    <row r="4550" spans="2:7" x14ac:dyDescent="0.35">
      <c r="B4550" s="2">
        <v>44279</v>
      </c>
      <c r="C4550" s="4">
        <v>2637.75</v>
      </c>
      <c r="D4550">
        <f t="shared" si="146"/>
        <v>-0.58517464261562901</v>
      </c>
      <c r="E4550">
        <v>-2.3659440272127963E-2</v>
      </c>
      <c r="F4550">
        <v>4547</v>
      </c>
      <c r="G4550">
        <f t="shared" ca="1" si="147"/>
        <v>-4.060194080765374E-3</v>
      </c>
    </row>
    <row r="4551" spans="2:7" x14ac:dyDescent="0.35">
      <c r="B4551" s="2">
        <v>44984</v>
      </c>
      <c r="C4551" s="4">
        <v>6358.7</v>
      </c>
      <c r="D4551">
        <f t="shared" si="146"/>
        <v>60.981674627156636</v>
      </c>
      <c r="E4551">
        <v>-2.3668593626446244E-2</v>
      </c>
      <c r="F4551">
        <v>4548</v>
      </c>
      <c r="G4551">
        <f t="shared" ca="1" si="147"/>
        <v>-3.3504676553107432E-2</v>
      </c>
    </row>
    <row r="4552" spans="2:7" x14ac:dyDescent="0.35">
      <c r="B4552" s="2">
        <v>40228</v>
      </c>
      <c r="C4552" s="4">
        <v>102.59</v>
      </c>
      <c r="D4552">
        <f t="shared" si="146"/>
        <v>-0.40267831149927213</v>
      </c>
      <c r="E4552">
        <v>-2.3696231442710269E-2</v>
      </c>
      <c r="F4552">
        <v>4549</v>
      </c>
      <c r="G4552">
        <f t="shared" ca="1" si="147"/>
        <v>6.4560023938423569E-2</v>
      </c>
    </row>
    <row r="4553" spans="2:7" x14ac:dyDescent="0.35">
      <c r="B4553" s="2">
        <v>41653</v>
      </c>
      <c r="C4553" s="4">
        <v>171.75</v>
      </c>
      <c r="D4553">
        <f t="shared" si="146"/>
        <v>-0.78301791444525859</v>
      </c>
      <c r="E4553">
        <v>-2.370395634379252E-2</v>
      </c>
      <c r="F4553">
        <v>4550</v>
      </c>
      <c r="G4553">
        <f t="shared" ca="1" si="147"/>
        <v>-1.3331452126403769E-3</v>
      </c>
    </row>
    <row r="4554" spans="2:7" x14ac:dyDescent="0.35">
      <c r="B4554" s="2">
        <v>43606</v>
      </c>
      <c r="C4554" s="4">
        <v>791.54</v>
      </c>
      <c r="D4554">
        <f t="shared" si="146"/>
        <v>9.4136297855545319</v>
      </c>
      <c r="E4554">
        <v>-2.3742276051751943E-2</v>
      </c>
      <c r="F4554">
        <v>4551</v>
      </c>
      <c r="G4554">
        <f t="shared" ca="1" si="147"/>
        <v>-7.3069576032917555E-2</v>
      </c>
    </row>
    <row r="4555" spans="2:7" x14ac:dyDescent="0.35">
      <c r="B4555" s="2">
        <v>38853</v>
      </c>
      <c r="C4555" s="4">
        <v>76.010000000000005</v>
      </c>
      <c r="D4555">
        <f t="shared" si="146"/>
        <v>0.18193127040895662</v>
      </c>
      <c r="E4555">
        <v>-2.3760595941433316E-2</v>
      </c>
      <c r="F4555">
        <v>4552</v>
      </c>
      <c r="G4555">
        <f t="shared" ca="1" si="147"/>
        <v>2.8908010391626757E-2</v>
      </c>
    </row>
    <row r="4556" spans="2:7" x14ac:dyDescent="0.35">
      <c r="B4556" s="2">
        <v>38449</v>
      </c>
      <c r="C4556" s="4">
        <v>64.31</v>
      </c>
      <c r="D4556">
        <f t="shared" si="146"/>
        <v>-0.42047400198251772</v>
      </c>
      <c r="E4556">
        <v>-2.3831208257437675E-2</v>
      </c>
      <c r="F4556">
        <v>4553</v>
      </c>
      <c r="G4556">
        <f t="shared" ca="1" si="147"/>
        <v>7.2629532318193744E-4</v>
      </c>
    </row>
    <row r="4557" spans="2:7" x14ac:dyDescent="0.35">
      <c r="B4557" s="2">
        <v>39197</v>
      </c>
      <c r="C4557" s="4">
        <v>110.97</v>
      </c>
      <c r="D4557">
        <f t="shared" si="146"/>
        <v>-0.8708990646377216</v>
      </c>
      <c r="E4557">
        <v>-2.383884588318097E-2</v>
      </c>
      <c r="F4557">
        <v>4554</v>
      </c>
      <c r="G4557">
        <f t="shared" ca="1" si="147"/>
        <v>4.0295036443442137E-2</v>
      </c>
    </row>
    <row r="4558" spans="2:7" x14ac:dyDescent="0.35">
      <c r="B4558" s="2">
        <v>43070</v>
      </c>
      <c r="C4558" s="4">
        <v>859.56</v>
      </c>
      <c r="D4558">
        <f t="shared" si="146"/>
        <v>8.9176185531325718</v>
      </c>
      <c r="E4558">
        <v>-2.3870630720661534E-2</v>
      </c>
      <c r="F4558">
        <v>4555</v>
      </c>
      <c r="G4558">
        <f t="shared" ca="1" si="147"/>
        <v>-4.5087601030506456E-2</v>
      </c>
    </row>
    <row r="4559" spans="2:7" x14ac:dyDescent="0.35">
      <c r="B4559" s="2">
        <v>39049</v>
      </c>
      <c r="C4559" s="4">
        <v>86.67</v>
      </c>
      <c r="D4559">
        <f t="shared" si="146"/>
        <v>-0.23658944772306878</v>
      </c>
      <c r="E4559">
        <v>-2.3876562675977042E-2</v>
      </c>
      <c r="F4559">
        <v>4556</v>
      </c>
      <c r="G4559">
        <f t="shared" ca="1" si="147"/>
        <v>1.6810783766687851E-3</v>
      </c>
    </row>
    <row r="4560" spans="2:7" x14ac:dyDescent="0.35">
      <c r="B4560" s="2">
        <v>40554</v>
      </c>
      <c r="C4560" s="4">
        <v>113.53</v>
      </c>
      <c r="D4560">
        <f t="shared" si="146"/>
        <v>4.5588506170565424E-2</v>
      </c>
      <c r="E4560">
        <v>-2.3901642163184578E-2</v>
      </c>
      <c r="F4560">
        <v>4557</v>
      </c>
      <c r="G4560">
        <f t="shared" ca="1" si="147"/>
        <v>-2.7450585344703658E-2</v>
      </c>
    </row>
    <row r="4561" spans="2:7" x14ac:dyDescent="0.35">
      <c r="B4561" s="2">
        <v>40309</v>
      </c>
      <c r="C4561" s="4">
        <v>108.58</v>
      </c>
      <c r="D4561">
        <f t="shared" si="146"/>
        <v>0.3135736752963949</v>
      </c>
      <c r="E4561">
        <v>-2.3912261776339427E-2</v>
      </c>
      <c r="F4561">
        <v>4558</v>
      </c>
      <c r="G4561">
        <f t="shared" ca="1" si="147"/>
        <v>-8.8286167247717136E-4</v>
      </c>
    </row>
    <row r="4562" spans="2:7" x14ac:dyDescent="0.35">
      <c r="B4562" s="2">
        <v>39024</v>
      </c>
      <c r="C4562" s="4">
        <v>82.66</v>
      </c>
      <c r="D4562">
        <f t="shared" si="146"/>
        <v>-0.9126132507320992</v>
      </c>
      <c r="E4562">
        <v>-2.3969772110048471E-2</v>
      </c>
      <c r="F4562">
        <v>4559</v>
      </c>
      <c r="G4562">
        <f t="shared" ca="1" si="147"/>
        <v>3.246458919226014E-2</v>
      </c>
    </row>
    <row r="4563" spans="2:7" x14ac:dyDescent="0.35">
      <c r="B4563" s="2">
        <v>43175</v>
      </c>
      <c r="C4563" s="4">
        <v>945.91</v>
      </c>
      <c r="D4563">
        <f t="shared" si="146"/>
        <v>-0.86413223805262573</v>
      </c>
      <c r="E4563">
        <v>-2.3999917455142072E-2</v>
      </c>
      <c r="F4563">
        <v>4560</v>
      </c>
      <c r="G4563">
        <f t="shared" ca="1" si="147"/>
        <v>-3.7685417350309522E-3</v>
      </c>
    </row>
    <row r="4564" spans="2:7" x14ac:dyDescent="0.35">
      <c r="B4564" s="2">
        <v>44635</v>
      </c>
      <c r="C4564" s="4">
        <v>6961.99</v>
      </c>
      <c r="D4564">
        <f t="shared" si="146"/>
        <v>6.7309917493031879</v>
      </c>
      <c r="E4564">
        <v>-2.401826919302652E-2</v>
      </c>
      <c r="F4564">
        <v>4561</v>
      </c>
      <c r="G4564">
        <f t="shared" ca="1" si="147"/>
        <v>4.9828569115076757E-2</v>
      </c>
    </row>
    <row r="4565" spans="2:7" x14ac:dyDescent="0.35">
      <c r="B4565" s="2">
        <v>43549</v>
      </c>
      <c r="C4565" s="4">
        <v>900.53</v>
      </c>
      <c r="D4565">
        <f t="shared" si="146"/>
        <v>0.36760976202408613</v>
      </c>
      <c r="E4565">
        <v>-2.402731115205381E-2</v>
      </c>
      <c r="F4565">
        <v>4562</v>
      </c>
      <c r="G4565">
        <f t="shared" ca="1" si="147"/>
        <v>1.3316664490169182E-2</v>
      </c>
    </row>
    <row r="4566" spans="2:7" x14ac:dyDescent="0.35">
      <c r="B4566" s="2">
        <v>42766</v>
      </c>
      <c r="C4566" s="4">
        <v>658.47</v>
      </c>
      <c r="D4566">
        <f t="shared" si="146"/>
        <v>8.6239403683133595</v>
      </c>
      <c r="E4566">
        <v>-2.4098528300208977E-2</v>
      </c>
      <c r="F4566">
        <v>4563</v>
      </c>
      <c r="G4566">
        <f t="shared" ca="1" si="147"/>
        <v>-6.7026924836176959E-3</v>
      </c>
    </row>
    <row r="4567" spans="2:7" x14ac:dyDescent="0.35">
      <c r="B4567" s="2">
        <v>38631</v>
      </c>
      <c r="C4567" s="4">
        <v>68.42</v>
      </c>
      <c r="D4567">
        <f t="shared" si="146"/>
        <v>-6.2225877192982337E-2</v>
      </c>
      <c r="E4567">
        <v>-2.410497789188415E-2</v>
      </c>
      <c r="F4567">
        <v>4564</v>
      </c>
      <c r="G4567">
        <f t="shared" ca="1" si="147"/>
        <v>4.9429413389632124E-2</v>
      </c>
    </row>
    <row r="4568" spans="2:7" x14ac:dyDescent="0.35">
      <c r="B4568" s="2">
        <v>38699</v>
      </c>
      <c r="C4568" s="4">
        <v>72.959999999999994</v>
      </c>
      <c r="D4568">
        <f t="shared" si="146"/>
        <v>1.7032234160800295</v>
      </c>
      <c r="E4568">
        <v>-2.4207569880968283E-2</v>
      </c>
      <c r="F4568">
        <v>4565</v>
      </c>
      <c r="G4568">
        <f t="shared" ca="1" si="147"/>
        <v>5.7624734468951424E-4</v>
      </c>
    </row>
    <row r="4569" spans="2:7" x14ac:dyDescent="0.35">
      <c r="B4569" s="2">
        <v>37568</v>
      </c>
      <c r="C4569" s="4">
        <v>26.99</v>
      </c>
      <c r="D4569">
        <f t="shared" si="146"/>
        <v>-0.9773332325548193</v>
      </c>
      <c r="E4569">
        <v>-2.4222704266088302E-2</v>
      </c>
      <c r="F4569">
        <v>4566</v>
      </c>
      <c r="G4569">
        <f t="shared" ca="1" si="147"/>
        <v>4.9935289277001933E-3</v>
      </c>
    </row>
    <row r="4570" spans="2:7" x14ac:dyDescent="0.35">
      <c r="B4570" s="2">
        <v>44097</v>
      </c>
      <c r="C4570" s="4">
        <v>1190.73</v>
      </c>
      <c r="D4570">
        <f t="shared" si="146"/>
        <v>11.911841249186727</v>
      </c>
      <c r="E4570">
        <v>-2.4223750092191132E-2</v>
      </c>
      <c r="F4570">
        <v>4567</v>
      </c>
      <c r="G4570">
        <f t="shared" ca="1" si="147"/>
        <v>1.3496852927275172E-2</v>
      </c>
    </row>
    <row r="4571" spans="2:7" x14ac:dyDescent="0.35">
      <c r="B4571" s="2">
        <v>39092</v>
      </c>
      <c r="C4571" s="4">
        <v>92.22</v>
      </c>
      <c r="D4571">
        <f t="shared" si="146"/>
        <v>6.0609545715928581E-2</v>
      </c>
      <c r="E4571">
        <v>-2.4230240186223773E-2</v>
      </c>
      <c r="F4571">
        <v>4568</v>
      </c>
      <c r="G4571">
        <f t="shared" ca="1" si="147"/>
        <v>-1.8276047858736037E-2</v>
      </c>
    </row>
    <row r="4572" spans="2:7" x14ac:dyDescent="0.35">
      <c r="B4572" s="2">
        <v>39042</v>
      </c>
      <c r="C4572" s="4">
        <v>86.95</v>
      </c>
      <c r="D4572">
        <f t="shared" si="146"/>
        <v>-0.9662171350420975</v>
      </c>
      <c r="E4572">
        <v>-2.4239703736954277E-2</v>
      </c>
      <c r="F4572">
        <v>4569</v>
      </c>
      <c r="G4572">
        <f t="shared" ca="1" si="147"/>
        <v>3.6931506847563633E-2</v>
      </c>
    </row>
    <row r="4573" spans="2:7" x14ac:dyDescent="0.35">
      <c r="B4573" s="2">
        <v>44280</v>
      </c>
      <c r="C4573" s="4">
        <v>2573.79</v>
      </c>
      <c r="D4573">
        <f t="shared" si="146"/>
        <v>4.1532485734307736</v>
      </c>
      <c r="E4573">
        <v>-2.4247938584020523E-2</v>
      </c>
      <c r="F4573">
        <v>4570</v>
      </c>
      <c r="G4573">
        <f t="shared" ca="1" si="147"/>
        <v>1.1000475464876839E-2</v>
      </c>
    </row>
    <row r="4574" spans="2:7" x14ac:dyDescent="0.35">
      <c r="B4574" s="2">
        <v>42124</v>
      </c>
      <c r="C4574" s="4">
        <v>499.45</v>
      </c>
      <c r="D4574">
        <f t="shared" si="146"/>
        <v>1.8426294820717133</v>
      </c>
      <c r="E4574">
        <v>-2.4263973274464279E-2</v>
      </c>
      <c r="F4574">
        <v>4571</v>
      </c>
      <c r="G4574">
        <f t="shared" ca="1" si="147"/>
        <v>4.3806996574417842E-3</v>
      </c>
    </row>
    <row r="4575" spans="2:7" x14ac:dyDescent="0.35">
      <c r="B4575" s="2">
        <v>41680</v>
      </c>
      <c r="C4575" s="4">
        <v>175.7</v>
      </c>
      <c r="D4575">
        <f t="shared" si="146"/>
        <v>1.1325403568394221</v>
      </c>
      <c r="E4575">
        <v>-2.4268340089965035E-2</v>
      </c>
      <c r="F4575">
        <v>4572</v>
      </c>
      <c r="G4575">
        <f t="shared" ca="1" si="147"/>
        <v>-1.1558940685682197E-3</v>
      </c>
    </row>
    <row r="4576" spans="2:7" x14ac:dyDescent="0.35">
      <c r="B4576" s="2">
        <v>41372</v>
      </c>
      <c r="C4576" s="4">
        <v>82.39</v>
      </c>
      <c r="D4576">
        <f t="shared" si="146"/>
        <v>1.7353917662682603</v>
      </c>
      <c r="E4576">
        <v>-2.4277593557555655E-2</v>
      </c>
      <c r="F4576">
        <v>4573</v>
      </c>
      <c r="G4576">
        <f t="shared" ca="1" si="147"/>
        <v>7.5272045030254614E-2</v>
      </c>
    </row>
    <row r="4577" spans="2:7" x14ac:dyDescent="0.35">
      <c r="B4577" s="2">
        <v>38037</v>
      </c>
      <c r="C4577" s="4">
        <v>30.12</v>
      </c>
      <c r="D4577">
        <f t="shared" si="146"/>
        <v>-0.96230146313378473</v>
      </c>
      <c r="E4577">
        <v>-2.4295432458697808E-2</v>
      </c>
      <c r="F4577">
        <v>4574</v>
      </c>
      <c r="G4577">
        <f t="shared" ca="1" si="147"/>
        <v>1.4836626376346484E-3</v>
      </c>
    </row>
    <row r="4578" spans="2:7" x14ac:dyDescent="0.35">
      <c r="B4578" s="2">
        <v>43635</v>
      </c>
      <c r="C4578" s="4">
        <v>798.97</v>
      </c>
      <c r="D4578">
        <f t="shared" si="146"/>
        <v>-0.20713506003770965</v>
      </c>
      <c r="E4578">
        <v>-2.4313696756545489E-2</v>
      </c>
      <c r="F4578">
        <v>4575</v>
      </c>
      <c r="G4578">
        <f t="shared" ca="1" si="147"/>
        <v>1.8651862612197926E-2</v>
      </c>
    </row>
    <row r="4579" spans="2:7" x14ac:dyDescent="0.35">
      <c r="B4579" s="2">
        <v>42356</v>
      </c>
      <c r="C4579" s="4">
        <v>1007.7</v>
      </c>
      <c r="D4579">
        <f t="shared" si="146"/>
        <v>17.117583603020499</v>
      </c>
      <c r="E4579">
        <v>-2.4359545340123412E-2</v>
      </c>
      <c r="F4579">
        <v>4576</v>
      </c>
      <c r="G4579">
        <f t="shared" ca="1" si="147"/>
        <v>-3.4874390367373033E-2</v>
      </c>
    </row>
    <row r="4580" spans="2:7" x14ac:dyDescent="0.35">
      <c r="B4580" s="2">
        <v>38916</v>
      </c>
      <c r="C4580" s="4">
        <v>55.62</v>
      </c>
      <c r="D4580">
        <f t="shared" si="146"/>
        <v>6.145038167938921E-2</v>
      </c>
      <c r="E4580">
        <v>-2.438168742325908E-2</v>
      </c>
      <c r="F4580">
        <v>4577</v>
      </c>
      <c r="G4580">
        <f t="shared" ca="1" si="147"/>
        <v>2.7713799769475578E-2</v>
      </c>
    </row>
    <row r="4581" spans="2:7" x14ac:dyDescent="0.35">
      <c r="B4581" s="2">
        <v>39994</v>
      </c>
      <c r="C4581" s="4">
        <v>52.4</v>
      </c>
      <c r="D4581">
        <f t="shared" si="146"/>
        <v>1.259594652867615</v>
      </c>
      <c r="E4581">
        <v>-2.4390243902439046E-2</v>
      </c>
      <c r="F4581">
        <v>4578</v>
      </c>
      <c r="G4581">
        <f t="shared" ca="1" si="147"/>
        <v>-2.1154627005990814E-2</v>
      </c>
    </row>
    <row r="4582" spans="2:7" x14ac:dyDescent="0.35">
      <c r="B4582" s="2">
        <v>37664</v>
      </c>
      <c r="C4582" s="4">
        <v>23.19</v>
      </c>
      <c r="D4582">
        <f t="shared" si="146"/>
        <v>-0.61542288557213931</v>
      </c>
      <c r="E4582">
        <v>-2.4400504838031023E-2</v>
      </c>
      <c r="F4582">
        <v>4579</v>
      </c>
      <c r="G4582">
        <f t="shared" ca="1" si="147"/>
        <v>2.5936125049620153E-2</v>
      </c>
    </row>
    <row r="4583" spans="2:7" x14ac:dyDescent="0.35">
      <c r="B4583" s="2">
        <v>39700</v>
      </c>
      <c r="C4583" s="4">
        <v>60.3</v>
      </c>
      <c r="D4583">
        <f t="shared" si="146"/>
        <v>-0.92825698988697203</v>
      </c>
      <c r="E4583">
        <v>-2.4429703931402758E-2</v>
      </c>
      <c r="F4583">
        <v>4580</v>
      </c>
      <c r="G4583">
        <f t="shared" ca="1" si="147"/>
        <v>-4.8934043095261157E-2</v>
      </c>
    </row>
    <row r="4584" spans="2:7" x14ac:dyDescent="0.35">
      <c r="B4584" s="2">
        <v>42226</v>
      </c>
      <c r="C4584" s="4">
        <v>840.5</v>
      </c>
      <c r="D4584">
        <f t="shared" si="146"/>
        <v>-0.86109274806637137</v>
      </c>
      <c r="E4584">
        <v>-2.4466677499477729E-2</v>
      </c>
      <c r="F4584">
        <v>4581</v>
      </c>
      <c r="G4584">
        <f t="shared" ca="1" si="147"/>
        <v>2.3192141229229288E-2</v>
      </c>
    </row>
    <row r="4585" spans="2:7" x14ac:dyDescent="0.35">
      <c r="B4585" s="2">
        <v>44917</v>
      </c>
      <c r="C4585" s="4">
        <v>6050.8</v>
      </c>
      <c r="D4585">
        <f t="shared" si="146"/>
        <v>10.129545496348889</v>
      </c>
      <c r="E4585">
        <v>-2.4473607841872802E-2</v>
      </c>
      <c r="F4585">
        <v>4582</v>
      </c>
      <c r="G4585">
        <f t="shared" ca="1" si="147"/>
        <v>3.7992841476110803E-2</v>
      </c>
    </row>
    <row r="4586" spans="2:7" x14ac:dyDescent="0.35">
      <c r="B4586" s="2">
        <v>42193</v>
      </c>
      <c r="C4586" s="4">
        <v>543.66999999999996</v>
      </c>
      <c r="D4586">
        <f t="shared" si="146"/>
        <v>1.3954441311244268</v>
      </c>
      <c r="E4586">
        <v>-2.4474708869390405E-2</v>
      </c>
      <c r="F4586">
        <v>4583</v>
      </c>
      <c r="G4586">
        <f t="shared" ca="1" si="147"/>
        <v>-3.7179440517286229E-2</v>
      </c>
    </row>
    <row r="4587" spans="2:7" x14ac:dyDescent="0.35">
      <c r="B4587" s="2">
        <v>41788</v>
      </c>
      <c r="C4587" s="4">
        <v>226.96</v>
      </c>
      <c r="D4587">
        <f t="shared" si="146"/>
        <v>-0.72524665577144232</v>
      </c>
      <c r="E4587">
        <v>-2.4499269320037764E-2</v>
      </c>
      <c r="F4587">
        <v>4584</v>
      </c>
      <c r="G4587">
        <f t="shared" ca="1" si="147"/>
        <v>3.2362372237377104E-2</v>
      </c>
    </row>
    <row r="4588" spans="2:7" x14ac:dyDescent="0.35">
      <c r="B4588" s="2">
        <v>42521</v>
      </c>
      <c r="C4588" s="4">
        <v>826.05</v>
      </c>
      <c r="D4588">
        <f t="shared" si="146"/>
        <v>9.0078749697116542</v>
      </c>
      <c r="E4588">
        <v>-2.4515534771672454E-2</v>
      </c>
      <c r="F4588">
        <v>4585</v>
      </c>
      <c r="G4588">
        <f t="shared" ca="1" si="147"/>
        <v>-4.0977876494374878E-2</v>
      </c>
    </row>
    <row r="4589" spans="2:7" x14ac:dyDescent="0.35">
      <c r="B4589" s="2">
        <v>40885</v>
      </c>
      <c r="C4589" s="4">
        <v>82.54</v>
      </c>
      <c r="D4589">
        <f t="shared" si="146"/>
        <v>9.4985407269833066E-2</v>
      </c>
      <c r="E4589">
        <v>-2.4580477428503889E-2</v>
      </c>
      <c r="F4589">
        <v>4586</v>
      </c>
      <c r="G4589">
        <f t="shared" ca="1" si="147"/>
        <v>-2.1221477325456872E-2</v>
      </c>
    </row>
    <row r="4590" spans="2:7" x14ac:dyDescent="0.35">
      <c r="B4590" s="2">
        <v>38597</v>
      </c>
      <c r="C4590" s="4">
        <v>75.38</v>
      </c>
      <c r="D4590">
        <f t="shared" si="146"/>
        <v>-0.94904174412709141</v>
      </c>
      <c r="E4590">
        <v>-2.4585921325051885E-2</v>
      </c>
      <c r="F4590">
        <v>4587</v>
      </c>
      <c r="G4590">
        <f t="shared" ca="1" si="147"/>
        <v>4.1292546844966822E-3</v>
      </c>
    </row>
    <row r="4591" spans="2:7" x14ac:dyDescent="0.35">
      <c r="B4591" s="2">
        <v>44137</v>
      </c>
      <c r="C4591" s="4">
        <v>1479.25</v>
      </c>
      <c r="D4591">
        <f t="shared" si="146"/>
        <v>37.968651211801898</v>
      </c>
      <c r="E4591">
        <v>-2.4640318603209699E-2</v>
      </c>
      <c r="F4591">
        <v>4588</v>
      </c>
      <c r="G4591">
        <f t="shared" ca="1" si="147"/>
        <v>2.6328897300544545E-2</v>
      </c>
    </row>
    <row r="4592" spans="2:7" x14ac:dyDescent="0.35">
      <c r="B4592" s="2">
        <v>37993</v>
      </c>
      <c r="C4592" s="4">
        <v>37.96</v>
      </c>
      <c r="D4592">
        <f t="shared" si="146"/>
        <v>-0.78878255063432001</v>
      </c>
      <c r="E4592">
        <v>-2.4665981500513912E-2</v>
      </c>
      <c r="F4592">
        <v>4589</v>
      </c>
      <c r="G4592">
        <f t="shared" ca="1" si="147"/>
        <v>2.7201511853314386E-2</v>
      </c>
    </row>
    <row r="4593" spans="2:7" x14ac:dyDescent="0.35">
      <c r="B4593" s="2">
        <v>41673</v>
      </c>
      <c r="C4593" s="4">
        <v>179.72</v>
      </c>
      <c r="D4593">
        <f t="shared" si="146"/>
        <v>-0.77799189643245381</v>
      </c>
      <c r="E4593">
        <v>-2.46920280023879E-2</v>
      </c>
      <c r="F4593">
        <v>4590</v>
      </c>
      <c r="G4593">
        <f t="shared" ca="1" si="147"/>
        <v>1.2521325283161673E-2</v>
      </c>
    </row>
    <row r="4594" spans="2:7" x14ac:dyDescent="0.35">
      <c r="B4594" s="2">
        <v>43511</v>
      </c>
      <c r="C4594" s="4">
        <v>809.52</v>
      </c>
      <c r="D4594">
        <f t="shared" si="146"/>
        <v>8.3016201309893134</v>
      </c>
      <c r="E4594">
        <v>-2.4709950242762346E-2</v>
      </c>
      <c r="F4594">
        <v>4591</v>
      </c>
      <c r="G4594">
        <f t="shared" ca="1" si="147"/>
        <v>-2.2430870725193928E-2</v>
      </c>
    </row>
    <row r="4595" spans="2:7" x14ac:dyDescent="0.35">
      <c r="B4595" s="2">
        <v>40973</v>
      </c>
      <c r="C4595" s="4">
        <v>87.03</v>
      </c>
      <c r="D4595">
        <f t="shared" si="146"/>
        <v>-0.90498078434797802</v>
      </c>
      <c r="E4595">
        <v>-2.4764679515912102E-2</v>
      </c>
      <c r="F4595">
        <v>4592</v>
      </c>
      <c r="G4595">
        <f t="shared" ca="1" si="147"/>
        <v>8.8390812611977322E-3</v>
      </c>
    </row>
    <row r="4596" spans="2:7" x14ac:dyDescent="0.35">
      <c r="B4596" s="2">
        <v>42410</v>
      </c>
      <c r="C4596" s="4">
        <v>915.92</v>
      </c>
      <c r="D4596">
        <f t="shared" si="146"/>
        <v>8.4786298251060739</v>
      </c>
      <c r="E4596">
        <v>-2.4818202144309742E-2</v>
      </c>
      <c r="F4596">
        <v>4593</v>
      </c>
      <c r="G4596">
        <f t="shared" ca="1" si="147"/>
        <v>-2.8633444438588316E-2</v>
      </c>
    </row>
    <row r="4597" spans="2:7" x14ac:dyDescent="0.35">
      <c r="B4597" s="2">
        <v>40686</v>
      </c>
      <c r="C4597" s="4">
        <v>96.63</v>
      </c>
      <c r="D4597">
        <f t="shared" si="146"/>
        <v>0.24974133471288162</v>
      </c>
      <c r="E4597">
        <v>-2.4825915834090329E-2</v>
      </c>
      <c r="F4597">
        <v>4594</v>
      </c>
      <c r="G4597">
        <f t="shared" ca="1" si="147"/>
        <v>3.016241121098593E-2</v>
      </c>
    </row>
    <row r="4598" spans="2:7" x14ac:dyDescent="0.35">
      <c r="B4598" s="2">
        <v>41523</v>
      </c>
      <c r="C4598" s="4">
        <v>77.319999999999993</v>
      </c>
      <c r="D4598">
        <f t="shared" si="146"/>
        <v>1.6281441196464987</v>
      </c>
      <c r="E4598">
        <v>-2.4845503846639083E-2</v>
      </c>
      <c r="F4598">
        <v>4595</v>
      </c>
      <c r="G4598">
        <f t="shared" ca="1" si="147"/>
        <v>-3.085748062660108E-2</v>
      </c>
    </row>
    <row r="4599" spans="2:7" x14ac:dyDescent="0.35">
      <c r="B4599" s="2">
        <v>37613</v>
      </c>
      <c r="C4599" s="4">
        <v>29.42</v>
      </c>
      <c r="D4599">
        <f t="shared" si="146"/>
        <v>-0.99483126050833548</v>
      </c>
      <c r="E4599">
        <v>-2.4859131587669836E-2</v>
      </c>
      <c r="F4599">
        <v>4596</v>
      </c>
      <c r="G4599">
        <f t="shared" ca="1" si="147"/>
        <v>3.2800853299808259E-2</v>
      </c>
    </row>
    <row r="4600" spans="2:7" x14ac:dyDescent="0.35">
      <c r="B4600" s="2">
        <v>44466</v>
      </c>
      <c r="C4600" s="4">
        <v>5691.91</v>
      </c>
      <c r="D4600">
        <f t="shared" si="146"/>
        <v>1.0458012249123012</v>
      </c>
      <c r="E4600">
        <v>-2.4893699398001123E-2</v>
      </c>
      <c r="F4600">
        <v>4597</v>
      </c>
      <c r="G4600">
        <f t="shared" ca="1" si="147"/>
        <v>-4.0610817205068997E-2</v>
      </c>
    </row>
    <row r="4601" spans="2:7" x14ac:dyDescent="0.35">
      <c r="B4601" s="2">
        <v>44244</v>
      </c>
      <c r="C4601" s="4">
        <v>2782.24</v>
      </c>
      <c r="D4601">
        <f t="shared" si="146"/>
        <v>42.849330181245072</v>
      </c>
      <c r="E4601">
        <v>-2.4894244147942612E-2</v>
      </c>
      <c r="F4601">
        <v>4598</v>
      </c>
      <c r="G4601">
        <f t="shared" ca="1" si="147"/>
        <v>-1.0389988787298802E-2</v>
      </c>
    </row>
    <row r="4602" spans="2:7" x14ac:dyDescent="0.35">
      <c r="B4602" s="2">
        <v>39520</v>
      </c>
      <c r="C4602" s="4">
        <v>63.45</v>
      </c>
      <c r="D4602">
        <f t="shared" si="146"/>
        <v>1.7011494252873565</v>
      </c>
      <c r="E4602">
        <v>-2.4896265560165776E-2</v>
      </c>
      <c r="F4602">
        <v>4599</v>
      </c>
      <c r="G4602">
        <f t="shared" ca="1" si="147"/>
        <v>1.3324788995451649E-2</v>
      </c>
    </row>
    <row r="4603" spans="2:7" x14ac:dyDescent="0.35">
      <c r="B4603" s="2">
        <v>37788</v>
      </c>
      <c r="C4603" s="4">
        <v>23.49</v>
      </c>
      <c r="D4603">
        <f t="shared" si="146"/>
        <v>-0.72286455875412936</v>
      </c>
      <c r="E4603">
        <v>-2.4906600249066102E-2</v>
      </c>
      <c r="F4603">
        <v>4600</v>
      </c>
      <c r="G4603">
        <f t="shared" ca="1" si="147"/>
        <v>4.1481997165866589E-3</v>
      </c>
    </row>
    <row r="4604" spans="2:7" x14ac:dyDescent="0.35">
      <c r="B4604" s="2">
        <v>41033</v>
      </c>
      <c r="C4604" s="4">
        <v>84.76</v>
      </c>
      <c r="D4604">
        <f t="shared" si="146"/>
        <v>0.71025020177562559</v>
      </c>
      <c r="E4604">
        <v>-2.4962613597147132E-2</v>
      </c>
      <c r="F4604">
        <v>4601</v>
      </c>
      <c r="G4604">
        <f t="shared" ca="1" si="147"/>
        <v>3.806335420507128E-2</v>
      </c>
    </row>
    <row r="4605" spans="2:7" x14ac:dyDescent="0.35">
      <c r="B4605" s="2">
        <v>40002</v>
      </c>
      <c r="C4605" s="4">
        <v>49.56</v>
      </c>
      <c r="D4605">
        <f t="shared" si="146"/>
        <v>5.2229299363057313E-2</v>
      </c>
      <c r="E4605">
        <v>-2.4985244934093931E-2</v>
      </c>
      <c r="F4605">
        <v>4602</v>
      </c>
      <c r="G4605">
        <f t="shared" ca="1" si="147"/>
        <v>-2.8126592592273941E-2</v>
      </c>
    </row>
    <row r="4606" spans="2:7" x14ac:dyDescent="0.35">
      <c r="B4606" s="2">
        <v>38230</v>
      </c>
      <c r="C4606" s="4">
        <v>47.1</v>
      </c>
      <c r="D4606">
        <f t="shared" si="146"/>
        <v>-0.95015398291900821</v>
      </c>
      <c r="E4606">
        <v>-2.5046574208238526E-2</v>
      </c>
      <c r="F4606">
        <v>4603</v>
      </c>
      <c r="G4606">
        <f t="shared" ca="1" si="147"/>
        <v>4.6492346532901983E-2</v>
      </c>
    </row>
    <row r="4607" spans="2:7" x14ac:dyDescent="0.35">
      <c r="B4607" s="2">
        <v>43469</v>
      </c>
      <c r="C4607" s="4">
        <v>944.91</v>
      </c>
      <c r="D4607">
        <f t="shared" si="146"/>
        <v>16.170815918589859</v>
      </c>
      <c r="E4607">
        <v>-2.5061906727197769E-2</v>
      </c>
      <c r="F4607">
        <v>4604</v>
      </c>
      <c r="G4607">
        <f t="shared" ca="1" si="147"/>
        <v>-2.1800968316497225E-2</v>
      </c>
    </row>
    <row r="4608" spans="2:7" x14ac:dyDescent="0.35">
      <c r="B4608" s="2">
        <v>39961</v>
      </c>
      <c r="C4608" s="4">
        <v>55.03</v>
      </c>
      <c r="D4608">
        <f t="shared" si="146"/>
        <v>-0.99241686176860888</v>
      </c>
      <c r="E4608">
        <v>-2.5155004428698002E-2</v>
      </c>
      <c r="F4608">
        <v>4605</v>
      </c>
      <c r="G4608">
        <f t="shared" ca="1" si="147"/>
        <v>-2.3253344395235385E-2</v>
      </c>
    </row>
    <row r="4609" spans="2:7" x14ac:dyDescent="0.35">
      <c r="B4609" s="2">
        <v>44595</v>
      </c>
      <c r="C4609" s="4">
        <v>7256.89</v>
      </c>
      <c r="D4609">
        <f t="shared" si="146"/>
        <v>7.8254344679971304</v>
      </c>
      <c r="E4609">
        <v>-2.521163047478836E-2</v>
      </c>
      <c r="F4609">
        <v>4606</v>
      </c>
      <c r="G4609">
        <f t="shared" ca="1" si="147"/>
        <v>2.2752235661571703E-2</v>
      </c>
    </row>
    <row r="4610" spans="2:7" x14ac:dyDescent="0.35">
      <c r="B4610" s="2">
        <v>43588</v>
      </c>
      <c r="C4610" s="4">
        <v>822.27</v>
      </c>
      <c r="D4610">
        <f t="shared" si="146"/>
        <v>-0.23681572645764892</v>
      </c>
      <c r="E4610">
        <v>-2.5215164663205059E-2</v>
      </c>
      <c r="F4610">
        <v>4607</v>
      </c>
      <c r="G4610">
        <f t="shared" ca="1" si="147"/>
        <v>-4.2073572588150449E-2</v>
      </c>
    </row>
    <row r="4611" spans="2:7" x14ac:dyDescent="0.35">
      <c r="B4611" s="2">
        <v>43234</v>
      </c>
      <c r="C4611" s="4">
        <v>1077.42</v>
      </c>
      <c r="D4611">
        <f t="shared" si="146"/>
        <v>8.7521723388848667</v>
      </c>
      <c r="E4611">
        <v>-2.5223921107391578E-2</v>
      </c>
      <c r="F4611">
        <v>4608</v>
      </c>
      <c r="G4611">
        <f t="shared" ca="1" si="147"/>
        <v>-4.6037495806593998E-3</v>
      </c>
    </row>
    <row r="4612" spans="2:7" x14ac:dyDescent="0.35">
      <c r="B4612" s="2">
        <v>40640</v>
      </c>
      <c r="C4612" s="4">
        <v>110.48</v>
      </c>
      <c r="D4612">
        <f t="shared" ref="D4612:D4675" si="148">C4612/C4613-1</f>
        <v>3.7682347863616741</v>
      </c>
      <c r="E4612">
        <v>-2.523380977589551E-2</v>
      </c>
      <c r="F4612">
        <v>4609</v>
      </c>
      <c r="G4612">
        <f t="shared" ca="1" si="147"/>
        <v>2.135126329808025E-2</v>
      </c>
    </row>
    <row r="4613" spans="2:7" x14ac:dyDescent="0.35">
      <c r="B4613" s="2">
        <v>37720</v>
      </c>
      <c r="C4613" s="4">
        <v>23.17</v>
      </c>
      <c r="D4613">
        <f t="shared" si="148"/>
        <v>-0.97470441171654099</v>
      </c>
      <c r="E4613">
        <v>-2.524190155658379E-2</v>
      </c>
      <c r="F4613">
        <v>4610</v>
      </c>
      <c r="G4613">
        <f t="shared" ref="G4613:G4676" ca="1" si="149">_xlfn.NORM.INV(RAND(),K$6,K$7)</f>
        <v>-3.8199330338357139E-3</v>
      </c>
    </row>
    <row r="4614" spans="2:7" x14ac:dyDescent="0.35">
      <c r="B4614" s="2">
        <v>43396</v>
      </c>
      <c r="C4614" s="4">
        <v>915.97</v>
      </c>
      <c r="D4614">
        <f t="shared" si="148"/>
        <v>11.173976608187136</v>
      </c>
      <c r="E4614">
        <v>-2.5242367163639146E-2</v>
      </c>
      <c r="F4614">
        <v>4611</v>
      </c>
      <c r="G4614">
        <f t="shared" ca="1" si="149"/>
        <v>-3.4124733929244679E-2</v>
      </c>
    </row>
    <row r="4615" spans="2:7" x14ac:dyDescent="0.35">
      <c r="B4615" s="2">
        <v>39484</v>
      </c>
      <c r="C4615" s="4">
        <v>75.239999999999995</v>
      </c>
      <c r="D4615">
        <f t="shared" si="148"/>
        <v>0.26645345901363404</v>
      </c>
      <c r="E4615">
        <v>-2.5262339681305868E-2</v>
      </c>
      <c r="F4615">
        <v>4612</v>
      </c>
      <c r="G4615">
        <f t="shared" ca="1" si="149"/>
        <v>4.6349371457149069E-2</v>
      </c>
    </row>
    <row r="4616" spans="2:7" x14ac:dyDescent="0.35">
      <c r="B4616" s="2">
        <v>38421</v>
      </c>
      <c r="C4616" s="4">
        <v>59.41</v>
      </c>
      <c r="D4616">
        <f t="shared" si="148"/>
        <v>-0.98359519536103823</v>
      </c>
      <c r="E4616">
        <v>-2.5266611977030506E-2</v>
      </c>
      <c r="F4616">
        <v>4613</v>
      </c>
      <c r="G4616">
        <f t="shared" ca="1" si="149"/>
        <v>6.0152388387962573E-3</v>
      </c>
    </row>
    <row r="4617" spans="2:7" x14ac:dyDescent="0.35">
      <c r="B4617" s="2">
        <v>44365</v>
      </c>
      <c r="C4617" s="4">
        <v>3621.5</v>
      </c>
      <c r="D4617">
        <f t="shared" si="148"/>
        <v>2.9323097637248088</v>
      </c>
      <c r="E4617">
        <v>-2.5281057643395166E-2</v>
      </c>
      <c r="F4617">
        <v>4614</v>
      </c>
      <c r="G4617">
        <f t="shared" ca="1" si="149"/>
        <v>2.3842467213954104E-2</v>
      </c>
    </row>
    <row r="4618" spans="2:7" x14ac:dyDescent="0.35">
      <c r="B4618" s="2">
        <v>43472</v>
      </c>
      <c r="C4618" s="4">
        <v>920.96</v>
      </c>
      <c r="D4618">
        <f t="shared" si="148"/>
        <v>7.2879769618430519</v>
      </c>
      <c r="E4618">
        <v>-2.5346329280037216E-2</v>
      </c>
      <c r="F4618">
        <v>4615</v>
      </c>
      <c r="G4618">
        <f t="shared" ca="1" si="149"/>
        <v>-3.7300004748326766E-2</v>
      </c>
    </row>
    <row r="4619" spans="2:7" x14ac:dyDescent="0.35">
      <c r="B4619" s="2">
        <v>39330</v>
      </c>
      <c r="C4619" s="4">
        <v>111.12</v>
      </c>
      <c r="D4619">
        <f t="shared" si="148"/>
        <v>-0.80613758090685461</v>
      </c>
      <c r="E4619">
        <v>-2.5348653626874884E-2</v>
      </c>
      <c r="F4619">
        <v>4616</v>
      </c>
      <c r="G4619">
        <f t="shared" ca="1" si="149"/>
        <v>9.3232201303083857E-3</v>
      </c>
    </row>
    <row r="4620" spans="2:7" x14ac:dyDescent="0.35">
      <c r="B4620" s="2">
        <v>42670</v>
      </c>
      <c r="C4620" s="4">
        <v>573.19000000000005</v>
      </c>
      <c r="D4620">
        <f t="shared" si="148"/>
        <v>4.5741515122046099</v>
      </c>
      <c r="E4620">
        <v>-2.5369403682984459E-2</v>
      </c>
      <c r="F4620">
        <v>4617</v>
      </c>
      <c r="G4620">
        <f t="shared" ca="1" si="149"/>
        <v>-3.5499547787723962E-2</v>
      </c>
    </row>
    <row r="4621" spans="2:7" x14ac:dyDescent="0.35">
      <c r="B4621" s="2">
        <v>40578</v>
      </c>
      <c r="C4621" s="4">
        <v>102.83</v>
      </c>
      <c r="D4621">
        <f t="shared" si="148"/>
        <v>3.3242220353238014</v>
      </c>
      <c r="E4621">
        <v>-2.5400435977632529E-2</v>
      </c>
      <c r="F4621">
        <v>4618</v>
      </c>
      <c r="G4621">
        <f t="shared" ca="1" si="149"/>
        <v>-2.0998675486963811E-2</v>
      </c>
    </row>
    <row r="4622" spans="2:7" x14ac:dyDescent="0.35">
      <c r="B4622" s="2">
        <v>37824</v>
      </c>
      <c r="C4622" s="4">
        <v>23.78</v>
      </c>
      <c r="D4622">
        <f t="shared" si="148"/>
        <v>-0.97018817305401983</v>
      </c>
      <c r="E4622">
        <v>-2.5409836065573677E-2</v>
      </c>
      <c r="F4622">
        <v>4619</v>
      </c>
      <c r="G4622">
        <f t="shared" ca="1" si="149"/>
        <v>2.0245247124347214E-2</v>
      </c>
    </row>
    <row r="4623" spans="2:7" x14ac:dyDescent="0.35">
      <c r="B4623" s="2">
        <v>42326</v>
      </c>
      <c r="C4623" s="4">
        <v>797.67</v>
      </c>
      <c r="D4623">
        <f t="shared" si="148"/>
        <v>6.6795032251853268</v>
      </c>
      <c r="E4623">
        <v>-2.5425178379435143E-2</v>
      </c>
      <c r="F4623">
        <v>4620</v>
      </c>
      <c r="G4623">
        <f t="shared" ca="1" si="149"/>
        <v>-1.2117872152842291E-2</v>
      </c>
    </row>
    <row r="4624" spans="2:7" x14ac:dyDescent="0.35">
      <c r="B4624" s="2">
        <v>39101</v>
      </c>
      <c r="C4624" s="4">
        <v>103.87</v>
      </c>
      <c r="D4624">
        <f t="shared" si="148"/>
        <v>2.1910906298003074</v>
      </c>
      <c r="E4624">
        <v>-2.5426909363858052E-2</v>
      </c>
      <c r="F4624">
        <v>4621</v>
      </c>
      <c r="G4624">
        <f t="shared" ca="1" si="149"/>
        <v>1.8482075689170388E-2</v>
      </c>
    </row>
    <row r="4625" spans="2:7" x14ac:dyDescent="0.35">
      <c r="B4625" s="2">
        <v>39785</v>
      </c>
      <c r="C4625" s="4">
        <v>32.549999999999997</v>
      </c>
      <c r="D4625">
        <f t="shared" si="148"/>
        <v>-0.8835086965857849</v>
      </c>
      <c r="E4625">
        <v>-2.5449101796407247E-2</v>
      </c>
      <c r="F4625">
        <v>4622</v>
      </c>
      <c r="G4625">
        <f t="shared" ca="1" si="149"/>
        <v>1.8841330111496232E-2</v>
      </c>
    </row>
    <row r="4626" spans="2:7" x14ac:dyDescent="0.35">
      <c r="B4626" s="2">
        <v>41838</v>
      </c>
      <c r="C4626" s="4">
        <v>279.42</v>
      </c>
      <c r="D4626">
        <f t="shared" si="148"/>
        <v>-0.89090653537865683</v>
      </c>
      <c r="E4626">
        <v>-2.5460379464285698E-2</v>
      </c>
      <c r="F4626">
        <v>4623</v>
      </c>
      <c r="G4626">
        <f t="shared" ca="1" si="149"/>
        <v>-6.6145068915655098E-3</v>
      </c>
    </row>
    <row r="4627" spans="2:7" x14ac:dyDescent="0.35">
      <c r="B4627" s="2">
        <v>44224</v>
      </c>
      <c r="C4627" s="4">
        <v>2561.29</v>
      </c>
      <c r="D4627">
        <f t="shared" si="148"/>
        <v>40.892214589466796</v>
      </c>
      <c r="E4627">
        <v>-2.5480736304627438E-2</v>
      </c>
      <c r="F4627">
        <v>4624</v>
      </c>
      <c r="G4627">
        <f t="shared" ca="1" si="149"/>
        <v>-2.4774619987395073E-2</v>
      </c>
    </row>
    <row r="4628" spans="2:7" x14ac:dyDescent="0.35">
      <c r="B4628" s="2">
        <v>40115</v>
      </c>
      <c r="C4628" s="4">
        <v>61.14</v>
      </c>
      <c r="D4628">
        <f t="shared" si="148"/>
        <v>-0.98988229103058645</v>
      </c>
      <c r="E4628">
        <v>-2.550207204335353E-2</v>
      </c>
      <c r="F4628">
        <v>4625</v>
      </c>
      <c r="G4628">
        <f t="shared" ca="1" si="149"/>
        <v>-3.3995934285125234E-2</v>
      </c>
    </row>
    <row r="4629" spans="2:7" x14ac:dyDescent="0.35">
      <c r="B4629" s="2">
        <v>44481</v>
      </c>
      <c r="C4629" s="4">
        <v>6042.87</v>
      </c>
      <c r="D4629">
        <f t="shared" si="148"/>
        <v>7.9176541770582762</v>
      </c>
      <c r="E4629">
        <v>-2.5533726482412367E-2</v>
      </c>
      <c r="F4629">
        <v>4626</v>
      </c>
      <c r="G4629">
        <f t="shared" ca="1" si="149"/>
        <v>-4.3168318508194975E-5</v>
      </c>
    </row>
    <row r="4630" spans="2:7" x14ac:dyDescent="0.35">
      <c r="B4630" s="2">
        <v>42760</v>
      </c>
      <c r="C4630" s="4">
        <v>677.63</v>
      </c>
      <c r="D4630">
        <f t="shared" si="148"/>
        <v>-0.14317325443188433</v>
      </c>
      <c r="E4630">
        <v>-2.553962524626463E-2</v>
      </c>
      <c r="F4630">
        <v>4627</v>
      </c>
      <c r="G4630">
        <f t="shared" ca="1" si="149"/>
        <v>-2.8042674540953442E-2</v>
      </c>
    </row>
    <row r="4631" spans="2:7" x14ac:dyDescent="0.35">
      <c r="B4631" s="2">
        <v>42254</v>
      </c>
      <c r="C4631" s="4">
        <v>790.86</v>
      </c>
      <c r="D4631">
        <f t="shared" si="148"/>
        <v>-0.87884367914700656</v>
      </c>
      <c r="E4631">
        <v>-2.5554460325283412E-2</v>
      </c>
      <c r="F4631">
        <v>4628</v>
      </c>
      <c r="G4631">
        <f t="shared" ca="1" si="149"/>
        <v>1.8170652659366258E-2</v>
      </c>
    </row>
    <row r="4632" spans="2:7" x14ac:dyDescent="0.35">
      <c r="B4632" s="2">
        <v>44614</v>
      </c>
      <c r="C4632" s="4">
        <v>6527.6</v>
      </c>
      <c r="D4632">
        <f t="shared" si="148"/>
        <v>5.6218957961369913</v>
      </c>
      <c r="E4632">
        <v>-2.5568453233973387E-2</v>
      </c>
      <c r="F4632">
        <v>4629</v>
      </c>
      <c r="G4632">
        <f t="shared" ca="1" si="149"/>
        <v>2.1374268461763397E-2</v>
      </c>
    </row>
    <row r="4633" spans="2:7" x14ac:dyDescent="0.35">
      <c r="B4633" s="2">
        <v>43406</v>
      </c>
      <c r="C4633" s="4">
        <v>985.76</v>
      </c>
      <c r="D4633">
        <f t="shared" si="148"/>
        <v>-0.83113955448359977</v>
      </c>
      <c r="E4633">
        <v>-2.5591854890525401E-2</v>
      </c>
      <c r="F4633">
        <v>4630</v>
      </c>
      <c r="G4633">
        <f t="shared" ca="1" si="149"/>
        <v>1.040148343809656E-2</v>
      </c>
    </row>
    <row r="4634" spans="2:7" x14ac:dyDescent="0.35">
      <c r="B4634" s="2">
        <v>44545</v>
      </c>
      <c r="C4634" s="4">
        <v>5837.72</v>
      </c>
      <c r="D4634">
        <f t="shared" si="148"/>
        <v>20.414181431348812</v>
      </c>
      <c r="E4634">
        <v>-2.5654977192423156E-2</v>
      </c>
      <c r="F4634">
        <v>4631</v>
      </c>
      <c r="G4634">
        <f t="shared" ca="1" si="149"/>
        <v>1.729406127563075E-2</v>
      </c>
    </row>
    <row r="4635" spans="2:7" x14ac:dyDescent="0.35">
      <c r="B4635" s="2">
        <v>41956</v>
      </c>
      <c r="C4635" s="4">
        <v>272.61</v>
      </c>
      <c r="D4635">
        <f t="shared" si="148"/>
        <v>4.367395156526876</v>
      </c>
      <c r="E4635">
        <v>-2.5696926375982865E-2</v>
      </c>
      <c r="F4635">
        <v>4632</v>
      </c>
      <c r="G4635">
        <f t="shared" ca="1" si="149"/>
        <v>-6.1471424156268328E-3</v>
      </c>
    </row>
    <row r="4636" spans="2:7" x14ac:dyDescent="0.35">
      <c r="B4636" s="2">
        <v>38253</v>
      </c>
      <c r="C4636" s="4">
        <v>50.79</v>
      </c>
      <c r="D4636">
        <f t="shared" si="148"/>
        <v>0.91805135951661621</v>
      </c>
      <c r="E4636">
        <v>-2.5704968348359891E-2</v>
      </c>
      <c r="F4636">
        <v>4633</v>
      </c>
      <c r="G4636">
        <f t="shared" ca="1" si="149"/>
        <v>-4.7306312424375892E-2</v>
      </c>
    </row>
    <row r="4637" spans="2:7" x14ac:dyDescent="0.35">
      <c r="B4637" s="2">
        <v>37817</v>
      </c>
      <c r="C4637" s="4">
        <v>26.48</v>
      </c>
      <c r="D4637">
        <f t="shared" si="148"/>
        <v>-0.9567468679048039</v>
      </c>
      <c r="E4637">
        <v>-2.5754231052244281E-2</v>
      </c>
      <c r="F4637">
        <v>4634</v>
      </c>
      <c r="G4637">
        <f t="shared" ca="1" si="149"/>
        <v>-5.2029243978678703E-2</v>
      </c>
    </row>
    <row r="4638" spans="2:7" x14ac:dyDescent="0.35">
      <c r="B4638" s="2">
        <v>42727</v>
      </c>
      <c r="C4638" s="4">
        <v>612.21</v>
      </c>
      <c r="D4638">
        <f t="shared" si="148"/>
        <v>8.5330115228900656</v>
      </c>
      <c r="E4638">
        <v>-2.5763844684913995E-2</v>
      </c>
      <c r="F4638">
        <v>4635</v>
      </c>
      <c r="G4638">
        <f t="shared" ca="1" si="149"/>
        <v>5.3115895120463781E-2</v>
      </c>
    </row>
    <row r="4639" spans="2:7" x14ac:dyDescent="0.35">
      <c r="B4639" s="2">
        <v>38652</v>
      </c>
      <c r="C4639" s="4">
        <v>64.22</v>
      </c>
      <c r="D4639">
        <f t="shared" si="148"/>
        <v>1.4652591170825335</v>
      </c>
      <c r="E4639">
        <v>-2.5788834951456341E-2</v>
      </c>
      <c r="F4639">
        <v>4636</v>
      </c>
      <c r="G4639">
        <f t="shared" ca="1" si="149"/>
        <v>1.7020481951281342E-2</v>
      </c>
    </row>
    <row r="4640" spans="2:7" x14ac:dyDescent="0.35">
      <c r="B4640" s="2">
        <v>37838</v>
      </c>
      <c r="C4640" s="4">
        <v>26.05</v>
      </c>
      <c r="D4640">
        <f t="shared" si="148"/>
        <v>-0.55332647462277085</v>
      </c>
      <c r="E4640">
        <v>-2.5804038893044057E-2</v>
      </c>
      <c r="F4640">
        <v>4637</v>
      </c>
      <c r="G4640">
        <f t="shared" ca="1" si="149"/>
        <v>2.2936897758293308E-2</v>
      </c>
    </row>
    <row r="4641" spans="2:7" x14ac:dyDescent="0.35">
      <c r="B4641" s="2">
        <v>40022</v>
      </c>
      <c r="C4641" s="4">
        <v>58.32</v>
      </c>
      <c r="D4641">
        <f t="shared" si="148"/>
        <v>-0.4966338684619368</v>
      </c>
      <c r="E4641">
        <v>-2.588942709203268E-2</v>
      </c>
      <c r="F4641">
        <v>4638</v>
      </c>
      <c r="G4641">
        <f t="shared" ca="1" si="149"/>
        <v>1.892339521046664E-2</v>
      </c>
    </row>
    <row r="4642" spans="2:7" x14ac:dyDescent="0.35">
      <c r="B4642" s="2">
        <v>40505</v>
      </c>
      <c r="C4642" s="4">
        <v>115.86</v>
      </c>
      <c r="D4642">
        <f t="shared" si="148"/>
        <v>0.20336518487744071</v>
      </c>
      <c r="E4642">
        <v>-2.5895409450142903E-2</v>
      </c>
      <c r="F4642">
        <v>4639</v>
      </c>
      <c r="G4642">
        <f t="shared" ca="1" si="149"/>
        <v>-3.371605094311337E-2</v>
      </c>
    </row>
    <row r="4643" spans="2:7" x14ac:dyDescent="0.35">
      <c r="B4643" s="2">
        <v>39157</v>
      </c>
      <c r="C4643" s="4">
        <v>96.28</v>
      </c>
      <c r="D4643">
        <f t="shared" si="148"/>
        <v>-9.0840415486307835E-2</v>
      </c>
      <c r="E4643">
        <v>-2.5900445163901331E-2</v>
      </c>
      <c r="F4643">
        <v>4640</v>
      </c>
      <c r="G4643">
        <f t="shared" ca="1" si="149"/>
        <v>-1.6209292644908172E-2</v>
      </c>
    </row>
    <row r="4644" spans="2:7" x14ac:dyDescent="0.35">
      <c r="B4644" s="2">
        <v>39107</v>
      </c>
      <c r="C4644" s="4">
        <v>105.9</v>
      </c>
      <c r="D4644">
        <f t="shared" si="148"/>
        <v>0.23585015754463767</v>
      </c>
      <c r="E4644">
        <v>-2.6027775223029459E-2</v>
      </c>
      <c r="F4644">
        <v>4641</v>
      </c>
      <c r="G4644">
        <f t="shared" ca="1" si="149"/>
        <v>-4.3248197498627697E-3</v>
      </c>
    </row>
    <row r="4645" spans="2:7" x14ac:dyDescent="0.35">
      <c r="B4645" s="2">
        <v>40798</v>
      </c>
      <c r="C4645" s="4">
        <v>85.69</v>
      </c>
      <c r="D4645">
        <f t="shared" si="148"/>
        <v>-0.82411379543915109</v>
      </c>
      <c r="E4645">
        <v>-2.6028642873380359E-2</v>
      </c>
      <c r="F4645">
        <v>4642</v>
      </c>
      <c r="G4645">
        <f t="shared" ca="1" si="149"/>
        <v>-2.0118898525848375E-2</v>
      </c>
    </row>
    <row r="4646" spans="2:7" x14ac:dyDescent="0.35">
      <c r="B4646" s="2">
        <v>42131</v>
      </c>
      <c r="C4646" s="4">
        <v>487.19</v>
      </c>
      <c r="D4646">
        <f t="shared" si="148"/>
        <v>6.5803640889995334</v>
      </c>
      <c r="E4646">
        <v>-2.6048538642997165E-2</v>
      </c>
      <c r="F4646">
        <v>4643</v>
      </c>
      <c r="G4646">
        <f t="shared" ca="1" si="149"/>
        <v>-2.7437635610096267E-2</v>
      </c>
    </row>
    <row r="4647" spans="2:7" x14ac:dyDescent="0.35">
      <c r="B4647" s="2">
        <v>39652</v>
      </c>
      <c r="C4647" s="4">
        <v>64.27</v>
      </c>
      <c r="D4647">
        <f t="shared" si="148"/>
        <v>1.3085488505747125</v>
      </c>
      <c r="E4647">
        <v>-2.6064555235641773E-2</v>
      </c>
      <c r="F4647">
        <v>4644</v>
      </c>
      <c r="G4647">
        <f t="shared" ca="1" si="149"/>
        <v>1.3455721006721242E-2</v>
      </c>
    </row>
    <row r="4648" spans="2:7" x14ac:dyDescent="0.35">
      <c r="B4648" s="2">
        <v>37915</v>
      </c>
      <c r="C4648" s="4">
        <v>27.84</v>
      </c>
      <c r="D4648">
        <f t="shared" si="148"/>
        <v>-0.55548459204853906</v>
      </c>
      <c r="E4648">
        <v>-2.6232948583420734E-2</v>
      </c>
      <c r="F4648">
        <v>4645</v>
      </c>
      <c r="G4648">
        <f t="shared" ca="1" si="149"/>
        <v>-5.5482182957535355E-4</v>
      </c>
    </row>
    <row r="4649" spans="2:7" x14ac:dyDescent="0.35">
      <c r="B4649" s="2">
        <v>38519</v>
      </c>
      <c r="C4649" s="4">
        <v>62.63</v>
      </c>
      <c r="D4649">
        <f t="shared" si="148"/>
        <v>-0.30986225895316799</v>
      </c>
      <c r="E4649">
        <v>-2.6274875621890459E-2</v>
      </c>
      <c r="F4649">
        <v>4646</v>
      </c>
      <c r="G4649">
        <f t="shared" ca="1" si="149"/>
        <v>1.9203818884077902E-2</v>
      </c>
    </row>
    <row r="4650" spans="2:7" x14ac:dyDescent="0.35">
      <c r="B4650" s="2">
        <v>39038</v>
      </c>
      <c r="C4650" s="4">
        <v>90.75</v>
      </c>
      <c r="D4650">
        <f t="shared" si="148"/>
        <v>0.5714285714285714</v>
      </c>
      <c r="E4650">
        <v>-2.6287553648068673E-2</v>
      </c>
      <c r="F4650">
        <v>4647</v>
      </c>
      <c r="G4650">
        <f t="shared" ca="1" si="149"/>
        <v>-2.1589385638047565E-2</v>
      </c>
    </row>
    <row r="4651" spans="2:7" x14ac:dyDescent="0.35">
      <c r="B4651" s="2">
        <v>38433</v>
      </c>
      <c r="C4651" s="4">
        <v>57.75</v>
      </c>
      <c r="D4651">
        <f t="shared" si="148"/>
        <v>-0.35424354243542444</v>
      </c>
      <c r="E4651">
        <v>-2.6302478502782001E-2</v>
      </c>
      <c r="F4651">
        <v>4648</v>
      </c>
      <c r="G4651">
        <f t="shared" ca="1" si="149"/>
        <v>-1.6831900785077996E-2</v>
      </c>
    </row>
    <row r="4652" spans="2:7" x14ac:dyDescent="0.35">
      <c r="B4652" s="2">
        <v>39434</v>
      </c>
      <c r="C4652" s="4">
        <v>89.43</v>
      </c>
      <c r="D4652">
        <f t="shared" si="148"/>
        <v>3.125E-2</v>
      </c>
      <c r="E4652">
        <v>-2.6347305389221476E-2</v>
      </c>
      <c r="F4652">
        <v>4649</v>
      </c>
      <c r="G4652">
        <f t="shared" ca="1" si="149"/>
        <v>1.26786365305953E-2</v>
      </c>
    </row>
    <row r="4653" spans="2:7" x14ac:dyDescent="0.35">
      <c r="B4653" s="2">
        <v>40767</v>
      </c>
      <c r="C4653" s="4">
        <v>86.72</v>
      </c>
      <c r="D4653">
        <f t="shared" si="148"/>
        <v>2.0132036136205698</v>
      </c>
      <c r="E4653">
        <v>-2.6383743123386094E-2</v>
      </c>
      <c r="F4653">
        <v>4650</v>
      </c>
      <c r="G4653">
        <f t="shared" ca="1" si="149"/>
        <v>4.3528314193581635E-2</v>
      </c>
    </row>
    <row r="4654" spans="2:7" x14ac:dyDescent="0.35">
      <c r="B4654" s="2">
        <v>37938</v>
      </c>
      <c r="C4654" s="4">
        <v>28.78</v>
      </c>
      <c r="D4654">
        <f t="shared" si="148"/>
        <v>-0.95559121699816374</v>
      </c>
      <c r="E4654">
        <v>-2.6387009472259693E-2</v>
      </c>
      <c r="F4654">
        <v>4651</v>
      </c>
      <c r="G4654">
        <f t="shared" ca="1" si="149"/>
        <v>1.6282629698794512E-4</v>
      </c>
    </row>
    <row r="4655" spans="2:7" x14ac:dyDescent="0.35">
      <c r="B4655" s="2">
        <v>43733</v>
      </c>
      <c r="C4655" s="4">
        <v>648.07000000000005</v>
      </c>
      <c r="D4655">
        <f t="shared" si="148"/>
        <v>-0.23738526712167562</v>
      </c>
      <c r="E4655">
        <v>-2.6410275670397221E-2</v>
      </c>
      <c r="F4655">
        <v>4652</v>
      </c>
      <c r="G4655">
        <f t="shared" ca="1" si="149"/>
        <v>-3.5565648854244064E-3</v>
      </c>
    </row>
    <row r="4656" spans="2:7" x14ac:dyDescent="0.35">
      <c r="B4656" s="2">
        <v>43075</v>
      </c>
      <c r="C4656" s="4">
        <v>849.8</v>
      </c>
      <c r="D4656">
        <f t="shared" si="148"/>
        <v>-0.28424634458594433</v>
      </c>
      <c r="E4656">
        <v>-2.6430052585150188E-2</v>
      </c>
      <c r="F4656">
        <v>4653</v>
      </c>
      <c r="G4656">
        <f t="shared" ca="1" si="149"/>
        <v>8.3310972629733141E-3</v>
      </c>
    </row>
    <row r="4657" spans="2:7" x14ac:dyDescent="0.35">
      <c r="B4657" s="2">
        <v>43367</v>
      </c>
      <c r="C4657" s="4">
        <v>1187.28</v>
      </c>
      <c r="D4657">
        <f t="shared" si="148"/>
        <v>21.871893662107496</v>
      </c>
      <c r="E4657">
        <v>-2.64366308055628E-2</v>
      </c>
      <c r="F4657">
        <v>4654</v>
      </c>
      <c r="G4657">
        <f t="shared" ca="1" si="149"/>
        <v>-1.6834569711847103E-2</v>
      </c>
    </row>
    <row r="4658" spans="2:7" x14ac:dyDescent="0.35">
      <c r="B4658" s="2">
        <v>38363</v>
      </c>
      <c r="C4658" s="4">
        <v>51.91</v>
      </c>
      <c r="D4658">
        <f t="shared" si="148"/>
        <v>-0.25747389500786722</v>
      </c>
      <c r="E4658">
        <v>-2.6444111027757011E-2</v>
      </c>
      <c r="F4658">
        <v>4655</v>
      </c>
      <c r="G4658">
        <f t="shared" ca="1" si="149"/>
        <v>8.8272998247183217E-3</v>
      </c>
    </row>
    <row r="4659" spans="2:7" x14ac:dyDescent="0.35">
      <c r="B4659" s="2">
        <v>40108</v>
      </c>
      <c r="C4659" s="4">
        <v>69.91</v>
      </c>
      <c r="D4659">
        <f t="shared" si="148"/>
        <v>6.7491220033592869E-2</v>
      </c>
      <c r="E4659">
        <v>-2.6458710486004788E-2</v>
      </c>
      <c r="F4659">
        <v>4656</v>
      </c>
      <c r="G4659">
        <f t="shared" ca="1" si="149"/>
        <v>-2.9182473522917949E-2</v>
      </c>
    </row>
    <row r="4660" spans="2:7" x14ac:dyDescent="0.35">
      <c r="B4660" s="2">
        <v>39577</v>
      </c>
      <c r="C4660" s="4">
        <v>65.489999999999995</v>
      </c>
      <c r="D4660">
        <f t="shared" si="148"/>
        <v>0.68009235505387378</v>
      </c>
      <c r="E4660">
        <v>-2.6460532183737229E-2</v>
      </c>
      <c r="F4660">
        <v>4657</v>
      </c>
      <c r="G4660">
        <f t="shared" ca="1" si="149"/>
        <v>3.3208026803594026E-2</v>
      </c>
    </row>
    <row r="4661" spans="2:7" x14ac:dyDescent="0.35">
      <c r="B4661" s="2">
        <v>38210</v>
      </c>
      <c r="C4661" s="4">
        <v>38.979999999999997</v>
      </c>
      <c r="D4661">
        <f t="shared" si="148"/>
        <v>-0.94316210029016778</v>
      </c>
      <c r="E4661">
        <v>-2.6473526473526521E-2</v>
      </c>
      <c r="F4661">
        <v>4658</v>
      </c>
      <c r="G4661">
        <f t="shared" ca="1" si="149"/>
        <v>-4.0268551674902564E-2</v>
      </c>
    </row>
    <row r="4662" spans="2:7" x14ac:dyDescent="0.35">
      <c r="B4662" s="2">
        <v>42755</v>
      </c>
      <c r="C4662" s="4">
        <v>685.81</v>
      </c>
      <c r="D4662">
        <f t="shared" si="148"/>
        <v>11.033865590454464</v>
      </c>
      <c r="E4662">
        <v>-2.6474178803622794E-2</v>
      </c>
      <c r="F4662">
        <v>4659</v>
      </c>
      <c r="G4662">
        <f t="shared" ca="1" si="149"/>
        <v>4.2804875617278741E-2</v>
      </c>
    </row>
    <row r="4663" spans="2:7" x14ac:dyDescent="0.35">
      <c r="B4663" s="2">
        <v>39538</v>
      </c>
      <c r="C4663" s="4">
        <v>56.99</v>
      </c>
      <c r="D4663">
        <f t="shared" si="148"/>
        <v>-0.47010692701069268</v>
      </c>
      <c r="E4663">
        <v>-2.6477622138708523E-2</v>
      </c>
      <c r="F4663">
        <v>4660</v>
      </c>
      <c r="G4663">
        <f t="shared" ca="1" si="149"/>
        <v>-8.6027758086395945E-3</v>
      </c>
    </row>
    <row r="4664" spans="2:7" x14ac:dyDescent="0.35">
      <c r="B4664" s="2">
        <v>40641</v>
      </c>
      <c r="C4664" s="4">
        <v>107.55</v>
      </c>
      <c r="D4664">
        <f t="shared" si="148"/>
        <v>0.65537940587963672</v>
      </c>
      <c r="E4664">
        <v>-2.652063721940634E-2</v>
      </c>
      <c r="F4664">
        <v>4661</v>
      </c>
      <c r="G4664">
        <f t="shared" ca="1" si="149"/>
        <v>-1.5159484354123641E-2</v>
      </c>
    </row>
    <row r="4665" spans="2:7" x14ac:dyDescent="0.35">
      <c r="B4665" s="2">
        <v>40144</v>
      </c>
      <c r="C4665" s="4">
        <v>64.97</v>
      </c>
      <c r="D4665">
        <f t="shared" si="148"/>
        <v>-8.7243607754987407E-2</v>
      </c>
      <c r="E4665">
        <v>-2.652082709020076E-2</v>
      </c>
      <c r="F4665">
        <v>4662</v>
      </c>
      <c r="G4665">
        <f t="shared" ca="1" si="149"/>
        <v>-1.2280034681449869E-2</v>
      </c>
    </row>
    <row r="4666" spans="2:7" x14ac:dyDescent="0.35">
      <c r="B4666" s="2">
        <v>38555</v>
      </c>
      <c r="C4666" s="4">
        <v>71.180000000000007</v>
      </c>
      <c r="D4666">
        <f t="shared" si="148"/>
        <v>-0.91265400284690523</v>
      </c>
      <c r="E4666">
        <v>-2.653172866520781E-2</v>
      </c>
      <c r="F4666">
        <v>4663</v>
      </c>
      <c r="G4666">
        <f t="shared" ca="1" si="149"/>
        <v>-1.2397852056275444E-2</v>
      </c>
    </row>
    <row r="4667" spans="2:7" x14ac:dyDescent="0.35">
      <c r="B4667" s="2">
        <v>43054</v>
      </c>
      <c r="C4667" s="4">
        <v>814.92</v>
      </c>
      <c r="D4667">
        <f t="shared" si="148"/>
        <v>-9.6691237599068947E-2</v>
      </c>
      <c r="E4667">
        <v>-2.654275270564066E-2</v>
      </c>
      <c r="F4667">
        <v>4664</v>
      </c>
      <c r="G4667">
        <f t="shared" ca="1" si="149"/>
        <v>1.2974390246385459E-2</v>
      </c>
    </row>
    <row r="4668" spans="2:7" x14ac:dyDescent="0.35">
      <c r="B4668" s="2">
        <v>43182</v>
      </c>
      <c r="C4668" s="4">
        <v>902.15</v>
      </c>
      <c r="D4668">
        <f t="shared" si="148"/>
        <v>0.90878700040200577</v>
      </c>
      <c r="E4668">
        <v>-2.6554879364668271E-2</v>
      </c>
      <c r="F4668">
        <v>4665</v>
      </c>
      <c r="G4668">
        <f t="shared" ca="1" si="149"/>
        <v>3.5093500165625034E-2</v>
      </c>
    </row>
    <row r="4669" spans="2:7" x14ac:dyDescent="0.35">
      <c r="B4669" s="2">
        <v>42089</v>
      </c>
      <c r="C4669" s="4">
        <v>472.63</v>
      </c>
      <c r="D4669">
        <f t="shared" si="148"/>
        <v>-0.51180134488849416</v>
      </c>
      <c r="E4669">
        <v>-2.6689182231923958E-2</v>
      </c>
      <c r="F4669">
        <v>4666</v>
      </c>
      <c r="G4669">
        <f t="shared" ca="1" si="149"/>
        <v>3.2494888468849709E-2</v>
      </c>
    </row>
    <row r="4670" spans="2:7" x14ac:dyDescent="0.35">
      <c r="B4670" s="2">
        <v>43413</v>
      </c>
      <c r="C4670" s="4">
        <v>968.11</v>
      </c>
      <c r="D4670">
        <f t="shared" si="148"/>
        <v>10.127701149425288</v>
      </c>
      <c r="E4670">
        <v>-2.6692538153740952E-2</v>
      </c>
      <c r="F4670">
        <v>4667</v>
      </c>
      <c r="G4670">
        <f t="shared" ca="1" si="149"/>
        <v>4.5228463718169298E-2</v>
      </c>
    </row>
    <row r="4671" spans="2:7" x14ac:dyDescent="0.35">
      <c r="B4671" s="2">
        <v>41562</v>
      </c>
      <c r="C4671" s="4">
        <v>87</v>
      </c>
      <c r="D4671">
        <f t="shared" si="148"/>
        <v>8.0524559990791111E-4</v>
      </c>
      <c r="E4671">
        <v>-2.6736771450945329E-2</v>
      </c>
      <c r="F4671">
        <v>4668</v>
      </c>
      <c r="G4671">
        <f t="shared" ca="1" si="149"/>
        <v>1.4799946951906277E-2</v>
      </c>
    </row>
    <row r="4672" spans="2:7" x14ac:dyDescent="0.35">
      <c r="B4672" s="2">
        <v>41032</v>
      </c>
      <c r="C4672" s="4">
        <v>86.93</v>
      </c>
      <c r="D4672">
        <f t="shared" si="148"/>
        <v>-0.89621042074597645</v>
      </c>
      <c r="E4672">
        <v>-2.6757725033586977E-2</v>
      </c>
      <c r="F4672">
        <v>4669</v>
      </c>
      <c r="G4672">
        <f t="shared" ca="1" si="149"/>
        <v>3.6344506414769051E-2</v>
      </c>
    </row>
    <row r="4673" spans="2:7" x14ac:dyDescent="0.35">
      <c r="B4673" s="2">
        <v>43651</v>
      </c>
      <c r="C4673" s="4">
        <v>837.56</v>
      </c>
      <c r="D4673">
        <f t="shared" si="148"/>
        <v>2.4322009588984956</v>
      </c>
      <c r="E4673">
        <v>-2.6794636424903095E-2</v>
      </c>
      <c r="F4673">
        <v>4670</v>
      </c>
      <c r="G4673">
        <f t="shared" ca="1" si="149"/>
        <v>8.8274242886105508E-3</v>
      </c>
    </row>
    <row r="4674" spans="2:7" x14ac:dyDescent="0.35">
      <c r="B4674" s="2">
        <v>41754</v>
      </c>
      <c r="C4674" s="4">
        <v>244.03</v>
      </c>
      <c r="D4674">
        <f t="shared" si="148"/>
        <v>-0.92979856967786112</v>
      </c>
      <c r="E4674">
        <v>-2.6799601196410783E-2</v>
      </c>
      <c r="F4674">
        <v>4671</v>
      </c>
      <c r="G4674">
        <f t="shared" ca="1" si="149"/>
        <v>-1.6582220824628281E-2</v>
      </c>
    </row>
    <row r="4675" spans="2:7" x14ac:dyDescent="0.35">
      <c r="B4675" s="2">
        <v>44327</v>
      </c>
      <c r="C4675" s="4">
        <v>3476.14</v>
      </c>
      <c r="D4675">
        <f t="shared" si="148"/>
        <v>104.59356014580801</v>
      </c>
      <c r="E4675">
        <v>-2.6833781729512118E-2</v>
      </c>
      <c r="F4675">
        <v>4672</v>
      </c>
      <c r="G4675">
        <f t="shared" ca="1" si="149"/>
        <v>5.065811074680894E-2</v>
      </c>
    </row>
    <row r="4676" spans="2:7" x14ac:dyDescent="0.35">
      <c r="B4676" s="2">
        <v>37502</v>
      </c>
      <c r="C4676" s="4">
        <v>32.92</v>
      </c>
      <c r="D4676">
        <f t="shared" ref="D4676:D4739" si="150">C4676/C4677-1</f>
        <v>7.1265863976570198E-2</v>
      </c>
      <c r="E4676">
        <v>-2.6899201891811941E-2</v>
      </c>
      <c r="F4676">
        <v>4673</v>
      </c>
      <c r="G4676">
        <f t="shared" ca="1" si="149"/>
        <v>8.9720732814100451E-3</v>
      </c>
    </row>
    <row r="4677" spans="2:7" x14ac:dyDescent="0.35">
      <c r="B4677" s="2">
        <v>37476</v>
      </c>
      <c r="C4677" s="4">
        <v>30.73</v>
      </c>
      <c r="D4677">
        <f t="shared" si="150"/>
        <v>-0.98834404229978534</v>
      </c>
      <c r="E4677">
        <v>-2.6915769474350815E-2</v>
      </c>
      <c r="F4677">
        <v>4674</v>
      </c>
      <c r="G4677">
        <f t="shared" ref="G4677:G4740" ca="1" si="151">_xlfn.NORM.INV(RAND(),K$6,K$7)</f>
        <v>-7.1703447901232866E-3</v>
      </c>
    </row>
    <row r="4678" spans="2:7" x14ac:dyDescent="0.35">
      <c r="B4678" s="2">
        <v>44249</v>
      </c>
      <c r="C4678" s="4">
        <v>2636.42</v>
      </c>
      <c r="D4678">
        <f t="shared" si="150"/>
        <v>47.714338507021438</v>
      </c>
      <c r="E4678">
        <v>-2.6928670027829282E-2</v>
      </c>
      <c r="F4678">
        <v>4675</v>
      </c>
      <c r="G4678">
        <f t="shared" ca="1" si="151"/>
        <v>-5.8617961848260397E-3</v>
      </c>
    </row>
    <row r="4679" spans="2:7" x14ac:dyDescent="0.35">
      <c r="B4679" s="2">
        <v>38917</v>
      </c>
      <c r="C4679" s="4">
        <v>54.12</v>
      </c>
      <c r="D4679">
        <f t="shared" si="150"/>
        <v>1.1442155309033279</v>
      </c>
      <c r="E4679">
        <v>-2.6968716289104688E-2</v>
      </c>
      <c r="F4679">
        <v>4676</v>
      </c>
      <c r="G4679">
        <f t="shared" ca="1" si="151"/>
        <v>-1.0245999203541947E-3</v>
      </c>
    </row>
    <row r="4680" spans="2:7" x14ac:dyDescent="0.35">
      <c r="B4680" s="2">
        <v>37820</v>
      </c>
      <c r="C4680" s="4">
        <v>25.24</v>
      </c>
      <c r="D4680">
        <f t="shared" si="150"/>
        <v>-0.6481739615277391</v>
      </c>
      <c r="E4680">
        <v>-2.698535080956066E-2</v>
      </c>
      <c r="F4680">
        <v>4677</v>
      </c>
      <c r="G4680">
        <f t="shared" ca="1" si="151"/>
        <v>-2.3268702029361571E-2</v>
      </c>
    </row>
    <row r="4681" spans="2:7" x14ac:dyDescent="0.35">
      <c r="B4681" s="2">
        <v>39489</v>
      </c>
      <c r="C4681" s="4">
        <v>71.739999999999995</v>
      </c>
      <c r="D4681">
        <f t="shared" si="150"/>
        <v>1.7656129529683882</v>
      </c>
      <c r="E4681">
        <v>-2.6990370269903807E-2</v>
      </c>
      <c r="F4681">
        <v>4678</v>
      </c>
      <c r="G4681">
        <f t="shared" ca="1" si="151"/>
        <v>3.8797832041255344E-2</v>
      </c>
    </row>
    <row r="4682" spans="2:7" x14ac:dyDescent="0.35">
      <c r="B4682" s="2">
        <v>37819</v>
      </c>
      <c r="C4682" s="4">
        <v>25.94</v>
      </c>
      <c r="D4682">
        <f t="shared" si="150"/>
        <v>-0.96420242054565775</v>
      </c>
      <c r="E4682">
        <v>-2.7006751687921993E-2</v>
      </c>
      <c r="F4682">
        <v>4679</v>
      </c>
      <c r="G4682">
        <f t="shared" ca="1" si="151"/>
        <v>-2.3083675308868651E-2</v>
      </c>
    </row>
    <row r="4683" spans="2:7" x14ac:dyDescent="0.35">
      <c r="B4683" s="2">
        <v>42611</v>
      </c>
      <c r="C4683" s="4">
        <v>724.63</v>
      </c>
      <c r="D4683">
        <f t="shared" si="150"/>
        <v>7.9262133530426198</v>
      </c>
      <c r="E4683">
        <v>-2.7054969252665151E-2</v>
      </c>
      <c r="F4683">
        <v>4680</v>
      </c>
      <c r="G4683">
        <f t="shared" ca="1" si="151"/>
        <v>-2.262784535618334E-2</v>
      </c>
    </row>
    <row r="4684" spans="2:7" x14ac:dyDescent="0.35">
      <c r="B4684" s="2">
        <v>38841</v>
      </c>
      <c r="C4684" s="4">
        <v>81.180000000000007</v>
      </c>
      <c r="D4684">
        <f t="shared" si="150"/>
        <v>-0.98897027354210743</v>
      </c>
      <c r="E4684">
        <v>-2.7085330776605798E-2</v>
      </c>
      <c r="F4684">
        <v>4681</v>
      </c>
      <c r="G4684">
        <f t="shared" ca="1" si="151"/>
        <v>-7.0997989435687952E-3</v>
      </c>
    </row>
    <row r="4685" spans="2:7" x14ac:dyDescent="0.35">
      <c r="B4685" s="2">
        <v>44603</v>
      </c>
      <c r="C4685" s="4">
        <v>7360.11</v>
      </c>
      <c r="D4685">
        <f t="shared" si="150"/>
        <v>99.096695226438186</v>
      </c>
      <c r="E4685">
        <v>-2.7092941638345747E-2</v>
      </c>
      <c r="F4685">
        <v>4682</v>
      </c>
      <c r="G4685">
        <f t="shared" ca="1" si="151"/>
        <v>3.0097701815534544E-2</v>
      </c>
    </row>
    <row r="4686" spans="2:7" x14ac:dyDescent="0.35">
      <c r="B4686" s="2">
        <v>39605</v>
      </c>
      <c r="C4686" s="4">
        <v>73.53</v>
      </c>
      <c r="D4686">
        <f t="shared" si="150"/>
        <v>-0.37067785005135223</v>
      </c>
      <c r="E4686">
        <v>-2.7123577666049226E-2</v>
      </c>
      <c r="F4686">
        <v>4683</v>
      </c>
      <c r="G4686">
        <f t="shared" ca="1" si="151"/>
        <v>2.8182501260020074E-3</v>
      </c>
    </row>
    <row r="4687" spans="2:7" x14ac:dyDescent="0.35">
      <c r="B4687" s="2">
        <v>39245</v>
      </c>
      <c r="C4687" s="4">
        <v>116.84</v>
      </c>
      <c r="D4687">
        <f t="shared" si="150"/>
        <v>2.7092063492063492</v>
      </c>
      <c r="E4687">
        <v>-2.7144046627810114E-2</v>
      </c>
      <c r="F4687">
        <v>4684</v>
      </c>
      <c r="G4687">
        <f t="shared" ca="1" si="151"/>
        <v>1.8944701092535085E-2</v>
      </c>
    </row>
    <row r="4688" spans="2:7" x14ac:dyDescent="0.35">
      <c r="B4688" s="2">
        <v>39835</v>
      </c>
      <c r="C4688" s="4">
        <v>31.5</v>
      </c>
      <c r="D4688">
        <f t="shared" si="150"/>
        <v>-0.99442534116027237</v>
      </c>
      <c r="E4688">
        <v>-2.7177269919703595E-2</v>
      </c>
      <c r="F4688">
        <v>4685</v>
      </c>
      <c r="G4688">
        <f t="shared" ca="1" si="151"/>
        <v>-2.0886793231353912E-3</v>
      </c>
    </row>
    <row r="4689" spans="2:7" x14ac:dyDescent="0.35">
      <c r="B4689" s="2">
        <v>44529</v>
      </c>
      <c r="C4689" s="4">
        <v>5650.57</v>
      </c>
      <c r="D4689">
        <f t="shared" si="150"/>
        <v>207.58508674787743</v>
      </c>
      <c r="E4689">
        <v>-2.7207886224070776E-2</v>
      </c>
      <c r="F4689">
        <v>4686</v>
      </c>
      <c r="G4689">
        <f t="shared" ca="1" si="151"/>
        <v>1.6015857055659159E-2</v>
      </c>
    </row>
    <row r="4690" spans="2:7" x14ac:dyDescent="0.35">
      <c r="B4690" s="2">
        <v>37879</v>
      </c>
      <c r="C4690" s="4">
        <v>27.09</v>
      </c>
      <c r="D4690">
        <f t="shared" si="150"/>
        <v>-0.74710604929051527</v>
      </c>
      <c r="E4690">
        <v>-2.7289048473967736E-2</v>
      </c>
      <c r="F4690">
        <v>4687</v>
      </c>
      <c r="G4690">
        <f t="shared" ca="1" si="151"/>
        <v>-1.4187669579978959E-2</v>
      </c>
    </row>
    <row r="4691" spans="2:7" x14ac:dyDescent="0.35">
      <c r="B4691" s="2">
        <v>39314</v>
      </c>
      <c r="C4691" s="4">
        <v>107.12</v>
      </c>
      <c r="D4691">
        <f t="shared" si="150"/>
        <v>-0.59226552984165659</v>
      </c>
      <c r="E4691">
        <v>-2.7331335694179559E-2</v>
      </c>
      <c r="F4691">
        <v>4688</v>
      </c>
      <c r="G4691">
        <f t="shared" ca="1" si="151"/>
        <v>-1.0481260660464007E-2</v>
      </c>
    </row>
    <row r="4692" spans="2:7" x14ac:dyDescent="0.35">
      <c r="B4692" s="2">
        <v>41711</v>
      </c>
      <c r="C4692" s="4">
        <v>262.72000000000003</v>
      </c>
      <c r="D4692">
        <f t="shared" si="150"/>
        <v>-0.62102044054642758</v>
      </c>
      <c r="E4692">
        <v>-2.7359224019843698E-2</v>
      </c>
      <c r="F4692">
        <v>4689</v>
      </c>
      <c r="G4692">
        <f t="shared" ca="1" si="151"/>
        <v>9.5582364645475709E-4</v>
      </c>
    </row>
    <row r="4693" spans="2:7" x14ac:dyDescent="0.35">
      <c r="B4693" s="2">
        <v>43937</v>
      </c>
      <c r="C4693" s="4">
        <v>693.23</v>
      </c>
      <c r="D4693">
        <f t="shared" si="150"/>
        <v>1.6420840003049015</v>
      </c>
      <c r="E4693">
        <v>-2.7373235682015884E-2</v>
      </c>
      <c r="F4693">
        <v>4690</v>
      </c>
      <c r="G4693">
        <f t="shared" ca="1" si="151"/>
        <v>8.9836920967088264E-3</v>
      </c>
    </row>
    <row r="4694" spans="2:7" x14ac:dyDescent="0.35">
      <c r="B4694" s="2">
        <v>41929</v>
      </c>
      <c r="C4694" s="4">
        <v>262.38</v>
      </c>
      <c r="D4694">
        <f t="shared" si="150"/>
        <v>-0.5572243410172466</v>
      </c>
      <c r="E4694">
        <v>-2.7393705749341968E-2</v>
      </c>
      <c r="F4694">
        <v>4691</v>
      </c>
      <c r="G4694">
        <f t="shared" ca="1" si="151"/>
        <v>-6.3185851618046324E-2</v>
      </c>
    </row>
    <row r="4695" spans="2:7" x14ac:dyDescent="0.35">
      <c r="B4695" s="2">
        <v>43712</v>
      </c>
      <c r="C4695" s="4">
        <v>592.58000000000004</v>
      </c>
      <c r="D4695">
        <f t="shared" si="150"/>
        <v>5.3282785134557882</v>
      </c>
      <c r="E4695">
        <v>-2.7409401260504063E-2</v>
      </c>
      <c r="F4695">
        <v>4692</v>
      </c>
      <c r="G4695">
        <f t="shared" ca="1" si="151"/>
        <v>-8.5007454603137304E-3</v>
      </c>
    </row>
    <row r="4696" spans="2:7" x14ac:dyDescent="0.35">
      <c r="B4696" s="2">
        <v>41115</v>
      </c>
      <c r="C4696" s="4">
        <v>93.64</v>
      </c>
      <c r="D4696">
        <f t="shared" si="150"/>
        <v>0.15320197044334982</v>
      </c>
      <c r="E4696">
        <v>-2.7420024927295339E-2</v>
      </c>
      <c r="F4696">
        <v>4693</v>
      </c>
      <c r="G4696">
        <f t="shared" ca="1" si="151"/>
        <v>-3.9100135020088418E-2</v>
      </c>
    </row>
    <row r="4697" spans="2:7" x14ac:dyDescent="0.35">
      <c r="B4697" s="2">
        <v>41358</v>
      </c>
      <c r="C4697" s="4">
        <v>81.2</v>
      </c>
      <c r="D4697">
        <f t="shared" si="150"/>
        <v>0.53846153846153855</v>
      </c>
      <c r="E4697">
        <v>-2.7428434543058988E-2</v>
      </c>
      <c r="F4697">
        <v>4694</v>
      </c>
      <c r="G4697">
        <f t="shared" ca="1" si="151"/>
        <v>3.2922551469512E-2</v>
      </c>
    </row>
    <row r="4698" spans="2:7" x14ac:dyDescent="0.35">
      <c r="B4698" s="2">
        <v>39533</v>
      </c>
      <c r="C4698" s="4">
        <v>52.78</v>
      </c>
      <c r="D4698">
        <f t="shared" si="150"/>
        <v>-0.92522490614153152</v>
      </c>
      <c r="E4698">
        <v>-2.7455316012529929E-2</v>
      </c>
      <c r="F4698">
        <v>4695</v>
      </c>
      <c r="G4698">
        <f t="shared" ca="1" si="151"/>
        <v>3.6773592224070541E-2</v>
      </c>
    </row>
    <row r="4699" spans="2:7" x14ac:dyDescent="0.35">
      <c r="B4699" s="2">
        <v>42852</v>
      </c>
      <c r="C4699" s="4">
        <v>705.85</v>
      </c>
      <c r="D4699">
        <f t="shared" si="150"/>
        <v>-0.10054157374960171</v>
      </c>
      <c r="E4699">
        <v>-2.7460111879632931E-2</v>
      </c>
      <c r="F4699">
        <v>4696</v>
      </c>
      <c r="G4699">
        <f t="shared" ca="1" si="151"/>
        <v>4.1273983897762739E-2</v>
      </c>
    </row>
    <row r="4700" spans="2:7" x14ac:dyDescent="0.35">
      <c r="B4700" s="2">
        <v>43034</v>
      </c>
      <c r="C4700" s="4">
        <v>784.75</v>
      </c>
      <c r="D4700">
        <f t="shared" si="150"/>
        <v>32.608137044967876</v>
      </c>
      <c r="E4700">
        <v>-2.7486894774019999E-2</v>
      </c>
      <c r="F4700">
        <v>4697</v>
      </c>
      <c r="G4700">
        <f t="shared" ca="1" si="151"/>
        <v>-6.6247112767563732E-2</v>
      </c>
    </row>
    <row r="4701" spans="2:7" x14ac:dyDescent="0.35">
      <c r="B4701" s="2">
        <v>37677</v>
      </c>
      <c r="C4701" s="4">
        <v>23.35</v>
      </c>
      <c r="D4701">
        <f t="shared" si="150"/>
        <v>-0.20470027247956402</v>
      </c>
      <c r="E4701">
        <v>-2.7488546438983796E-2</v>
      </c>
      <c r="F4701">
        <v>4698</v>
      </c>
      <c r="G4701">
        <f t="shared" ca="1" si="151"/>
        <v>-3.1450660456937424E-2</v>
      </c>
    </row>
    <row r="4702" spans="2:7" x14ac:dyDescent="0.35">
      <c r="B4702" s="2">
        <v>37469</v>
      </c>
      <c r="C4702" s="4">
        <v>29.36</v>
      </c>
      <c r="D4702">
        <f t="shared" si="150"/>
        <v>2.6932493878978558E-2</v>
      </c>
      <c r="E4702">
        <v>-2.749254720105998E-2</v>
      </c>
      <c r="F4702">
        <v>4699</v>
      </c>
      <c r="G4702">
        <f t="shared" ca="1" si="151"/>
        <v>8.5319420573219482E-3</v>
      </c>
    </row>
    <row r="4703" spans="2:7" x14ac:dyDescent="0.35">
      <c r="B4703" s="2">
        <v>37914</v>
      </c>
      <c r="C4703" s="4">
        <v>28.59</v>
      </c>
      <c r="D4703">
        <f t="shared" si="150"/>
        <v>-0.97343208408062376</v>
      </c>
      <c r="E4703">
        <v>-2.7551020408163263E-2</v>
      </c>
      <c r="F4703">
        <v>4700</v>
      </c>
      <c r="G4703">
        <f t="shared" ca="1" si="151"/>
        <v>2.2457245955169444E-2</v>
      </c>
    </row>
    <row r="4704" spans="2:7" x14ac:dyDescent="0.35">
      <c r="B4704" s="2">
        <v>43238</v>
      </c>
      <c r="C4704" s="4">
        <v>1076.1099999999999</v>
      </c>
      <c r="D4704">
        <f t="shared" si="150"/>
        <v>0.19608976425213109</v>
      </c>
      <c r="E4704">
        <v>-2.7675876899723617E-2</v>
      </c>
      <c r="F4704">
        <v>4701</v>
      </c>
      <c r="G4704">
        <f t="shared" ca="1" si="151"/>
        <v>2.0229475053676664E-2</v>
      </c>
    </row>
    <row r="4705" spans="2:7" x14ac:dyDescent="0.35">
      <c r="B4705" s="2">
        <v>43573</v>
      </c>
      <c r="C4705" s="4">
        <v>899.69</v>
      </c>
      <c r="D4705">
        <f t="shared" si="150"/>
        <v>7.9051766801940015</v>
      </c>
      <c r="E4705">
        <v>-2.7709033533982463E-2</v>
      </c>
      <c r="F4705">
        <v>4702</v>
      </c>
      <c r="G4705">
        <f t="shared" ca="1" si="151"/>
        <v>2.1867682762811282E-2</v>
      </c>
    </row>
    <row r="4706" spans="2:7" x14ac:dyDescent="0.35">
      <c r="B4706" s="2">
        <v>40582</v>
      </c>
      <c r="C4706" s="4">
        <v>101.03</v>
      </c>
      <c r="D4706">
        <f t="shared" si="150"/>
        <v>6.7180733072779164E-2</v>
      </c>
      <c r="E4706">
        <v>-2.7716292945818455E-2</v>
      </c>
      <c r="F4706">
        <v>4703</v>
      </c>
      <c r="G4706">
        <f t="shared" ca="1" si="151"/>
        <v>3.6527253231743155E-2</v>
      </c>
    </row>
    <row r="4707" spans="2:7" x14ac:dyDescent="0.35">
      <c r="B4707" s="2">
        <v>39087</v>
      </c>
      <c r="C4707" s="4">
        <v>94.67</v>
      </c>
      <c r="D4707">
        <f t="shared" si="150"/>
        <v>-0.16398799010950194</v>
      </c>
      <c r="E4707">
        <v>-2.7729280065728723E-2</v>
      </c>
      <c r="F4707">
        <v>4704</v>
      </c>
      <c r="G4707">
        <f t="shared" ca="1" si="151"/>
        <v>-9.5927754238880128E-3</v>
      </c>
    </row>
    <row r="4708" spans="2:7" x14ac:dyDescent="0.35">
      <c r="B4708" s="2">
        <v>40469</v>
      </c>
      <c r="C4708" s="4">
        <v>113.24</v>
      </c>
      <c r="D4708">
        <f t="shared" si="150"/>
        <v>0.93572649572649569</v>
      </c>
      <c r="E4708">
        <v>-2.7732463295269238E-2</v>
      </c>
      <c r="F4708">
        <v>4705</v>
      </c>
      <c r="G4708">
        <f t="shared" ca="1" si="151"/>
        <v>2.1837409906532643E-2</v>
      </c>
    </row>
    <row r="4709" spans="2:7" x14ac:dyDescent="0.35">
      <c r="B4709" s="2">
        <v>38425</v>
      </c>
      <c r="C4709" s="4">
        <v>58.5</v>
      </c>
      <c r="D4709">
        <f t="shared" si="150"/>
        <v>-0.11577992744860943</v>
      </c>
      <c r="E4709">
        <v>-2.7754695030746235E-2</v>
      </c>
      <c r="F4709">
        <v>4706</v>
      </c>
      <c r="G4709">
        <f t="shared" ca="1" si="151"/>
        <v>-4.455761123538713E-2</v>
      </c>
    </row>
    <row r="4710" spans="2:7" x14ac:dyDescent="0.35">
      <c r="B4710" s="2">
        <v>38646</v>
      </c>
      <c r="C4710" s="4">
        <v>66.16</v>
      </c>
      <c r="D4710">
        <f t="shared" si="150"/>
        <v>-0.43390091554718924</v>
      </c>
      <c r="E4710">
        <v>-2.7773695811903032E-2</v>
      </c>
      <c r="F4710">
        <v>4707</v>
      </c>
      <c r="G4710">
        <f t="shared" ca="1" si="151"/>
        <v>4.3754933904362685E-2</v>
      </c>
    </row>
    <row r="4711" spans="2:7" x14ac:dyDescent="0.35">
      <c r="B4711" s="2">
        <v>39268</v>
      </c>
      <c r="C4711" s="4">
        <v>116.87</v>
      </c>
      <c r="D4711">
        <f t="shared" si="150"/>
        <v>6.5068805249248074E-2</v>
      </c>
      <c r="E4711">
        <v>-2.7784710090674514E-2</v>
      </c>
      <c r="F4711">
        <v>4708</v>
      </c>
      <c r="G4711">
        <f t="shared" ca="1" si="151"/>
        <v>3.2342739060967511E-2</v>
      </c>
    </row>
    <row r="4712" spans="2:7" x14ac:dyDescent="0.35">
      <c r="B4712" s="2">
        <v>39288</v>
      </c>
      <c r="C4712" s="4">
        <v>109.73</v>
      </c>
      <c r="D4712">
        <f t="shared" si="150"/>
        <v>0.26213480561306657</v>
      </c>
      <c r="E4712">
        <v>-2.7819615486843308E-2</v>
      </c>
      <c r="F4712">
        <v>4709</v>
      </c>
      <c r="G4712">
        <f t="shared" ca="1" si="151"/>
        <v>5.9668009556891177E-3</v>
      </c>
    </row>
    <row r="4713" spans="2:7" x14ac:dyDescent="0.35">
      <c r="B4713" s="2">
        <v>39435</v>
      </c>
      <c r="C4713" s="4">
        <v>86.94</v>
      </c>
      <c r="D4713">
        <f t="shared" si="150"/>
        <v>-0.9287096562581999</v>
      </c>
      <c r="E4713">
        <v>-2.7843005702784418E-2</v>
      </c>
      <c r="F4713">
        <v>4710</v>
      </c>
      <c r="G4713">
        <f t="shared" ca="1" si="151"/>
        <v>4.2782803282851438E-2</v>
      </c>
    </row>
    <row r="4714" spans="2:7" x14ac:dyDescent="0.35">
      <c r="B4714" s="2">
        <v>43364</v>
      </c>
      <c r="C4714" s="4">
        <v>1219.52</v>
      </c>
      <c r="D4714">
        <f t="shared" si="150"/>
        <v>37.507104515314175</v>
      </c>
      <c r="E4714">
        <v>-2.7906865519357837E-2</v>
      </c>
      <c r="F4714">
        <v>4711</v>
      </c>
      <c r="G4714">
        <f t="shared" ca="1" si="151"/>
        <v>1.221748226299881E-2</v>
      </c>
    </row>
    <row r="4715" spans="2:7" x14ac:dyDescent="0.35">
      <c r="B4715" s="2">
        <v>39861</v>
      </c>
      <c r="C4715" s="4">
        <v>31.67</v>
      </c>
      <c r="D4715">
        <f t="shared" si="150"/>
        <v>-0.66033891033891035</v>
      </c>
      <c r="E4715">
        <v>-2.7931246163290235E-2</v>
      </c>
      <c r="F4715">
        <v>4712</v>
      </c>
      <c r="G4715">
        <f t="shared" ca="1" si="151"/>
        <v>1.1897485765889223E-2</v>
      </c>
    </row>
    <row r="4716" spans="2:7" x14ac:dyDescent="0.35">
      <c r="B4716" s="2">
        <v>39079</v>
      </c>
      <c r="C4716" s="4">
        <v>93.24</v>
      </c>
      <c r="D4716">
        <f t="shared" si="150"/>
        <v>-0.90014457831325301</v>
      </c>
      <c r="E4716">
        <v>-2.7939949958298627E-2</v>
      </c>
      <c r="F4716">
        <v>4713</v>
      </c>
      <c r="G4716">
        <f t="shared" ca="1" si="151"/>
        <v>-2.3871275539310653E-2</v>
      </c>
    </row>
    <row r="4717" spans="2:7" x14ac:dyDescent="0.35">
      <c r="B4717" s="2">
        <v>43887</v>
      </c>
      <c r="C4717" s="4">
        <v>933.75</v>
      </c>
      <c r="D4717">
        <f t="shared" si="150"/>
        <v>-0.24381691258644977</v>
      </c>
      <c r="E4717">
        <v>-2.7951280449718952E-2</v>
      </c>
      <c r="F4717">
        <v>4714</v>
      </c>
      <c r="G4717">
        <f t="shared" ca="1" si="151"/>
        <v>4.3660332537258434E-3</v>
      </c>
    </row>
    <row r="4718" spans="2:7" x14ac:dyDescent="0.35">
      <c r="B4718" s="2">
        <v>43354</v>
      </c>
      <c r="C4718" s="4">
        <v>1234.82</v>
      </c>
      <c r="D4718">
        <f t="shared" si="150"/>
        <v>12.641405214317277</v>
      </c>
      <c r="E4718">
        <v>-2.7968670051560562E-2</v>
      </c>
      <c r="F4718">
        <v>4715</v>
      </c>
      <c r="G4718">
        <f t="shared" ca="1" si="151"/>
        <v>2.6852043592240357E-2</v>
      </c>
    </row>
    <row r="4719" spans="2:7" x14ac:dyDescent="0.35">
      <c r="B4719" s="2">
        <v>40763</v>
      </c>
      <c r="C4719" s="4">
        <v>90.52</v>
      </c>
      <c r="D4719">
        <f t="shared" si="150"/>
        <v>-0.13913456966238713</v>
      </c>
      <c r="E4719">
        <v>-2.8025340921292829E-2</v>
      </c>
      <c r="F4719">
        <v>4716</v>
      </c>
      <c r="G4719">
        <f t="shared" ca="1" si="151"/>
        <v>7.038327501681825E-2</v>
      </c>
    </row>
    <row r="4720" spans="2:7" x14ac:dyDescent="0.35">
      <c r="B4720" s="2">
        <v>39301</v>
      </c>
      <c r="C4720" s="4">
        <v>105.15</v>
      </c>
      <c r="D4720">
        <f t="shared" si="150"/>
        <v>-0.82086577284110462</v>
      </c>
      <c r="E4720">
        <v>-2.8188539741219931E-2</v>
      </c>
      <c r="F4720">
        <v>4717</v>
      </c>
      <c r="G4720">
        <f t="shared" ca="1" si="151"/>
        <v>3.4245280435797557E-3</v>
      </c>
    </row>
    <row r="4721" spans="2:7" x14ac:dyDescent="0.35">
      <c r="B4721" s="2">
        <v>43682</v>
      </c>
      <c r="C4721" s="4">
        <v>586.99</v>
      </c>
      <c r="D4721">
        <f t="shared" si="150"/>
        <v>14.120814013395158</v>
      </c>
      <c r="E4721">
        <v>-2.8226607509436397E-2</v>
      </c>
      <c r="F4721">
        <v>4718</v>
      </c>
      <c r="G4721">
        <f t="shared" ca="1" si="151"/>
        <v>-1.8340761366253077E-2</v>
      </c>
    </row>
    <row r="4722" spans="2:7" x14ac:dyDescent="0.35">
      <c r="B4722" s="2">
        <v>39930</v>
      </c>
      <c r="C4722" s="4">
        <v>38.82</v>
      </c>
      <c r="D4722">
        <f t="shared" si="150"/>
        <v>-0.52979651162790697</v>
      </c>
      <c r="E4722">
        <v>-2.8285356695869845E-2</v>
      </c>
      <c r="F4722">
        <v>4719</v>
      </c>
      <c r="G4722">
        <f t="shared" ca="1" si="151"/>
        <v>5.3226724934115066E-2</v>
      </c>
    </row>
    <row r="4723" spans="2:7" x14ac:dyDescent="0.35">
      <c r="B4723" s="2">
        <v>40926</v>
      </c>
      <c r="C4723" s="4">
        <v>82.56</v>
      </c>
      <c r="D4723">
        <f t="shared" si="150"/>
        <v>-0.89485615313100952</v>
      </c>
      <c r="E4723">
        <v>-2.8362951629987032E-2</v>
      </c>
      <c r="F4723">
        <v>4720</v>
      </c>
      <c r="G4723">
        <f t="shared" ca="1" si="151"/>
        <v>-3.207932005975917E-3</v>
      </c>
    </row>
    <row r="4724" spans="2:7" x14ac:dyDescent="0.35">
      <c r="B4724" s="2">
        <v>43019</v>
      </c>
      <c r="C4724" s="4">
        <v>785.21</v>
      </c>
      <c r="D4724">
        <f t="shared" si="150"/>
        <v>-0.50679312835652146</v>
      </c>
      <c r="E4724">
        <v>-2.837379661939754E-2</v>
      </c>
      <c r="F4724">
        <v>4721</v>
      </c>
      <c r="G4724">
        <f t="shared" ca="1" si="151"/>
        <v>-5.1429871109551035E-3</v>
      </c>
    </row>
    <row r="4725" spans="2:7" x14ac:dyDescent="0.35">
      <c r="B4725" s="2">
        <v>44175</v>
      </c>
      <c r="C4725" s="4">
        <v>1592.05</v>
      </c>
      <c r="D4725">
        <f t="shared" si="150"/>
        <v>1.0117389875912961</v>
      </c>
      <c r="E4725">
        <v>-2.8390608884576229E-2</v>
      </c>
      <c r="F4725">
        <v>4722</v>
      </c>
      <c r="G4725">
        <f t="shared" ca="1" si="151"/>
        <v>2.0045125298534396E-2</v>
      </c>
    </row>
    <row r="4726" spans="2:7" x14ac:dyDescent="0.35">
      <c r="B4726" s="2">
        <v>43000</v>
      </c>
      <c r="C4726" s="4">
        <v>791.38</v>
      </c>
      <c r="D4726">
        <f t="shared" si="150"/>
        <v>-0.90479639097744358</v>
      </c>
      <c r="E4726">
        <v>-2.8433226115353372E-2</v>
      </c>
      <c r="F4726">
        <v>4723</v>
      </c>
      <c r="G4726">
        <f t="shared" ca="1" si="151"/>
        <v>6.3590577451623619E-3</v>
      </c>
    </row>
    <row r="4727" spans="2:7" x14ac:dyDescent="0.35">
      <c r="B4727" s="2">
        <v>44837</v>
      </c>
      <c r="C4727" s="4">
        <v>8312.5</v>
      </c>
      <c r="D4727">
        <f t="shared" si="150"/>
        <v>338.00897226753671</v>
      </c>
      <c r="E4727">
        <v>-2.8510655704176435E-2</v>
      </c>
      <c r="F4727">
        <v>4724</v>
      </c>
      <c r="G4727">
        <f t="shared" ca="1" si="151"/>
        <v>-2.2291839705339673E-2</v>
      </c>
    </row>
    <row r="4728" spans="2:7" x14ac:dyDescent="0.35">
      <c r="B4728" s="2">
        <v>37652</v>
      </c>
      <c r="C4728" s="4">
        <v>24.52</v>
      </c>
      <c r="D4728">
        <f t="shared" si="150"/>
        <v>-0.36820407111569187</v>
      </c>
      <c r="E4728">
        <v>-2.8526148969889031E-2</v>
      </c>
      <c r="F4728">
        <v>4725</v>
      </c>
      <c r="G4728">
        <f t="shared" ca="1" si="151"/>
        <v>-4.6027008985944501E-3</v>
      </c>
    </row>
    <row r="4729" spans="2:7" x14ac:dyDescent="0.35">
      <c r="B4729" s="2">
        <v>37998</v>
      </c>
      <c r="C4729" s="4">
        <v>38.81</v>
      </c>
      <c r="D4729">
        <f t="shared" si="150"/>
        <v>-0.99440682191903218</v>
      </c>
      <c r="E4729">
        <v>-2.8535669586983725E-2</v>
      </c>
      <c r="F4729">
        <v>4726</v>
      </c>
      <c r="G4729">
        <f t="shared" ca="1" si="151"/>
        <v>-9.5201892035964939E-3</v>
      </c>
    </row>
    <row r="4730" spans="2:7" x14ac:dyDescent="0.35">
      <c r="B4730" s="2">
        <v>44588</v>
      </c>
      <c r="C4730" s="4">
        <v>6938.81</v>
      </c>
      <c r="D4730">
        <f t="shared" si="150"/>
        <v>9.7738805043165033</v>
      </c>
      <c r="E4730">
        <v>-2.8561548520052216E-2</v>
      </c>
      <c r="F4730">
        <v>4727</v>
      </c>
      <c r="G4730">
        <f t="shared" ca="1" si="151"/>
        <v>4.5467238558423675E-2</v>
      </c>
    </row>
    <row r="4731" spans="2:7" x14ac:dyDescent="0.35">
      <c r="B4731" s="2">
        <v>42741</v>
      </c>
      <c r="C4731" s="4">
        <v>644.04</v>
      </c>
      <c r="D4731">
        <f t="shared" si="150"/>
        <v>10.554359526372442</v>
      </c>
      <c r="E4731">
        <v>-2.8567980934568249E-2</v>
      </c>
      <c r="F4731">
        <v>4728</v>
      </c>
      <c r="G4731">
        <f t="shared" ca="1" si="151"/>
        <v>-1.4657170788914556E-2</v>
      </c>
    </row>
    <row r="4732" spans="2:7" x14ac:dyDescent="0.35">
      <c r="B4732" s="2">
        <v>39976</v>
      </c>
      <c r="C4732" s="4">
        <v>55.74</v>
      </c>
      <c r="D4732">
        <f t="shared" si="150"/>
        <v>0.62507288629737623</v>
      </c>
      <c r="E4732">
        <v>-2.8581387242941791E-2</v>
      </c>
      <c r="F4732">
        <v>4729</v>
      </c>
      <c r="G4732">
        <f t="shared" ca="1" si="151"/>
        <v>-3.0785018937375442E-2</v>
      </c>
    </row>
    <row r="4733" spans="2:7" x14ac:dyDescent="0.35">
      <c r="B4733" s="2">
        <v>39800</v>
      </c>
      <c r="C4733" s="4">
        <v>34.299999999999997</v>
      </c>
      <c r="D4733">
        <f t="shared" si="150"/>
        <v>-0.9725169065094067</v>
      </c>
      <c r="E4733">
        <v>-2.860379495893528E-2</v>
      </c>
      <c r="F4733">
        <v>4730</v>
      </c>
      <c r="G4733">
        <f t="shared" ca="1" si="151"/>
        <v>4.8111413456245191E-3</v>
      </c>
    </row>
    <row r="4734" spans="2:7" x14ac:dyDescent="0.35">
      <c r="B4734" s="2">
        <v>43361</v>
      </c>
      <c r="C4734" s="4">
        <v>1248.04</v>
      </c>
      <c r="D4734">
        <f t="shared" si="150"/>
        <v>40.782390358218947</v>
      </c>
      <c r="E4734">
        <v>-2.8611457036114563E-2</v>
      </c>
      <c r="F4734">
        <v>4731</v>
      </c>
      <c r="G4734">
        <f t="shared" ca="1" si="151"/>
        <v>3.5549672974232956E-2</v>
      </c>
    </row>
    <row r="4735" spans="2:7" x14ac:dyDescent="0.35">
      <c r="B4735" s="2">
        <v>37523</v>
      </c>
      <c r="C4735" s="4">
        <v>29.87</v>
      </c>
      <c r="D4735">
        <f t="shared" si="150"/>
        <v>-0.56797801562048011</v>
      </c>
      <c r="E4735">
        <v>-2.861788617886174E-2</v>
      </c>
      <c r="F4735">
        <v>4732</v>
      </c>
      <c r="G4735">
        <f t="shared" ca="1" si="151"/>
        <v>-7.6187075109335877E-3</v>
      </c>
    </row>
    <row r="4736" spans="2:7" x14ac:dyDescent="0.35">
      <c r="B4736" s="2">
        <v>38558</v>
      </c>
      <c r="C4736" s="4">
        <v>69.14</v>
      </c>
      <c r="D4736">
        <f t="shared" si="150"/>
        <v>-0.18274231678486996</v>
      </c>
      <c r="E4736">
        <v>-2.8659735880865456E-2</v>
      </c>
      <c r="F4736">
        <v>4733</v>
      </c>
      <c r="G4736">
        <f t="shared" ca="1" si="151"/>
        <v>1.949797153000956E-2</v>
      </c>
    </row>
    <row r="4737" spans="2:7" x14ac:dyDescent="0.35">
      <c r="B4737" s="2">
        <v>41008</v>
      </c>
      <c r="C4737" s="4">
        <v>84.6</v>
      </c>
      <c r="D4737">
        <f t="shared" si="150"/>
        <v>-0.14303079416531606</v>
      </c>
      <c r="E4737">
        <v>-2.8702640642939148E-2</v>
      </c>
      <c r="F4737">
        <v>4734</v>
      </c>
      <c r="G4737">
        <f t="shared" ca="1" si="151"/>
        <v>7.1409052354888328E-2</v>
      </c>
    </row>
    <row r="4738" spans="2:7" x14ac:dyDescent="0.35">
      <c r="B4738" s="2">
        <v>40597</v>
      </c>
      <c r="C4738" s="4">
        <v>98.72</v>
      </c>
      <c r="D4738">
        <f t="shared" si="150"/>
        <v>0.83221974758723083</v>
      </c>
      <c r="E4738">
        <v>-2.8728846910665129E-2</v>
      </c>
      <c r="F4738">
        <v>4735</v>
      </c>
      <c r="G4738">
        <f t="shared" ca="1" si="151"/>
        <v>4.4492542707154931E-3</v>
      </c>
    </row>
    <row r="4739" spans="2:7" x14ac:dyDescent="0.35">
      <c r="B4739" s="2">
        <v>40015</v>
      </c>
      <c r="C4739" s="4">
        <v>53.88</v>
      </c>
      <c r="D4739">
        <f t="shared" si="150"/>
        <v>-5.2909122868693981E-2</v>
      </c>
      <c r="E4739">
        <v>-2.883922134102368E-2</v>
      </c>
      <c r="F4739">
        <v>4736</v>
      </c>
      <c r="G4739">
        <f t="shared" ca="1" si="151"/>
        <v>-3.0869017043394769E-4</v>
      </c>
    </row>
    <row r="4740" spans="2:7" x14ac:dyDescent="0.35">
      <c r="B4740" s="2">
        <v>38463</v>
      </c>
      <c r="C4740" s="4">
        <v>56.89</v>
      </c>
      <c r="D4740">
        <f t="shared" ref="D4740:D4803" si="152">C4740/C4741-1</f>
        <v>1.5261989342806395</v>
      </c>
      <c r="E4740">
        <v>-2.8849436667804707E-2</v>
      </c>
      <c r="F4740">
        <v>4737</v>
      </c>
      <c r="G4740">
        <f t="shared" ca="1" si="151"/>
        <v>4.9279655033165485E-3</v>
      </c>
    </row>
    <row r="4741" spans="2:7" x14ac:dyDescent="0.35">
      <c r="B4741" s="2">
        <v>37666</v>
      </c>
      <c r="C4741" s="4">
        <v>22.52</v>
      </c>
      <c r="D4741">
        <f t="shared" si="152"/>
        <v>-0.97363090289568277</v>
      </c>
      <c r="E4741">
        <v>-2.8891763691246353E-2</v>
      </c>
      <c r="F4741">
        <v>4738</v>
      </c>
      <c r="G4741">
        <f t="shared" ref="G4741:G4804" ca="1" si="153">_xlfn.NORM.INV(RAND(),K$6,K$7)</f>
        <v>5.9863296136018285E-3</v>
      </c>
    </row>
    <row r="4742" spans="2:7" x14ac:dyDescent="0.35">
      <c r="B4742" s="2">
        <v>42263</v>
      </c>
      <c r="C4742" s="4">
        <v>854.03</v>
      </c>
      <c r="D4742">
        <f t="shared" si="152"/>
        <v>15.638028443405418</v>
      </c>
      <c r="E4742">
        <v>-2.8904428904429014E-2</v>
      </c>
      <c r="F4742">
        <v>4739</v>
      </c>
      <c r="G4742">
        <f t="shared" ca="1" si="153"/>
        <v>4.0234336049876853E-4</v>
      </c>
    </row>
    <row r="4743" spans="2:7" x14ac:dyDescent="0.35">
      <c r="B4743" s="2">
        <v>38278</v>
      </c>
      <c r="C4743" s="4">
        <v>51.33</v>
      </c>
      <c r="D4743">
        <f t="shared" si="152"/>
        <v>0.72306143001007039</v>
      </c>
      <c r="E4743">
        <v>-2.8944381384790052E-2</v>
      </c>
      <c r="F4743">
        <v>4740</v>
      </c>
      <c r="G4743">
        <f t="shared" ca="1" si="153"/>
        <v>2.2721459987731504E-2</v>
      </c>
    </row>
    <row r="4744" spans="2:7" x14ac:dyDescent="0.35">
      <c r="B4744" s="2">
        <v>38008</v>
      </c>
      <c r="C4744" s="4">
        <v>29.79</v>
      </c>
      <c r="D4744">
        <f t="shared" si="152"/>
        <v>-0.59889592029083072</v>
      </c>
      <c r="E4744">
        <v>-2.9009126466753576E-2</v>
      </c>
      <c r="F4744">
        <v>4741</v>
      </c>
      <c r="G4744">
        <f t="shared" ca="1" si="153"/>
        <v>3.918049025639727E-2</v>
      </c>
    </row>
    <row r="4745" spans="2:7" x14ac:dyDescent="0.35">
      <c r="B4745" s="2">
        <v>39640</v>
      </c>
      <c r="C4745" s="4">
        <v>74.27</v>
      </c>
      <c r="D4745">
        <f t="shared" si="152"/>
        <v>-0.1833076753903673</v>
      </c>
      <c r="E4745">
        <v>-2.9023401751863021E-2</v>
      </c>
      <c r="F4745">
        <v>4742</v>
      </c>
      <c r="G4745">
        <f t="shared" ca="1" si="153"/>
        <v>-9.7427988514794152E-3</v>
      </c>
    </row>
    <row r="4746" spans="2:7" x14ac:dyDescent="0.35">
      <c r="B4746" s="2">
        <v>41117</v>
      </c>
      <c r="C4746" s="4">
        <v>90.94</v>
      </c>
      <c r="D4746">
        <f t="shared" si="152"/>
        <v>-0.90317600587715474</v>
      </c>
      <c r="E4746">
        <v>-2.9041212897715107E-2</v>
      </c>
      <c r="F4746">
        <v>4743</v>
      </c>
      <c r="G4746">
        <f t="shared" ca="1" si="153"/>
        <v>1.4773544497756533E-2</v>
      </c>
    </row>
    <row r="4747" spans="2:7" x14ac:dyDescent="0.35">
      <c r="B4747" s="2">
        <v>42409</v>
      </c>
      <c r="C4747" s="4">
        <v>939.23</v>
      </c>
      <c r="D4747">
        <f t="shared" si="152"/>
        <v>38.199916527545909</v>
      </c>
      <c r="E4747">
        <v>-2.9069106321393479E-2</v>
      </c>
      <c r="F4747">
        <v>4744</v>
      </c>
      <c r="G4747">
        <f t="shared" ca="1" si="153"/>
        <v>-2.7565480142845881E-2</v>
      </c>
    </row>
    <row r="4748" spans="2:7" x14ac:dyDescent="0.35">
      <c r="B4748" s="2">
        <v>37662</v>
      </c>
      <c r="C4748" s="4">
        <v>23.96</v>
      </c>
      <c r="D4748">
        <f t="shared" si="152"/>
        <v>-0.70840939515638313</v>
      </c>
      <c r="E4748">
        <v>-2.9173419773095621E-2</v>
      </c>
      <c r="F4748">
        <v>4745</v>
      </c>
      <c r="G4748">
        <f t="shared" ca="1" si="153"/>
        <v>4.1604681504054851E-2</v>
      </c>
    </row>
    <row r="4749" spans="2:7" x14ac:dyDescent="0.35">
      <c r="B4749" s="2">
        <v>41334</v>
      </c>
      <c r="C4749" s="4">
        <v>82.17</v>
      </c>
      <c r="D4749">
        <f t="shared" si="152"/>
        <v>-0.26324755671119882</v>
      </c>
      <c r="E4749">
        <v>-2.9182419659735337E-2</v>
      </c>
      <c r="F4749">
        <v>4746</v>
      </c>
      <c r="G4749">
        <f t="shared" ca="1" si="153"/>
        <v>4.4753525507535844E-3</v>
      </c>
    </row>
    <row r="4750" spans="2:7" x14ac:dyDescent="0.35">
      <c r="B4750" s="2">
        <v>40302</v>
      </c>
      <c r="C4750" s="4">
        <v>111.53</v>
      </c>
      <c r="D4750">
        <f t="shared" si="152"/>
        <v>-8.694228407695459E-2</v>
      </c>
      <c r="E4750">
        <v>-2.9245365131865264E-2</v>
      </c>
      <c r="F4750">
        <v>4747</v>
      </c>
      <c r="G4750">
        <f t="shared" ca="1" si="153"/>
        <v>-2.552206282329416E-2</v>
      </c>
    </row>
    <row r="4751" spans="2:7" x14ac:dyDescent="0.35">
      <c r="B4751" s="2">
        <v>40197</v>
      </c>
      <c r="C4751" s="4">
        <v>122.15</v>
      </c>
      <c r="D4751">
        <f t="shared" si="152"/>
        <v>-0.85509223560116254</v>
      </c>
      <c r="E4751">
        <v>-2.9322949777495166E-2</v>
      </c>
      <c r="F4751">
        <v>4748</v>
      </c>
      <c r="G4751">
        <f t="shared" ca="1" si="153"/>
        <v>9.3922465580692643E-3</v>
      </c>
    </row>
    <row r="4752" spans="2:7" x14ac:dyDescent="0.35">
      <c r="B4752" s="2">
        <v>42458</v>
      </c>
      <c r="C4752" s="4">
        <v>842.95</v>
      </c>
      <c r="D4752">
        <f t="shared" si="152"/>
        <v>8.8349084120872714</v>
      </c>
      <c r="E4752">
        <v>-2.9329126459547106E-2</v>
      </c>
      <c r="F4752">
        <v>4749</v>
      </c>
      <c r="G4752">
        <f t="shared" ca="1" si="153"/>
        <v>-4.7132052142410043E-2</v>
      </c>
    </row>
    <row r="4753" spans="2:7" x14ac:dyDescent="0.35">
      <c r="B4753" s="2">
        <v>40151</v>
      </c>
      <c r="C4753" s="4">
        <v>85.71</v>
      </c>
      <c r="D4753">
        <f t="shared" si="152"/>
        <v>2.6590010779734108E-2</v>
      </c>
      <c r="E4753">
        <v>-2.9331823329558415E-2</v>
      </c>
      <c r="F4753">
        <v>4750</v>
      </c>
      <c r="G4753">
        <f t="shared" ca="1" si="153"/>
        <v>-3.3450670529272974E-2</v>
      </c>
    </row>
    <row r="4754" spans="2:7" x14ac:dyDescent="0.35">
      <c r="B4754" s="2">
        <v>41355</v>
      </c>
      <c r="C4754" s="4">
        <v>83.49</v>
      </c>
      <c r="D4754">
        <f t="shared" si="152"/>
        <v>0.24148698884758346</v>
      </c>
      <c r="E4754">
        <v>-2.9411764705882359E-2</v>
      </c>
      <c r="F4754">
        <v>4751</v>
      </c>
      <c r="G4754">
        <f t="shared" ca="1" si="153"/>
        <v>1.9867771254956736E-2</v>
      </c>
    </row>
    <row r="4755" spans="2:7" x14ac:dyDescent="0.35">
      <c r="B4755" s="2">
        <v>38828</v>
      </c>
      <c r="C4755" s="4">
        <v>67.25</v>
      </c>
      <c r="D4755">
        <f t="shared" si="152"/>
        <v>-5.9045753462991457E-2</v>
      </c>
      <c r="E4755">
        <v>-2.9441477846731234E-2</v>
      </c>
      <c r="F4755">
        <v>4752</v>
      </c>
      <c r="G4755">
        <f t="shared" ca="1" si="153"/>
        <v>1.4238989776062192E-2</v>
      </c>
    </row>
    <row r="4756" spans="2:7" x14ac:dyDescent="0.35">
      <c r="B4756" s="2">
        <v>39510</v>
      </c>
      <c r="C4756" s="4">
        <v>71.47</v>
      </c>
      <c r="D4756">
        <f t="shared" si="152"/>
        <v>-0.31679571742663226</v>
      </c>
      <c r="E4756">
        <v>-2.9467680608365021E-2</v>
      </c>
      <c r="F4756">
        <v>4753</v>
      </c>
      <c r="G4756">
        <f t="shared" ca="1" si="153"/>
        <v>4.1072379123792491E-3</v>
      </c>
    </row>
    <row r="4757" spans="2:7" x14ac:dyDescent="0.35">
      <c r="B4757" s="2">
        <v>40571</v>
      </c>
      <c r="C4757" s="4">
        <v>104.61</v>
      </c>
      <c r="D4757">
        <f t="shared" si="152"/>
        <v>2.325174825174825</v>
      </c>
      <c r="E4757">
        <v>-2.9591836734693899E-2</v>
      </c>
      <c r="F4757">
        <v>4754</v>
      </c>
      <c r="G4757">
        <f t="shared" ca="1" si="153"/>
        <v>-8.43555750171879E-4</v>
      </c>
    </row>
    <row r="4758" spans="2:7" x14ac:dyDescent="0.35">
      <c r="B4758" s="2">
        <v>39864</v>
      </c>
      <c r="C4758" s="4">
        <v>31.46</v>
      </c>
      <c r="D4758">
        <f t="shared" si="152"/>
        <v>-0.94764781255720298</v>
      </c>
      <c r="E4758">
        <v>-2.9611351017890253E-2</v>
      </c>
      <c r="F4758">
        <v>4755</v>
      </c>
      <c r="G4758">
        <f t="shared" ca="1" si="153"/>
        <v>-2.1971968343479052E-3</v>
      </c>
    </row>
    <row r="4759" spans="2:7" x14ac:dyDescent="0.35">
      <c r="B4759" s="2">
        <v>43748</v>
      </c>
      <c r="C4759" s="4">
        <v>600.92999999999995</v>
      </c>
      <c r="D4759">
        <f t="shared" si="152"/>
        <v>4.8966735354724751</v>
      </c>
      <c r="E4759">
        <v>-2.9631184601472738E-2</v>
      </c>
      <c r="F4759">
        <v>4756</v>
      </c>
      <c r="G4759">
        <f t="shared" ca="1" si="153"/>
        <v>6.8834761001019904E-3</v>
      </c>
    </row>
    <row r="4760" spans="2:7" x14ac:dyDescent="0.35">
      <c r="B4760" s="2">
        <v>41246</v>
      </c>
      <c r="C4760" s="4">
        <v>101.91</v>
      </c>
      <c r="D4760">
        <f t="shared" si="152"/>
        <v>0.18887074195053666</v>
      </c>
      <c r="E4760">
        <v>-2.9705798343330536E-2</v>
      </c>
      <c r="F4760">
        <v>4757</v>
      </c>
      <c r="G4760">
        <f t="shared" ca="1" si="153"/>
        <v>5.525576627900779E-3</v>
      </c>
    </row>
    <row r="4761" spans="2:7" x14ac:dyDescent="0.35">
      <c r="B4761" s="2">
        <v>39407</v>
      </c>
      <c r="C4761" s="4">
        <v>85.72</v>
      </c>
      <c r="D4761">
        <f t="shared" si="152"/>
        <v>0.62625687725289314</v>
      </c>
      <c r="E4761">
        <v>-2.9767968307866433E-2</v>
      </c>
      <c r="F4761">
        <v>4758</v>
      </c>
      <c r="G4761">
        <f t="shared" ca="1" si="153"/>
        <v>1.2168357775972211E-2</v>
      </c>
    </row>
    <row r="4762" spans="2:7" x14ac:dyDescent="0.35">
      <c r="B4762" s="2">
        <v>38272</v>
      </c>
      <c r="C4762" s="4">
        <v>52.71</v>
      </c>
      <c r="D4762">
        <f t="shared" si="152"/>
        <v>-0.99075846833578796</v>
      </c>
      <c r="E4762">
        <v>-2.9817780231916058E-2</v>
      </c>
      <c r="F4762">
        <v>4759</v>
      </c>
      <c r="G4762">
        <f t="shared" ca="1" si="153"/>
        <v>2.5063189216142225E-2</v>
      </c>
    </row>
    <row r="4763" spans="2:7" x14ac:dyDescent="0.35">
      <c r="B4763" s="2">
        <v>44547</v>
      </c>
      <c r="C4763" s="4">
        <v>5703.6</v>
      </c>
      <c r="D4763">
        <f t="shared" si="152"/>
        <v>1.1569984456722753</v>
      </c>
      <c r="E4763">
        <v>-2.9828405024017846E-2</v>
      </c>
      <c r="F4763">
        <v>4760</v>
      </c>
      <c r="G4763">
        <f t="shared" ca="1" si="153"/>
        <v>-2.0021916528344012E-2</v>
      </c>
    </row>
    <row r="4764" spans="2:7" x14ac:dyDescent="0.35">
      <c r="B4764" s="2">
        <v>44273</v>
      </c>
      <c r="C4764" s="4">
        <v>2644.23</v>
      </c>
      <c r="D4764">
        <f t="shared" si="152"/>
        <v>1.0437229002264594</v>
      </c>
      <c r="E4764">
        <v>-2.9832620324779624E-2</v>
      </c>
      <c r="F4764">
        <v>4761</v>
      </c>
      <c r="G4764">
        <f t="shared" ca="1" si="153"/>
        <v>-3.661656874188535E-3</v>
      </c>
    </row>
    <row r="4765" spans="2:7" x14ac:dyDescent="0.35">
      <c r="B4765" s="2">
        <v>43300</v>
      </c>
      <c r="C4765" s="4">
        <v>1293.83</v>
      </c>
      <c r="D4765">
        <f t="shared" si="152"/>
        <v>11.91763178913738</v>
      </c>
      <c r="E4765">
        <v>-2.9923373371121831E-2</v>
      </c>
      <c r="F4765">
        <v>4762</v>
      </c>
      <c r="G4765">
        <f t="shared" ca="1" si="153"/>
        <v>-1.2208111447017536E-2</v>
      </c>
    </row>
    <row r="4766" spans="2:7" x14ac:dyDescent="0.35">
      <c r="B4766" s="2">
        <v>40330</v>
      </c>
      <c r="C4766" s="4">
        <v>100.16</v>
      </c>
      <c r="D4766">
        <f t="shared" si="152"/>
        <v>-0.80191832295065757</v>
      </c>
      <c r="E4766">
        <v>-2.992736077481839E-2</v>
      </c>
      <c r="F4766">
        <v>4763</v>
      </c>
      <c r="G4766">
        <f t="shared" ca="1" si="153"/>
        <v>4.1601464750897236E-3</v>
      </c>
    </row>
    <row r="4767" spans="2:7" x14ac:dyDescent="0.35">
      <c r="B4767" s="2">
        <v>42117</v>
      </c>
      <c r="C4767" s="4">
        <v>505.65</v>
      </c>
      <c r="D4767">
        <f t="shared" si="152"/>
        <v>-0.8212366541752103</v>
      </c>
      <c r="E4767">
        <v>-2.9928057553956888E-2</v>
      </c>
      <c r="F4767">
        <v>4764</v>
      </c>
      <c r="G4767">
        <f t="shared" ca="1" si="153"/>
        <v>-2.4510446100015962E-2</v>
      </c>
    </row>
    <row r="4768" spans="2:7" x14ac:dyDescent="0.35">
      <c r="B4768" s="2">
        <v>44229</v>
      </c>
      <c r="C4768" s="4">
        <v>2828.6</v>
      </c>
      <c r="D4768">
        <f t="shared" si="152"/>
        <v>26.467469411536218</v>
      </c>
      <c r="E4768">
        <v>-3.0039091969000675E-2</v>
      </c>
      <c r="F4768">
        <v>4765</v>
      </c>
      <c r="G4768">
        <f t="shared" ca="1" si="153"/>
        <v>2.1094003424551991E-2</v>
      </c>
    </row>
    <row r="4769" spans="2:7" x14ac:dyDescent="0.35">
      <c r="B4769" s="2">
        <v>40214</v>
      </c>
      <c r="C4769" s="4">
        <v>102.98</v>
      </c>
      <c r="D4769">
        <f t="shared" si="152"/>
        <v>0.52698695136417562</v>
      </c>
      <c r="E4769">
        <v>-3.0046152397098957E-2</v>
      </c>
      <c r="F4769">
        <v>4766</v>
      </c>
      <c r="G4769">
        <f t="shared" ca="1" si="153"/>
        <v>6.1999235940875023E-2</v>
      </c>
    </row>
    <row r="4770" spans="2:7" x14ac:dyDescent="0.35">
      <c r="B4770" s="2">
        <v>38663</v>
      </c>
      <c r="C4770" s="4">
        <v>67.44</v>
      </c>
      <c r="D4770">
        <f t="shared" si="152"/>
        <v>1.2235410484668647</v>
      </c>
      <c r="E4770">
        <v>-3.0058967352222132E-2</v>
      </c>
      <c r="F4770">
        <v>4767</v>
      </c>
      <c r="G4770">
        <f t="shared" ca="1" si="153"/>
        <v>-3.5622467742152221E-3</v>
      </c>
    </row>
    <row r="4771" spans="2:7" x14ac:dyDescent="0.35">
      <c r="B4771" s="2">
        <v>37606</v>
      </c>
      <c r="C4771" s="4">
        <v>30.33</v>
      </c>
      <c r="D4771">
        <f t="shared" si="152"/>
        <v>-0.68237511781338367</v>
      </c>
      <c r="E4771">
        <v>-3.0060761112887802E-2</v>
      </c>
      <c r="F4771">
        <v>4768</v>
      </c>
      <c r="G4771">
        <f t="shared" ca="1" si="153"/>
        <v>-1.0793859584641097E-2</v>
      </c>
    </row>
    <row r="4772" spans="2:7" x14ac:dyDescent="0.35">
      <c r="B4772" s="2">
        <v>40609</v>
      </c>
      <c r="C4772" s="4">
        <v>95.49</v>
      </c>
      <c r="D4772">
        <f t="shared" si="152"/>
        <v>-6.611246943765281E-2</v>
      </c>
      <c r="E4772">
        <v>-3.0066023362112837E-2</v>
      </c>
      <c r="F4772">
        <v>4769</v>
      </c>
      <c r="G4772">
        <f t="shared" ca="1" si="153"/>
        <v>2.4694138530526107E-2</v>
      </c>
    </row>
    <row r="4773" spans="2:7" x14ac:dyDescent="0.35">
      <c r="B4773" s="2">
        <v>40749</v>
      </c>
      <c r="C4773" s="4">
        <v>102.25</v>
      </c>
      <c r="D4773">
        <f t="shared" si="152"/>
        <v>-0.87476115819901035</v>
      </c>
      <c r="E4773">
        <v>-3.0070195408840816E-2</v>
      </c>
      <c r="F4773">
        <v>4770</v>
      </c>
      <c r="G4773">
        <f t="shared" ca="1" si="153"/>
        <v>9.7692724346371516E-3</v>
      </c>
    </row>
    <row r="4774" spans="2:7" x14ac:dyDescent="0.35">
      <c r="B4774" s="2">
        <v>42514</v>
      </c>
      <c r="C4774" s="4">
        <v>816.44</v>
      </c>
      <c r="D4774">
        <f t="shared" si="152"/>
        <v>0.35785919803083477</v>
      </c>
      <c r="E4774">
        <v>-3.0102877236332426E-2</v>
      </c>
      <c r="F4774">
        <v>4771</v>
      </c>
      <c r="G4774">
        <f t="shared" ca="1" si="153"/>
        <v>3.3158484961503087E-2</v>
      </c>
    </row>
    <row r="4775" spans="2:7" x14ac:dyDescent="0.35">
      <c r="B4775" s="2">
        <v>43676</v>
      </c>
      <c r="C4775" s="4">
        <v>601.27</v>
      </c>
      <c r="D4775">
        <f t="shared" si="152"/>
        <v>-0.34648827250396708</v>
      </c>
      <c r="E4775">
        <v>-3.0147106264920454E-2</v>
      </c>
      <c r="F4775">
        <v>4772</v>
      </c>
      <c r="G4775">
        <f t="shared" ca="1" si="153"/>
        <v>-1.4213769602071151E-2</v>
      </c>
    </row>
    <row r="4776" spans="2:7" x14ac:dyDescent="0.35">
      <c r="B4776" s="2">
        <v>43444</v>
      </c>
      <c r="C4776" s="4">
        <v>920.06</v>
      </c>
      <c r="D4776">
        <f t="shared" si="152"/>
        <v>12.771291722795988</v>
      </c>
      <c r="E4776">
        <v>-3.0311334078118146E-2</v>
      </c>
      <c r="F4776">
        <v>4773</v>
      </c>
      <c r="G4776">
        <f t="shared" ca="1" si="153"/>
        <v>1.1119150568185519E-2</v>
      </c>
    </row>
    <row r="4777" spans="2:7" x14ac:dyDescent="0.35">
      <c r="B4777" s="2">
        <v>38819</v>
      </c>
      <c r="C4777" s="4">
        <v>66.81</v>
      </c>
      <c r="D4777">
        <f t="shared" si="152"/>
        <v>0.67275913870806225</v>
      </c>
      <c r="E4777">
        <v>-3.0333817126270035E-2</v>
      </c>
      <c r="F4777">
        <v>4774</v>
      </c>
      <c r="G4777">
        <f t="shared" ca="1" si="153"/>
        <v>-2.3734542053296226E-2</v>
      </c>
    </row>
    <row r="4778" spans="2:7" x14ac:dyDescent="0.35">
      <c r="B4778" s="2">
        <v>38201</v>
      </c>
      <c r="C4778" s="4">
        <v>39.94</v>
      </c>
      <c r="D4778">
        <f t="shared" si="152"/>
        <v>0.37392500859993105</v>
      </c>
      <c r="E4778">
        <v>-3.0347171643602788E-2</v>
      </c>
      <c r="F4778">
        <v>4775</v>
      </c>
      <c r="G4778">
        <f t="shared" ca="1" si="153"/>
        <v>5.3750821631687304E-2</v>
      </c>
    </row>
    <row r="4779" spans="2:7" x14ac:dyDescent="0.35">
      <c r="B4779" s="2">
        <v>37627</v>
      </c>
      <c r="C4779" s="4">
        <v>29.07</v>
      </c>
      <c r="D4779">
        <f t="shared" si="152"/>
        <v>-0.67259826557044722</v>
      </c>
      <c r="E4779">
        <v>-3.0353569046030704E-2</v>
      </c>
      <c r="F4779">
        <v>4776</v>
      </c>
      <c r="G4779">
        <f t="shared" ca="1" si="153"/>
        <v>-1.4954078179989921E-4</v>
      </c>
    </row>
    <row r="4780" spans="2:7" x14ac:dyDescent="0.35">
      <c r="B4780" s="2">
        <v>39058</v>
      </c>
      <c r="C4780" s="4">
        <v>88.79</v>
      </c>
      <c r="D4780">
        <f t="shared" si="152"/>
        <v>1.7903834066624764</v>
      </c>
      <c r="E4780">
        <v>-3.0465167067045162E-2</v>
      </c>
      <c r="F4780">
        <v>4777</v>
      </c>
      <c r="G4780">
        <f t="shared" ca="1" si="153"/>
        <v>-2.1882617820294756E-2</v>
      </c>
    </row>
    <row r="4781" spans="2:7" x14ac:dyDescent="0.35">
      <c r="B4781" s="2">
        <v>38132</v>
      </c>
      <c r="C4781" s="4">
        <v>31.82</v>
      </c>
      <c r="D4781">
        <f t="shared" si="152"/>
        <v>-0.70029198455307529</v>
      </c>
      <c r="E4781">
        <v>-3.0469226081657474E-2</v>
      </c>
      <c r="F4781">
        <v>4778</v>
      </c>
      <c r="G4781">
        <f t="shared" ca="1" si="153"/>
        <v>2.2704891006842951E-2</v>
      </c>
    </row>
    <row r="4782" spans="2:7" x14ac:dyDescent="0.35">
      <c r="B4782" s="2">
        <v>40213</v>
      </c>
      <c r="C4782" s="4">
        <v>106.17</v>
      </c>
      <c r="D4782">
        <f t="shared" si="152"/>
        <v>-0.24728819567529248</v>
      </c>
      <c r="E4782">
        <v>-3.0499497762761396E-2</v>
      </c>
      <c r="F4782">
        <v>4779</v>
      </c>
      <c r="G4782">
        <f t="shared" ca="1" si="153"/>
        <v>1.0197534792849537E-2</v>
      </c>
    </row>
    <row r="4783" spans="2:7" x14ac:dyDescent="0.35">
      <c r="B4783" s="2">
        <v>41620</v>
      </c>
      <c r="C4783" s="4">
        <v>141.05000000000001</v>
      </c>
      <c r="D4783">
        <f t="shared" si="152"/>
        <v>-0.76899392390966115</v>
      </c>
      <c r="E4783">
        <v>-3.0517561344422295E-2</v>
      </c>
      <c r="F4783">
        <v>4780</v>
      </c>
      <c r="G4783">
        <f t="shared" ca="1" si="153"/>
        <v>-2.4521425517299196E-2</v>
      </c>
    </row>
    <row r="4784" spans="2:7" x14ac:dyDescent="0.35">
      <c r="B4784" s="2">
        <v>43706</v>
      </c>
      <c r="C4784" s="4">
        <v>610.59</v>
      </c>
      <c r="D4784">
        <f t="shared" si="152"/>
        <v>-0.43642354765464919</v>
      </c>
      <c r="E4784">
        <v>-3.0532533104696613E-2</v>
      </c>
      <c r="F4784">
        <v>4781</v>
      </c>
      <c r="G4784">
        <f t="shared" ca="1" si="153"/>
        <v>2.373490997617092E-2</v>
      </c>
    </row>
    <row r="4785" spans="2:7" x14ac:dyDescent="0.35">
      <c r="B4785" s="2">
        <v>43377</v>
      </c>
      <c r="C4785" s="4">
        <v>1083.42</v>
      </c>
      <c r="D4785">
        <f t="shared" si="152"/>
        <v>-0.61236377167309497</v>
      </c>
      <c r="E4785">
        <v>-3.0609414564748638E-2</v>
      </c>
      <c r="F4785">
        <v>4782</v>
      </c>
      <c r="G4785">
        <f t="shared" ca="1" si="153"/>
        <v>-2.1761898339185574E-2</v>
      </c>
    </row>
    <row r="4786" spans="2:7" x14ac:dyDescent="0.35">
      <c r="B4786" s="2">
        <v>44299</v>
      </c>
      <c r="C4786" s="4">
        <v>2794.94</v>
      </c>
      <c r="D4786">
        <f t="shared" si="152"/>
        <v>42.218493892067421</v>
      </c>
      <c r="E4786">
        <v>-3.0719398512928597E-2</v>
      </c>
      <c r="F4786">
        <v>4783</v>
      </c>
      <c r="G4786">
        <f t="shared" ca="1" si="153"/>
        <v>3.7937857516702964E-2</v>
      </c>
    </row>
    <row r="4787" spans="2:7" x14ac:dyDescent="0.35">
      <c r="B4787" s="2">
        <v>38747</v>
      </c>
      <c r="C4787" s="4">
        <v>64.67</v>
      </c>
      <c r="D4787">
        <f t="shared" si="152"/>
        <v>9.6287506357009667E-2</v>
      </c>
      <c r="E4787">
        <v>-3.0725419664268561E-2</v>
      </c>
      <c r="F4787">
        <v>4784</v>
      </c>
      <c r="G4787">
        <f t="shared" ca="1" si="153"/>
        <v>7.1291839504148647E-3</v>
      </c>
    </row>
    <row r="4788" spans="2:7" x14ac:dyDescent="0.35">
      <c r="B4788" s="2">
        <v>40032</v>
      </c>
      <c r="C4788" s="4">
        <v>58.99</v>
      </c>
      <c r="D4788">
        <f t="shared" si="152"/>
        <v>0.66968581941692618</v>
      </c>
      <c r="E4788">
        <v>-3.0726256983240163E-2</v>
      </c>
      <c r="F4788">
        <v>4785</v>
      </c>
      <c r="G4788">
        <f t="shared" ca="1" si="153"/>
        <v>1.2687214289496651E-2</v>
      </c>
    </row>
    <row r="4789" spans="2:7" x14ac:dyDescent="0.35">
      <c r="B4789" s="2">
        <v>38175</v>
      </c>
      <c r="C4789" s="4">
        <v>35.33</v>
      </c>
      <c r="D4789">
        <f t="shared" si="152"/>
        <v>-0.96190876648230206</v>
      </c>
      <c r="E4789">
        <v>-3.0727023319616076E-2</v>
      </c>
      <c r="F4789">
        <v>4786</v>
      </c>
      <c r="G4789">
        <f t="shared" ca="1" si="153"/>
        <v>2.4222419218175233E-2</v>
      </c>
    </row>
    <row r="4790" spans="2:7" x14ac:dyDescent="0.35">
      <c r="B4790" s="2">
        <v>43133</v>
      </c>
      <c r="C4790" s="4">
        <v>927.51</v>
      </c>
      <c r="D4790">
        <f t="shared" si="152"/>
        <v>28.185336689741973</v>
      </c>
      <c r="E4790">
        <v>-3.0794791949675049E-2</v>
      </c>
      <c r="F4790">
        <v>4787</v>
      </c>
      <c r="G4790">
        <f t="shared" ca="1" si="153"/>
        <v>2.6778742051048302E-2</v>
      </c>
    </row>
    <row r="4791" spans="2:7" x14ac:dyDescent="0.35">
      <c r="B4791" s="2">
        <v>37517</v>
      </c>
      <c r="C4791" s="4">
        <v>31.78</v>
      </c>
      <c r="D4791">
        <f t="shared" si="152"/>
        <v>-0.94594778467556762</v>
      </c>
      <c r="E4791">
        <v>-3.0802073802988605E-2</v>
      </c>
      <c r="F4791">
        <v>4788</v>
      </c>
      <c r="G4791">
        <f t="shared" ca="1" si="153"/>
        <v>7.9125136853791056E-4</v>
      </c>
    </row>
    <row r="4792" spans="2:7" x14ac:dyDescent="0.35">
      <c r="B4792" s="2">
        <v>42676</v>
      </c>
      <c r="C4792" s="4">
        <v>587.95000000000005</v>
      </c>
      <c r="D4792">
        <f t="shared" si="152"/>
        <v>8.0803088803088805</v>
      </c>
      <c r="E4792">
        <v>-3.0809046551496633E-2</v>
      </c>
      <c r="F4792">
        <v>4789</v>
      </c>
      <c r="G4792">
        <f t="shared" ca="1" si="153"/>
        <v>-1.977139960917567E-2</v>
      </c>
    </row>
    <row r="4793" spans="2:7" x14ac:dyDescent="0.35">
      <c r="B4793" s="2">
        <v>38820</v>
      </c>
      <c r="C4793" s="4">
        <v>64.75</v>
      </c>
      <c r="D4793">
        <f t="shared" si="152"/>
        <v>-0.91319560816698619</v>
      </c>
      <c r="E4793">
        <v>-3.0833707528813092E-2</v>
      </c>
      <c r="F4793">
        <v>4790</v>
      </c>
      <c r="G4793">
        <f t="shared" ca="1" si="153"/>
        <v>-1.253081027574033E-2</v>
      </c>
    </row>
    <row r="4794" spans="2:7" x14ac:dyDescent="0.35">
      <c r="B4794" s="2">
        <v>42576</v>
      </c>
      <c r="C4794" s="4">
        <v>745.93</v>
      </c>
      <c r="D4794">
        <f t="shared" si="152"/>
        <v>0.12503204983183269</v>
      </c>
      <c r="E4794">
        <v>-3.0894752569149531E-2</v>
      </c>
      <c r="F4794">
        <v>4791</v>
      </c>
      <c r="G4794">
        <f t="shared" ca="1" si="153"/>
        <v>2.3955490954889084E-2</v>
      </c>
    </row>
    <row r="4795" spans="2:7" x14ac:dyDescent="0.35">
      <c r="B4795" s="2">
        <v>42781</v>
      </c>
      <c r="C4795" s="4">
        <v>663.03</v>
      </c>
      <c r="D4795">
        <f t="shared" si="152"/>
        <v>6.3449651046859419</v>
      </c>
      <c r="E4795">
        <v>-3.0898753233845389E-2</v>
      </c>
      <c r="F4795">
        <v>4792</v>
      </c>
      <c r="G4795">
        <f t="shared" ca="1" si="153"/>
        <v>5.7630238129673271E-3</v>
      </c>
    </row>
    <row r="4796" spans="2:7" x14ac:dyDescent="0.35">
      <c r="B4796" s="2">
        <v>40962</v>
      </c>
      <c r="C4796" s="4">
        <v>90.27</v>
      </c>
      <c r="D4796">
        <f t="shared" si="152"/>
        <v>-0.98739986683807424</v>
      </c>
      <c r="E4796">
        <v>-3.0917874396135359E-2</v>
      </c>
      <c r="F4796">
        <v>4793</v>
      </c>
      <c r="G4796">
        <f t="shared" ca="1" si="153"/>
        <v>2.5690466412426737E-2</v>
      </c>
    </row>
    <row r="4797" spans="2:7" x14ac:dyDescent="0.35">
      <c r="B4797" s="2">
        <v>44582</v>
      </c>
      <c r="C4797" s="4">
        <v>7164.21</v>
      </c>
      <c r="D4797">
        <f t="shared" si="152"/>
        <v>7.8679135515175513</v>
      </c>
      <c r="E4797">
        <v>-3.0920625473433661E-2</v>
      </c>
      <c r="F4797">
        <v>4794</v>
      </c>
      <c r="G4797">
        <f t="shared" ca="1" si="153"/>
        <v>1.1842012582242429E-2</v>
      </c>
    </row>
    <row r="4798" spans="2:7" x14ac:dyDescent="0.35">
      <c r="B4798" s="2">
        <v>42313</v>
      </c>
      <c r="C4798" s="4">
        <v>807.88</v>
      </c>
      <c r="D4798">
        <f t="shared" si="152"/>
        <v>0.22394933793897542</v>
      </c>
      <c r="E4798">
        <v>-3.0923877839886704E-2</v>
      </c>
      <c r="F4798">
        <v>4795</v>
      </c>
      <c r="G4798">
        <f t="shared" ca="1" si="153"/>
        <v>7.1288301749047704E-3</v>
      </c>
    </row>
    <row r="4799" spans="2:7" x14ac:dyDescent="0.35">
      <c r="B4799" s="2">
        <v>43668</v>
      </c>
      <c r="C4799" s="4">
        <v>660.06</v>
      </c>
      <c r="D4799">
        <f t="shared" si="152"/>
        <v>-0.8961902125705371</v>
      </c>
      <c r="E4799">
        <v>-3.0948116393105685E-2</v>
      </c>
      <c r="F4799">
        <v>4796</v>
      </c>
      <c r="G4799">
        <f t="shared" ca="1" si="153"/>
        <v>6.5831954265432209E-3</v>
      </c>
    </row>
    <row r="4800" spans="2:7" x14ac:dyDescent="0.35">
      <c r="B4800" s="2">
        <v>44518</v>
      </c>
      <c r="C4800" s="4">
        <v>6358.36</v>
      </c>
      <c r="D4800">
        <f t="shared" si="152"/>
        <v>-0.17545970900225638</v>
      </c>
      <c r="E4800">
        <v>-3.0985967008449133E-2</v>
      </c>
      <c r="F4800">
        <v>4797</v>
      </c>
      <c r="G4800">
        <f t="shared" ca="1" si="153"/>
        <v>1.9377254833752054E-2</v>
      </c>
    </row>
    <row r="4801" spans="2:7" x14ac:dyDescent="0.35">
      <c r="B4801" s="2">
        <v>44755</v>
      </c>
      <c r="C4801" s="4">
        <v>7711.4</v>
      </c>
      <c r="D4801">
        <f t="shared" si="152"/>
        <v>96.823163770138265</v>
      </c>
      <c r="E4801">
        <v>-3.0987685348077498E-2</v>
      </c>
      <c r="F4801">
        <v>4798</v>
      </c>
      <c r="G4801">
        <f t="shared" ca="1" si="153"/>
        <v>-8.1849791779145726E-4</v>
      </c>
    </row>
    <row r="4802" spans="2:7" x14ac:dyDescent="0.35">
      <c r="B4802" s="2">
        <v>41520</v>
      </c>
      <c r="C4802" s="4">
        <v>78.83</v>
      </c>
      <c r="D4802">
        <f t="shared" si="152"/>
        <v>-0.71698858332734972</v>
      </c>
      <c r="E4802">
        <v>-3.1096361848574228E-2</v>
      </c>
      <c r="F4802">
        <v>4799</v>
      </c>
      <c r="G4802">
        <f t="shared" ca="1" si="153"/>
        <v>2.1538530321327881E-2</v>
      </c>
    </row>
    <row r="4803" spans="2:7" x14ac:dyDescent="0.35">
      <c r="B4803" s="2">
        <v>41978</v>
      </c>
      <c r="C4803" s="4">
        <v>278.54000000000002</v>
      </c>
      <c r="D4803">
        <f t="shared" si="152"/>
        <v>1.9902308105206656</v>
      </c>
      <c r="E4803">
        <v>-3.1131517618004034E-2</v>
      </c>
      <c r="F4803">
        <v>4800</v>
      </c>
      <c r="G4803">
        <f t="shared" ca="1" si="153"/>
        <v>3.6551388237913124E-2</v>
      </c>
    </row>
    <row r="4804" spans="2:7" x14ac:dyDescent="0.35">
      <c r="B4804" s="2">
        <v>40961</v>
      </c>
      <c r="C4804" s="4">
        <v>93.15</v>
      </c>
      <c r="D4804">
        <f t="shared" ref="D4804:D4867" si="154">C4804/C4805-1</f>
        <v>-0.98840808037064276</v>
      </c>
      <c r="E4804">
        <v>-3.120124804992197E-2</v>
      </c>
      <c r="F4804">
        <v>4801</v>
      </c>
      <c r="G4804">
        <f t="shared" ca="1" si="153"/>
        <v>8.4302471523455796E-2</v>
      </c>
    </row>
    <row r="4805" spans="2:7" x14ac:dyDescent="0.35">
      <c r="B4805" s="2">
        <v>44711</v>
      </c>
      <c r="C4805" s="4">
        <v>8035.77</v>
      </c>
      <c r="D4805">
        <f t="shared" si="154"/>
        <v>86.468923478828785</v>
      </c>
      <c r="E4805">
        <v>-3.1210479043720873E-2</v>
      </c>
      <c r="F4805">
        <v>4802</v>
      </c>
      <c r="G4805">
        <f t="shared" ref="G4805:G4868" ca="1" si="155">_xlfn.NORM.INV(RAND(),K$6,K$7)</f>
        <v>-3.6954883792499026E-2</v>
      </c>
    </row>
    <row r="4806" spans="2:7" x14ac:dyDescent="0.35">
      <c r="B4806" s="2">
        <v>40858</v>
      </c>
      <c r="C4806" s="4">
        <v>91.87</v>
      </c>
      <c r="D4806">
        <f t="shared" si="154"/>
        <v>-7.9827724358974339E-2</v>
      </c>
      <c r="E4806">
        <v>-3.1213750922703731E-2</v>
      </c>
      <c r="F4806">
        <v>4803</v>
      </c>
      <c r="G4806">
        <f t="shared" ca="1" si="155"/>
        <v>-7.879921959350342E-3</v>
      </c>
    </row>
    <row r="4807" spans="2:7" x14ac:dyDescent="0.35">
      <c r="B4807" s="2">
        <v>40709</v>
      </c>
      <c r="C4807" s="4">
        <v>99.84</v>
      </c>
      <c r="D4807">
        <f t="shared" si="154"/>
        <v>3.517941501658628E-3</v>
      </c>
      <c r="E4807">
        <v>-3.1337925681575562E-2</v>
      </c>
      <c r="F4807">
        <v>4804</v>
      </c>
      <c r="G4807">
        <f t="shared" ca="1" si="155"/>
        <v>1.2272225493203634E-2</v>
      </c>
    </row>
    <row r="4808" spans="2:7" x14ac:dyDescent="0.35">
      <c r="B4808" s="2">
        <v>41250</v>
      </c>
      <c r="C4808" s="4">
        <v>99.49</v>
      </c>
      <c r="D4808">
        <f t="shared" si="154"/>
        <v>-0.8954497688104246</v>
      </c>
      <c r="E4808">
        <v>-3.1350404050238478E-2</v>
      </c>
      <c r="F4808">
        <v>4805</v>
      </c>
      <c r="G4808">
        <f t="shared" ca="1" si="155"/>
        <v>-2.2551845172879576E-3</v>
      </c>
    </row>
    <row r="4809" spans="2:7" x14ac:dyDescent="0.35">
      <c r="B4809" s="2">
        <v>43440</v>
      </c>
      <c r="C4809" s="4">
        <v>951.6</v>
      </c>
      <c r="D4809">
        <f t="shared" si="154"/>
        <v>1.4812681959241125E-2</v>
      </c>
      <c r="E4809">
        <v>-3.1371511166303545E-2</v>
      </c>
      <c r="F4809">
        <v>4806</v>
      </c>
      <c r="G4809">
        <f t="shared" ca="1" si="155"/>
        <v>-1.4840463144376445E-4</v>
      </c>
    </row>
    <row r="4810" spans="2:7" x14ac:dyDescent="0.35">
      <c r="B4810" s="2">
        <v>43416</v>
      </c>
      <c r="C4810" s="4">
        <v>937.71</v>
      </c>
      <c r="D4810">
        <f t="shared" si="154"/>
        <v>34.41200906344411</v>
      </c>
      <c r="E4810">
        <v>-3.1401390337874813E-2</v>
      </c>
      <c r="F4810">
        <v>4807</v>
      </c>
      <c r="G4810">
        <f t="shared" ca="1" si="155"/>
        <v>8.3745504167549254E-3</v>
      </c>
    </row>
    <row r="4811" spans="2:7" x14ac:dyDescent="0.35">
      <c r="B4811" s="2">
        <v>37811</v>
      </c>
      <c r="C4811" s="4">
        <v>26.48</v>
      </c>
      <c r="D4811">
        <f t="shared" si="154"/>
        <v>-0.56468847608088113</v>
      </c>
      <c r="E4811">
        <v>-3.1455742501828809E-2</v>
      </c>
      <c r="F4811">
        <v>4808</v>
      </c>
      <c r="G4811">
        <f t="shared" ca="1" si="155"/>
        <v>2.5773633366017165E-2</v>
      </c>
    </row>
    <row r="4812" spans="2:7" x14ac:dyDescent="0.35">
      <c r="B4812" s="2">
        <v>38932</v>
      </c>
      <c r="C4812" s="4">
        <v>60.83</v>
      </c>
      <c r="D4812">
        <f t="shared" si="154"/>
        <v>1.2604979561501302</v>
      </c>
      <c r="E4812">
        <v>-3.1523642732049106E-2</v>
      </c>
      <c r="F4812">
        <v>4809</v>
      </c>
      <c r="G4812">
        <f t="shared" ca="1" si="155"/>
        <v>1.0470193472816981E-2</v>
      </c>
    </row>
    <row r="4813" spans="2:7" x14ac:dyDescent="0.35">
      <c r="B4813" s="2">
        <v>37557</v>
      </c>
      <c r="C4813" s="4">
        <v>26.91</v>
      </c>
      <c r="D4813">
        <f t="shared" si="154"/>
        <v>-0.72027027027027035</v>
      </c>
      <c r="E4813">
        <v>-3.1666066930550518E-2</v>
      </c>
      <c r="F4813">
        <v>4810</v>
      </c>
      <c r="G4813">
        <f t="shared" ca="1" si="155"/>
        <v>1.2440577149722644E-2</v>
      </c>
    </row>
    <row r="4814" spans="2:7" x14ac:dyDescent="0.35">
      <c r="B4814" s="2">
        <v>40420</v>
      </c>
      <c r="C4814" s="4">
        <v>96.2</v>
      </c>
      <c r="D4814">
        <f t="shared" si="154"/>
        <v>0.3077759651984775</v>
      </c>
      <c r="E4814">
        <v>-3.1706089582284713E-2</v>
      </c>
      <c r="F4814">
        <v>4811</v>
      </c>
      <c r="G4814">
        <f t="shared" ca="1" si="155"/>
        <v>-5.7091904673446372E-3</v>
      </c>
    </row>
    <row r="4815" spans="2:7" x14ac:dyDescent="0.35">
      <c r="B4815" s="2">
        <v>38616</v>
      </c>
      <c r="C4815" s="4">
        <v>73.56</v>
      </c>
      <c r="D4815">
        <f t="shared" si="154"/>
        <v>0.93528018942383606</v>
      </c>
      <c r="E4815">
        <v>-3.1723048571804635E-2</v>
      </c>
      <c r="F4815">
        <v>4812</v>
      </c>
      <c r="G4815">
        <f t="shared" ca="1" si="155"/>
        <v>-1.2320378833208547E-2</v>
      </c>
    </row>
    <row r="4816" spans="2:7" x14ac:dyDescent="0.35">
      <c r="B4816" s="2">
        <v>39736</v>
      </c>
      <c r="C4816" s="4">
        <v>38.01</v>
      </c>
      <c r="D4816">
        <f t="shared" si="154"/>
        <v>-0.9959343245266874</v>
      </c>
      <c r="E4816">
        <v>-3.1839021905247122E-2</v>
      </c>
      <c r="F4816">
        <v>4813</v>
      </c>
      <c r="G4816">
        <f t="shared" ca="1" si="155"/>
        <v>-8.1573810432117293E-3</v>
      </c>
    </row>
    <row r="4817" spans="2:7" x14ac:dyDescent="0.35">
      <c r="B4817" s="2">
        <v>44799</v>
      </c>
      <c r="C4817" s="4">
        <v>9349</v>
      </c>
      <c r="D4817">
        <f t="shared" si="154"/>
        <v>80.168605660704984</v>
      </c>
      <c r="E4817">
        <v>-3.1853861607605172E-2</v>
      </c>
      <c r="F4817">
        <v>4814</v>
      </c>
      <c r="G4817">
        <f t="shared" ca="1" si="155"/>
        <v>3.5666628934056074E-2</v>
      </c>
    </row>
    <row r="4818" spans="2:7" x14ac:dyDescent="0.35">
      <c r="B4818" s="2">
        <v>40478</v>
      </c>
      <c r="C4818" s="4">
        <v>115.18</v>
      </c>
      <c r="D4818">
        <f t="shared" si="154"/>
        <v>0.36956004756242589</v>
      </c>
      <c r="E4818">
        <v>-3.1856770614440588E-2</v>
      </c>
      <c r="F4818">
        <v>4815</v>
      </c>
      <c r="G4818">
        <f t="shared" ca="1" si="155"/>
        <v>-1.96467783789381E-2</v>
      </c>
    </row>
    <row r="4819" spans="2:7" x14ac:dyDescent="0.35">
      <c r="B4819" s="2">
        <v>41386</v>
      </c>
      <c r="C4819" s="4">
        <v>84.1</v>
      </c>
      <c r="D4819">
        <f t="shared" si="154"/>
        <v>-2.0954598370198085E-2</v>
      </c>
      <c r="E4819">
        <v>-3.1886727293657269E-2</v>
      </c>
      <c r="F4819">
        <v>4816</v>
      </c>
      <c r="G4819">
        <f t="shared" ca="1" si="155"/>
        <v>-1.6608872413321513E-2</v>
      </c>
    </row>
    <row r="4820" spans="2:7" x14ac:dyDescent="0.35">
      <c r="B4820" s="2">
        <v>40966</v>
      </c>
      <c r="C4820" s="4">
        <v>85.9</v>
      </c>
      <c r="D4820">
        <f t="shared" si="154"/>
        <v>-0.68158060570115286</v>
      </c>
      <c r="E4820">
        <v>-3.2003606040117094E-2</v>
      </c>
      <c r="F4820">
        <v>4817</v>
      </c>
      <c r="G4820">
        <f t="shared" ca="1" si="155"/>
        <v>1.5941530398913904E-2</v>
      </c>
    </row>
    <row r="4821" spans="2:7" x14ac:dyDescent="0.35">
      <c r="B4821" s="2">
        <v>41928</v>
      </c>
      <c r="C4821" s="4">
        <v>269.77</v>
      </c>
      <c r="D4821">
        <f t="shared" si="154"/>
        <v>-0.65910153535098259</v>
      </c>
      <c r="E4821">
        <v>-3.2111079219288352E-2</v>
      </c>
      <c r="F4821">
        <v>4818</v>
      </c>
      <c r="G4821">
        <f t="shared" ca="1" si="155"/>
        <v>-7.9566932119911945E-3</v>
      </c>
    </row>
    <row r="4822" spans="2:7" x14ac:dyDescent="0.35">
      <c r="B4822" s="2">
        <v>43825</v>
      </c>
      <c r="C4822" s="4">
        <v>791.35</v>
      </c>
      <c r="D4822">
        <f t="shared" si="154"/>
        <v>6.3016239158516338</v>
      </c>
      <c r="E4822">
        <v>-3.2129840268095178E-2</v>
      </c>
      <c r="F4822">
        <v>4819</v>
      </c>
      <c r="G4822">
        <f t="shared" ca="1" si="155"/>
        <v>3.3587550079787636E-2</v>
      </c>
    </row>
    <row r="4823" spans="2:7" x14ac:dyDescent="0.35">
      <c r="B4823" s="2">
        <v>40305</v>
      </c>
      <c r="C4823" s="4">
        <v>108.38</v>
      </c>
      <c r="D4823">
        <f t="shared" si="154"/>
        <v>-0.12448501494466446</v>
      </c>
      <c r="E4823">
        <v>-3.2148597963922221E-2</v>
      </c>
      <c r="F4823">
        <v>4820</v>
      </c>
      <c r="G4823">
        <f t="shared" ca="1" si="155"/>
        <v>-3.4842406809108467E-2</v>
      </c>
    </row>
    <row r="4824" spans="2:7" x14ac:dyDescent="0.35">
      <c r="B4824" s="2">
        <v>40548</v>
      </c>
      <c r="C4824" s="4">
        <v>123.79</v>
      </c>
      <c r="D4824">
        <f t="shared" si="154"/>
        <v>2.0170606873019743</v>
      </c>
      <c r="E4824">
        <v>-3.2285803627266962E-2</v>
      </c>
      <c r="F4824">
        <v>4821</v>
      </c>
      <c r="G4824">
        <f t="shared" ca="1" si="155"/>
        <v>-3.5317139151497005E-3</v>
      </c>
    </row>
    <row r="4825" spans="2:7" x14ac:dyDescent="0.35">
      <c r="B4825" s="2">
        <v>37446</v>
      </c>
      <c r="C4825" s="4">
        <v>41.03</v>
      </c>
      <c r="D4825">
        <f t="shared" si="154"/>
        <v>0.38568051334008779</v>
      </c>
      <c r="E4825">
        <v>-3.2311320754716877E-2</v>
      </c>
      <c r="F4825">
        <v>4822</v>
      </c>
      <c r="G4825">
        <f t="shared" ca="1" si="155"/>
        <v>4.8801104443874588E-2</v>
      </c>
    </row>
    <row r="4826" spans="2:7" x14ac:dyDescent="0.35">
      <c r="B4826" s="2">
        <v>37529</v>
      </c>
      <c r="C4826" s="4">
        <v>29.61</v>
      </c>
      <c r="D4826">
        <f t="shared" si="154"/>
        <v>6.5491183879093251E-2</v>
      </c>
      <c r="E4826">
        <v>-3.2352941176470695E-2</v>
      </c>
      <c r="F4826">
        <v>4823</v>
      </c>
      <c r="G4826">
        <f t="shared" ca="1" si="155"/>
        <v>-1.9614594022146818E-2</v>
      </c>
    </row>
    <row r="4827" spans="2:7" x14ac:dyDescent="0.35">
      <c r="B4827" s="2">
        <v>37554</v>
      </c>
      <c r="C4827" s="4">
        <v>27.79</v>
      </c>
      <c r="D4827">
        <f t="shared" si="154"/>
        <v>-0.6542242130148066</v>
      </c>
      <c r="E4827">
        <v>-3.2381615598885749E-2</v>
      </c>
      <c r="F4827">
        <v>4824</v>
      </c>
      <c r="G4827">
        <f t="shared" ca="1" si="155"/>
        <v>7.2408648590941954E-2</v>
      </c>
    </row>
    <row r="4828" spans="2:7" x14ac:dyDescent="0.35">
      <c r="B4828" s="2">
        <v>40889</v>
      </c>
      <c r="C4828" s="4">
        <v>80.37</v>
      </c>
      <c r="D4828">
        <f t="shared" si="154"/>
        <v>-0.91104199411152675</v>
      </c>
      <c r="E4828">
        <v>-3.2386226823982622E-2</v>
      </c>
      <c r="F4828">
        <v>4825</v>
      </c>
      <c r="G4828">
        <f t="shared" ca="1" si="155"/>
        <v>-1.3111629134766085E-2</v>
      </c>
    </row>
    <row r="4829" spans="2:7" x14ac:dyDescent="0.35">
      <c r="B4829" s="2">
        <v>43888</v>
      </c>
      <c r="C4829" s="4">
        <v>903.46</v>
      </c>
      <c r="D4829">
        <f t="shared" si="154"/>
        <v>17.333198051948052</v>
      </c>
      <c r="E4829">
        <v>-3.2439089692101741E-2</v>
      </c>
      <c r="F4829">
        <v>4826</v>
      </c>
      <c r="G4829">
        <f t="shared" ca="1" si="155"/>
        <v>3.6692260747626597E-2</v>
      </c>
    </row>
    <row r="4830" spans="2:7" x14ac:dyDescent="0.35">
      <c r="B4830" s="2">
        <v>38331</v>
      </c>
      <c r="C4830" s="4">
        <v>49.28</v>
      </c>
      <c r="D4830">
        <f t="shared" si="154"/>
        <v>-0.37094715343375029</v>
      </c>
      <c r="E4830">
        <v>-3.2587357675696871E-2</v>
      </c>
      <c r="F4830">
        <v>4827</v>
      </c>
      <c r="G4830">
        <f t="shared" ca="1" si="155"/>
        <v>-3.9748396221048483E-2</v>
      </c>
    </row>
    <row r="4831" spans="2:7" x14ac:dyDescent="0.35">
      <c r="B4831" s="2">
        <v>41428</v>
      </c>
      <c r="C4831" s="4">
        <v>78.34</v>
      </c>
      <c r="D4831">
        <f t="shared" si="154"/>
        <v>-0.11878515185601801</v>
      </c>
      <c r="E4831">
        <v>-3.2600642133860269E-2</v>
      </c>
      <c r="F4831">
        <v>4828</v>
      </c>
      <c r="G4831">
        <f t="shared" ca="1" si="155"/>
        <v>-2.0241369434581609E-2</v>
      </c>
    </row>
    <row r="4832" spans="2:7" x14ac:dyDescent="0.35">
      <c r="B4832" s="2">
        <v>39070</v>
      </c>
      <c r="C4832" s="4">
        <v>88.9</v>
      </c>
      <c r="D4832">
        <f t="shared" si="154"/>
        <v>-0.85012475554656408</v>
      </c>
      <c r="E4832">
        <v>-3.2644178454842243E-2</v>
      </c>
      <c r="F4832">
        <v>4829</v>
      </c>
      <c r="G4832">
        <f t="shared" ca="1" si="155"/>
        <v>1.3584907152982423E-3</v>
      </c>
    </row>
    <row r="4833" spans="2:7" x14ac:dyDescent="0.35">
      <c r="B4833" s="2">
        <v>43690</v>
      </c>
      <c r="C4833" s="4">
        <v>593.16</v>
      </c>
      <c r="D4833">
        <f t="shared" si="154"/>
        <v>4.8324483775811204</v>
      </c>
      <c r="E4833">
        <v>-3.2696792289753973E-2</v>
      </c>
      <c r="F4833">
        <v>4830</v>
      </c>
      <c r="G4833">
        <f t="shared" ca="1" si="155"/>
        <v>-2.8704484504821343E-2</v>
      </c>
    </row>
    <row r="4834" spans="2:7" x14ac:dyDescent="0.35">
      <c r="B4834" s="2">
        <v>40592</v>
      </c>
      <c r="C4834" s="4">
        <v>101.7</v>
      </c>
      <c r="D4834">
        <f t="shared" si="154"/>
        <v>4.5650832819247311E-2</v>
      </c>
      <c r="E4834">
        <v>-3.2718280388054022E-2</v>
      </c>
      <c r="F4834">
        <v>4831</v>
      </c>
      <c r="G4834">
        <f t="shared" ca="1" si="155"/>
        <v>8.229145209366278E-3</v>
      </c>
    </row>
    <row r="4835" spans="2:7" x14ac:dyDescent="0.35">
      <c r="B4835" s="2">
        <v>41201</v>
      </c>
      <c r="C4835" s="4">
        <v>97.26</v>
      </c>
      <c r="D4835">
        <f t="shared" si="154"/>
        <v>2.6577660774727345</v>
      </c>
      <c r="E4835">
        <v>-3.2720039781203303E-2</v>
      </c>
      <c r="F4835">
        <v>4832</v>
      </c>
      <c r="G4835">
        <f t="shared" ca="1" si="155"/>
        <v>-1.0348958803584309E-2</v>
      </c>
    </row>
    <row r="4836" spans="2:7" x14ac:dyDescent="0.35">
      <c r="B4836" s="2">
        <v>38061</v>
      </c>
      <c r="C4836" s="4">
        <v>26.59</v>
      </c>
      <c r="D4836">
        <f t="shared" si="154"/>
        <v>-0.9547873697097482</v>
      </c>
      <c r="E4836">
        <v>-3.2739177882866399E-2</v>
      </c>
      <c r="F4836">
        <v>4833</v>
      </c>
      <c r="G4836">
        <f t="shared" ca="1" si="155"/>
        <v>7.0685424161399182E-3</v>
      </c>
    </row>
    <row r="4837" spans="2:7" x14ac:dyDescent="0.35">
      <c r="B4837" s="2">
        <v>42669</v>
      </c>
      <c r="C4837" s="4">
        <v>588.11</v>
      </c>
      <c r="D4837">
        <f t="shared" si="154"/>
        <v>3.8241325568041997</v>
      </c>
      <c r="E4837">
        <v>-3.2793355809555003E-2</v>
      </c>
      <c r="F4837">
        <v>4834</v>
      </c>
      <c r="G4837">
        <f t="shared" ca="1" si="155"/>
        <v>-2.0230876697953516E-2</v>
      </c>
    </row>
    <row r="4838" spans="2:7" x14ac:dyDescent="0.35">
      <c r="B4838" s="2">
        <v>40296</v>
      </c>
      <c r="C4838" s="4">
        <v>121.91</v>
      </c>
      <c r="D4838">
        <f t="shared" si="154"/>
        <v>-0.85664224649866538</v>
      </c>
      <c r="E4838">
        <v>-3.284410948036498E-2</v>
      </c>
      <c r="F4838">
        <v>4835</v>
      </c>
      <c r="G4838">
        <f t="shared" ca="1" si="155"/>
        <v>4.3513603867701152E-2</v>
      </c>
    </row>
    <row r="4839" spans="2:7" x14ac:dyDescent="0.35">
      <c r="B4839" s="2">
        <v>42285</v>
      </c>
      <c r="C4839" s="4">
        <v>850.39</v>
      </c>
      <c r="D4839">
        <f t="shared" si="154"/>
        <v>28.192928252660487</v>
      </c>
      <c r="E4839">
        <v>-3.286742712870605E-2</v>
      </c>
      <c r="F4839">
        <v>4836</v>
      </c>
      <c r="G4839">
        <f t="shared" ca="1" si="155"/>
        <v>3.4855491844531072E-2</v>
      </c>
    </row>
    <row r="4840" spans="2:7" x14ac:dyDescent="0.35">
      <c r="B4840" s="2">
        <v>38040</v>
      </c>
      <c r="C4840" s="4">
        <v>29.13</v>
      </c>
      <c r="D4840">
        <f t="shared" si="154"/>
        <v>-0.70208631622008588</v>
      </c>
      <c r="E4840">
        <v>-3.2868525896414424E-2</v>
      </c>
      <c r="F4840">
        <v>4837</v>
      </c>
      <c r="G4840">
        <f t="shared" ca="1" si="155"/>
        <v>-2.937654521425178E-2</v>
      </c>
    </row>
    <row r="4841" spans="2:7" x14ac:dyDescent="0.35">
      <c r="B4841" s="2">
        <v>41187</v>
      </c>
      <c r="C4841" s="4">
        <v>97.78</v>
      </c>
      <c r="D4841">
        <f t="shared" si="154"/>
        <v>5.1058798237127778E-2</v>
      </c>
      <c r="E4841">
        <v>-3.2934427850855541E-2</v>
      </c>
      <c r="F4841">
        <v>4838</v>
      </c>
      <c r="G4841">
        <f t="shared" ca="1" si="155"/>
        <v>3.4501512804725118E-3</v>
      </c>
    </row>
    <row r="4842" spans="2:7" x14ac:dyDescent="0.35">
      <c r="B4842" s="2">
        <v>40421</v>
      </c>
      <c r="C4842" s="4">
        <v>93.03</v>
      </c>
      <c r="D4842">
        <f t="shared" si="154"/>
        <v>2.377022119511385E-2</v>
      </c>
      <c r="E4842">
        <v>-3.295218295218294E-2</v>
      </c>
      <c r="F4842">
        <v>4839</v>
      </c>
      <c r="G4842">
        <f t="shared" ca="1" si="155"/>
        <v>-1.4847756291053817E-2</v>
      </c>
    </row>
    <row r="4843" spans="2:7" x14ac:dyDescent="0.35">
      <c r="B4843" s="2">
        <v>39465</v>
      </c>
      <c r="C4843" s="4">
        <v>90.87</v>
      </c>
      <c r="D4843">
        <f t="shared" si="154"/>
        <v>1.8985645933014355</v>
      </c>
      <c r="E4843">
        <v>-3.2989251888900673E-2</v>
      </c>
      <c r="F4843">
        <v>4840</v>
      </c>
      <c r="G4843">
        <f t="shared" ca="1" si="155"/>
        <v>-2.1215136248777359E-2</v>
      </c>
    </row>
    <row r="4844" spans="2:7" x14ac:dyDescent="0.35">
      <c r="B4844" s="2">
        <v>38161</v>
      </c>
      <c r="C4844" s="4">
        <v>31.35</v>
      </c>
      <c r="D4844">
        <f t="shared" si="154"/>
        <v>-0.96572159594126206</v>
      </c>
      <c r="E4844">
        <v>-3.300431832202344E-2</v>
      </c>
      <c r="F4844">
        <v>4841</v>
      </c>
      <c r="G4844">
        <f t="shared" ca="1" si="155"/>
        <v>1.1938254718925866E-2</v>
      </c>
    </row>
    <row r="4845" spans="2:7" x14ac:dyDescent="0.35">
      <c r="B4845" s="2">
        <v>43178</v>
      </c>
      <c r="C4845" s="4">
        <v>914.57</v>
      </c>
      <c r="D4845">
        <f t="shared" si="154"/>
        <v>-0.83878433833483756</v>
      </c>
      <c r="E4845">
        <v>-3.3132116163271275E-2</v>
      </c>
      <c r="F4845">
        <v>4842</v>
      </c>
      <c r="G4845">
        <f t="shared" ca="1" si="155"/>
        <v>-2.812546458181945E-2</v>
      </c>
    </row>
    <row r="4846" spans="2:7" x14ac:dyDescent="0.35">
      <c r="B4846" s="2">
        <v>44536</v>
      </c>
      <c r="C4846" s="4">
        <v>5672.96</v>
      </c>
      <c r="D4846">
        <f t="shared" si="154"/>
        <v>4.9571143547201517</v>
      </c>
      <c r="E4846">
        <v>-3.3134095855553602E-2</v>
      </c>
      <c r="F4846">
        <v>4843</v>
      </c>
      <c r="G4846">
        <f t="shared" ca="1" si="155"/>
        <v>1.9118954591906347E-2</v>
      </c>
    </row>
    <row r="4847" spans="2:7" x14ac:dyDescent="0.35">
      <c r="B4847" s="2">
        <v>42404</v>
      </c>
      <c r="C4847" s="4">
        <v>952.3</v>
      </c>
      <c r="D4847">
        <f t="shared" si="154"/>
        <v>10.336904761904762</v>
      </c>
      <c r="E4847">
        <v>-3.313907446138864E-2</v>
      </c>
      <c r="F4847">
        <v>4844</v>
      </c>
      <c r="G4847">
        <f t="shared" ca="1" si="155"/>
        <v>-2.4559233188821215E-2</v>
      </c>
    </row>
    <row r="4848" spans="2:7" x14ac:dyDescent="0.35">
      <c r="B4848" s="2">
        <v>39062</v>
      </c>
      <c r="C4848" s="4">
        <v>84</v>
      </c>
      <c r="D4848">
        <f t="shared" si="154"/>
        <v>-8.546543277082197E-2</v>
      </c>
      <c r="E4848">
        <v>-3.3149171270718147E-2</v>
      </c>
      <c r="F4848">
        <v>4845</v>
      </c>
      <c r="G4848">
        <f t="shared" ca="1" si="155"/>
        <v>2.8885127652227793E-2</v>
      </c>
    </row>
    <row r="4849" spans="2:7" x14ac:dyDescent="0.35">
      <c r="B4849" s="2">
        <v>39433</v>
      </c>
      <c r="C4849" s="4">
        <v>91.85</v>
      </c>
      <c r="D4849">
        <f t="shared" si="154"/>
        <v>-0.90402098267466402</v>
      </c>
      <c r="E4849">
        <v>-3.3157894736842164E-2</v>
      </c>
      <c r="F4849">
        <v>4846</v>
      </c>
      <c r="G4849">
        <f t="shared" ca="1" si="155"/>
        <v>1.2814460227569879E-2</v>
      </c>
    </row>
    <row r="4850" spans="2:7" x14ac:dyDescent="0.35">
      <c r="B4850" s="2">
        <v>43132</v>
      </c>
      <c r="C4850" s="4">
        <v>956.98</v>
      </c>
      <c r="D4850">
        <f t="shared" si="154"/>
        <v>38.220491803278691</v>
      </c>
      <c r="E4850">
        <v>-3.3207051573470703E-2</v>
      </c>
      <c r="F4850">
        <v>4847</v>
      </c>
      <c r="G4850">
        <f t="shared" ca="1" si="155"/>
        <v>-3.7378950845072624E-2</v>
      </c>
    </row>
    <row r="4851" spans="2:7" x14ac:dyDescent="0.35">
      <c r="B4851" s="2">
        <v>37823</v>
      </c>
      <c r="C4851" s="4">
        <v>24.4</v>
      </c>
      <c r="D4851">
        <f t="shared" si="154"/>
        <v>-0.66330895542983304</v>
      </c>
      <c r="E4851">
        <v>-3.3280507131537185E-2</v>
      </c>
      <c r="F4851">
        <v>4848</v>
      </c>
      <c r="G4851">
        <f t="shared" ca="1" si="155"/>
        <v>-9.0240245621427198E-3</v>
      </c>
    </row>
    <row r="4852" spans="2:7" x14ac:dyDescent="0.35">
      <c r="B4852" s="2">
        <v>38706</v>
      </c>
      <c r="C4852" s="4">
        <v>72.47</v>
      </c>
      <c r="D4852">
        <f t="shared" si="154"/>
        <v>1.2175642594859242</v>
      </c>
      <c r="E4852">
        <v>-3.3346672002134148E-2</v>
      </c>
      <c r="F4852">
        <v>4849</v>
      </c>
      <c r="G4852">
        <f t="shared" ca="1" si="155"/>
        <v>-2.7199250244873911E-2</v>
      </c>
    </row>
    <row r="4853" spans="2:7" x14ac:dyDescent="0.35">
      <c r="B4853" s="2">
        <v>39826</v>
      </c>
      <c r="C4853" s="4">
        <v>32.68</v>
      </c>
      <c r="D4853">
        <f t="shared" si="154"/>
        <v>-0.95980319803198033</v>
      </c>
      <c r="E4853">
        <v>-3.3422064477965141E-2</v>
      </c>
      <c r="F4853">
        <v>4850</v>
      </c>
      <c r="G4853">
        <f t="shared" ca="1" si="155"/>
        <v>2.1550367102059254E-2</v>
      </c>
    </row>
    <row r="4854" spans="2:7" x14ac:dyDescent="0.35">
      <c r="B4854" s="2">
        <v>42318</v>
      </c>
      <c r="C4854" s="4">
        <v>813</v>
      </c>
      <c r="D4854">
        <f t="shared" si="154"/>
        <v>9.1815904821540393</v>
      </c>
      <c r="E4854">
        <v>-3.3454597332192026E-2</v>
      </c>
      <c r="F4854">
        <v>4851</v>
      </c>
      <c r="G4854">
        <f t="shared" ca="1" si="155"/>
        <v>-2.5376600848677655E-2</v>
      </c>
    </row>
    <row r="4855" spans="2:7" x14ac:dyDescent="0.35">
      <c r="B4855" s="2">
        <v>40773</v>
      </c>
      <c r="C4855" s="4">
        <v>79.849999999999994</v>
      </c>
      <c r="D4855">
        <f t="shared" si="154"/>
        <v>0.40063146816347994</v>
      </c>
      <c r="E4855">
        <v>-3.3526991043331011E-2</v>
      </c>
      <c r="F4855">
        <v>4852</v>
      </c>
      <c r="G4855">
        <f t="shared" ca="1" si="155"/>
        <v>8.9317986013452994E-3</v>
      </c>
    </row>
    <row r="4856" spans="2:7" x14ac:dyDescent="0.35">
      <c r="B4856" s="2">
        <v>38915</v>
      </c>
      <c r="C4856" s="4">
        <v>57.01</v>
      </c>
      <c r="D4856">
        <f t="shared" si="154"/>
        <v>-0.31205502594425005</v>
      </c>
      <c r="E4856">
        <v>-3.3565011018816815E-2</v>
      </c>
      <c r="F4856">
        <v>4853</v>
      </c>
      <c r="G4856">
        <f t="shared" ca="1" si="155"/>
        <v>-3.2952701876773609E-3</v>
      </c>
    </row>
    <row r="4857" spans="2:7" x14ac:dyDescent="0.35">
      <c r="B4857" s="2">
        <v>40990</v>
      </c>
      <c r="C4857" s="4">
        <v>82.87</v>
      </c>
      <c r="D4857">
        <f t="shared" si="154"/>
        <v>0.1794762311414746</v>
      </c>
      <c r="E4857">
        <v>-3.3586005830903765E-2</v>
      </c>
      <c r="F4857">
        <v>4854</v>
      </c>
      <c r="G4857">
        <f t="shared" ca="1" si="155"/>
        <v>7.9731098671723816E-3</v>
      </c>
    </row>
    <row r="4858" spans="2:7" x14ac:dyDescent="0.35">
      <c r="B4858" s="2">
        <v>38547</v>
      </c>
      <c r="C4858" s="4">
        <v>70.260000000000005</v>
      </c>
      <c r="D4858">
        <f t="shared" si="154"/>
        <v>-0.36179489508583884</v>
      </c>
      <c r="E4858">
        <v>-3.3695502681886813E-2</v>
      </c>
      <c r="F4858">
        <v>4855</v>
      </c>
      <c r="G4858">
        <f t="shared" ca="1" si="155"/>
        <v>-1.9490250889253755E-2</v>
      </c>
    </row>
    <row r="4859" spans="2:7" x14ac:dyDescent="0.35">
      <c r="B4859" s="2">
        <v>40515</v>
      </c>
      <c r="C4859" s="4">
        <v>110.09</v>
      </c>
      <c r="D4859">
        <f t="shared" si="154"/>
        <v>3.3223838573439801E-2</v>
      </c>
      <c r="E4859">
        <v>-3.3704906521548339E-2</v>
      </c>
      <c r="F4859">
        <v>4856</v>
      </c>
      <c r="G4859">
        <f t="shared" ca="1" si="155"/>
        <v>3.6387184702930488E-2</v>
      </c>
    </row>
    <row r="4860" spans="2:7" x14ac:dyDescent="0.35">
      <c r="B4860" s="2">
        <v>40520</v>
      </c>
      <c r="C4860" s="4">
        <v>106.55</v>
      </c>
      <c r="D4860">
        <f t="shared" si="154"/>
        <v>0.46601541001651059</v>
      </c>
      <c r="E4860">
        <v>-3.3735376802394135E-2</v>
      </c>
      <c r="F4860">
        <v>4857</v>
      </c>
      <c r="G4860">
        <f t="shared" ca="1" si="155"/>
        <v>4.9968842707411535E-3</v>
      </c>
    </row>
    <row r="4861" spans="2:7" x14ac:dyDescent="0.35">
      <c r="B4861" s="2">
        <v>40896</v>
      </c>
      <c r="C4861" s="4">
        <v>72.680000000000007</v>
      </c>
      <c r="D4861">
        <f t="shared" si="154"/>
        <v>0.37547312641937935</v>
      </c>
      <c r="E4861">
        <v>-3.3767614996011552E-2</v>
      </c>
      <c r="F4861">
        <v>4858</v>
      </c>
      <c r="G4861">
        <f t="shared" ca="1" si="155"/>
        <v>-2.0405781483316568E-4</v>
      </c>
    </row>
    <row r="4862" spans="2:7" x14ac:dyDescent="0.35">
      <c r="B4862" s="2">
        <v>38295</v>
      </c>
      <c r="C4862" s="4">
        <v>52.84</v>
      </c>
      <c r="D4862">
        <f t="shared" si="154"/>
        <v>-5.8949243098842308E-2</v>
      </c>
      <c r="E4862">
        <v>-3.3827025050283344E-2</v>
      </c>
      <c r="F4862">
        <v>4859</v>
      </c>
      <c r="G4862">
        <f t="shared" ca="1" si="155"/>
        <v>-1.5190206295065838E-2</v>
      </c>
    </row>
    <row r="4863" spans="2:7" x14ac:dyDescent="0.35">
      <c r="B4863" s="2">
        <v>38427</v>
      </c>
      <c r="C4863" s="4">
        <v>56.15</v>
      </c>
      <c r="D4863">
        <f t="shared" si="154"/>
        <v>-0.9770864024223529</v>
      </c>
      <c r="E4863">
        <v>-3.3895388850653796E-2</v>
      </c>
      <c r="F4863">
        <v>4860</v>
      </c>
      <c r="G4863">
        <f t="shared" ca="1" si="155"/>
        <v>-3.3843909535448873E-3</v>
      </c>
    </row>
    <row r="4864" spans="2:7" x14ac:dyDescent="0.35">
      <c r="B4864" s="2">
        <v>44221</v>
      </c>
      <c r="C4864" s="4">
        <v>2450.5100000000002</v>
      </c>
      <c r="D4864">
        <f t="shared" si="154"/>
        <v>95.973090621290083</v>
      </c>
      <c r="E4864">
        <v>-3.3946748034786367E-2</v>
      </c>
      <c r="F4864">
        <v>4861</v>
      </c>
      <c r="G4864">
        <f t="shared" ca="1" si="155"/>
        <v>-1.3265976170253702E-2</v>
      </c>
    </row>
    <row r="4865" spans="2:7" x14ac:dyDescent="0.35">
      <c r="B4865" s="2">
        <v>38064</v>
      </c>
      <c r="C4865" s="4">
        <v>25.27</v>
      </c>
      <c r="D4865">
        <f t="shared" si="154"/>
        <v>-0.94702972372447913</v>
      </c>
      <c r="E4865">
        <v>-3.4021406727828718E-2</v>
      </c>
      <c r="F4865">
        <v>4862</v>
      </c>
      <c r="G4865">
        <f t="shared" ca="1" si="155"/>
        <v>-1.8753180409148994E-2</v>
      </c>
    </row>
    <row r="4866" spans="2:7" x14ac:dyDescent="0.35">
      <c r="B4866" s="2">
        <v>42695</v>
      </c>
      <c r="C4866" s="4">
        <v>477.06</v>
      </c>
      <c r="D4866">
        <f t="shared" si="154"/>
        <v>3.8412827278262629</v>
      </c>
      <c r="E4866">
        <v>-3.4095970844300383E-2</v>
      </c>
      <c r="F4866">
        <v>4863</v>
      </c>
      <c r="G4866">
        <f t="shared" ca="1" si="155"/>
        <v>1.102915628574405E-2</v>
      </c>
    </row>
    <row r="4867" spans="2:7" x14ac:dyDescent="0.35">
      <c r="B4867" s="2">
        <v>39169</v>
      </c>
      <c r="C4867" s="4">
        <v>98.54</v>
      </c>
      <c r="D4867">
        <f t="shared" si="154"/>
        <v>-0.39022277227722768</v>
      </c>
      <c r="E4867">
        <v>-3.4110958635561572E-2</v>
      </c>
      <c r="F4867">
        <v>4864</v>
      </c>
      <c r="G4867">
        <f t="shared" ca="1" si="155"/>
        <v>4.4486824993168562E-2</v>
      </c>
    </row>
    <row r="4868" spans="2:7" x14ac:dyDescent="0.35">
      <c r="B4868" s="2">
        <v>41663</v>
      </c>
      <c r="C4868" s="4">
        <v>161.6</v>
      </c>
      <c r="D4868">
        <f t="shared" ref="D4868:D4931" si="156">C4868/C4869-1</f>
        <v>4.0092994420334778</v>
      </c>
      <c r="E4868">
        <v>-3.4128264897495764E-2</v>
      </c>
      <c r="F4868">
        <v>4865</v>
      </c>
      <c r="G4868">
        <f t="shared" ca="1" si="155"/>
        <v>1.9933303590877718E-2</v>
      </c>
    </row>
    <row r="4869" spans="2:7" x14ac:dyDescent="0.35">
      <c r="B4869" s="2">
        <v>37505</v>
      </c>
      <c r="C4869" s="4">
        <v>32.26</v>
      </c>
      <c r="D4869">
        <f t="shared" si="156"/>
        <v>0.25623052959501558</v>
      </c>
      <c r="E4869">
        <v>-3.4131736526946121E-2</v>
      </c>
      <c r="F4869">
        <v>4866</v>
      </c>
      <c r="G4869">
        <f t="shared" ref="G4869:G4932" ca="1" si="157">_xlfn.NORM.INV(RAND(),K$6,K$7)</f>
        <v>3.0160161958198073E-3</v>
      </c>
    </row>
    <row r="4870" spans="2:7" x14ac:dyDescent="0.35">
      <c r="B4870" s="2">
        <v>38062</v>
      </c>
      <c r="C4870" s="4">
        <v>25.68</v>
      </c>
      <c r="D4870">
        <f t="shared" si="156"/>
        <v>-0.5130830489192264</v>
      </c>
      <c r="E4870">
        <v>-3.4223392252726637E-2</v>
      </c>
      <c r="F4870">
        <v>4867</v>
      </c>
      <c r="G4870">
        <f t="shared" ca="1" si="157"/>
        <v>3.175856620442509E-2</v>
      </c>
    </row>
    <row r="4871" spans="2:7" x14ac:dyDescent="0.35">
      <c r="B4871" s="2">
        <v>38919</v>
      </c>
      <c r="C4871" s="4">
        <v>52.74</v>
      </c>
      <c r="D4871">
        <f t="shared" si="156"/>
        <v>1.0821160679036717</v>
      </c>
      <c r="E4871">
        <v>-3.4242812671671841E-2</v>
      </c>
      <c r="F4871">
        <v>4868</v>
      </c>
      <c r="G4871">
        <f t="shared" ca="1" si="157"/>
        <v>2.3402992558722722E-2</v>
      </c>
    </row>
    <row r="4872" spans="2:7" x14ac:dyDescent="0.35">
      <c r="B4872" s="2">
        <v>37645</v>
      </c>
      <c r="C4872" s="4">
        <v>25.33</v>
      </c>
      <c r="D4872">
        <f t="shared" si="156"/>
        <v>-0.95758468829015897</v>
      </c>
      <c r="E4872">
        <v>-3.4311856652687878E-2</v>
      </c>
      <c r="F4872">
        <v>4869</v>
      </c>
      <c r="G4872">
        <f t="shared" ca="1" si="157"/>
        <v>1.9208697135900517E-2</v>
      </c>
    </row>
    <row r="4873" spans="2:7" x14ac:dyDescent="0.35">
      <c r="B4873" s="2">
        <v>43678</v>
      </c>
      <c r="C4873" s="4">
        <v>597.19000000000005</v>
      </c>
      <c r="D4873">
        <f t="shared" si="156"/>
        <v>-0.19402118901410348</v>
      </c>
      <c r="E4873">
        <v>-3.4313804757361455E-2</v>
      </c>
      <c r="F4873">
        <v>4870</v>
      </c>
      <c r="G4873">
        <f t="shared" ca="1" si="157"/>
        <v>-1.9514671118477302E-2</v>
      </c>
    </row>
    <row r="4874" spans="2:7" x14ac:dyDescent="0.35">
      <c r="B4874" s="2">
        <v>42213</v>
      </c>
      <c r="C4874" s="4">
        <v>740.95</v>
      </c>
      <c r="D4874">
        <f t="shared" si="156"/>
        <v>6.1183591123066581</v>
      </c>
      <c r="E4874">
        <v>-3.431602544051704E-2</v>
      </c>
      <c r="F4874">
        <v>4871</v>
      </c>
      <c r="G4874">
        <f t="shared" ca="1" si="157"/>
        <v>3.4892445777363846E-4</v>
      </c>
    </row>
    <row r="4875" spans="2:7" x14ac:dyDescent="0.35">
      <c r="B4875" s="2">
        <v>39454</v>
      </c>
      <c r="C4875" s="4">
        <v>104.09</v>
      </c>
      <c r="D4875">
        <f t="shared" si="156"/>
        <v>2.8723958333333335</v>
      </c>
      <c r="E4875">
        <v>-3.4415584415584344E-2</v>
      </c>
      <c r="F4875">
        <v>4872</v>
      </c>
      <c r="G4875">
        <f t="shared" ca="1" si="157"/>
        <v>1.948049170077985E-2</v>
      </c>
    </row>
    <row r="4876" spans="2:7" x14ac:dyDescent="0.35">
      <c r="B4876" s="2">
        <v>37916</v>
      </c>
      <c r="C4876" s="4">
        <v>26.88</v>
      </c>
      <c r="D4876">
        <f t="shared" si="156"/>
        <v>-0.99725397652395109</v>
      </c>
      <c r="E4876">
        <v>-3.4482758620689724E-2</v>
      </c>
      <c r="F4876">
        <v>4873</v>
      </c>
      <c r="G4876">
        <f t="shared" ca="1" si="157"/>
        <v>3.4426725552086188E-2</v>
      </c>
    </row>
    <row r="4877" spans="2:7" x14ac:dyDescent="0.35">
      <c r="B4877" s="2">
        <v>44795</v>
      </c>
      <c r="C4877" s="4">
        <v>9788.7000000000007</v>
      </c>
      <c r="D4877">
        <f t="shared" si="156"/>
        <v>10.143023017553446</v>
      </c>
      <c r="E4877">
        <v>-3.452595241030687E-2</v>
      </c>
      <c r="F4877">
        <v>4874</v>
      </c>
      <c r="G4877">
        <f t="shared" ca="1" si="157"/>
        <v>1.3461937436626862E-2</v>
      </c>
    </row>
    <row r="4878" spans="2:7" x14ac:dyDescent="0.35">
      <c r="B4878" s="2">
        <v>43489</v>
      </c>
      <c r="C4878" s="4">
        <v>878.46</v>
      </c>
      <c r="D4878">
        <f t="shared" si="156"/>
        <v>-0.89500444622931064</v>
      </c>
      <c r="E4878">
        <v>-3.4648732403652738E-2</v>
      </c>
      <c r="F4878">
        <v>4875</v>
      </c>
      <c r="G4878">
        <f t="shared" ca="1" si="157"/>
        <v>1.1239247456994492E-2</v>
      </c>
    </row>
    <row r="4879" spans="2:7" x14ac:dyDescent="0.35">
      <c r="B4879" s="2">
        <v>44663</v>
      </c>
      <c r="C4879" s="4">
        <v>8366.64</v>
      </c>
      <c r="D4879">
        <f t="shared" si="156"/>
        <v>-3.9117976398977961E-2</v>
      </c>
      <c r="E4879">
        <v>-3.4656703984419224E-2</v>
      </c>
      <c r="F4879">
        <v>4876</v>
      </c>
      <c r="G4879">
        <f t="shared" ca="1" si="157"/>
        <v>-6.7528952662958844E-2</v>
      </c>
    </row>
    <row r="4880" spans="2:7" x14ac:dyDescent="0.35">
      <c r="B4880" s="2">
        <v>44806</v>
      </c>
      <c r="C4880" s="4">
        <v>8707.25</v>
      </c>
      <c r="D4880">
        <f t="shared" si="156"/>
        <v>300.08056708160439</v>
      </c>
      <c r="E4880">
        <v>-3.4705054155626636E-2</v>
      </c>
      <c r="F4880">
        <v>4877</v>
      </c>
      <c r="G4880">
        <f t="shared" ca="1" si="157"/>
        <v>-2.1822071627995909E-3</v>
      </c>
    </row>
    <row r="4881" spans="2:7" x14ac:dyDescent="0.35">
      <c r="B4881" s="2">
        <v>37467</v>
      </c>
      <c r="C4881" s="4">
        <v>28.92</v>
      </c>
      <c r="D4881">
        <f t="shared" si="156"/>
        <v>-0.50198036852075079</v>
      </c>
      <c r="E4881">
        <v>-3.471295060080104E-2</v>
      </c>
      <c r="F4881">
        <v>4878</v>
      </c>
      <c r="G4881">
        <f t="shared" ca="1" si="157"/>
        <v>-1.3917407577408219E-3</v>
      </c>
    </row>
    <row r="4882" spans="2:7" x14ac:dyDescent="0.35">
      <c r="B4882" s="2">
        <v>38896</v>
      </c>
      <c r="C4882" s="4">
        <v>58.07</v>
      </c>
      <c r="D4882">
        <f t="shared" si="156"/>
        <v>-0.90151283877751776</v>
      </c>
      <c r="E4882">
        <v>-3.4740691489361653E-2</v>
      </c>
      <c r="F4882">
        <v>4879</v>
      </c>
      <c r="G4882">
        <f t="shared" ca="1" si="157"/>
        <v>-1.754972677164239E-2</v>
      </c>
    </row>
    <row r="4883" spans="2:7" x14ac:dyDescent="0.35">
      <c r="B4883" s="2">
        <v>43922</v>
      </c>
      <c r="C4883" s="4">
        <v>589.62</v>
      </c>
      <c r="D4883">
        <f t="shared" si="156"/>
        <v>-0.34919811476947871</v>
      </c>
      <c r="E4883">
        <v>-3.480225248821367E-2</v>
      </c>
      <c r="F4883">
        <v>4880</v>
      </c>
      <c r="G4883">
        <f t="shared" ca="1" si="157"/>
        <v>-1.4400466484149981E-2</v>
      </c>
    </row>
    <row r="4884" spans="2:7" x14ac:dyDescent="0.35">
      <c r="B4884" s="2">
        <v>43420</v>
      </c>
      <c r="C4884" s="4">
        <v>905.99</v>
      </c>
      <c r="D4884">
        <f t="shared" si="156"/>
        <v>2.1030242833167789</v>
      </c>
      <c r="E4884">
        <v>-3.4846063705124108E-2</v>
      </c>
      <c r="F4884">
        <v>4881</v>
      </c>
      <c r="G4884">
        <f t="shared" ca="1" si="157"/>
        <v>1.5685668064566588E-2</v>
      </c>
    </row>
    <row r="4885" spans="2:7" x14ac:dyDescent="0.35">
      <c r="B4885" s="2">
        <v>41905</v>
      </c>
      <c r="C4885" s="4">
        <v>291.97000000000003</v>
      </c>
      <c r="D4885">
        <f t="shared" si="156"/>
        <v>-0.68598623359862332</v>
      </c>
      <c r="E4885">
        <v>-3.4873727356868778E-2</v>
      </c>
      <c r="F4885">
        <v>4882</v>
      </c>
      <c r="G4885">
        <f t="shared" ca="1" si="157"/>
        <v>3.4218366943520335E-3</v>
      </c>
    </row>
    <row r="4886" spans="2:7" x14ac:dyDescent="0.35">
      <c r="B4886" s="2">
        <v>43166</v>
      </c>
      <c r="C4886" s="4">
        <v>929.8</v>
      </c>
      <c r="D4886">
        <f t="shared" si="156"/>
        <v>22.890030832476874</v>
      </c>
      <c r="E4886">
        <v>-3.4946599271383771E-2</v>
      </c>
      <c r="F4886">
        <v>4883</v>
      </c>
      <c r="G4886">
        <f t="shared" ca="1" si="157"/>
        <v>-1.5307325349599173E-2</v>
      </c>
    </row>
    <row r="4887" spans="2:7" x14ac:dyDescent="0.35">
      <c r="B4887" s="2">
        <v>37992</v>
      </c>
      <c r="C4887" s="4">
        <v>38.92</v>
      </c>
      <c r="D4887">
        <f t="shared" si="156"/>
        <v>-0.96756936921923176</v>
      </c>
      <c r="E4887">
        <v>-3.4961567071658761E-2</v>
      </c>
      <c r="F4887">
        <v>4884</v>
      </c>
      <c r="G4887">
        <f t="shared" ca="1" si="157"/>
        <v>-3.5970142582479651E-2</v>
      </c>
    </row>
    <row r="4888" spans="2:7" x14ac:dyDescent="0.35">
      <c r="B4888" s="2">
        <v>43279</v>
      </c>
      <c r="C4888" s="4">
        <v>1200.0999999999999</v>
      </c>
      <c r="D4888">
        <f t="shared" si="156"/>
        <v>13.765009842519683</v>
      </c>
      <c r="E4888">
        <v>-3.4994612502211253E-2</v>
      </c>
      <c r="F4888">
        <v>4885</v>
      </c>
      <c r="G4888">
        <f t="shared" ca="1" si="157"/>
        <v>-3.8665516365414584E-2</v>
      </c>
    </row>
    <row r="4889" spans="2:7" x14ac:dyDescent="0.35">
      <c r="B4889" s="2">
        <v>40819</v>
      </c>
      <c r="C4889" s="4">
        <v>81.28</v>
      </c>
      <c r="D4889">
        <f t="shared" si="156"/>
        <v>-6.2946737376066375E-2</v>
      </c>
      <c r="E4889">
        <v>-3.5137701804368371E-2</v>
      </c>
      <c r="F4889">
        <v>4886</v>
      </c>
      <c r="G4889">
        <f t="shared" ca="1" si="157"/>
        <v>-1.4170971527438863E-2</v>
      </c>
    </row>
    <row r="4890" spans="2:7" x14ac:dyDescent="0.35">
      <c r="B4890" s="2">
        <v>39394</v>
      </c>
      <c r="C4890" s="4">
        <v>86.74</v>
      </c>
      <c r="D4890">
        <f t="shared" si="156"/>
        <v>1.5332943925233642</v>
      </c>
      <c r="E4890">
        <v>-3.5150166852057962E-2</v>
      </c>
      <c r="F4890">
        <v>4887</v>
      </c>
      <c r="G4890">
        <f t="shared" ca="1" si="157"/>
        <v>-5.3646480776758709E-2</v>
      </c>
    </row>
    <row r="4891" spans="2:7" x14ac:dyDescent="0.35">
      <c r="B4891" s="2">
        <v>39822</v>
      </c>
      <c r="C4891" s="4">
        <v>34.24</v>
      </c>
      <c r="D4891">
        <f t="shared" si="156"/>
        <v>-0.99413457585309029</v>
      </c>
      <c r="E4891">
        <v>-3.5221189067342951E-2</v>
      </c>
      <c r="F4891">
        <v>4888</v>
      </c>
      <c r="G4891">
        <f t="shared" ca="1" si="157"/>
        <v>-6.6768514942836706E-3</v>
      </c>
    </row>
    <row r="4892" spans="2:7" x14ac:dyDescent="0.35">
      <c r="B4892" s="2">
        <v>44918</v>
      </c>
      <c r="C4892" s="4">
        <v>5837.6</v>
      </c>
      <c r="D4892">
        <f t="shared" si="156"/>
        <v>26.130176139796443</v>
      </c>
      <c r="E4892">
        <v>-3.5235010246578935E-2</v>
      </c>
      <c r="F4892">
        <v>4889</v>
      </c>
      <c r="G4892">
        <f t="shared" ca="1" si="157"/>
        <v>3.8742163785104582E-2</v>
      </c>
    </row>
    <row r="4893" spans="2:7" x14ac:dyDescent="0.35">
      <c r="B4893" s="2">
        <v>41775</v>
      </c>
      <c r="C4893" s="4">
        <v>215.17</v>
      </c>
      <c r="D4893">
        <f t="shared" si="156"/>
        <v>1.1616435603777373</v>
      </c>
      <c r="E4893">
        <v>-3.5241895709097526E-2</v>
      </c>
      <c r="F4893">
        <v>4890</v>
      </c>
      <c r="G4893">
        <f t="shared" ca="1" si="157"/>
        <v>8.0169420165042138E-3</v>
      </c>
    </row>
    <row r="4894" spans="2:7" x14ac:dyDescent="0.35">
      <c r="B4894" s="2">
        <v>40612</v>
      </c>
      <c r="C4894" s="4">
        <v>99.54</v>
      </c>
      <c r="D4894">
        <f t="shared" si="156"/>
        <v>-2.8593734751634514E-2</v>
      </c>
      <c r="E4894">
        <v>-3.5278154681139706E-2</v>
      </c>
      <c r="F4894">
        <v>4891</v>
      </c>
      <c r="G4894">
        <f t="shared" ca="1" si="157"/>
        <v>5.3709672282184436E-2</v>
      </c>
    </row>
    <row r="4895" spans="2:7" x14ac:dyDescent="0.35">
      <c r="B4895" s="2">
        <v>39371</v>
      </c>
      <c r="C4895" s="4">
        <v>102.47</v>
      </c>
      <c r="D4895">
        <f t="shared" si="156"/>
        <v>-0.83632297739797146</v>
      </c>
      <c r="E4895">
        <v>-3.5304085859536816E-2</v>
      </c>
      <c r="F4895">
        <v>4892</v>
      </c>
      <c r="G4895">
        <f t="shared" ca="1" si="157"/>
        <v>1.5819435976146948E-2</v>
      </c>
    </row>
    <row r="4896" spans="2:7" x14ac:dyDescent="0.35">
      <c r="B4896" s="2">
        <v>42072</v>
      </c>
      <c r="C4896" s="4">
        <v>626.04999999999995</v>
      </c>
      <c r="D4896">
        <f t="shared" si="156"/>
        <v>6.3948736120954406</v>
      </c>
      <c r="E4896">
        <v>-3.5317503120329219E-2</v>
      </c>
      <c r="F4896">
        <v>4893</v>
      </c>
      <c r="G4896">
        <f t="shared" ca="1" si="157"/>
        <v>-1.6338459383280268E-2</v>
      </c>
    </row>
    <row r="4897" spans="2:7" x14ac:dyDescent="0.35">
      <c r="B4897" s="2">
        <v>39044</v>
      </c>
      <c r="C4897" s="4">
        <v>84.66</v>
      </c>
      <c r="D4897">
        <f t="shared" si="156"/>
        <v>1.2794830371567043</v>
      </c>
      <c r="E4897">
        <v>-3.5323609845032022E-2</v>
      </c>
      <c r="F4897">
        <v>4894</v>
      </c>
      <c r="G4897">
        <f t="shared" ca="1" si="157"/>
        <v>3.703687069748266E-3</v>
      </c>
    </row>
    <row r="4898" spans="2:7" x14ac:dyDescent="0.35">
      <c r="B4898" s="2">
        <v>39738</v>
      </c>
      <c r="C4898" s="4">
        <v>37.14</v>
      </c>
      <c r="D4898">
        <f t="shared" si="156"/>
        <v>0.24882313382649635</v>
      </c>
      <c r="E4898">
        <v>-3.5324675324675314E-2</v>
      </c>
      <c r="F4898">
        <v>4895</v>
      </c>
      <c r="G4898">
        <f t="shared" ca="1" si="157"/>
        <v>-2.0726986812059756E-2</v>
      </c>
    </row>
    <row r="4899" spans="2:7" x14ac:dyDescent="0.35">
      <c r="B4899" s="2">
        <v>37538</v>
      </c>
      <c r="C4899" s="4">
        <v>29.74</v>
      </c>
      <c r="D4899">
        <f t="shared" si="156"/>
        <v>0.36296975252062325</v>
      </c>
      <c r="E4899">
        <v>-3.5355173532273798E-2</v>
      </c>
      <c r="F4899">
        <v>4896</v>
      </c>
      <c r="G4899">
        <f t="shared" ca="1" si="157"/>
        <v>-6.2428959291583215E-3</v>
      </c>
    </row>
    <row r="4900" spans="2:7" x14ac:dyDescent="0.35">
      <c r="B4900" s="2">
        <v>37687</v>
      </c>
      <c r="C4900" s="4">
        <v>21.82</v>
      </c>
      <c r="D4900">
        <f t="shared" si="156"/>
        <v>-0.97987957251007407</v>
      </c>
      <c r="E4900">
        <v>-3.5366931918656141E-2</v>
      </c>
      <c r="F4900">
        <v>4897</v>
      </c>
      <c r="G4900">
        <f t="shared" ca="1" si="157"/>
        <v>-3.0685996898565052E-2</v>
      </c>
    </row>
    <row r="4901" spans="2:7" x14ac:dyDescent="0.35">
      <c r="B4901" s="2">
        <v>43256</v>
      </c>
      <c r="C4901" s="4">
        <v>1084.47</v>
      </c>
      <c r="D4901">
        <f t="shared" si="156"/>
        <v>8.4630890052356023</v>
      </c>
      <c r="E4901">
        <v>-3.5512273212380041E-2</v>
      </c>
      <c r="F4901">
        <v>4898</v>
      </c>
      <c r="G4901">
        <f t="shared" ca="1" si="157"/>
        <v>3.1588827983472775E-2</v>
      </c>
    </row>
    <row r="4902" spans="2:7" x14ac:dyDescent="0.35">
      <c r="B4902" s="2">
        <v>40200</v>
      </c>
      <c r="C4902" s="4">
        <v>114.6</v>
      </c>
      <c r="D4902">
        <f t="shared" si="156"/>
        <v>-0.81763208147676636</v>
      </c>
      <c r="E4902">
        <v>-3.5515906413061793E-2</v>
      </c>
      <c r="F4902">
        <v>4899</v>
      </c>
      <c r="G4902">
        <f t="shared" ca="1" si="157"/>
        <v>8.8319485157937385E-3</v>
      </c>
    </row>
    <row r="4903" spans="2:7" x14ac:dyDescent="0.35">
      <c r="B4903" s="2">
        <v>42726</v>
      </c>
      <c r="C4903" s="4">
        <v>628.4</v>
      </c>
      <c r="D4903">
        <f t="shared" si="156"/>
        <v>26.928888888888888</v>
      </c>
      <c r="E4903">
        <v>-3.5545460126465644E-2</v>
      </c>
      <c r="F4903">
        <v>4900</v>
      </c>
      <c r="G4903">
        <f t="shared" ca="1" si="157"/>
        <v>1.2733650149733482E-2</v>
      </c>
    </row>
    <row r="4904" spans="2:7" x14ac:dyDescent="0.35">
      <c r="B4904" s="2">
        <v>37704</v>
      </c>
      <c r="C4904" s="4">
        <v>22.5</v>
      </c>
      <c r="D4904">
        <f t="shared" si="156"/>
        <v>-0.63029904699309891</v>
      </c>
      <c r="E4904">
        <v>-3.557651093013281E-2</v>
      </c>
      <c r="F4904">
        <v>4901</v>
      </c>
      <c r="G4904">
        <f t="shared" ca="1" si="157"/>
        <v>-1.9803237527398383E-2</v>
      </c>
    </row>
    <row r="4905" spans="2:7" x14ac:dyDescent="0.35">
      <c r="B4905" s="2">
        <v>40031</v>
      </c>
      <c r="C4905" s="4">
        <v>60.86</v>
      </c>
      <c r="D4905">
        <f t="shared" si="156"/>
        <v>1.1852782764811489</v>
      </c>
      <c r="E4905">
        <v>-3.5652036127396647E-2</v>
      </c>
      <c r="F4905">
        <v>4902</v>
      </c>
      <c r="G4905">
        <f t="shared" ca="1" si="157"/>
        <v>2.2068821696754535E-2</v>
      </c>
    </row>
    <row r="4906" spans="2:7" x14ac:dyDescent="0.35">
      <c r="B4906" s="2">
        <v>37876</v>
      </c>
      <c r="C4906" s="4">
        <v>27.85</v>
      </c>
      <c r="D4906">
        <f t="shared" si="156"/>
        <v>-0.9661344650218272</v>
      </c>
      <c r="E4906">
        <v>-3.5664819944598247E-2</v>
      </c>
      <c r="F4906">
        <v>4903</v>
      </c>
      <c r="G4906">
        <f t="shared" ca="1" si="157"/>
        <v>1.7237457711195722E-2</v>
      </c>
    </row>
    <row r="4907" spans="2:7" x14ac:dyDescent="0.35">
      <c r="B4907" s="2">
        <v>43903</v>
      </c>
      <c r="C4907" s="4">
        <v>822.37</v>
      </c>
      <c r="D4907">
        <f t="shared" si="156"/>
        <v>8.3429902294932976</v>
      </c>
      <c r="E4907">
        <v>-3.5705072582725594E-2</v>
      </c>
      <c r="F4907">
        <v>4904</v>
      </c>
      <c r="G4907">
        <f t="shared" ca="1" si="157"/>
        <v>5.354023278810404E-2</v>
      </c>
    </row>
    <row r="4908" spans="2:7" x14ac:dyDescent="0.35">
      <c r="B4908" s="2">
        <v>41479</v>
      </c>
      <c r="C4908" s="4">
        <v>88.02</v>
      </c>
      <c r="D4908">
        <f t="shared" si="156"/>
        <v>-0.13866327429298364</v>
      </c>
      <c r="E4908">
        <v>-3.5714285714285809E-2</v>
      </c>
      <c r="F4908">
        <v>4905</v>
      </c>
      <c r="G4908">
        <f t="shared" ca="1" si="157"/>
        <v>-1.7189137572585184E-2</v>
      </c>
    </row>
    <row r="4909" spans="2:7" x14ac:dyDescent="0.35">
      <c r="B4909" s="2">
        <v>41113</v>
      </c>
      <c r="C4909" s="4">
        <v>102.19</v>
      </c>
      <c r="D4909">
        <f t="shared" si="156"/>
        <v>-0.98332748704980222</v>
      </c>
      <c r="E4909">
        <v>-3.5761464427250478E-2</v>
      </c>
      <c r="F4909">
        <v>4906</v>
      </c>
      <c r="G4909">
        <f t="shared" ca="1" si="157"/>
        <v>1.8396806156036918E-2</v>
      </c>
    </row>
    <row r="4910" spans="2:7" x14ac:dyDescent="0.35">
      <c r="B4910" s="2">
        <v>44985</v>
      </c>
      <c r="C4910" s="4">
        <v>6129.25</v>
      </c>
      <c r="D4910">
        <f t="shared" si="156"/>
        <v>61.902811986863711</v>
      </c>
      <c r="E4910">
        <v>-3.6084419771336917E-2</v>
      </c>
      <c r="F4910">
        <v>4907</v>
      </c>
      <c r="G4910">
        <f t="shared" ca="1" si="157"/>
        <v>1.5248374156879936E-2</v>
      </c>
    </row>
    <row r="4911" spans="2:7" x14ac:dyDescent="0.35">
      <c r="B4911" s="2">
        <v>40158</v>
      </c>
      <c r="C4911" s="4">
        <v>97.44</v>
      </c>
      <c r="D4911">
        <f t="shared" si="156"/>
        <v>-0.98545428489538545</v>
      </c>
      <c r="E4911">
        <v>-3.6106439806113388E-2</v>
      </c>
      <c r="F4911">
        <v>4908</v>
      </c>
      <c r="G4911">
        <f t="shared" ca="1" si="157"/>
        <v>-3.5193484115500523E-2</v>
      </c>
    </row>
    <row r="4912" spans="2:7" x14ac:dyDescent="0.35">
      <c r="B4912" s="2">
        <v>44613</v>
      </c>
      <c r="C4912" s="4">
        <v>6698.88</v>
      </c>
      <c r="D4912">
        <f t="shared" si="156"/>
        <v>134.87991886409736</v>
      </c>
      <c r="E4912">
        <v>-3.6146242500107895E-2</v>
      </c>
      <c r="F4912">
        <v>4909</v>
      </c>
      <c r="G4912">
        <f t="shared" ca="1" si="157"/>
        <v>7.6105824573417206E-4</v>
      </c>
    </row>
    <row r="4913" spans="2:7" x14ac:dyDescent="0.35">
      <c r="B4913" s="2">
        <v>38285</v>
      </c>
      <c r="C4913" s="4">
        <v>49.3</v>
      </c>
      <c r="D4913">
        <f t="shared" si="156"/>
        <v>-0.93720225205716756</v>
      </c>
      <c r="E4913">
        <v>-3.616813294232657E-2</v>
      </c>
      <c r="F4913">
        <v>4910</v>
      </c>
      <c r="G4913">
        <f t="shared" ca="1" si="157"/>
        <v>5.5861797668384601E-3</v>
      </c>
    </row>
    <row r="4914" spans="2:7" x14ac:dyDescent="0.35">
      <c r="B4914" s="2">
        <v>42545</v>
      </c>
      <c r="C4914" s="4">
        <v>785.06</v>
      </c>
      <c r="D4914">
        <f t="shared" si="156"/>
        <v>18.965920651068156</v>
      </c>
      <c r="E4914">
        <v>-3.6215871145158118E-2</v>
      </c>
      <c r="F4914">
        <v>4911</v>
      </c>
      <c r="G4914">
        <f t="shared" ca="1" si="157"/>
        <v>-3.370008512104933E-3</v>
      </c>
    </row>
    <row r="4915" spans="2:7" x14ac:dyDescent="0.35">
      <c r="B4915" s="2">
        <v>38205</v>
      </c>
      <c r="C4915" s="4">
        <v>39.32</v>
      </c>
      <c r="D4915">
        <f t="shared" si="156"/>
        <v>-0.99296785997242232</v>
      </c>
      <c r="E4915">
        <v>-3.627450980392144E-2</v>
      </c>
      <c r="F4915">
        <v>4912</v>
      </c>
      <c r="G4915">
        <f t="shared" ca="1" si="157"/>
        <v>1.6995181710754797E-2</v>
      </c>
    </row>
    <row r="4916" spans="2:7" x14ac:dyDescent="0.35">
      <c r="B4916" s="2">
        <v>44460</v>
      </c>
      <c r="C4916" s="4">
        <v>5591.47</v>
      </c>
      <c r="D4916">
        <f t="shared" si="156"/>
        <v>223.37680577849116</v>
      </c>
      <c r="E4916">
        <v>-3.63106779383503E-2</v>
      </c>
      <c r="F4916">
        <v>4913</v>
      </c>
      <c r="G4916">
        <f t="shared" ca="1" si="157"/>
        <v>1.9368382365611652E-2</v>
      </c>
    </row>
    <row r="4917" spans="2:7" x14ac:dyDescent="0.35">
      <c r="B4917" s="2">
        <v>37858</v>
      </c>
      <c r="C4917" s="4">
        <v>24.92</v>
      </c>
      <c r="D4917">
        <f t="shared" si="156"/>
        <v>-0.77909759773069764</v>
      </c>
      <c r="E4917">
        <v>-3.6349574632637216E-2</v>
      </c>
      <c r="F4917">
        <v>4914</v>
      </c>
      <c r="G4917">
        <f t="shared" ca="1" si="157"/>
        <v>3.6939917780462614E-2</v>
      </c>
    </row>
    <row r="4918" spans="2:7" x14ac:dyDescent="0.35">
      <c r="B4918" s="2">
        <v>39195</v>
      </c>
      <c r="C4918" s="4">
        <v>112.81</v>
      </c>
      <c r="D4918">
        <f t="shared" si="156"/>
        <v>-0.98678234990860947</v>
      </c>
      <c r="E4918">
        <v>-3.6388485521482772E-2</v>
      </c>
      <c r="F4918">
        <v>4915</v>
      </c>
      <c r="G4918">
        <f t="shared" ca="1" si="157"/>
        <v>-1.4778107407269721E-3</v>
      </c>
    </row>
    <row r="4919" spans="2:7" x14ac:dyDescent="0.35">
      <c r="B4919" s="2">
        <v>44830</v>
      </c>
      <c r="C4919" s="4">
        <v>8534.7999999999993</v>
      </c>
      <c r="D4919">
        <f t="shared" si="156"/>
        <v>300.90307746727979</v>
      </c>
      <c r="E4919">
        <v>-3.6388885752673072E-2</v>
      </c>
      <c r="F4919">
        <v>4916</v>
      </c>
      <c r="G4919">
        <f t="shared" ca="1" si="157"/>
        <v>-1.7493255900354332E-2</v>
      </c>
    </row>
    <row r="4920" spans="2:7" x14ac:dyDescent="0.35">
      <c r="B4920" s="2">
        <v>38096</v>
      </c>
      <c r="C4920" s="4">
        <v>28.27</v>
      </c>
      <c r="D4920">
        <f t="shared" si="156"/>
        <v>-0.22949032433905692</v>
      </c>
      <c r="E4920">
        <v>-3.6468984321745057E-2</v>
      </c>
      <c r="F4920">
        <v>4917</v>
      </c>
      <c r="G4920">
        <f t="shared" ca="1" si="157"/>
        <v>-6.798744525673436E-3</v>
      </c>
    </row>
    <row r="4921" spans="2:7" x14ac:dyDescent="0.35">
      <c r="B4921" s="2">
        <v>37456</v>
      </c>
      <c r="C4921" s="4">
        <v>36.69</v>
      </c>
      <c r="D4921">
        <f t="shared" si="156"/>
        <v>2.6868178001679288E-2</v>
      </c>
      <c r="E4921">
        <v>-3.6502100840336116E-2</v>
      </c>
      <c r="F4921">
        <v>4918</v>
      </c>
      <c r="G4921">
        <f t="shared" ca="1" si="157"/>
        <v>4.5082721554772611E-3</v>
      </c>
    </row>
    <row r="4922" spans="2:7" x14ac:dyDescent="0.35">
      <c r="B4922" s="2">
        <v>37971</v>
      </c>
      <c r="C4922" s="4">
        <v>35.729999999999997</v>
      </c>
      <c r="D4922">
        <f t="shared" si="156"/>
        <v>-0.9529763236513431</v>
      </c>
      <c r="E4922">
        <v>-3.6667565381504619E-2</v>
      </c>
      <c r="F4922">
        <v>4919</v>
      </c>
      <c r="G4922">
        <f t="shared" ca="1" si="157"/>
        <v>-6.2370768223883669E-2</v>
      </c>
    </row>
    <row r="4923" spans="2:7" x14ac:dyDescent="0.35">
      <c r="B4923" s="2">
        <v>42957</v>
      </c>
      <c r="C4923" s="4">
        <v>759.83</v>
      </c>
      <c r="D4923">
        <f t="shared" si="156"/>
        <v>-9.9236550726699346E-2</v>
      </c>
      <c r="E4923">
        <v>-3.6677823419037359E-2</v>
      </c>
      <c r="F4923">
        <v>4920</v>
      </c>
      <c r="G4923">
        <f t="shared" ca="1" si="157"/>
        <v>1.1580940563216036E-3</v>
      </c>
    </row>
    <row r="4924" spans="2:7" x14ac:dyDescent="0.35">
      <c r="B4924" s="2">
        <v>43587</v>
      </c>
      <c r="C4924" s="4">
        <v>843.54</v>
      </c>
      <c r="D4924">
        <f t="shared" si="156"/>
        <v>6.3249392150052097</v>
      </c>
      <c r="E4924">
        <v>-3.6757904833681687E-2</v>
      </c>
      <c r="F4924">
        <v>4921</v>
      </c>
      <c r="G4924">
        <f t="shared" ca="1" si="157"/>
        <v>-3.7753637707690696E-3</v>
      </c>
    </row>
    <row r="4925" spans="2:7" x14ac:dyDescent="0.35">
      <c r="B4925" s="2">
        <v>39189</v>
      </c>
      <c r="C4925" s="4">
        <v>115.16</v>
      </c>
      <c r="D4925">
        <f t="shared" si="156"/>
        <v>2.0433403805496826</v>
      </c>
      <c r="E4925">
        <v>-3.6801605888256983E-2</v>
      </c>
      <c r="F4925">
        <v>4922</v>
      </c>
      <c r="G4925">
        <f t="shared" ca="1" si="157"/>
        <v>-4.0936382145117738E-2</v>
      </c>
    </row>
    <row r="4926" spans="2:7" x14ac:dyDescent="0.35">
      <c r="B4926" s="2">
        <v>37448</v>
      </c>
      <c r="C4926" s="4">
        <v>37.840000000000003</v>
      </c>
      <c r="D4926">
        <f t="shared" si="156"/>
        <v>-0.99345301535011832</v>
      </c>
      <c r="E4926">
        <v>-3.690506490201062E-2</v>
      </c>
      <c r="F4926">
        <v>4923</v>
      </c>
      <c r="G4926">
        <f t="shared" ca="1" si="157"/>
        <v>1.7772547326549395E-2</v>
      </c>
    </row>
    <row r="4927" spans="2:7" x14ac:dyDescent="0.35">
      <c r="B4927" s="2">
        <v>44494</v>
      </c>
      <c r="C4927" s="4">
        <v>5779.76</v>
      </c>
      <c r="D4927">
        <f t="shared" si="156"/>
        <v>64.694021368492841</v>
      </c>
      <c r="E4927">
        <v>-3.6984336183067068E-2</v>
      </c>
      <c r="F4927">
        <v>4924</v>
      </c>
      <c r="G4927">
        <f t="shared" ca="1" si="157"/>
        <v>5.2716704961861156E-2</v>
      </c>
    </row>
    <row r="4928" spans="2:7" x14ac:dyDescent="0.35">
      <c r="B4928" s="2">
        <v>40795</v>
      </c>
      <c r="C4928" s="4">
        <v>87.98</v>
      </c>
      <c r="D4928">
        <f t="shared" si="156"/>
        <v>-0.86551307724055704</v>
      </c>
      <c r="E4928">
        <v>-3.699649737302968E-2</v>
      </c>
      <c r="F4928">
        <v>4925</v>
      </c>
      <c r="G4928">
        <f t="shared" ca="1" si="157"/>
        <v>-9.1779002248168571E-3</v>
      </c>
    </row>
    <row r="4929" spans="2:7" x14ac:dyDescent="0.35">
      <c r="B4929" s="2">
        <v>43934</v>
      </c>
      <c r="C4929" s="4">
        <v>654.19000000000005</v>
      </c>
      <c r="D4929">
        <f t="shared" si="156"/>
        <v>22.745553539019966</v>
      </c>
      <c r="E4929">
        <v>-3.7021226484529102E-2</v>
      </c>
      <c r="F4929">
        <v>4926</v>
      </c>
      <c r="G4929">
        <f t="shared" ca="1" si="157"/>
        <v>-5.4404147294194339E-3</v>
      </c>
    </row>
    <row r="4930" spans="2:7" x14ac:dyDescent="0.35">
      <c r="B4930" s="2">
        <v>37945</v>
      </c>
      <c r="C4930" s="4">
        <v>27.55</v>
      </c>
      <c r="D4930">
        <f t="shared" si="156"/>
        <v>-0.70417695694190918</v>
      </c>
      <c r="E4930">
        <v>-3.704998252359315E-2</v>
      </c>
      <c r="F4930">
        <v>4927</v>
      </c>
      <c r="G4930">
        <f t="shared" ca="1" si="157"/>
        <v>1.6027146537979618E-2</v>
      </c>
    </row>
    <row r="4931" spans="2:7" x14ac:dyDescent="0.35">
      <c r="B4931" s="2">
        <v>40760</v>
      </c>
      <c r="C4931" s="4">
        <v>93.13</v>
      </c>
      <c r="D4931">
        <f t="shared" si="156"/>
        <v>-0.89709960775647757</v>
      </c>
      <c r="E4931">
        <v>-3.7117452440033172E-2</v>
      </c>
      <c r="F4931">
        <v>4928</v>
      </c>
      <c r="G4931">
        <f t="shared" ca="1" si="157"/>
        <v>3.550824221614607E-3</v>
      </c>
    </row>
    <row r="4932" spans="2:7" x14ac:dyDescent="0.35">
      <c r="B4932" s="2">
        <v>43137</v>
      </c>
      <c r="C4932" s="4">
        <v>905.05</v>
      </c>
      <c r="D4932">
        <f t="shared" ref="D4932:D4995" si="158">C4932/C4933-1</f>
        <v>12.220128542214432</v>
      </c>
      <c r="E4932">
        <v>-3.7201336141784225E-2</v>
      </c>
      <c r="F4932">
        <v>4929</v>
      </c>
      <c r="G4932">
        <f t="shared" ca="1" si="157"/>
        <v>2.569314723340518E-2</v>
      </c>
    </row>
    <row r="4933" spans="2:7" x14ac:dyDescent="0.35">
      <c r="B4933" s="2">
        <v>39560</v>
      </c>
      <c r="C4933" s="4">
        <v>68.459999999999994</v>
      </c>
      <c r="D4933">
        <f t="shared" si="158"/>
        <v>-0.42213218536338315</v>
      </c>
      <c r="E4933">
        <v>-3.7266207284488928E-2</v>
      </c>
      <c r="F4933">
        <v>4930</v>
      </c>
      <c r="G4933">
        <f t="shared" ref="G4933:G4996" ca="1" si="159">_xlfn.NORM.INV(RAND(),K$6,K$7)</f>
        <v>8.6347699348328002E-3</v>
      </c>
    </row>
    <row r="4934" spans="2:7" x14ac:dyDescent="0.35">
      <c r="B4934" s="2">
        <v>40550</v>
      </c>
      <c r="C4934" s="4">
        <v>118.47</v>
      </c>
      <c r="D4934">
        <f t="shared" si="158"/>
        <v>4.1020671834625322</v>
      </c>
      <c r="E4934">
        <v>-3.7298878595806939E-2</v>
      </c>
      <c r="F4934">
        <v>4931</v>
      </c>
      <c r="G4934">
        <f t="shared" ca="1" si="159"/>
        <v>-3.5999588033322621E-2</v>
      </c>
    </row>
    <row r="4935" spans="2:7" x14ac:dyDescent="0.35">
      <c r="B4935" s="2">
        <v>37684</v>
      </c>
      <c r="C4935" s="4">
        <v>23.22</v>
      </c>
      <c r="D4935">
        <f t="shared" si="158"/>
        <v>-0.95637880182600365</v>
      </c>
      <c r="E4935">
        <v>-3.7313432835821003E-2</v>
      </c>
      <c r="F4935">
        <v>4932</v>
      </c>
      <c r="G4935">
        <f t="shared" ca="1" si="159"/>
        <v>5.1602452943648163E-3</v>
      </c>
    </row>
    <row r="4936" spans="2:7" x14ac:dyDescent="0.35">
      <c r="B4936" s="2">
        <v>42184</v>
      </c>
      <c r="C4936" s="4">
        <v>532.30999999999995</v>
      </c>
      <c r="D4936">
        <f t="shared" si="158"/>
        <v>-0.92597223072087753</v>
      </c>
      <c r="E4936">
        <v>-3.7344473379629761E-2</v>
      </c>
      <c r="F4936">
        <v>4933</v>
      </c>
      <c r="G4936">
        <f t="shared" ca="1" si="159"/>
        <v>-5.5020326412149627E-3</v>
      </c>
    </row>
    <row r="4937" spans="2:7" x14ac:dyDescent="0.35">
      <c r="B4937" s="2">
        <v>44690</v>
      </c>
      <c r="C4937" s="4">
        <v>7190.68</v>
      </c>
      <c r="D4937">
        <f t="shared" si="158"/>
        <v>66.454784240150104</v>
      </c>
      <c r="E4937">
        <v>-3.7385792408249019E-2</v>
      </c>
      <c r="F4937">
        <v>4934</v>
      </c>
      <c r="G4937">
        <f t="shared" ca="1" si="159"/>
        <v>-2.2228167404364937E-2</v>
      </c>
    </row>
    <row r="4938" spans="2:7" x14ac:dyDescent="0.35">
      <c r="B4938" s="2">
        <v>39363</v>
      </c>
      <c r="C4938" s="4">
        <v>106.6</v>
      </c>
      <c r="D4938">
        <f t="shared" si="158"/>
        <v>-9.322898945219471E-2</v>
      </c>
      <c r="E4938">
        <v>-3.7558685446009488E-2</v>
      </c>
      <c r="F4938">
        <v>4935</v>
      </c>
      <c r="G4938">
        <f t="shared" ca="1" si="159"/>
        <v>5.250033526149815E-3</v>
      </c>
    </row>
    <row r="4939" spans="2:7" x14ac:dyDescent="0.35">
      <c r="B4939" s="2">
        <v>40198</v>
      </c>
      <c r="C4939" s="4">
        <v>117.56</v>
      </c>
      <c r="D4939">
        <f t="shared" si="158"/>
        <v>0.40891658676893572</v>
      </c>
      <c r="E4939">
        <v>-3.7576749897666795E-2</v>
      </c>
      <c r="F4939">
        <v>4936</v>
      </c>
      <c r="G4939">
        <f t="shared" ca="1" si="159"/>
        <v>1.6441514980311542E-3</v>
      </c>
    </row>
    <row r="4940" spans="2:7" x14ac:dyDescent="0.35">
      <c r="B4940" s="2">
        <v>38840</v>
      </c>
      <c r="C4940" s="4">
        <v>83.44</v>
      </c>
      <c r="D4940">
        <f t="shared" si="158"/>
        <v>-0.26074244706299288</v>
      </c>
      <c r="E4940">
        <v>-3.7600922722030083E-2</v>
      </c>
      <c r="F4940">
        <v>4937</v>
      </c>
      <c r="G4940">
        <f t="shared" ca="1" si="159"/>
        <v>4.2511740785371226E-2</v>
      </c>
    </row>
    <row r="4941" spans="2:7" x14ac:dyDescent="0.35">
      <c r="B4941" s="2">
        <v>39287</v>
      </c>
      <c r="C4941" s="4">
        <v>112.87</v>
      </c>
      <c r="D4941">
        <f t="shared" si="158"/>
        <v>3.0469702402294727</v>
      </c>
      <c r="E4941">
        <v>-3.7848435768476629E-2</v>
      </c>
      <c r="F4941">
        <v>4938</v>
      </c>
      <c r="G4941">
        <f t="shared" ca="1" si="159"/>
        <v>1.2331568443714186E-2</v>
      </c>
    </row>
    <row r="4942" spans="2:7" x14ac:dyDescent="0.35">
      <c r="B4942" s="2">
        <v>38107</v>
      </c>
      <c r="C4942" s="4">
        <v>27.89</v>
      </c>
      <c r="D4942">
        <f t="shared" si="158"/>
        <v>-0.89449194219565709</v>
      </c>
      <c r="E4942">
        <v>-3.7944118661607407E-2</v>
      </c>
      <c r="F4942">
        <v>4939</v>
      </c>
      <c r="G4942">
        <f t="shared" ca="1" si="159"/>
        <v>3.1788363880291964E-3</v>
      </c>
    </row>
    <row r="4943" spans="2:7" x14ac:dyDescent="0.35">
      <c r="B4943" s="2">
        <v>41898</v>
      </c>
      <c r="C4943" s="4">
        <v>264.33999999999997</v>
      </c>
      <c r="D4943">
        <f t="shared" si="158"/>
        <v>-0.76337155696395165</v>
      </c>
      <c r="E4943">
        <v>-3.8134051379084544E-2</v>
      </c>
      <c r="F4943">
        <v>4940</v>
      </c>
      <c r="G4943">
        <f t="shared" ca="1" si="159"/>
        <v>1.2267813765935108E-2</v>
      </c>
    </row>
    <row r="4944" spans="2:7" x14ac:dyDescent="0.35">
      <c r="B4944" s="2">
        <v>43369</v>
      </c>
      <c r="C4944" s="4">
        <v>1117.1099999999999</v>
      </c>
      <c r="D4944">
        <f t="shared" si="158"/>
        <v>1.0235667059143192</v>
      </c>
      <c r="E4944">
        <v>-3.8135009471327863E-2</v>
      </c>
      <c r="F4944">
        <v>4941</v>
      </c>
      <c r="G4944">
        <f t="shared" ca="1" si="159"/>
        <v>1.5838156385293359E-2</v>
      </c>
    </row>
    <row r="4945" spans="2:7" x14ac:dyDescent="0.35">
      <c r="B4945" s="2">
        <v>42683</v>
      </c>
      <c r="C4945" s="4">
        <v>552.04999999999995</v>
      </c>
      <c r="D4945">
        <f t="shared" si="158"/>
        <v>2.1309550816696912</v>
      </c>
      <c r="E4945">
        <v>-3.8206906163977927E-2</v>
      </c>
      <c r="F4945">
        <v>4942</v>
      </c>
      <c r="G4945">
        <f t="shared" ca="1" si="159"/>
        <v>2.692190040652365E-2</v>
      </c>
    </row>
    <row r="4946" spans="2:7" x14ac:dyDescent="0.35">
      <c r="B4946" s="2">
        <v>41646</v>
      </c>
      <c r="C4946" s="4">
        <v>176.32</v>
      </c>
      <c r="D4946">
        <f t="shared" si="158"/>
        <v>-0.33202000303076218</v>
      </c>
      <c r="E4946">
        <v>-3.8289516744845709E-2</v>
      </c>
      <c r="F4946">
        <v>4943</v>
      </c>
      <c r="G4946">
        <f t="shared" ca="1" si="159"/>
        <v>-3.3030984116847843E-3</v>
      </c>
    </row>
    <row r="4947" spans="2:7" x14ac:dyDescent="0.35">
      <c r="B4947" s="2">
        <v>41709</v>
      </c>
      <c r="C4947" s="4">
        <v>263.95999999999998</v>
      </c>
      <c r="D4947">
        <f t="shared" si="158"/>
        <v>2.8545560747663545</v>
      </c>
      <c r="E4947">
        <v>-3.8327018361993703E-2</v>
      </c>
      <c r="F4947">
        <v>4944</v>
      </c>
      <c r="G4947">
        <f t="shared" ca="1" si="159"/>
        <v>-1.9209709952972768E-3</v>
      </c>
    </row>
    <row r="4948" spans="2:7" x14ac:dyDescent="0.35">
      <c r="B4948" s="2">
        <v>38712</v>
      </c>
      <c r="C4948" s="4">
        <v>68.48</v>
      </c>
      <c r="D4948">
        <f t="shared" si="158"/>
        <v>-0.92485542790049491</v>
      </c>
      <c r="E4948">
        <v>-3.8337312175256155E-2</v>
      </c>
      <c r="F4948">
        <v>4945</v>
      </c>
      <c r="G4948">
        <f t="shared" ca="1" si="159"/>
        <v>4.648531486578307E-2</v>
      </c>
    </row>
    <row r="4949" spans="2:7" x14ac:dyDescent="0.35">
      <c r="B4949" s="2">
        <v>43382</v>
      </c>
      <c r="C4949" s="4">
        <v>911.31</v>
      </c>
      <c r="D4949">
        <f t="shared" si="158"/>
        <v>10.225794530672578</v>
      </c>
      <c r="E4949">
        <v>-3.8479393952183027E-2</v>
      </c>
      <c r="F4949">
        <v>4946</v>
      </c>
      <c r="G4949">
        <f t="shared" ca="1" si="159"/>
        <v>2.4440075378273666E-3</v>
      </c>
    </row>
    <row r="4950" spans="2:7" x14ac:dyDescent="0.35">
      <c r="B4950" s="2">
        <v>39029</v>
      </c>
      <c r="C4950" s="4">
        <v>81.180000000000007</v>
      </c>
      <c r="D4950">
        <f t="shared" si="158"/>
        <v>0.73870207753266248</v>
      </c>
      <c r="E4950">
        <v>-3.8493426507165696E-2</v>
      </c>
      <c r="F4950">
        <v>4947</v>
      </c>
      <c r="G4950">
        <f t="shared" ca="1" si="159"/>
        <v>-3.2983436252052342E-2</v>
      </c>
    </row>
    <row r="4951" spans="2:7" x14ac:dyDescent="0.35">
      <c r="B4951" s="2">
        <v>39724</v>
      </c>
      <c r="C4951" s="4">
        <v>46.69</v>
      </c>
      <c r="D4951">
        <f t="shared" si="158"/>
        <v>0.41828675577156726</v>
      </c>
      <c r="E4951">
        <v>-3.8509060955519092E-2</v>
      </c>
      <c r="F4951">
        <v>4948</v>
      </c>
      <c r="G4951">
        <f t="shared" ca="1" si="159"/>
        <v>3.4494848659552407E-2</v>
      </c>
    </row>
    <row r="4952" spans="2:7" x14ac:dyDescent="0.35">
      <c r="B4952" s="2">
        <v>37495</v>
      </c>
      <c r="C4952" s="4">
        <v>32.92</v>
      </c>
      <c r="D4952">
        <f t="shared" si="158"/>
        <v>-0.95847890521536228</v>
      </c>
      <c r="E4952">
        <v>-3.8551401869158841E-2</v>
      </c>
      <c r="F4952">
        <v>4949</v>
      </c>
      <c r="G4952">
        <f t="shared" ca="1" si="159"/>
        <v>-1.2332087818568144E-2</v>
      </c>
    </row>
    <row r="4953" spans="2:7" x14ac:dyDescent="0.35">
      <c r="B4953" s="2">
        <v>43661</v>
      </c>
      <c r="C4953" s="4">
        <v>792.85</v>
      </c>
      <c r="D4953">
        <f t="shared" si="158"/>
        <v>-0.35027739307869432</v>
      </c>
      <c r="E4953">
        <v>-3.8853194326584961E-2</v>
      </c>
      <c r="F4953">
        <v>4950</v>
      </c>
      <c r="G4953">
        <f t="shared" ca="1" si="159"/>
        <v>4.5129609033258689E-2</v>
      </c>
    </row>
    <row r="4954" spans="2:7" x14ac:dyDescent="0.35">
      <c r="B4954" s="2">
        <v>44096</v>
      </c>
      <c r="C4954" s="4">
        <v>1220.29</v>
      </c>
      <c r="D4954">
        <f t="shared" si="158"/>
        <v>43.117498192335503</v>
      </c>
      <c r="E4954">
        <v>-3.8854145334824564E-2</v>
      </c>
      <c r="F4954">
        <v>4951</v>
      </c>
      <c r="G4954">
        <f t="shared" ca="1" si="159"/>
        <v>-2.1389215014146938E-3</v>
      </c>
    </row>
    <row r="4955" spans="2:7" x14ac:dyDescent="0.35">
      <c r="B4955" s="2">
        <v>37939</v>
      </c>
      <c r="C4955" s="4">
        <v>27.66</v>
      </c>
      <c r="D4955">
        <f t="shared" si="158"/>
        <v>-0.48606465997770343</v>
      </c>
      <c r="E4955">
        <v>-3.8915913829048021E-2</v>
      </c>
      <c r="F4955">
        <v>4952</v>
      </c>
      <c r="G4955">
        <f t="shared" ca="1" si="159"/>
        <v>-1.3285945839187966E-3</v>
      </c>
    </row>
    <row r="4956" spans="2:7" x14ac:dyDescent="0.35">
      <c r="B4956" s="2">
        <v>39981</v>
      </c>
      <c r="C4956" s="4">
        <v>53.82</v>
      </c>
      <c r="D4956">
        <f t="shared" si="158"/>
        <v>-0.57658720793013929</v>
      </c>
      <c r="E4956">
        <v>-3.8928571428571423E-2</v>
      </c>
      <c r="F4956">
        <v>4953</v>
      </c>
      <c r="G4956">
        <f t="shared" ca="1" si="159"/>
        <v>-1.309032472584223E-2</v>
      </c>
    </row>
    <row r="4957" spans="2:7" x14ac:dyDescent="0.35">
      <c r="B4957" s="2">
        <v>40494</v>
      </c>
      <c r="C4957" s="4">
        <v>127.11</v>
      </c>
      <c r="D4957">
        <f t="shared" si="158"/>
        <v>0.27122712271227134</v>
      </c>
      <c r="E4957">
        <v>-3.893845455920153E-2</v>
      </c>
      <c r="F4957">
        <v>4954</v>
      </c>
      <c r="G4957">
        <f t="shared" ca="1" si="159"/>
        <v>-2.4140601371589968E-2</v>
      </c>
    </row>
    <row r="4958" spans="2:7" x14ac:dyDescent="0.35">
      <c r="B4958" s="2">
        <v>39133</v>
      </c>
      <c r="C4958" s="4">
        <v>99.99</v>
      </c>
      <c r="D4958">
        <f t="shared" si="158"/>
        <v>-0.93094231725509702</v>
      </c>
      <c r="E4958">
        <v>-3.9019702066314332E-2</v>
      </c>
      <c r="F4958">
        <v>4955</v>
      </c>
      <c r="G4958">
        <f t="shared" ca="1" si="159"/>
        <v>-1.6475413782998407E-2</v>
      </c>
    </row>
    <row r="4959" spans="2:7" x14ac:dyDescent="0.35">
      <c r="B4959" s="2">
        <v>44145</v>
      </c>
      <c r="C4959" s="4">
        <v>1447.92</v>
      </c>
      <c r="D4959">
        <f t="shared" si="158"/>
        <v>0.51483004299927804</v>
      </c>
      <c r="E4959">
        <v>-3.9037922932954494E-2</v>
      </c>
      <c r="F4959">
        <v>4956</v>
      </c>
      <c r="G4959">
        <f t="shared" ca="1" si="159"/>
        <v>3.0204127108603936E-3</v>
      </c>
    </row>
    <row r="4960" spans="2:7" x14ac:dyDescent="0.35">
      <c r="B4960" s="2">
        <v>42376</v>
      </c>
      <c r="C4960" s="4">
        <v>955.83</v>
      </c>
      <c r="D4960">
        <f t="shared" si="158"/>
        <v>11.638238794129315</v>
      </c>
      <c r="E4960">
        <v>-3.9086769008052635E-2</v>
      </c>
      <c r="F4960">
        <v>4957</v>
      </c>
      <c r="G4960">
        <f t="shared" ca="1" si="159"/>
        <v>3.0566530762727018E-2</v>
      </c>
    </row>
    <row r="4961" spans="2:7" x14ac:dyDescent="0.35">
      <c r="B4961" s="2">
        <v>41491</v>
      </c>
      <c r="C4961" s="4">
        <v>75.63</v>
      </c>
      <c r="D4961">
        <f t="shared" si="158"/>
        <v>-0.21570050814062025</v>
      </c>
      <c r="E4961">
        <v>-3.9253048780487854E-2</v>
      </c>
      <c r="F4961">
        <v>4958</v>
      </c>
      <c r="G4961">
        <f t="shared" ca="1" si="159"/>
        <v>5.5582368992565412E-2</v>
      </c>
    </row>
    <row r="4962" spans="2:7" x14ac:dyDescent="0.35">
      <c r="B4962" s="2">
        <v>41296</v>
      </c>
      <c r="C4962" s="4">
        <v>96.43</v>
      </c>
      <c r="D4962">
        <f t="shared" si="158"/>
        <v>2.0837863767189</v>
      </c>
      <c r="E4962">
        <v>-3.9254757397628737E-2</v>
      </c>
      <c r="F4962">
        <v>4959</v>
      </c>
      <c r="G4962">
        <f t="shared" ca="1" si="159"/>
        <v>-1.5033877602038982E-2</v>
      </c>
    </row>
    <row r="4963" spans="2:7" x14ac:dyDescent="0.35">
      <c r="B4963" s="2">
        <v>38016</v>
      </c>
      <c r="C4963" s="4">
        <v>31.27</v>
      </c>
      <c r="D4963">
        <f t="shared" si="158"/>
        <v>-0.99612997444322748</v>
      </c>
      <c r="E4963">
        <v>-3.9324116743471471E-2</v>
      </c>
      <c r="F4963">
        <v>4960</v>
      </c>
      <c r="G4963">
        <f t="shared" ca="1" si="159"/>
        <v>9.0866667511122542E-5</v>
      </c>
    </row>
    <row r="4964" spans="2:7" x14ac:dyDescent="0.35">
      <c r="B4964" s="2">
        <v>44706</v>
      </c>
      <c r="C4964" s="4">
        <v>8080.05</v>
      </c>
      <c r="D4964">
        <f t="shared" si="158"/>
        <v>109.80704882062534</v>
      </c>
      <c r="E4964">
        <v>-3.9751430262379261E-2</v>
      </c>
      <c r="F4964">
        <v>4961</v>
      </c>
      <c r="G4964">
        <f t="shared" ca="1" si="159"/>
        <v>-1.404676613316257E-3</v>
      </c>
    </row>
    <row r="4965" spans="2:7" x14ac:dyDescent="0.35">
      <c r="B4965" s="2">
        <v>39609</v>
      </c>
      <c r="C4965" s="4">
        <v>72.92</v>
      </c>
      <c r="D4965">
        <f t="shared" si="158"/>
        <v>-0.87222037254455287</v>
      </c>
      <c r="E4965">
        <v>-3.9768238082696805E-2</v>
      </c>
      <c r="F4965">
        <v>4962</v>
      </c>
      <c r="G4965">
        <f t="shared" ca="1" si="159"/>
        <v>-5.3936256972824748E-3</v>
      </c>
    </row>
    <row r="4966" spans="2:7" x14ac:dyDescent="0.35">
      <c r="B4966" s="2">
        <v>42111</v>
      </c>
      <c r="C4966" s="4">
        <v>570.66999999999996</v>
      </c>
      <c r="D4966">
        <f t="shared" si="158"/>
        <v>-0.24865377272787126</v>
      </c>
      <c r="E4966">
        <v>-4.0213259780012889E-2</v>
      </c>
      <c r="F4966">
        <v>4963</v>
      </c>
      <c r="G4966">
        <f t="shared" ca="1" si="159"/>
        <v>-2.4613259205132659E-2</v>
      </c>
    </row>
    <row r="4967" spans="2:7" x14ac:dyDescent="0.35">
      <c r="B4967" s="2">
        <v>43003</v>
      </c>
      <c r="C4967" s="4">
        <v>759.53</v>
      </c>
      <c r="D4967">
        <f t="shared" si="158"/>
        <v>11.404540258043443</v>
      </c>
      <c r="E4967">
        <v>-4.0246152290934867E-2</v>
      </c>
      <c r="F4967">
        <v>4964</v>
      </c>
      <c r="G4967">
        <f t="shared" ca="1" si="159"/>
        <v>3.1343467716757591E-2</v>
      </c>
    </row>
    <row r="4968" spans="2:7" x14ac:dyDescent="0.35">
      <c r="B4968" s="2">
        <v>39665</v>
      </c>
      <c r="C4968" s="4">
        <v>61.23</v>
      </c>
      <c r="D4968">
        <f t="shared" si="158"/>
        <v>-0.29515367790952007</v>
      </c>
      <c r="E4968">
        <v>-4.0282131661442011E-2</v>
      </c>
      <c r="F4968">
        <v>4965</v>
      </c>
      <c r="G4968">
        <f t="shared" ca="1" si="159"/>
        <v>3.6727457626909786E-2</v>
      </c>
    </row>
    <row r="4969" spans="2:7" x14ac:dyDescent="0.35">
      <c r="B4969" s="2">
        <v>40764</v>
      </c>
      <c r="C4969" s="4">
        <v>86.87</v>
      </c>
      <c r="D4969">
        <f t="shared" si="158"/>
        <v>2.0184155663655319</v>
      </c>
      <c r="E4969">
        <v>-4.0322580645161143E-2</v>
      </c>
      <c r="F4969">
        <v>4966</v>
      </c>
      <c r="G4969">
        <f t="shared" ca="1" si="159"/>
        <v>1.585529532066483E-2</v>
      </c>
    </row>
    <row r="4970" spans="2:7" x14ac:dyDescent="0.35">
      <c r="B4970" s="2">
        <v>39877</v>
      </c>
      <c r="C4970" s="4">
        <v>28.78</v>
      </c>
      <c r="D4970">
        <f t="shared" si="158"/>
        <v>-0.99614722990113724</v>
      </c>
      <c r="E4970">
        <v>-4.03467822607535E-2</v>
      </c>
      <c r="F4970">
        <v>4967</v>
      </c>
      <c r="G4970">
        <f t="shared" ca="1" si="159"/>
        <v>-7.8993929247798845E-3</v>
      </c>
    </row>
    <row r="4971" spans="2:7" x14ac:dyDescent="0.35">
      <c r="B4971" s="2">
        <v>44687</v>
      </c>
      <c r="C4971" s="4">
        <v>7469.95</v>
      </c>
      <c r="D4971">
        <f t="shared" si="158"/>
        <v>7.138086937574899</v>
      </c>
      <c r="E4971">
        <v>-4.0658623727611976E-2</v>
      </c>
      <c r="F4971">
        <v>4968</v>
      </c>
      <c r="G4971">
        <f t="shared" ca="1" si="159"/>
        <v>-7.0812359360381577E-2</v>
      </c>
    </row>
    <row r="4972" spans="2:7" x14ac:dyDescent="0.35">
      <c r="B4972" s="2">
        <v>43384</v>
      </c>
      <c r="C4972" s="4">
        <v>917.9</v>
      </c>
      <c r="D4972">
        <f t="shared" si="158"/>
        <v>16.364737041241014</v>
      </c>
      <c r="E4972">
        <v>-4.0676407265734515E-2</v>
      </c>
      <c r="F4972">
        <v>4969</v>
      </c>
      <c r="G4972">
        <f t="shared" ca="1" si="159"/>
        <v>-1.4189551619383999E-3</v>
      </c>
    </row>
    <row r="4973" spans="2:7" x14ac:dyDescent="0.35">
      <c r="B4973" s="2">
        <v>38275</v>
      </c>
      <c r="C4973" s="4">
        <v>52.86</v>
      </c>
      <c r="D4973">
        <f t="shared" si="158"/>
        <v>-0.9141994546162836</v>
      </c>
      <c r="E4973">
        <v>-4.0827436037016884E-2</v>
      </c>
      <c r="F4973">
        <v>4970</v>
      </c>
      <c r="G4973">
        <f t="shared" ca="1" si="159"/>
        <v>1.5471639571258708E-3</v>
      </c>
    </row>
    <row r="4974" spans="2:7" x14ac:dyDescent="0.35">
      <c r="B4974" s="2">
        <v>43725</v>
      </c>
      <c r="C4974" s="4">
        <v>616.08000000000004</v>
      </c>
      <c r="D4974">
        <f t="shared" si="158"/>
        <v>-0.24751749661060418</v>
      </c>
      <c r="E4974">
        <v>-4.0881776006476356E-2</v>
      </c>
      <c r="F4974">
        <v>4971</v>
      </c>
      <c r="G4974">
        <f t="shared" ca="1" si="159"/>
        <v>3.5467942940819149E-3</v>
      </c>
    </row>
    <row r="4975" spans="2:7" x14ac:dyDescent="0.35">
      <c r="B4975" s="2">
        <v>42412</v>
      </c>
      <c r="C4975" s="4">
        <v>818.73</v>
      </c>
      <c r="D4975">
        <f t="shared" si="158"/>
        <v>-0.8087459266267214</v>
      </c>
      <c r="E4975">
        <v>-4.1075193253689357E-2</v>
      </c>
      <c r="F4975">
        <v>4972</v>
      </c>
      <c r="G4975">
        <f t="shared" ca="1" si="159"/>
        <v>3.5139475000114844E-3</v>
      </c>
    </row>
    <row r="4976" spans="2:7" x14ac:dyDescent="0.35">
      <c r="B4976" s="2">
        <v>44393</v>
      </c>
      <c r="C4976" s="4">
        <v>4280.8500000000004</v>
      </c>
      <c r="D4976">
        <f t="shared" si="158"/>
        <v>3.8676445505713799</v>
      </c>
      <c r="E4976">
        <v>-4.1105556003547927E-2</v>
      </c>
      <c r="F4976">
        <v>4973</v>
      </c>
      <c r="G4976">
        <f t="shared" ca="1" si="159"/>
        <v>-2.3718237258936216E-3</v>
      </c>
    </row>
    <row r="4977" spans="2:7" x14ac:dyDescent="0.35">
      <c r="B4977" s="2">
        <v>42262</v>
      </c>
      <c r="C4977" s="4">
        <v>879.45</v>
      </c>
      <c r="D4977">
        <f t="shared" si="158"/>
        <v>8.5116807268007797</v>
      </c>
      <c r="E4977">
        <v>-4.1116053905534411E-2</v>
      </c>
      <c r="F4977">
        <v>4974</v>
      </c>
      <c r="G4977">
        <f t="shared" ca="1" si="159"/>
        <v>4.6654155184626279E-3</v>
      </c>
    </row>
    <row r="4978" spans="2:7" x14ac:dyDescent="0.35">
      <c r="B4978" s="2">
        <v>39458</v>
      </c>
      <c r="C4978" s="4">
        <v>92.46</v>
      </c>
      <c r="D4978">
        <f t="shared" si="158"/>
        <v>-4.5426388602106238E-2</v>
      </c>
      <c r="E4978">
        <v>-4.1269182911654934E-2</v>
      </c>
      <c r="F4978">
        <v>4975</v>
      </c>
      <c r="G4978">
        <f t="shared" ca="1" si="159"/>
        <v>-3.1929146968561681E-2</v>
      </c>
    </row>
    <row r="4979" spans="2:7" x14ac:dyDescent="0.35">
      <c r="B4979" s="2">
        <v>40583</v>
      </c>
      <c r="C4979" s="4">
        <v>96.86</v>
      </c>
      <c r="D4979">
        <f t="shared" si="158"/>
        <v>-0.88240578865578867</v>
      </c>
      <c r="E4979">
        <v>-4.1274868850836421E-2</v>
      </c>
      <c r="F4979">
        <v>4976</v>
      </c>
      <c r="G4979">
        <f t="shared" ca="1" si="159"/>
        <v>-4.5887483282129665E-3</v>
      </c>
    </row>
    <row r="4980" spans="2:7" x14ac:dyDescent="0.35">
      <c r="B4980" s="2">
        <v>43493</v>
      </c>
      <c r="C4980" s="4">
        <v>823.68</v>
      </c>
      <c r="D4980">
        <f t="shared" si="158"/>
        <v>10.792125984251969</v>
      </c>
      <c r="E4980">
        <v>-4.1307308216068983E-2</v>
      </c>
      <c r="F4980">
        <v>4977</v>
      </c>
      <c r="G4980">
        <f t="shared" ca="1" si="159"/>
        <v>-2.4655065881043461E-2</v>
      </c>
    </row>
    <row r="4981" spans="2:7" x14ac:dyDescent="0.35">
      <c r="B4981" s="2">
        <v>39645</v>
      </c>
      <c r="C4981" s="4">
        <v>69.849999999999994</v>
      </c>
      <c r="D4981">
        <f t="shared" si="158"/>
        <v>0.3605375925204517</v>
      </c>
      <c r="E4981">
        <v>-4.1443666803897439E-2</v>
      </c>
      <c r="F4981">
        <v>4978</v>
      </c>
      <c r="G4981">
        <f t="shared" ca="1" si="159"/>
        <v>-3.1276371017684212E-2</v>
      </c>
    </row>
    <row r="4982" spans="2:7" x14ac:dyDescent="0.35">
      <c r="B4982" s="2">
        <v>39954</v>
      </c>
      <c r="C4982" s="4">
        <v>51.34</v>
      </c>
      <c r="D4982">
        <f t="shared" si="158"/>
        <v>-0.89462016872267491</v>
      </c>
      <c r="E4982">
        <v>-4.1448842419716136E-2</v>
      </c>
      <c r="F4982">
        <v>4979</v>
      </c>
      <c r="G4982">
        <f t="shared" ca="1" si="159"/>
        <v>2.1977614243125224E-2</v>
      </c>
    </row>
    <row r="4983" spans="2:7" x14ac:dyDescent="0.35">
      <c r="B4983" s="2">
        <v>42163</v>
      </c>
      <c r="C4983" s="4">
        <v>487.19</v>
      </c>
      <c r="D4983">
        <f t="shared" si="158"/>
        <v>-0.93886289169901149</v>
      </c>
      <c r="E4983">
        <v>-4.1511735426626561E-2</v>
      </c>
      <c r="F4983">
        <v>4980</v>
      </c>
      <c r="G4983">
        <f t="shared" ca="1" si="159"/>
        <v>-2.1517960627001023E-2</v>
      </c>
    </row>
    <row r="4984" spans="2:7" x14ac:dyDescent="0.35">
      <c r="B4984" s="2">
        <v>44676</v>
      </c>
      <c r="C4984" s="4">
        <v>7968.81</v>
      </c>
      <c r="D4984">
        <f t="shared" si="158"/>
        <v>10.69922482896321</v>
      </c>
      <c r="E4984">
        <v>-4.1709307149771724E-2</v>
      </c>
      <c r="F4984">
        <v>4981</v>
      </c>
      <c r="G4984">
        <f t="shared" ca="1" si="159"/>
        <v>4.9642916698734635E-2</v>
      </c>
    </row>
    <row r="4985" spans="2:7" x14ac:dyDescent="0.35">
      <c r="B4985" s="2">
        <v>43665</v>
      </c>
      <c r="C4985" s="4">
        <v>681.14</v>
      </c>
      <c r="D4985">
        <f t="shared" si="158"/>
        <v>10.499915583319265</v>
      </c>
      <c r="E4985">
        <v>-4.1795034114088803E-2</v>
      </c>
      <c r="F4985">
        <v>4982</v>
      </c>
      <c r="G4985">
        <f t="shared" ca="1" si="159"/>
        <v>4.426337955337678E-2</v>
      </c>
    </row>
    <row r="4986" spans="2:7" x14ac:dyDescent="0.35">
      <c r="B4986" s="2">
        <v>38457</v>
      </c>
      <c r="C4986" s="4">
        <v>59.23</v>
      </c>
      <c r="D4986">
        <f t="shared" si="158"/>
        <v>-0.2554368321810182</v>
      </c>
      <c r="E4986">
        <v>-4.1895826593335572E-2</v>
      </c>
      <c r="F4986">
        <v>4983</v>
      </c>
      <c r="G4986">
        <f t="shared" ca="1" si="159"/>
        <v>3.5507596760834988E-3</v>
      </c>
    </row>
    <row r="4987" spans="2:7" x14ac:dyDescent="0.35">
      <c r="B4987" s="2">
        <v>40781</v>
      </c>
      <c r="C4987" s="4">
        <v>79.55</v>
      </c>
      <c r="D4987">
        <f t="shared" si="158"/>
        <v>-0.86498183916629889</v>
      </c>
      <c r="E4987">
        <v>-4.2027938342967364E-2</v>
      </c>
      <c r="F4987">
        <v>4984</v>
      </c>
      <c r="G4987">
        <f t="shared" ca="1" si="159"/>
        <v>3.5467888858381091E-2</v>
      </c>
    </row>
    <row r="4988" spans="2:7" x14ac:dyDescent="0.35">
      <c r="B4988" s="2">
        <v>43699</v>
      </c>
      <c r="C4988" s="4">
        <v>589.17999999999995</v>
      </c>
      <c r="D4988">
        <f t="shared" si="158"/>
        <v>13.995673199287349</v>
      </c>
      <c r="E4988">
        <v>-4.2295188556567109E-2</v>
      </c>
      <c r="F4988">
        <v>4985</v>
      </c>
      <c r="G4988">
        <f t="shared" ca="1" si="159"/>
        <v>1.8359487955810643E-2</v>
      </c>
    </row>
    <row r="4989" spans="2:7" x14ac:dyDescent="0.35">
      <c r="B4989" s="2">
        <v>37447</v>
      </c>
      <c r="C4989" s="4">
        <v>39.29</v>
      </c>
      <c r="D4989">
        <f t="shared" si="158"/>
        <v>-0.95568513777196284</v>
      </c>
      <c r="E4989">
        <v>-4.2407994150621575E-2</v>
      </c>
      <c r="F4989">
        <v>4986</v>
      </c>
      <c r="G4989">
        <f t="shared" ca="1" si="159"/>
        <v>1.3774571341274806E-2</v>
      </c>
    </row>
    <row r="4990" spans="2:7" x14ac:dyDescent="0.35">
      <c r="B4990" s="2">
        <v>42382</v>
      </c>
      <c r="C4990" s="4">
        <v>886.61</v>
      </c>
      <c r="D4990">
        <f t="shared" si="158"/>
        <v>26.398331273176762</v>
      </c>
      <c r="E4990">
        <v>-4.2455071712458881E-2</v>
      </c>
      <c r="F4990">
        <v>4987</v>
      </c>
      <c r="G4990">
        <f t="shared" ca="1" si="159"/>
        <v>-1.9718424261115815E-2</v>
      </c>
    </row>
    <row r="4991" spans="2:7" x14ac:dyDescent="0.35">
      <c r="B4991" s="2">
        <v>37960</v>
      </c>
      <c r="C4991" s="4">
        <v>32.36</v>
      </c>
      <c r="D4991">
        <f t="shared" si="158"/>
        <v>-0.3294653957728968</v>
      </c>
      <c r="E4991">
        <v>-4.2603550295857939E-2</v>
      </c>
      <c r="F4991">
        <v>4988</v>
      </c>
      <c r="G4991">
        <f t="shared" ca="1" si="159"/>
        <v>-3.2889116609514421E-2</v>
      </c>
    </row>
    <row r="4992" spans="2:7" x14ac:dyDescent="0.35">
      <c r="B4992" s="2">
        <v>39720</v>
      </c>
      <c r="C4992" s="4">
        <v>48.26</v>
      </c>
      <c r="D4992">
        <f t="shared" si="158"/>
        <v>-0.24095627555835164</v>
      </c>
      <c r="E4992">
        <v>-4.28401428004761E-2</v>
      </c>
      <c r="F4992">
        <v>4989</v>
      </c>
      <c r="G4992">
        <f t="shared" ca="1" si="159"/>
        <v>-2.8367515716577488E-2</v>
      </c>
    </row>
    <row r="4993" spans="2:7" x14ac:dyDescent="0.35">
      <c r="B4993" s="2">
        <v>38874</v>
      </c>
      <c r="C4993" s="4">
        <v>63.58</v>
      </c>
      <c r="D4993">
        <f t="shared" si="158"/>
        <v>-0.31810381810381805</v>
      </c>
      <c r="E4993">
        <v>-4.2902303176275858E-2</v>
      </c>
      <c r="F4993">
        <v>4990</v>
      </c>
      <c r="G4993">
        <f t="shared" ca="1" si="159"/>
        <v>2.9048746989870321E-2</v>
      </c>
    </row>
    <row r="4994" spans="2:7" x14ac:dyDescent="0.35">
      <c r="B4994" s="2">
        <v>40161</v>
      </c>
      <c r="C4994" s="4">
        <v>93.24</v>
      </c>
      <c r="D4994">
        <f t="shared" si="158"/>
        <v>-0.9031836022677715</v>
      </c>
      <c r="E4994">
        <v>-4.31034482758621E-2</v>
      </c>
      <c r="F4994">
        <v>4991</v>
      </c>
      <c r="G4994">
        <f t="shared" ca="1" si="159"/>
        <v>7.6861898483984517E-3</v>
      </c>
    </row>
    <row r="4995" spans="2:7" x14ac:dyDescent="0.35">
      <c r="B4995" s="2">
        <v>42236</v>
      </c>
      <c r="C4995" s="4">
        <v>963.06</v>
      </c>
      <c r="D4995">
        <f t="shared" si="158"/>
        <v>0.29120746520794771</v>
      </c>
      <c r="E4995">
        <v>-4.3273529236454777E-2</v>
      </c>
      <c r="F4995">
        <v>4992</v>
      </c>
      <c r="G4995">
        <f t="shared" ca="1" si="159"/>
        <v>-1.4116346965305301E-2</v>
      </c>
    </row>
    <row r="4996" spans="2:7" x14ac:dyDescent="0.35">
      <c r="B4996" s="2">
        <v>43955</v>
      </c>
      <c r="C4996" s="4">
        <v>745.86</v>
      </c>
      <c r="D4996">
        <f t="shared" ref="D4996:D5059" si="160">C4996/C4997-1</f>
        <v>-0.87317786487336657</v>
      </c>
      <c r="E4996">
        <v>-4.3278604412519295E-2</v>
      </c>
      <c r="F4996">
        <v>4993</v>
      </c>
      <c r="G4996">
        <f t="shared" ca="1" si="159"/>
        <v>-2.1720638449780127E-2</v>
      </c>
    </row>
    <row r="4997" spans="2:7" x14ac:dyDescent="0.35">
      <c r="B4997" s="2">
        <v>44490</v>
      </c>
      <c r="C4997" s="4">
        <v>5881.15</v>
      </c>
      <c r="D4997">
        <f t="shared" si="160"/>
        <v>35.438351920693925</v>
      </c>
      <c r="E4997">
        <v>-4.3332780266578275E-2</v>
      </c>
      <c r="F4997">
        <v>4994</v>
      </c>
      <c r="G4997">
        <f t="shared" ref="G4997:G5060" ca="1" si="161">_xlfn.NORM.INV(RAND(),K$6,K$7)</f>
        <v>-1.4863401957156415E-2</v>
      </c>
    </row>
    <row r="4998" spans="2:7" x14ac:dyDescent="0.35">
      <c r="B4998" s="2">
        <v>41656</v>
      </c>
      <c r="C4998" s="4">
        <v>161.4</v>
      </c>
      <c r="D4998">
        <f t="shared" si="160"/>
        <v>1.203112203112203</v>
      </c>
      <c r="E4998">
        <v>-4.3442185740532158E-2</v>
      </c>
      <c r="F4998">
        <v>4995</v>
      </c>
      <c r="G4998">
        <f t="shared" ca="1" si="161"/>
        <v>-2.4400792253268105E-2</v>
      </c>
    </row>
    <row r="4999" spans="2:7" x14ac:dyDescent="0.35">
      <c r="B4999" s="2">
        <v>39477</v>
      </c>
      <c r="C4999" s="4">
        <v>73.260000000000005</v>
      </c>
      <c r="D4999">
        <f t="shared" si="160"/>
        <v>-0.40564660068148628</v>
      </c>
      <c r="E4999">
        <v>-4.3478260869565188E-2</v>
      </c>
      <c r="F4999">
        <v>4996</v>
      </c>
      <c r="G4999">
        <f t="shared" ca="1" si="161"/>
        <v>-5.6180019778901108E-2</v>
      </c>
    </row>
    <row r="5000" spans="2:7" x14ac:dyDescent="0.35">
      <c r="B5000" s="2">
        <v>40498</v>
      </c>
      <c r="C5000" s="4">
        <v>123.26</v>
      </c>
      <c r="D5000">
        <f t="shared" si="160"/>
        <v>0.45628544423440465</v>
      </c>
      <c r="E5000">
        <v>-4.360645561762877E-2</v>
      </c>
      <c r="F5000">
        <v>4997</v>
      </c>
      <c r="G5000">
        <f t="shared" ca="1" si="161"/>
        <v>5.3659338842245982E-2</v>
      </c>
    </row>
    <row r="5001" spans="2:7" x14ac:dyDescent="0.35">
      <c r="B5001" s="2">
        <v>41333</v>
      </c>
      <c r="C5001" s="4">
        <v>84.64</v>
      </c>
      <c r="D5001">
        <f t="shared" si="160"/>
        <v>1.4669192655202563</v>
      </c>
      <c r="E5001">
        <v>-4.42637759710931E-2</v>
      </c>
      <c r="F5001">
        <v>4998</v>
      </c>
      <c r="G5001">
        <f t="shared" ca="1" si="161"/>
        <v>2.8501518791484506E-2</v>
      </c>
    </row>
    <row r="5002" spans="2:7" x14ac:dyDescent="0.35">
      <c r="B5002" s="2">
        <v>37965</v>
      </c>
      <c r="C5002" s="4">
        <v>34.31</v>
      </c>
      <c r="D5002">
        <f t="shared" si="160"/>
        <v>-0.97809697085767178</v>
      </c>
      <c r="E5002">
        <v>-4.4289693593314694E-2</v>
      </c>
      <c r="F5002">
        <v>4999</v>
      </c>
      <c r="G5002">
        <f t="shared" ca="1" si="161"/>
        <v>-4.7949540184013775E-2</v>
      </c>
    </row>
    <row r="5003" spans="2:7" x14ac:dyDescent="0.35">
      <c r="B5003" s="2">
        <v>44132</v>
      </c>
      <c r="C5003" s="4">
        <v>1566.45</v>
      </c>
      <c r="D5003">
        <f t="shared" si="160"/>
        <v>2.2323263587965831</v>
      </c>
      <c r="E5003">
        <v>-4.4562094772218508E-2</v>
      </c>
      <c r="F5003">
        <v>5000</v>
      </c>
      <c r="G5003">
        <f t="shared" ca="1" si="161"/>
        <v>-8.4400078794063717E-3</v>
      </c>
    </row>
    <row r="5004" spans="2:7" x14ac:dyDescent="0.35">
      <c r="B5004" s="2">
        <v>42166</v>
      </c>
      <c r="C5004" s="4">
        <v>484.62</v>
      </c>
      <c r="D5004">
        <f t="shared" si="160"/>
        <v>6.2634892086330938</v>
      </c>
      <c r="E5004">
        <v>-4.465077769235315E-2</v>
      </c>
      <c r="F5004">
        <v>5001</v>
      </c>
      <c r="G5004">
        <f t="shared" ca="1" si="161"/>
        <v>1.5360445960440989E-2</v>
      </c>
    </row>
    <row r="5005" spans="2:7" x14ac:dyDescent="0.35">
      <c r="B5005" s="2">
        <v>38762</v>
      </c>
      <c r="C5005" s="4">
        <v>66.72</v>
      </c>
      <c r="D5005">
        <f t="shared" si="160"/>
        <v>-0.99341930711379611</v>
      </c>
      <c r="E5005">
        <v>-4.4673539518900407E-2</v>
      </c>
      <c r="F5005">
        <v>5002</v>
      </c>
      <c r="G5005">
        <f t="shared" ca="1" si="161"/>
        <v>2.2830573109676202E-2</v>
      </c>
    </row>
    <row r="5006" spans="2:7" x14ac:dyDescent="0.35">
      <c r="B5006" s="2">
        <v>44792</v>
      </c>
      <c r="C5006" s="4">
        <v>10138.75</v>
      </c>
      <c r="D5006">
        <f t="shared" si="160"/>
        <v>128.28780923233867</v>
      </c>
      <c r="E5006">
        <v>-4.4789267157520851E-2</v>
      </c>
      <c r="F5006">
        <v>5003</v>
      </c>
      <c r="G5006">
        <f t="shared" ca="1" si="161"/>
        <v>2.3522169630412364E-2</v>
      </c>
    </row>
    <row r="5007" spans="2:7" x14ac:dyDescent="0.35">
      <c r="B5007" s="2">
        <v>40870</v>
      </c>
      <c r="C5007" s="4">
        <v>78.42</v>
      </c>
      <c r="D5007">
        <f t="shared" si="160"/>
        <v>-0.36625181832875375</v>
      </c>
      <c r="E5007">
        <v>-4.4823386114494435E-2</v>
      </c>
      <c r="F5007">
        <v>5004</v>
      </c>
      <c r="G5007">
        <f t="shared" ca="1" si="161"/>
        <v>2.8646343850684746E-2</v>
      </c>
    </row>
    <row r="5008" spans="2:7" x14ac:dyDescent="0.35">
      <c r="B5008" s="2">
        <v>40266</v>
      </c>
      <c r="C5008" s="4">
        <v>123.74</v>
      </c>
      <c r="D5008">
        <f t="shared" si="160"/>
        <v>4.8728049359278591</v>
      </c>
      <c r="E5008">
        <v>-4.4847549208799853E-2</v>
      </c>
      <c r="F5008">
        <v>5005</v>
      </c>
      <c r="G5008">
        <f t="shared" ca="1" si="161"/>
        <v>9.1174667245987173E-3</v>
      </c>
    </row>
    <row r="5009" spans="2:7" x14ac:dyDescent="0.35">
      <c r="B5009" s="2">
        <v>37711</v>
      </c>
      <c r="C5009" s="4">
        <v>21.07</v>
      </c>
      <c r="D5009">
        <f t="shared" si="160"/>
        <v>-0.69525600231414519</v>
      </c>
      <c r="E5009">
        <v>-4.4877606527651825E-2</v>
      </c>
      <c r="F5009">
        <v>5006</v>
      </c>
      <c r="G5009">
        <f t="shared" ca="1" si="161"/>
        <v>1.6499244328750554E-2</v>
      </c>
    </row>
    <row r="5010" spans="2:7" x14ac:dyDescent="0.35">
      <c r="B5010" s="2">
        <v>38826</v>
      </c>
      <c r="C5010" s="4">
        <v>69.14</v>
      </c>
      <c r="D5010">
        <f t="shared" si="160"/>
        <v>-0.25254054054054054</v>
      </c>
      <c r="E5010">
        <v>-4.4895703826495326E-2</v>
      </c>
      <c r="F5010">
        <v>5007</v>
      </c>
      <c r="G5010">
        <f t="shared" ca="1" si="161"/>
        <v>7.6860814211939642E-3</v>
      </c>
    </row>
    <row r="5011" spans="2:7" x14ac:dyDescent="0.35">
      <c r="B5011" s="2">
        <v>40584</v>
      </c>
      <c r="C5011" s="4">
        <v>92.5</v>
      </c>
      <c r="D5011">
        <f t="shared" si="160"/>
        <v>6.6405349319806461E-2</v>
      </c>
      <c r="E5011">
        <v>-4.5013421432996026E-2</v>
      </c>
      <c r="F5011">
        <v>5008</v>
      </c>
      <c r="G5011">
        <f t="shared" ca="1" si="161"/>
        <v>-1.9483806399629971E-2</v>
      </c>
    </row>
    <row r="5012" spans="2:7" x14ac:dyDescent="0.35">
      <c r="B5012" s="2">
        <v>40808</v>
      </c>
      <c r="C5012" s="4">
        <v>86.74</v>
      </c>
      <c r="D5012">
        <f t="shared" si="160"/>
        <v>-0.90954690025548779</v>
      </c>
      <c r="E5012">
        <v>-4.5134302069572918E-2</v>
      </c>
      <c r="F5012">
        <v>5009</v>
      </c>
      <c r="G5012">
        <f t="shared" ca="1" si="161"/>
        <v>-1.2742348802072669E-2</v>
      </c>
    </row>
    <row r="5013" spans="2:7" x14ac:dyDescent="0.35">
      <c r="B5013" s="2">
        <v>43878</v>
      </c>
      <c r="C5013" s="4">
        <v>958.95</v>
      </c>
      <c r="D5013">
        <f t="shared" si="160"/>
        <v>9.1820981100021228</v>
      </c>
      <c r="E5013">
        <v>-4.584937763051844E-2</v>
      </c>
      <c r="F5013">
        <v>5010</v>
      </c>
      <c r="G5013">
        <f t="shared" ca="1" si="161"/>
        <v>1.5363336047243617E-2</v>
      </c>
    </row>
    <row r="5014" spans="2:7" x14ac:dyDescent="0.35">
      <c r="B5014" s="2">
        <v>40598</v>
      </c>
      <c r="C5014" s="4">
        <v>94.18</v>
      </c>
      <c r="D5014">
        <f t="shared" si="160"/>
        <v>-0.11209578580182888</v>
      </c>
      <c r="E5014">
        <v>-4.598865478119929E-2</v>
      </c>
      <c r="F5014">
        <v>5011</v>
      </c>
      <c r="G5014">
        <f t="shared" ca="1" si="161"/>
        <v>1.2706546982438014E-2</v>
      </c>
    </row>
    <row r="5015" spans="2:7" x14ac:dyDescent="0.35">
      <c r="B5015" s="2">
        <v>39290</v>
      </c>
      <c r="C5015" s="4">
        <v>106.07</v>
      </c>
      <c r="D5015">
        <f t="shared" si="160"/>
        <v>1.7422440537745603</v>
      </c>
      <c r="E5015">
        <v>-4.6047306412447253E-2</v>
      </c>
      <c r="F5015">
        <v>5012</v>
      </c>
      <c r="G5015">
        <f t="shared" ca="1" si="161"/>
        <v>7.597475619922997E-2</v>
      </c>
    </row>
    <row r="5016" spans="2:7" x14ac:dyDescent="0.35">
      <c r="B5016" s="2">
        <v>37985</v>
      </c>
      <c r="C5016" s="4">
        <v>38.68</v>
      </c>
      <c r="D5016">
        <f t="shared" si="160"/>
        <v>-0.85898651111921254</v>
      </c>
      <c r="E5016">
        <v>-4.6115906288532571E-2</v>
      </c>
      <c r="F5016">
        <v>5013</v>
      </c>
      <c r="G5016">
        <f t="shared" ca="1" si="161"/>
        <v>-2.8495022334839176E-2</v>
      </c>
    </row>
    <row r="5017" spans="2:7" x14ac:dyDescent="0.35">
      <c r="B5017" s="2">
        <v>41907</v>
      </c>
      <c r="C5017" s="4">
        <v>274.3</v>
      </c>
      <c r="D5017">
        <f t="shared" si="160"/>
        <v>1.7424515096980606</v>
      </c>
      <c r="E5017">
        <v>-4.6178454690868564E-2</v>
      </c>
      <c r="F5017">
        <v>5014</v>
      </c>
      <c r="G5017">
        <f t="shared" ca="1" si="161"/>
        <v>4.096796918005683E-2</v>
      </c>
    </row>
    <row r="5018" spans="2:7" x14ac:dyDescent="0.35">
      <c r="B5018" s="2">
        <v>39122</v>
      </c>
      <c r="C5018" s="4">
        <v>100.02</v>
      </c>
      <c r="D5018">
        <f t="shared" si="160"/>
        <v>1.2461262070514261</v>
      </c>
      <c r="E5018">
        <v>-4.6338672768878708E-2</v>
      </c>
      <c r="F5018">
        <v>5015</v>
      </c>
      <c r="G5018">
        <f t="shared" ca="1" si="161"/>
        <v>3.4989428657838967E-2</v>
      </c>
    </row>
    <row r="5019" spans="2:7" x14ac:dyDescent="0.35">
      <c r="B5019" s="2">
        <v>39728</v>
      </c>
      <c r="C5019" s="4">
        <v>44.53</v>
      </c>
      <c r="D5019">
        <f t="shared" si="160"/>
        <v>0.30242761041240152</v>
      </c>
      <c r="E5019">
        <v>-4.6670948405052481E-2</v>
      </c>
      <c r="F5019">
        <v>5016</v>
      </c>
      <c r="G5019">
        <f t="shared" ca="1" si="161"/>
        <v>-2.2754848481893797E-2</v>
      </c>
    </row>
    <row r="5020" spans="2:7" x14ac:dyDescent="0.35">
      <c r="B5020" s="2">
        <v>39748</v>
      </c>
      <c r="C5020" s="4">
        <v>34.19</v>
      </c>
      <c r="D5020">
        <f t="shared" si="160"/>
        <v>-0.84762456546929321</v>
      </c>
      <c r="E5020">
        <v>-4.6835795929746293E-2</v>
      </c>
      <c r="F5020">
        <v>5017</v>
      </c>
      <c r="G5020">
        <f t="shared" ca="1" si="161"/>
        <v>-1.8804576443503827E-2</v>
      </c>
    </row>
    <row r="5021" spans="2:7" x14ac:dyDescent="0.35">
      <c r="B5021" s="2">
        <v>41768</v>
      </c>
      <c r="C5021" s="4">
        <v>224.38</v>
      </c>
      <c r="D5021">
        <f t="shared" si="160"/>
        <v>0.92040397124272499</v>
      </c>
      <c r="E5021">
        <v>-4.6854424196083433E-2</v>
      </c>
      <c r="F5021">
        <v>5018</v>
      </c>
      <c r="G5021">
        <f t="shared" ca="1" si="161"/>
        <v>4.4326690628100872E-2</v>
      </c>
    </row>
    <row r="5022" spans="2:7" x14ac:dyDescent="0.35">
      <c r="B5022" s="2">
        <v>39239</v>
      </c>
      <c r="C5022" s="4">
        <v>116.84</v>
      </c>
      <c r="D5022">
        <f t="shared" si="160"/>
        <v>2.7174673878460069</v>
      </c>
      <c r="E5022">
        <v>-4.6982055464926509E-2</v>
      </c>
      <c r="F5022">
        <v>5019</v>
      </c>
      <c r="G5022">
        <f t="shared" ca="1" si="161"/>
        <v>-1.1196691205472618E-3</v>
      </c>
    </row>
    <row r="5023" spans="2:7" x14ac:dyDescent="0.35">
      <c r="B5023" s="2">
        <v>38152</v>
      </c>
      <c r="C5023" s="4">
        <v>31.43</v>
      </c>
      <c r="D5023">
        <f t="shared" si="160"/>
        <v>-0.71090875643855778</v>
      </c>
      <c r="E5023">
        <v>-4.6998180715585147E-2</v>
      </c>
      <c r="F5023">
        <v>5020</v>
      </c>
      <c r="G5023">
        <f t="shared" ca="1" si="161"/>
        <v>1.0389204150946978E-2</v>
      </c>
    </row>
    <row r="5024" spans="2:7" x14ac:dyDescent="0.35">
      <c r="B5024" s="2">
        <v>40476</v>
      </c>
      <c r="C5024" s="4">
        <v>108.72</v>
      </c>
      <c r="D5024">
        <f t="shared" si="160"/>
        <v>3.0521803950801347</v>
      </c>
      <c r="E5024">
        <v>-4.7151621384750153E-2</v>
      </c>
      <c r="F5024">
        <v>5021</v>
      </c>
      <c r="G5024">
        <f t="shared" ca="1" si="161"/>
        <v>-2.148508215689824E-3</v>
      </c>
    </row>
    <row r="5025" spans="2:7" x14ac:dyDescent="0.35">
      <c r="B5025" s="2">
        <v>37813</v>
      </c>
      <c r="C5025" s="4">
        <v>26.83</v>
      </c>
      <c r="D5025">
        <f t="shared" si="160"/>
        <v>-0.73566502463054184</v>
      </c>
      <c r="E5025">
        <v>-4.7230113636363646E-2</v>
      </c>
      <c r="F5025">
        <v>5022</v>
      </c>
      <c r="G5025">
        <f t="shared" ca="1" si="161"/>
        <v>5.3116968733363495E-2</v>
      </c>
    </row>
    <row r="5026" spans="2:7" x14ac:dyDescent="0.35">
      <c r="B5026" s="2">
        <v>40521</v>
      </c>
      <c r="C5026" s="4">
        <v>101.5</v>
      </c>
      <c r="D5026">
        <f t="shared" si="160"/>
        <v>1.8069690265486726</v>
      </c>
      <c r="E5026">
        <v>-4.7395588925387089E-2</v>
      </c>
      <c r="F5026">
        <v>5023</v>
      </c>
      <c r="G5026">
        <f t="shared" ca="1" si="161"/>
        <v>-3.347289826169534E-2</v>
      </c>
    </row>
    <row r="5027" spans="2:7" x14ac:dyDescent="0.35">
      <c r="B5027" s="2">
        <v>38002</v>
      </c>
      <c r="C5027" s="4">
        <v>36.159999999999997</v>
      </c>
      <c r="D5027">
        <f t="shared" si="160"/>
        <v>3.4620886981401755E-2</v>
      </c>
      <c r="E5027">
        <v>-4.7418335089568053E-2</v>
      </c>
      <c r="F5027">
        <v>5024</v>
      </c>
      <c r="G5027">
        <f t="shared" ca="1" si="161"/>
        <v>3.7996536247608161E-3</v>
      </c>
    </row>
    <row r="5028" spans="2:7" x14ac:dyDescent="0.35">
      <c r="B5028" s="2">
        <v>37461</v>
      </c>
      <c r="C5028" s="4">
        <v>34.950000000000003</v>
      </c>
      <c r="D5028">
        <f t="shared" si="160"/>
        <v>0.32036267472610525</v>
      </c>
      <c r="E5028">
        <v>-4.7424366312346589E-2</v>
      </c>
      <c r="F5028">
        <v>5025</v>
      </c>
      <c r="G5028">
        <f t="shared" ca="1" si="161"/>
        <v>-9.0896063667027203E-3</v>
      </c>
    </row>
    <row r="5029" spans="2:7" x14ac:dyDescent="0.35">
      <c r="B5029" s="2">
        <v>37882</v>
      </c>
      <c r="C5029" s="4">
        <v>26.47</v>
      </c>
      <c r="D5029">
        <f t="shared" si="160"/>
        <v>-0.96068617258280109</v>
      </c>
      <c r="E5029">
        <v>-4.7499100395825833E-2</v>
      </c>
      <c r="F5029">
        <v>5026</v>
      </c>
      <c r="G5029">
        <f t="shared" ca="1" si="161"/>
        <v>1.0062603288112188E-2</v>
      </c>
    </row>
    <row r="5030" spans="2:7" x14ac:dyDescent="0.35">
      <c r="B5030" s="2">
        <v>42878</v>
      </c>
      <c r="C5030" s="4">
        <v>673.3</v>
      </c>
      <c r="D5030">
        <f t="shared" si="160"/>
        <v>-0.54860855049242097</v>
      </c>
      <c r="E5030">
        <v>-4.7544949144869952E-2</v>
      </c>
      <c r="F5030">
        <v>5027</v>
      </c>
      <c r="G5030">
        <f t="shared" ca="1" si="161"/>
        <v>6.8154986644546767E-3</v>
      </c>
    </row>
    <row r="5031" spans="2:7" x14ac:dyDescent="0.35">
      <c r="B5031" s="2">
        <v>44133</v>
      </c>
      <c r="C5031" s="4">
        <v>1491.61</v>
      </c>
      <c r="D5031">
        <f t="shared" si="160"/>
        <v>0.59920447722789238</v>
      </c>
      <c r="E5031">
        <v>-4.7776820198538239E-2</v>
      </c>
      <c r="F5031">
        <v>5028</v>
      </c>
      <c r="G5031">
        <f t="shared" ca="1" si="161"/>
        <v>-1.1575584898266343E-2</v>
      </c>
    </row>
    <row r="5032" spans="2:7" x14ac:dyDescent="0.35">
      <c r="B5032" s="2">
        <v>43390</v>
      </c>
      <c r="C5032" s="4">
        <v>932.72</v>
      </c>
      <c r="D5032">
        <f t="shared" si="160"/>
        <v>15.360638484476407</v>
      </c>
      <c r="E5032">
        <v>-4.7807666785768865E-2</v>
      </c>
      <c r="F5032">
        <v>5029</v>
      </c>
      <c r="G5032">
        <f t="shared" ca="1" si="161"/>
        <v>4.4499958305216421E-2</v>
      </c>
    </row>
    <row r="5033" spans="2:7" x14ac:dyDescent="0.35">
      <c r="B5033" s="2">
        <v>39969</v>
      </c>
      <c r="C5033" s="4">
        <v>57.01</v>
      </c>
      <c r="D5033">
        <f t="shared" si="160"/>
        <v>-6.4489661962586098E-2</v>
      </c>
      <c r="E5033">
        <v>-4.7929191716766906E-2</v>
      </c>
      <c r="F5033">
        <v>5030</v>
      </c>
      <c r="G5033">
        <f t="shared" ca="1" si="161"/>
        <v>6.9023835986606691E-2</v>
      </c>
    </row>
    <row r="5034" spans="2:7" x14ac:dyDescent="0.35">
      <c r="B5034" s="2">
        <v>39524</v>
      </c>
      <c r="C5034" s="4">
        <v>60.94</v>
      </c>
      <c r="D5034">
        <f t="shared" si="160"/>
        <v>-0.86530810715232964</v>
      </c>
      <c r="E5034">
        <v>-4.7961256053741685E-2</v>
      </c>
      <c r="F5034">
        <v>5031</v>
      </c>
      <c r="G5034">
        <f t="shared" ca="1" si="161"/>
        <v>-1.652726989603015E-3</v>
      </c>
    </row>
    <row r="5035" spans="2:7" x14ac:dyDescent="0.35">
      <c r="B5035" s="2">
        <v>42121</v>
      </c>
      <c r="C5035" s="4">
        <v>452.44</v>
      </c>
      <c r="D5035">
        <f t="shared" si="160"/>
        <v>3.2747543461829176</v>
      </c>
      <c r="E5035">
        <v>-4.8436284097840065E-2</v>
      </c>
      <c r="F5035">
        <v>5032</v>
      </c>
      <c r="G5035">
        <f t="shared" ca="1" si="161"/>
        <v>4.2409953119833171E-2</v>
      </c>
    </row>
    <row r="5036" spans="2:7" x14ac:dyDescent="0.35">
      <c r="B5036" s="2">
        <v>40385</v>
      </c>
      <c r="C5036" s="4">
        <v>105.84</v>
      </c>
      <c r="D5036">
        <f t="shared" si="160"/>
        <v>0.87327433628318585</v>
      </c>
      <c r="E5036">
        <v>-4.8629213483146083E-2</v>
      </c>
      <c r="F5036">
        <v>5033</v>
      </c>
      <c r="G5036">
        <f t="shared" ca="1" si="161"/>
        <v>2.7637868926144327E-2</v>
      </c>
    </row>
    <row r="5037" spans="2:7" x14ac:dyDescent="0.35">
      <c r="B5037" s="2">
        <v>38461</v>
      </c>
      <c r="C5037" s="4">
        <v>56.5</v>
      </c>
      <c r="D5037">
        <f t="shared" si="160"/>
        <v>0.68154761904761907</v>
      </c>
      <c r="E5037">
        <v>-4.8661390806533089E-2</v>
      </c>
      <c r="F5037">
        <v>5034</v>
      </c>
      <c r="G5037">
        <f t="shared" ca="1" si="161"/>
        <v>4.194504932644013E-2</v>
      </c>
    </row>
    <row r="5038" spans="2:7" x14ac:dyDescent="0.35">
      <c r="B5038" s="2">
        <v>38176</v>
      </c>
      <c r="C5038" s="4">
        <v>33.6</v>
      </c>
      <c r="D5038">
        <f t="shared" si="160"/>
        <v>-0.59257911967988353</v>
      </c>
      <c r="E5038">
        <v>-4.8966883668270511E-2</v>
      </c>
      <c r="F5038">
        <v>5035</v>
      </c>
      <c r="G5038">
        <f t="shared" ca="1" si="161"/>
        <v>1.238492125201052E-2</v>
      </c>
    </row>
    <row r="5039" spans="2:7" x14ac:dyDescent="0.35">
      <c r="B5039" s="2">
        <v>40771</v>
      </c>
      <c r="C5039" s="4">
        <v>82.47</v>
      </c>
      <c r="D5039">
        <f t="shared" si="160"/>
        <v>2.8645735707591378</v>
      </c>
      <c r="E5039">
        <v>-4.9008302583025798E-2</v>
      </c>
      <c r="F5039">
        <v>5036</v>
      </c>
      <c r="G5039">
        <f t="shared" ca="1" si="161"/>
        <v>1.9453801945361393E-2</v>
      </c>
    </row>
    <row r="5040" spans="2:7" x14ac:dyDescent="0.35">
      <c r="B5040" s="2">
        <v>37741</v>
      </c>
      <c r="C5040" s="4">
        <v>21.34</v>
      </c>
      <c r="D5040">
        <f t="shared" si="160"/>
        <v>-0.80800719748088168</v>
      </c>
      <c r="E5040">
        <v>-4.9019607843137303E-2</v>
      </c>
      <c r="F5040">
        <v>5037</v>
      </c>
      <c r="G5040">
        <f t="shared" ca="1" si="161"/>
        <v>-2.9554623101420593E-2</v>
      </c>
    </row>
    <row r="5041" spans="2:7" x14ac:dyDescent="0.35">
      <c r="B5041" s="2">
        <v>40561</v>
      </c>
      <c r="C5041" s="4">
        <v>111.15</v>
      </c>
      <c r="D5041">
        <f t="shared" si="160"/>
        <v>-0.79938271604938271</v>
      </c>
      <c r="E5041">
        <v>-4.9024640657084118E-2</v>
      </c>
      <c r="F5041">
        <v>5038</v>
      </c>
      <c r="G5041">
        <f t="shared" ca="1" si="161"/>
        <v>2.9575738368602195E-2</v>
      </c>
    </row>
    <row r="5042" spans="2:7" x14ac:dyDescent="0.35">
      <c r="B5042" s="2">
        <v>42076</v>
      </c>
      <c r="C5042" s="4">
        <v>554.04</v>
      </c>
      <c r="D5042">
        <f t="shared" si="160"/>
        <v>4.6824615384615385</v>
      </c>
      <c r="E5042">
        <v>-4.9201146367833126E-2</v>
      </c>
      <c r="F5042">
        <v>5039</v>
      </c>
      <c r="G5042">
        <f t="shared" ca="1" si="161"/>
        <v>5.1548598975223918E-3</v>
      </c>
    </row>
    <row r="5043" spans="2:7" x14ac:dyDescent="0.35">
      <c r="B5043" s="2">
        <v>39143</v>
      </c>
      <c r="C5043" s="4">
        <v>97.5</v>
      </c>
      <c r="D5043">
        <f t="shared" si="160"/>
        <v>3.0506855006231826</v>
      </c>
      <c r="E5043">
        <v>-4.9244271087274472E-2</v>
      </c>
      <c r="F5043">
        <v>5040</v>
      </c>
      <c r="G5043">
        <f t="shared" ca="1" si="161"/>
        <v>5.9779029909013688E-2</v>
      </c>
    </row>
    <row r="5044" spans="2:7" x14ac:dyDescent="0.35">
      <c r="B5044" s="2">
        <v>38068</v>
      </c>
      <c r="C5044" s="4">
        <v>24.07</v>
      </c>
      <c r="D5044">
        <f t="shared" si="160"/>
        <v>-0.34787320509347053</v>
      </c>
      <c r="E5044">
        <v>-4.9368088467614535E-2</v>
      </c>
      <c r="F5044">
        <v>5041</v>
      </c>
      <c r="G5044">
        <f t="shared" ca="1" si="161"/>
        <v>-4.935274377007783E-4</v>
      </c>
    </row>
    <row r="5045" spans="2:7" x14ac:dyDescent="0.35">
      <c r="B5045" s="2">
        <v>39731</v>
      </c>
      <c r="C5045" s="4">
        <v>36.909999999999997</v>
      </c>
      <c r="D5045">
        <f t="shared" si="160"/>
        <v>-0.96327472811756865</v>
      </c>
      <c r="E5045">
        <v>-4.9446304403811481E-2</v>
      </c>
      <c r="F5045">
        <v>5042</v>
      </c>
      <c r="G5045">
        <f t="shared" ca="1" si="161"/>
        <v>-2.0414076794771772E-2</v>
      </c>
    </row>
    <row r="5046" spans="2:7" x14ac:dyDescent="0.35">
      <c r="B5046" s="2">
        <v>43875</v>
      </c>
      <c r="C5046" s="4">
        <v>1005.03</v>
      </c>
      <c r="D5046">
        <f t="shared" si="160"/>
        <v>0.30218968644726618</v>
      </c>
      <c r="E5046">
        <v>-4.9670940655849316E-2</v>
      </c>
      <c r="F5046">
        <v>5043</v>
      </c>
      <c r="G5046">
        <f t="shared" ca="1" si="161"/>
        <v>-3.3752762152120391E-3</v>
      </c>
    </row>
    <row r="5047" spans="2:7" x14ac:dyDescent="0.35">
      <c r="B5047" s="2">
        <v>42426</v>
      </c>
      <c r="C5047" s="4">
        <v>771.8</v>
      </c>
      <c r="D5047">
        <f t="shared" si="160"/>
        <v>25.251700680272108</v>
      </c>
      <c r="E5047">
        <v>-4.9764842037871571E-2</v>
      </c>
      <c r="F5047">
        <v>5044</v>
      </c>
      <c r="G5047">
        <f t="shared" ca="1" si="161"/>
        <v>-2.9914496186424092E-3</v>
      </c>
    </row>
    <row r="5048" spans="2:7" x14ac:dyDescent="0.35">
      <c r="B5048" s="2">
        <v>37908</v>
      </c>
      <c r="C5048" s="4">
        <v>29.4</v>
      </c>
      <c r="D5048">
        <f t="shared" si="160"/>
        <v>-0.69765528589058001</v>
      </c>
      <c r="E5048">
        <v>-4.9773755656108642E-2</v>
      </c>
      <c r="F5048">
        <v>5045</v>
      </c>
      <c r="G5048">
        <f t="shared" ca="1" si="161"/>
        <v>4.2227415451745798E-2</v>
      </c>
    </row>
    <row r="5049" spans="2:7" x14ac:dyDescent="0.35">
      <c r="B5049" s="2">
        <v>39422</v>
      </c>
      <c r="C5049" s="4">
        <v>97.24</v>
      </c>
      <c r="D5049">
        <f t="shared" si="160"/>
        <v>0.7029772329246935</v>
      </c>
      <c r="E5049">
        <v>-4.9833887043189473E-2</v>
      </c>
      <c r="F5049">
        <v>5046</v>
      </c>
      <c r="G5049">
        <f t="shared" ca="1" si="161"/>
        <v>-1.5880448967170707E-2</v>
      </c>
    </row>
    <row r="5050" spans="2:7" x14ac:dyDescent="0.35">
      <c r="B5050" s="2">
        <v>39706</v>
      </c>
      <c r="C5050" s="4">
        <v>57.1</v>
      </c>
      <c r="D5050">
        <f t="shared" si="160"/>
        <v>-0.39875750236916918</v>
      </c>
      <c r="E5050">
        <v>-5.0390819890237859E-2</v>
      </c>
      <c r="F5050">
        <v>5047</v>
      </c>
      <c r="G5050">
        <f t="shared" ca="1" si="161"/>
        <v>1.2428405721075347E-2</v>
      </c>
    </row>
    <row r="5051" spans="2:7" x14ac:dyDescent="0.35">
      <c r="B5051" s="2">
        <v>39125</v>
      </c>
      <c r="C5051" s="4">
        <v>94.97</v>
      </c>
      <c r="D5051">
        <f t="shared" si="160"/>
        <v>2.1281291172595522</v>
      </c>
      <c r="E5051">
        <v>-5.0489902019596022E-2</v>
      </c>
      <c r="F5051">
        <v>5048</v>
      </c>
      <c r="G5051">
        <f t="shared" ca="1" si="161"/>
        <v>3.6417774198900972E-3</v>
      </c>
    </row>
    <row r="5052" spans="2:7" x14ac:dyDescent="0.35">
      <c r="B5052" s="2">
        <v>37593</v>
      </c>
      <c r="C5052" s="4">
        <v>30.36</v>
      </c>
      <c r="D5052">
        <f t="shared" si="160"/>
        <v>-0.21671826625386992</v>
      </c>
      <c r="E5052">
        <v>-5.0656660412757959E-2</v>
      </c>
      <c r="F5052">
        <v>5049</v>
      </c>
      <c r="G5052">
        <f t="shared" ca="1" si="161"/>
        <v>1.199668115894199E-2</v>
      </c>
    </row>
    <row r="5053" spans="2:7" x14ac:dyDescent="0.35">
      <c r="B5053" s="2">
        <v>39744</v>
      </c>
      <c r="C5053" s="4">
        <v>38.76</v>
      </c>
      <c r="D5053">
        <f t="shared" si="160"/>
        <v>-0.48885665303969406</v>
      </c>
      <c r="E5053">
        <v>-5.0698016164584914E-2</v>
      </c>
      <c r="F5053">
        <v>5050</v>
      </c>
      <c r="G5053">
        <f t="shared" ca="1" si="161"/>
        <v>-4.3249248204661389E-2</v>
      </c>
    </row>
    <row r="5054" spans="2:7" x14ac:dyDescent="0.35">
      <c r="B5054" s="2">
        <v>41450</v>
      </c>
      <c r="C5054" s="4">
        <v>75.83</v>
      </c>
      <c r="D5054">
        <f t="shared" si="160"/>
        <v>-0.99145177745086432</v>
      </c>
      <c r="E5054">
        <v>-5.0938673341677232E-2</v>
      </c>
      <c r="F5054">
        <v>5051</v>
      </c>
      <c r="G5054">
        <f t="shared" ca="1" si="161"/>
        <v>8.4264872846799531E-3</v>
      </c>
    </row>
    <row r="5055" spans="2:7" x14ac:dyDescent="0.35">
      <c r="B5055" s="2">
        <v>44802</v>
      </c>
      <c r="C5055" s="4">
        <v>8870.85</v>
      </c>
      <c r="D5055">
        <f t="shared" si="160"/>
        <v>88.468986384266259</v>
      </c>
      <c r="E5055">
        <v>-5.1144507433950159E-2</v>
      </c>
      <c r="F5055">
        <v>5052</v>
      </c>
      <c r="G5055">
        <f t="shared" ca="1" si="161"/>
        <v>-1.1872837365626903E-2</v>
      </c>
    </row>
    <row r="5056" spans="2:7" x14ac:dyDescent="0.35">
      <c r="B5056" s="2">
        <v>39385</v>
      </c>
      <c r="C5056" s="4">
        <v>99.15</v>
      </c>
      <c r="D5056">
        <f t="shared" si="160"/>
        <v>-0.88433136177510241</v>
      </c>
      <c r="E5056">
        <v>-5.1196172248803795E-2</v>
      </c>
      <c r="F5056">
        <v>5053</v>
      </c>
      <c r="G5056">
        <f t="shared" ca="1" si="161"/>
        <v>4.163098271911031E-2</v>
      </c>
    </row>
    <row r="5057" spans="2:7" x14ac:dyDescent="0.35">
      <c r="B5057" s="2">
        <v>43889</v>
      </c>
      <c r="C5057" s="4">
        <v>857.19</v>
      </c>
      <c r="D5057">
        <f t="shared" si="160"/>
        <v>7.7602452733776204</v>
      </c>
      <c r="E5057">
        <v>-5.1214220884156392E-2</v>
      </c>
      <c r="F5057">
        <v>5054</v>
      </c>
      <c r="G5057">
        <f t="shared" ca="1" si="161"/>
        <v>-1.6834293195173159E-2</v>
      </c>
    </row>
    <row r="5058" spans="2:7" x14ac:dyDescent="0.35">
      <c r="B5058" s="2">
        <v>39136</v>
      </c>
      <c r="C5058" s="4">
        <v>97.85</v>
      </c>
      <c r="D5058">
        <f t="shared" si="160"/>
        <v>-0.61768383214815969</v>
      </c>
      <c r="E5058">
        <v>-5.1381483276781492E-2</v>
      </c>
      <c r="F5058">
        <v>5055</v>
      </c>
      <c r="G5058">
        <f t="shared" ca="1" si="161"/>
        <v>4.5754518628270844E-3</v>
      </c>
    </row>
    <row r="5059" spans="2:7" x14ac:dyDescent="0.35">
      <c r="B5059" s="2">
        <v>41989</v>
      </c>
      <c r="C5059" s="4">
        <v>255.94</v>
      </c>
      <c r="D5059">
        <f t="shared" si="160"/>
        <v>-0.83314100934238233</v>
      </c>
      <c r="E5059">
        <v>-5.1512007115327552E-2</v>
      </c>
      <c r="F5059">
        <v>5056</v>
      </c>
      <c r="G5059">
        <f t="shared" ca="1" si="161"/>
        <v>-4.4920212701564932E-2</v>
      </c>
    </row>
    <row r="5060" spans="2:7" x14ac:dyDescent="0.35">
      <c r="B5060" s="2">
        <v>44186</v>
      </c>
      <c r="C5060" s="4">
        <v>1533.87</v>
      </c>
      <c r="D5060">
        <f t="shared" ref="D5060:D5123" si="162">C5060/C5061-1</f>
        <v>0.6053901303050917</v>
      </c>
      <c r="E5060">
        <v>-5.1679794245298227E-2</v>
      </c>
      <c r="F5060">
        <v>5057</v>
      </c>
      <c r="G5060">
        <f t="shared" ca="1" si="161"/>
        <v>6.2273101156160929E-2</v>
      </c>
    </row>
    <row r="5061" spans="2:7" x14ac:dyDescent="0.35">
      <c r="B5061" s="2">
        <v>43894</v>
      </c>
      <c r="C5061" s="4">
        <v>955.45</v>
      </c>
      <c r="D5061">
        <f t="shared" si="162"/>
        <v>-0.82326969106184311</v>
      </c>
      <c r="E5061">
        <v>-5.1935423054406127E-2</v>
      </c>
      <c r="F5061">
        <v>5058</v>
      </c>
      <c r="G5061">
        <f t="shared" ref="G5061:G5124" ca="1" si="163">_xlfn.NORM.INV(RAND(),K$6,K$7)</f>
        <v>-9.1428492401129675E-3</v>
      </c>
    </row>
    <row r="5062" spans="2:7" x14ac:dyDescent="0.35">
      <c r="B5062" s="2">
        <v>44550</v>
      </c>
      <c r="C5062" s="4">
        <v>5406.26</v>
      </c>
      <c r="D5062">
        <f t="shared" si="162"/>
        <v>3.987554776511832</v>
      </c>
      <c r="E5062">
        <v>-5.21319868153447E-2</v>
      </c>
      <c r="F5062">
        <v>5059</v>
      </c>
      <c r="G5062">
        <f t="shared" ca="1" si="163"/>
        <v>3.412405186850943E-3</v>
      </c>
    </row>
    <row r="5063" spans="2:7" x14ac:dyDescent="0.35">
      <c r="B5063" s="2">
        <v>43224</v>
      </c>
      <c r="C5063" s="4">
        <v>1083.95</v>
      </c>
      <c r="D5063">
        <f t="shared" si="162"/>
        <v>3.7115969747022515</v>
      </c>
      <c r="E5063">
        <v>-5.2267580635289801E-2</v>
      </c>
      <c r="F5063">
        <v>5060</v>
      </c>
      <c r="G5063">
        <f t="shared" ca="1" si="163"/>
        <v>8.319296660179094E-3</v>
      </c>
    </row>
    <row r="5064" spans="2:7" x14ac:dyDescent="0.35">
      <c r="B5064" s="2">
        <v>41803</v>
      </c>
      <c r="C5064" s="4">
        <v>230.06</v>
      </c>
      <c r="D5064">
        <f t="shared" si="162"/>
        <v>-0.71653523903400695</v>
      </c>
      <c r="E5064">
        <v>-5.2315043664524552E-2</v>
      </c>
      <c r="F5064">
        <v>5061</v>
      </c>
      <c r="G5064">
        <f t="shared" ca="1" si="163"/>
        <v>1.0210418138776964E-2</v>
      </c>
    </row>
    <row r="5065" spans="2:7" x14ac:dyDescent="0.35">
      <c r="B5065" s="2">
        <v>42251</v>
      </c>
      <c r="C5065" s="4">
        <v>811.6</v>
      </c>
      <c r="D5065">
        <f t="shared" si="162"/>
        <v>18.877541023757043</v>
      </c>
      <c r="E5065">
        <v>-5.2334135120618352E-2</v>
      </c>
      <c r="F5065">
        <v>5062</v>
      </c>
      <c r="G5065">
        <f t="shared" ca="1" si="163"/>
        <v>-1.5790393635308337E-2</v>
      </c>
    </row>
    <row r="5066" spans="2:7" x14ac:dyDescent="0.35">
      <c r="B5066" s="2">
        <v>39743</v>
      </c>
      <c r="C5066" s="4">
        <v>40.83</v>
      </c>
      <c r="D5066">
        <f t="shared" si="162"/>
        <v>-0.95013312489313373</v>
      </c>
      <c r="E5066">
        <v>-5.2448363889533667E-2</v>
      </c>
      <c r="F5066">
        <v>5063</v>
      </c>
      <c r="G5066">
        <f t="shared" ca="1" si="163"/>
        <v>-5.1271988349844066E-4</v>
      </c>
    </row>
    <row r="5067" spans="2:7" x14ac:dyDescent="0.35">
      <c r="B5067" s="2">
        <v>42424</v>
      </c>
      <c r="C5067" s="4">
        <v>818.78</v>
      </c>
      <c r="D5067">
        <f t="shared" si="162"/>
        <v>7.4332063034298077</v>
      </c>
      <c r="E5067">
        <v>-5.2699779019587556E-2</v>
      </c>
      <c r="F5067">
        <v>5064</v>
      </c>
      <c r="G5067">
        <f t="shared" ca="1" si="163"/>
        <v>-2.8844812830450189E-2</v>
      </c>
    </row>
    <row r="5068" spans="2:7" x14ac:dyDescent="0.35">
      <c r="B5068" s="2">
        <v>39174</v>
      </c>
      <c r="C5068" s="4">
        <v>97.09</v>
      </c>
      <c r="D5068">
        <f t="shared" si="162"/>
        <v>0.11597701149425288</v>
      </c>
      <c r="E5068">
        <v>-5.2780487804877985E-2</v>
      </c>
      <c r="F5068">
        <v>5065</v>
      </c>
      <c r="G5068">
        <f t="shared" ca="1" si="163"/>
        <v>-1.5373855165991355E-2</v>
      </c>
    </row>
    <row r="5069" spans="2:7" x14ac:dyDescent="0.35">
      <c r="B5069" s="2">
        <v>41353</v>
      </c>
      <c r="C5069" s="4">
        <v>87</v>
      </c>
      <c r="D5069">
        <f t="shared" si="162"/>
        <v>0.66093928980526906</v>
      </c>
      <c r="E5069">
        <v>-5.2803483941208484E-2</v>
      </c>
      <c r="F5069">
        <v>5066</v>
      </c>
      <c r="G5069">
        <f t="shared" ca="1" si="163"/>
        <v>1.8343964472467791E-2</v>
      </c>
    </row>
    <row r="5070" spans="2:7" x14ac:dyDescent="0.35">
      <c r="B5070" s="2">
        <v>39709</v>
      </c>
      <c r="C5070" s="4">
        <v>52.38</v>
      </c>
      <c r="D5070">
        <f t="shared" si="162"/>
        <v>-0.46860099421730739</v>
      </c>
      <c r="E5070">
        <v>-5.297414572410053E-2</v>
      </c>
      <c r="F5070">
        <v>5067</v>
      </c>
      <c r="G5070">
        <f t="shared" ca="1" si="163"/>
        <v>5.8247571661936781E-2</v>
      </c>
    </row>
    <row r="5071" spans="2:7" x14ac:dyDescent="0.35">
      <c r="B5071" s="2">
        <v>39455</v>
      </c>
      <c r="C5071" s="4">
        <v>98.57</v>
      </c>
      <c r="D5071">
        <f t="shared" si="162"/>
        <v>-0.95771233922795096</v>
      </c>
      <c r="E5071">
        <v>-5.3031030838697424E-2</v>
      </c>
      <c r="F5071">
        <v>5068</v>
      </c>
      <c r="G5071">
        <f t="shared" ca="1" si="163"/>
        <v>-1.8378570603288975E-2</v>
      </c>
    </row>
    <row r="5072" spans="2:7" x14ac:dyDescent="0.35">
      <c r="B5072" s="2">
        <v>44211</v>
      </c>
      <c r="C5072" s="4">
        <v>2330.94</v>
      </c>
      <c r="D5072">
        <f t="shared" si="162"/>
        <v>-0.72607823482198153</v>
      </c>
      <c r="E5072">
        <v>-5.3148534800022795E-2</v>
      </c>
      <c r="F5072">
        <v>5069</v>
      </c>
      <c r="G5072">
        <f t="shared" ca="1" si="163"/>
        <v>1.7030376681054456E-2</v>
      </c>
    </row>
    <row r="5073" spans="2:7" x14ac:dyDescent="0.35">
      <c r="B5073" s="2">
        <v>44649</v>
      </c>
      <c r="C5073" s="4">
        <v>8509.51</v>
      </c>
      <c r="D5073">
        <f t="shared" si="162"/>
        <v>91.204030772564735</v>
      </c>
      <c r="E5073">
        <v>-5.3416628567551028E-2</v>
      </c>
      <c r="F5073">
        <v>5070</v>
      </c>
      <c r="G5073">
        <f t="shared" ca="1" si="163"/>
        <v>-8.7881019170165248E-3</v>
      </c>
    </row>
    <row r="5074" spans="2:7" x14ac:dyDescent="0.35">
      <c r="B5074" s="2">
        <v>39146</v>
      </c>
      <c r="C5074" s="4">
        <v>92.29</v>
      </c>
      <c r="D5074">
        <f t="shared" si="162"/>
        <v>-0.23493326701483863</v>
      </c>
      <c r="E5074">
        <v>-5.3435897435897384E-2</v>
      </c>
      <c r="F5074">
        <v>5071</v>
      </c>
      <c r="G5074">
        <f t="shared" ca="1" si="163"/>
        <v>-9.698254347312172E-3</v>
      </c>
    </row>
    <row r="5075" spans="2:7" x14ac:dyDescent="0.35">
      <c r="B5075" s="2">
        <v>39232</v>
      </c>
      <c r="C5075" s="4">
        <v>120.63</v>
      </c>
      <c r="D5075">
        <f t="shared" si="162"/>
        <v>0.2815255497715925</v>
      </c>
      <c r="E5075">
        <v>-5.3659684631678028E-2</v>
      </c>
      <c r="F5075">
        <v>5072</v>
      </c>
      <c r="G5075">
        <f t="shared" ca="1" si="163"/>
        <v>-4.5250636935666791E-2</v>
      </c>
    </row>
    <row r="5076" spans="2:7" x14ac:dyDescent="0.35">
      <c r="B5076" s="2">
        <v>40323</v>
      </c>
      <c r="C5076" s="4">
        <v>94.13</v>
      </c>
      <c r="D5076">
        <f t="shared" si="162"/>
        <v>-0.89603490170090572</v>
      </c>
      <c r="E5076">
        <v>-5.3969849246231161E-2</v>
      </c>
      <c r="F5076">
        <v>5073</v>
      </c>
      <c r="G5076">
        <f t="shared" ca="1" si="163"/>
        <v>2.118115684077625E-2</v>
      </c>
    </row>
    <row r="5077" spans="2:7" x14ac:dyDescent="0.35">
      <c r="B5077" s="2">
        <v>43899</v>
      </c>
      <c r="C5077" s="4">
        <v>905.4</v>
      </c>
      <c r="D5077">
        <f t="shared" si="162"/>
        <v>0.81548394858735551</v>
      </c>
      <c r="E5077">
        <v>-5.4116172168825805E-2</v>
      </c>
      <c r="F5077">
        <v>5074</v>
      </c>
      <c r="G5077">
        <f t="shared" ca="1" si="163"/>
        <v>-1.7063737834008103E-3</v>
      </c>
    </row>
    <row r="5078" spans="2:7" x14ac:dyDescent="0.35">
      <c r="B5078" s="2">
        <v>42689</v>
      </c>
      <c r="C5078" s="4">
        <v>498.71</v>
      </c>
      <c r="D5078">
        <f t="shared" si="162"/>
        <v>5.4052144875417412</v>
      </c>
      <c r="E5078">
        <v>-5.421960933055181E-2</v>
      </c>
      <c r="F5078">
        <v>5075</v>
      </c>
      <c r="G5078">
        <f t="shared" ca="1" si="163"/>
        <v>2.6791474380647496E-3</v>
      </c>
    </row>
    <row r="5079" spans="2:7" x14ac:dyDescent="0.35">
      <c r="B5079" s="2">
        <v>38852</v>
      </c>
      <c r="C5079" s="4">
        <v>77.86</v>
      </c>
      <c r="D5079">
        <f t="shared" si="162"/>
        <v>0.44506310319227915</v>
      </c>
      <c r="E5079">
        <v>-5.4293696101056721E-2</v>
      </c>
      <c r="F5079">
        <v>5076</v>
      </c>
      <c r="G5079">
        <f t="shared" ca="1" si="163"/>
        <v>6.6334939877479857E-3</v>
      </c>
    </row>
    <row r="5080" spans="2:7" x14ac:dyDescent="0.35">
      <c r="B5080" s="2">
        <v>39972</v>
      </c>
      <c r="C5080" s="4">
        <v>53.88</v>
      </c>
      <c r="D5080">
        <f t="shared" si="162"/>
        <v>0.24405449087970443</v>
      </c>
      <c r="E5080">
        <v>-5.4902648658130104E-2</v>
      </c>
      <c r="F5080">
        <v>5077</v>
      </c>
      <c r="G5080">
        <f t="shared" ca="1" si="163"/>
        <v>2.9291031479783687E-2</v>
      </c>
    </row>
    <row r="5081" spans="2:7" x14ac:dyDescent="0.35">
      <c r="B5081" s="2">
        <v>38224</v>
      </c>
      <c r="C5081" s="4">
        <v>43.31</v>
      </c>
      <c r="D5081">
        <f t="shared" si="162"/>
        <v>-0.94891423583670487</v>
      </c>
      <c r="E5081">
        <v>-5.5191972076788831E-2</v>
      </c>
      <c r="F5081">
        <v>5078</v>
      </c>
      <c r="G5081">
        <f t="shared" ca="1" si="163"/>
        <v>-2.9572473150328352E-2</v>
      </c>
    </row>
    <row r="5082" spans="2:7" x14ac:dyDescent="0.35">
      <c r="B5082" s="2">
        <v>42347</v>
      </c>
      <c r="C5082" s="4">
        <v>847.79</v>
      </c>
      <c r="D5082">
        <f t="shared" si="162"/>
        <v>2.7549384356453182</v>
      </c>
      <c r="E5082">
        <v>-5.5271398165791963E-2</v>
      </c>
      <c r="F5082">
        <v>5079</v>
      </c>
      <c r="G5082">
        <f t="shared" ca="1" si="163"/>
        <v>-4.1268431381128463E-2</v>
      </c>
    </row>
    <row r="5083" spans="2:7" x14ac:dyDescent="0.35">
      <c r="B5083" s="2">
        <v>41785</v>
      </c>
      <c r="C5083" s="4">
        <v>225.78</v>
      </c>
      <c r="D5083">
        <f t="shared" si="162"/>
        <v>1.8998201900847675</v>
      </c>
      <c r="E5083">
        <v>-5.5274279258546444E-2</v>
      </c>
      <c r="F5083">
        <v>5080</v>
      </c>
      <c r="G5083">
        <f t="shared" ca="1" si="163"/>
        <v>5.5227620197152626E-2</v>
      </c>
    </row>
    <row r="5084" spans="2:7" x14ac:dyDescent="0.35">
      <c r="B5084" s="2">
        <v>38971</v>
      </c>
      <c r="C5084" s="4">
        <v>77.86</v>
      </c>
      <c r="D5084">
        <f t="shared" si="162"/>
        <v>0.36357267950963212</v>
      </c>
      <c r="E5084">
        <v>-5.5440980225646141E-2</v>
      </c>
      <c r="F5084">
        <v>5081</v>
      </c>
      <c r="G5084">
        <f t="shared" ca="1" si="163"/>
        <v>-2.588870857631952E-2</v>
      </c>
    </row>
    <row r="5085" spans="2:7" x14ac:dyDescent="0.35">
      <c r="B5085" s="2">
        <v>40120</v>
      </c>
      <c r="C5085" s="4">
        <v>57.1</v>
      </c>
      <c r="D5085">
        <f t="shared" si="162"/>
        <v>-0.90250648818467427</v>
      </c>
      <c r="E5085">
        <v>-5.557393317896131E-2</v>
      </c>
      <c r="F5085">
        <v>5082</v>
      </c>
      <c r="G5085">
        <f t="shared" ca="1" si="163"/>
        <v>-3.4854795735970126E-2</v>
      </c>
    </row>
    <row r="5086" spans="2:7" x14ac:dyDescent="0.35">
      <c r="B5086" s="2">
        <v>43920</v>
      </c>
      <c r="C5086" s="4">
        <v>585.67999999999995</v>
      </c>
      <c r="D5086">
        <f t="shared" si="162"/>
        <v>5.7172840922124095</v>
      </c>
      <c r="E5086">
        <v>-5.6252920607808843E-2</v>
      </c>
      <c r="F5086">
        <v>5083</v>
      </c>
      <c r="G5086">
        <f t="shared" ca="1" si="163"/>
        <v>-9.4199398730698408E-3</v>
      </c>
    </row>
    <row r="5087" spans="2:7" x14ac:dyDescent="0.35">
      <c r="B5087" s="2">
        <v>41331</v>
      </c>
      <c r="C5087" s="4">
        <v>87.19</v>
      </c>
      <c r="D5087">
        <f t="shared" si="162"/>
        <v>9.9911694209663171E-2</v>
      </c>
      <c r="E5087">
        <v>-5.6283147526788646E-2</v>
      </c>
      <c r="F5087">
        <v>5084</v>
      </c>
      <c r="G5087">
        <f t="shared" ca="1" si="163"/>
        <v>-3.9726191315531061E-2</v>
      </c>
    </row>
    <row r="5088" spans="2:7" x14ac:dyDescent="0.35">
      <c r="B5088" s="2">
        <v>39063</v>
      </c>
      <c r="C5088" s="4">
        <v>79.27</v>
      </c>
      <c r="D5088">
        <f t="shared" si="162"/>
        <v>-0.92539715404306577</v>
      </c>
      <c r="E5088">
        <v>-5.6309523809523809E-2</v>
      </c>
      <c r="F5088">
        <v>5085</v>
      </c>
      <c r="G5088">
        <f t="shared" ca="1" si="163"/>
        <v>-3.0864779301141652E-2</v>
      </c>
    </row>
    <row r="5089" spans="2:7" x14ac:dyDescent="0.35">
      <c r="B5089" s="2">
        <v>44074</v>
      </c>
      <c r="C5089" s="4">
        <v>1062.56</v>
      </c>
      <c r="D5089">
        <f t="shared" si="162"/>
        <v>-0.82288423200272032</v>
      </c>
      <c r="E5089">
        <v>-5.6399690960597493E-2</v>
      </c>
      <c r="F5089">
        <v>5086</v>
      </c>
      <c r="G5089">
        <f t="shared" ca="1" si="163"/>
        <v>-4.2529989575403855E-3</v>
      </c>
    </row>
    <row r="5090" spans="2:7" x14ac:dyDescent="0.35">
      <c r="B5090" s="2">
        <v>44522</v>
      </c>
      <c r="C5090" s="4">
        <v>5999.24</v>
      </c>
      <c r="D5090">
        <f t="shared" si="162"/>
        <v>6.3346618903818177</v>
      </c>
      <c r="E5090">
        <v>-5.6479972823180846E-2</v>
      </c>
      <c r="F5090">
        <v>5087</v>
      </c>
      <c r="G5090">
        <f t="shared" ca="1" si="163"/>
        <v>2.830948811175436E-2</v>
      </c>
    </row>
    <row r="5091" spans="2:7" x14ac:dyDescent="0.35">
      <c r="B5091" s="2">
        <v>42384</v>
      </c>
      <c r="C5091" s="4">
        <v>817.93</v>
      </c>
      <c r="D5091">
        <f t="shared" si="162"/>
        <v>2.0810637736844084</v>
      </c>
      <c r="E5091">
        <v>-5.6836788819446094E-2</v>
      </c>
      <c r="F5091">
        <v>5088</v>
      </c>
      <c r="G5091">
        <f t="shared" ca="1" si="163"/>
        <v>4.1576382430781662E-2</v>
      </c>
    </row>
    <row r="5092" spans="2:7" x14ac:dyDescent="0.35">
      <c r="B5092" s="2">
        <v>41828</v>
      </c>
      <c r="C5092" s="4">
        <v>265.47000000000003</v>
      </c>
      <c r="D5092">
        <f t="shared" si="162"/>
        <v>-0.96085183066024105</v>
      </c>
      <c r="E5092">
        <v>-5.6844423917291387E-2</v>
      </c>
      <c r="F5092">
        <v>5089</v>
      </c>
      <c r="G5092">
        <f t="shared" ca="1" si="163"/>
        <v>-1.0343782160507861E-2</v>
      </c>
    </row>
    <row r="5093" spans="2:7" x14ac:dyDescent="0.35">
      <c r="B5093" s="2">
        <v>44691</v>
      </c>
      <c r="C5093" s="4">
        <v>6781.16</v>
      </c>
      <c r="D5093">
        <f t="shared" si="162"/>
        <v>11.607667422749413</v>
      </c>
      <c r="E5093">
        <v>-5.6951498328391859E-2</v>
      </c>
      <c r="F5093">
        <v>5090</v>
      </c>
      <c r="G5093">
        <f t="shared" ca="1" si="163"/>
        <v>4.1860486152553306E-3</v>
      </c>
    </row>
    <row r="5094" spans="2:7" x14ac:dyDescent="0.35">
      <c r="B5094" s="2">
        <v>42157</v>
      </c>
      <c r="C5094" s="4">
        <v>537.86</v>
      </c>
      <c r="D5094">
        <f t="shared" si="162"/>
        <v>16.698585060875288</v>
      </c>
      <c r="E5094">
        <v>-5.7047685834502038E-2</v>
      </c>
      <c r="F5094">
        <v>5091</v>
      </c>
      <c r="G5094">
        <f t="shared" ca="1" si="163"/>
        <v>7.4149887590113633E-3</v>
      </c>
    </row>
    <row r="5095" spans="2:7" x14ac:dyDescent="0.35">
      <c r="B5095" s="2">
        <v>38135</v>
      </c>
      <c r="C5095" s="4">
        <v>30.39</v>
      </c>
      <c r="D5095">
        <f t="shared" si="162"/>
        <v>-0.12142237640936693</v>
      </c>
      <c r="E5095">
        <v>-5.7089668011169659E-2</v>
      </c>
      <c r="F5095">
        <v>5092</v>
      </c>
      <c r="G5095">
        <f t="shared" ca="1" si="163"/>
        <v>-9.7430497280949664E-3</v>
      </c>
    </row>
    <row r="5096" spans="2:7" x14ac:dyDescent="0.35">
      <c r="B5096" s="2">
        <v>37459</v>
      </c>
      <c r="C5096" s="4">
        <v>34.590000000000003</v>
      </c>
      <c r="D5096">
        <f t="shared" si="162"/>
        <v>0.21752903907074983</v>
      </c>
      <c r="E5096">
        <v>-5.7236304170073415E-2</v>
      </c>
      <c r="F5096">
        <v>5093</v>
      </c>
      <c r="G5096">
        <f t="shared" ca="1" si="163"/>
        <v>1.6168907222189573E-3</v>
      </c>
    </row>
    <row r="5097" spans="2:7" x14ac:dyDescent="0.35">
      <c r="B5097" s="2">
        <v>38104</v>
      </c>
      <c r="C5097" s="4">
        <v>28.41</v>
      </c>
      <c r="D5097">
        <f t="shared" si="162"/>
        <v>0.2017766497461928</v>
      </c>
      <c r="E5097">
        <v>-5.7398805573988021E-2</v>
      </c>
      <c r="F5097">
        <v>5094</v>
      </c>
      <c r="G5097">
        <f t="shared" ca="1" si="163"/>
        <v>1.9720814335651576E-2</v>
      </c>
    </row>
    <row r="5098" spans="2:7" x14ac:dyDescent="0.35">
      <c r="B5098" s="2">
        <v>37782</v>
      </c>
      <c r="C5098" s="4">
        <v>23.64</v>
      </c>
      <c r="D5098">
        <f t="shared" si="162"/>
        <v>-0.75446614042376403</v>
      </c>
      <c r="E5098">
        <v>-5.7416267942583699E-2</v>
      </c>
      <c r="F5098">
        <v>5095</v>
      </c>
      <c r="G5098">
        <f t="shared" ca="1" si="163"/>
        <v>-2.3972246736351576E-2</v>
      </c>
    </row>
    <row r="5099" spans="2:7" x14ac:dyDescent="0.35">
      <c r="B5099" s="2">
        <v>41114</v>
      </c>
      <c r="C5099" s="4">
        <v>96.28</v>
      </c>
      <c r="D5099">
        <f t="shared" si="162"/>
        <v>-0.15387995430178403</v>
      </c>
      <c r="E5099">
        <v>-5.7833447499755275E-2</v>
      </c>
      <c r="F5099">
        <v>5096</v>
      </c>
      <c r="G5099">
        <f t="shared" ca="1" si="163"/>
        <v>2.1836262242098833E-2</v>
      </c>
    </row>
    <row r="5100" spans="2:7" x14ac:dyDescent="0.35">
      <c r="B5100" s="2">
        <v>40501</v>
      </c>
      <c r="C5100" s="4">
        <v>113.79</v>
      </c>
      <c r="D5100">
        <f t="shared" si="162"/>
        <v>3.3796674843281638E-2</v>
      </c>
      <c r="E5100">
        <v>-5.7951817203410916E-2</v>
      </c>
      <c r="F5100">
        <v>5097</v>
      </c>
      <c r="G5100">
        <f t="shared" ca="1" si="163"/>
        <v>-9.0655464720188674E-3</v>
      </c>
    </row>
    <row r="5101" spans="2:7" x14ac:dyDescent="0.35">
      <c r="B5101" s="2">
        <v>40507</v>
      </c>
      <c r="C5101" s="4">
        <v>110.07</v>
      </c>
      <c r="D5101">
        <f t="shared" si="162"/>
        <v>-0.79125734875782283</v>
      </c>
      <c r="E5101">
        <v>-5.8103713845627292E-2</v>
      </c>
      <c r="F5101">
        <v>5098</v>
      </c>
      <c r="G5101">
        <f t="shared" ca="1" si="163"/>
        <v>-2.9745279703003634E-2</v>
      </c>
    </row>
    <row r="5102" spans="2:7" x14ac:dyDescent="0.35">
      <c r="B5102" s="2">
        <v>42685</v>
      </c>
      <c r="C5102" s="4">
        <v>527.29999999999995</v>
      </c>
      <c r="D5102">
        <f t="shared" si="162"/>
        <v>4.1086694702758164E-2</v>
      </c>
      <c r="E5102">
        <v>-5.8174219015128648E-2</v>
      </c>
      <c r="F5102">
        <v>5099</v>
      </c>
      <c r="G5102">
        <f t="shared" ca="1" si="163"/>
        <v>6.1858375504773369E-2</v>
      </c>
    </row>
    <row r="5103" spans="2:7" x14ac:dyDescent="0.35">
      <c r="B5103" s="2">
        <v>42158</v>
      </c>
      <c r="C5103" s="4">
        <v>506.49</v>
      </c>
      <c r="D5103">
        <f t="shared" si="162"/>
        <v>-0.35977297720923762</v>
      </c>
      <c r="E5103">
        <v>-5.8323727363998046E-2</v>
      </c>
      <c r="F5103">
        <v>5100</v>
      </c>
      <c r="G5103">
        <f t="shared" ca="1" si="163"/>
        <v>2.6177300694480824E-2</v>
      </c>
    </row>
    <row r="5104" spans="2:7" x14ac:dyDescent="0.35">
      <c r="B5104" s="2">
        <v>42227</v>
      </c>
      <c r="C5104" s="4">
        <v>791.11</v>
      </c>
      <c r="D5104">
        <f t="shared" si="162"/>
        <v>9.5312832800851961</v>
      </c>
      <c r="E5104">
        <v>-5.8762641284949457E-2</v>
      </c>
      <c r="F5104">
        <v>5101</v>
      </c>
      <c r="G5104">
        <f t="shared" ca="1" si="163"/>
        <v>2.1019657062481708E-2</v>
      </c>
    </row>
    <row r="5105" spans="2:7" x14ac:dyDescent="0.35">
      <c r="B5105" s="2">
        <v>40774</v>
      </c>
      <c r="C5105" s="4">
        <v>75.12</v>
      </c>
      <c r="D5105">
        <f t="shared" si="162"/>
        <v>-0.97394850737986904</v>
      </c>
      <c r="E5105">
        <v>-5.9236067626800115E-2</v>
      </c>
      <c r="F5105">
        <v>5102</v>
      </c>
      <c r="G5105">
        <f t="shared" ca="1" si="163"/>
        <v>1.6746107525845284E-2</v>
      </c>
    </row>
    <row r="5106" spans="2:7" x14ac:dyDescent="0.35">
      <c r="B5106" s="2">
        <v>44298</v>
      </c>
      <c r="C5106" s="4">
        <v>2883.52</v>
      </c>
      <c r="D5106">
        <f t="shared" si="162"/>
        <v>5.0645676909163564</v>
      </c>
      <c r="E5106">
        <v>-5.9600100447775306E-2</v>
      </c>
      <c r="F5106">
        <v>5103</v>
      </c>
      <c r="G5106">
        <f t="shared" ca="1" si="163"/>
        <v>-3.0837994982647641E-2</v>
      </c>
    </row>
    <row r="5107" spans="2:7" x14ac:dyDescent="0.35">
      <c r="B5107" s="2">
        <v>42118</v>
      </c>
      <c r="C5107" s="4">
        <v>475.47</v>
      </c>
      <c r="D5107">
        <f t="shared" si="162"/>
        <v>5.5177518848526388</v>
      </c>
      <c r="E5107">
        <v>-5.9685553248294165E-2</v>
      </c>
      <c r="F5107">
        <v>5104</v>
      </c>
      <c r="G5107">
        <f t="shared" ca="1" si="163"/>
        <v>-4.0698640995299129E-2</v>
      </c>
    </row>
    <row r="5108" spans="2:7" x14ac:dyDescent="0.35">
      <c r="B5108" s="2">
        <v>39619</v>
      </c>
      <c r="C5108" s="4">
        <v>72.95</v>
      </c>
      <c r="D5108">
        <f t="shared" si="162"/>
        <v>0.22255739902798721</v>
      </c>
      <c r="E5108">
        <v>-5.9922680412371032E-2</v>
      </c>
      <c r="F5108">
        <v>5105</v>
      </c>
      <c r="G5108">
        <f t="shared" ca="1" si="163"/>
        <v>-3.929192848863651E-2</v>
      </c>
    </row>
    <row r="5109" spans="2:7" x14ac:dyDescent="0.35">
      <c r="B5109" s="2">
        <v>38894</v>
      </c>
      <c r="C5109" s="4">
        <v>59.67</v>
      </c>
      <c r="D5109">
        <f t="shared" si="162"/>
        <v>0.5993031358885017</v>
      </c>
      <c r="E5109">
        <v>-6.0166955426051327E-2</v>
      </c>
      <c r="F5109">
        <v>5106</v>
      </c>
      <c r="G5109">
        <f t="shared" ca="1" si="163"/>
        <v>3.4066735878482421E-3</v>
      </c>
    </row>
    <row r="5110" spans="2:7" x14ac:dyDescent="0.35">
      <c r="B5110" s="2">
        <v>37452</v>
      </c>
      <c r="C5110" s="4">
        <v>37.31</v>
      </c>
      <c r="D5110">
        <f t="shared" si="162"/>
        <v>-0.45524894145130668</v>
      </c>
      <c r="E5110">
        <v>-6.0438176781667075E-2</v>
      </c>
      <c r="F5110">
        <v>5107</v>
      </c>
      <c r="G5110">
        <f t="shared" ca="1" si="163"/>
        <v>1.2326596393301957E-4</v>
      </c>
    </row>
    <row r="5111" spans="2:7" x14ac:dyDescent="0.35">
      <c r="B5111" s="2">
        <v>38814</v>
      </c>
      <c r="C5111" s="4">
        <v>68.489999999999995</v>
      </c>
      <c r="D5111">
        <f t="shared" si="162"/>
        <v>3.3655297313612831E-2</v>
      </c>
      <c r="E5111">
        <v>-6.0622685502674578E-2</v>
      </c>
      <c r="F5111">
        <v>5108</v>
      </c>
      <c r="G5111">
        <f t="shared" ca="1" si="163"/>
        <v>-4.9867111829667767E-3</v>
      </c>
    </row>
    <row r="5112" spans="2:7" x14ac:dyDescent="0.35">
      <c r="B5112" s="2">
        <v>38868</v>
      </c>
      <c r="C5112" s="4">
        <v>66.260000000000005</v>
      </c>
      <c r="D5112">
        <f t="shared" si="162"/>
        <v>-0.9056273233538904</v>
      </c>
      <c r="E5112">
        <v>-6.1738884168790698E-2</v>
      </c>
      <c r="F5112">
        <v>5109</v>
      </c>
      <c r="G5112">
        <f t="shared" ca="1" si="163"/>
        <v>3.0623631372799331E-2</v>
      </c>
    </row>
    <row r="5113" spans="2:7" x14ac:dyDescent="0.35">
      <c r="B5113" s="2">
        <v>43907</v>
      </c>
      <c r="C5113" s="4">
        <v>702.11</v>
      </c>
      <c r="D5113">
        <f t="shared" si="162"/>
        <v>4.1245164586526535</v>
      </c>
      <c r="E5113">
        <v>-6.1826879392821832E-2</v>
      </c>
      <c r="F5113">
        <v>5110</v>
      </c>
      <c r="G5113">
        <f t="shared" ca="1" si="163"/>
        <v>1.555164651382262E-2</v>
      </c>
    </row>
    <row r="5114" spans="2:7" x14ac:dyDescent="0.35">
      <c r="B5114" s="2">
        <v>41613</v>
      </c>
      <c r="C5114" s="4">
        <v>137.01</v>
      </c>
      <c r="D5114">
        <f t="shared" si="162"/>
        <v>-0.7787592042371787</v>
      </c>
      <c r="E5114">
        <v>-6.2153467040865329E-2</v>
      </c>
      <c r="F5114">
        <v>5111</v>
      </c>
      <c r="G5114">
        <f t="shared" ca="1" si="163"/>
        <v>1.4271090061158717E-2</v>
      </c>
    </row>
    <row r="5115" spans="2:7" x14ac:dyDescent="0.35">
      <c r="B5115" s="2">
        <v>43747</v>
      </c>
      <c r="C5115" s="4">
        <v>619.28</v>
      </c>
      <c r="D5115">
        <f t="shared" si="162"/>
        <v>19.060900550696466</v>
      </c>
      <c r="E5115">
        <v>-6.2478237832109595E-2</v>
      </c>
      <c r="F5115">
        <v>5112</v>
      </c>
      <c r="G5115">
        <f t="shared" ca="1" si="163"/>
        <v>-1.341559225064949E-2</v>
      </c>
    </row>
    <row r="5116" spans="2:7" x14ac:dyDescent="0.35">
      <c r="B5116" s="2">
        <v>38036</v>
      </c>
      <c r="C5116" s="4">
        <v>30.87</v>
      </c>
      <c r="D5116">
        <f t="shared" si="162"/>
        <v>-0.95308011490584099</v>
      </c>
      <c r="E5116">
        <v>-6.2556938961433328E-2</v>
      </c>
      <c r="F5116">
        <v>5113</v>
      </c>
      <c r="G5116">
        <f t="shared" ca="1" si="163"/>
        <v>-5.5239633480563564E-2</v>
      </c>
    </row>
    <row r="5117" spans="2:7" x14ac:dyDescent="0.35">
      <c r="B5117" s="2">
        <v>43908</v>
      </c>
      <c r="C5117" s="4">
        <v>657.93</v>
      </c>
      <c r="D5117">
        <f t="shared" si="162"/>
        <v>20.960280373831772</v>
      </c>
      <c r="E5117">
        <v>-6.2924612952386494E-2</v>
      </c>
      <c r="F5117">
        <v>5114</v>
      </c>
      <c r="G5117">
        <f t="shared" ca="1" si="163"/>
        <v>-1.4982658641510122E-2</v>
      </c>
    </row>
    <row r="5118" spans="2:7" x14ac:dyDescent="0.35">
      <c r="B5118" s="2">
        <v>37466</v>
      </c>
      <c r="C5118" s="4">
        <v>29.96</v>
      </c>
      <c r="D5118">
        <f t="shared" si="162"/>
        <v>-0.96582795355521589</v>
      </c>
      <c r="E5118">
        <v>-6.3164477798624108E-2</v>
      </c>
      <c r="F5118">
        <v>5115</v>
      </c>
      <c r="G5118">
        <f t="shared" ca="1" si="163"/>
        <v>2.8587576280630918E-2</v>
      </c>
    </row>
    <row r="5119" spans="2:7" x14ac:dyDescent="0.35">
      <c r="B5119" s="2">
        <v>42488</v>
      </c>
      <c r="C5119" s="4">
        <v>876.74</v>
      </c>
      <c r="D5119">
        <f t="shared" si="162"/>
        <v>27.963990749917411</v>
      </c>
      <c r="E5119">
        <v>-6.376208019648677E-2</v>
      </c>
      <c r="F5119">
        <v>5116</v>
      </c>
      <c r="G5119">
        <f t="shared" ca="1" si="163"/>
        <v>-1.7624474243947957E-2</v>
      </c>
    </row>
    <row r="5120" spans="2:7" x14ac:dyDescent="0.35">
      <c r="B5120" s="2">
        <v>38118</v>
      </c>
      <c r="C5120" s="4">
        <v>30.27</v>
      </c>
      <c r="D5120">
        <f t="shared" si="162"/>
        <v>-0.69784388101417449</v>
      </c>
      <c r="E5120">
        <v>-6.4007421150278354E-2</v>
      </c>
      <c r="F5120">
        <v>5117</v>
      </c>
      <c r="G5120">
        <f t="shared" ca="1" si="163"/>
        <v>-2.7053758771219908E-3</v>
      </c>
    </row>
    <row r="5121" spans="2:7" x14ac:dyDescent="0.35">
      <c r="B5121" s="2">
        <v>40317</v>
      </c>
      <c r="C5121" s="4">
        <v>100.18</v>
      </c>
      <c r="D5121">
        <f t="shared" si="162"/>
        <v>8.0806991045420329E-2</v>
      </c>
      <c r="E5121">
        <v>-6.4612511671335082E-2</v>
      </c>
      <c r="F5121">
        <v>5118</v>
      </c>
      <c r="G5121">
        <f t="shared" ca="1" si="163"/>
        <v>1.3439939621967711E-2</v>
      </c>
    </row>
    <row r="5122" spans="2:7" x14ac:dyDescent="0.35">
      <c r="B5122" s="2">
        <v>39386</v>
      </c>
      <c r="C5122" s="4">
        <v>92.69</v>
      </c>
      <c r="D5122">
        <f t="shared" si="162"/>
        <v>-0.98652042586670508</v>
      </c>
      <c r="E5122">
        <v>-6.5153807362582028E-2</v>
      </c>
      <c r="F5122">
        <v>5119</v>
      </c>
      <c r="G5122">
        <f t="shared" ca="1" si="163"/>
        <v>2.3423015465869904E-2</v>
      </c>
    </row>
    <row r="5123" spans="2:7" x14ac:dyDescent="0.35">
      <c r="B5123" s="2">
        <v>44606</v>
      </c>
      <c r="C5123" s="4">
        <v>6876.33</v>
      </c>
      <c r="D5123">
        <f t="shared" si="162"/>
        <v>26.52513809943159</v>
      </c>
      <c r="E5123">
        <v>-6.572999588321371E-2</v>
      </c>
      <c r="F5123">
        <v>5120</v>
      </c>
      <c r="G5123">
        <f t="shared" ca="1" si="163"/>
        <v>-1.6014757003688384E-2</v>
      </c>
    </row>
    <row r="5124" spans="2:7" x14ac:dyDescent="0.35">
      <c r="B5124" s="2">
        <v>41705</v>
      </c>
      <c r="C5124" s="4">
        <v>249.82</v>
      </c>
      <c r="D5124">
        <f t="shared" ref="D5124:D5187" si="164">C5124/C5125-1</f>
        <v>2.859416035841186</v>
      </c>
      <c r="E5124">
        <v>-6.574420344053844E-2</v>
      </c>
      <c r="F5124">
        <v>5121</v>
      </c>
      <c r="G5124">
        <f t="shared" ca="1" si="163"/>
        <v>1.5102670173943959E-2</v>
      </c>
    </row>
    <row r="5125" spans="2:7" x14ac:dyDescent="0.35">
      <c r="B5125" s="2">
        <v>39514</v>
      </c>
      <c r="C5125" s="4">
        <v>64.73</v>
      </c>
      <c r="D5125">
        <f t="shared" si="164"/>
        <v>-0.93428026072654169</v>
      </c>
      <c r="E5125">
        <v>-6.5810362245634302E-2</v>
      </c>
      <c r="F5125">
        <v>5122</v>
      </c>
      <c r="G5125">
        <f t="shared" ref="G5125:G5188" ca="1" si="165">_xlfn.NORM.INV(RAND(),K$6,K$7)</f>
        <v>-3.4786899413957573E-2</v>
      </c>
    </row>
    <row r="5126" spans="2:7" x14ac:dyDescent="0.35">
      <c r="B5126" s="2">
        <v>42403</v>
      </c>
      <c r="C5126" s="4">
        <v>984.94</v>
      </c>
      <c r="D5126">
        <f t="shared" si="164"/>
        <v>0.96901363400103957</v>
      </c>
      <c r="E5126">
        <v>-6.5973769807777916E-2</v>
      </c>
      <c r="F5126">
        <v>5123</v>
      </c>
      <c r="G5126">
        <f t="shared" ca="1" si="165"/>
        <v>-6.323910584272003E-4</v>
      </c>
    </row>
    <row r="5127" spans="2:7" x14ac:dyDescent="0.35">
      <c r="B5127" s="2">
        <v>42130</v>
      </c>
      <c r="C5127" s="4">
        <v>500.22</v>
      </c>
      <c r="D5127">
        <f t="shared" si="164"/>
        <v>6.2443157132512681</v>
      </c>
      <c r="E5127">
        <v>-6.6109067826671364E-2</v>
      </c>
      <c r="F5127">
        <v>5124</v>
      </c>
      <c r="G5127">
        <f t="shared" ca="1" si="165"/>
        <v>-1.3326165244025879E-2</v>
      </c>
    </row>
    <row r="5128" spans="2:7" x14ac:dyDescent="0.35">
      <c r="B5128" s="2">
        <v>38856</v>
      </c>
      <c r="C5128" s="4">
        <v>69.05</v>
      </c>
      <c r="D5128">
        <f t="shared" si="164"/>
        <v>-0.90958254766394298</v>
      </c>
      <c r="E5128">
        <v>-6.6260987153482165E-2</v>
      </c>
      <c r="F5128">
        <v>5125</v>
      </c>
      <c r="G5128">
        <f t="shared" ca="1" si="165"/>
        <v>-2.5075485635820363E-2</v>
      </c>
    </row>
    <row r="5129" spans="2:7" x14ac:dyDescent="0.35">
      <c r="B5129" s="2">
        <v>42387</v>
      </c>
      <c r="C5129" s="4">
        <v>763.68</v>
      </c>
      <c r="D5129">
        <f t="shared" si="164"/>
        <v>-0.90179441742516397</v>
      </c>
      <c r="E5129">
        <v>-6.6325969214969471E-2</v>
      </c>
      <c r="F5129">
        <v>5126</v>
      </c>
      <c r="G5129">
        <f t="shared" ca="1" si="165"/>
        <v>4.5946598765288721E-3</v>
      </c>
    </row>
    <row r="5130" spans="2:7" x14ac:dyDescent="0.35">
      <c r="B5130" s="2">
        <v>44669</v>
      </c>
      <c r="C5130" s="4">
        <v>7776.34</v>
      </c>
      <c r="D5130">
        <f t="shared" si="164"/>
        <v>8.107917545092528</v>
      </c>
      <c r="E5130">
        <v>-6.773156734373853E-2</v>
      </c>
      <c r="F5130">
        <v>5127</v>
      </c>
      <c r="G5130">
        <f t="shared" ca="1" si="165"/>
        <v>7.4261924182467992E-2</v>
      </c>
    </row>
    <row r="5131" spans="2:7" x14ac:dyDescent="0.35">
      <c r="B5131" s="2">
        <v>42411</v>
      </c>
      <c r="C5131" s="4">
        <v>853.8</v>
      </c>
      <c r="D5131">
        <f t="shared" si="164"/>
        <v>7.3216374269005851</v>
      </c>
      <c r="E5131">
        <v>-6.7822517250414882E-2</v>
      </c>
      <c r="F5131">
        <v>5128</v>
      </c>
      <c r="G5131">
        <f t="shared" ca="1" si="165"/>
        <v>1.4253462091115204E-2</v>
      </c>
    </row>
    <row r="5132" spans="2:7" x14ac:dyDescent="0.35">
      <c r="B5132" s="2">
        <v>40508</v>
      </c>
      <c r="C5132" s="4">
        <v>102.6</v>
      </c>
      <c r="D5132">
        <f t="shared" si="164"/>
        <v>-0.56899810964083186</v>
      </c>
      <c r="E5132">
        <v>-6.7865903515944348E-2</v>
      </c>
      <c r="F5132">
        <v>5129</v>
      </c>
      <c r="G5132">
        <f t="shared" ca="1" si="165"/>
        <v>4.3664771898041591E-3</v>
      </c>
    </row>
    <row r="5133" spans="2:7" x14ac:dyDescent="0.35">
      <c r="B5133" s="2">
        <v>41724</v>
      </c>
      <c r="C5133" s="4">
        <v>238.05</v>
      </c>
      <c r="D5133">
        <f t="shared" si="164"/>
        <v>0.37768389374385114</v>
      </c>
      <c r="E5133">
        <v>-6.7896158815928476E-2</v>
      </c>
      <c r="F5133">
        <v>5130</v>
      </c>
      <c r="G5133">
        <f t="shared" ca="1" si="165"/>
        <v>6.6114499584914469E-3</v>
      </c>
    </row>
    <row r="5134" spans="2:7" x14ac:dyDescent="0.35">
      <c r="B5134" s="2">
        <v>41641</v>
      </c>
      <c r="C5134" s="4">
        <v>172.79</v>
      </c>
      <c r="D5134">
        <f t="shared" si="164"/>
        <v>2.3395825280247387</v>
      </c>
      <c r="E5134">
        <v>-6.9370388323369392E-2</v>
      </c>
      <c r="F5134">
        <v>5131</v>
      </c>
      <c r="G5134">
        <f t="shared" ca="1" si="165"/>
        <v>-1.5162231467848512E-2</v>
      </c>
    </row>
    <row r="5135" spans="2:7" x14ac:dyDescent="0.35">
      <c r="B5135" s="2">
        <v>38881</v>
      </c>
      <c r="C5135" s="4">
        <v>51.74</v>
      </c>
      <c r="D5135">
        <f t="shared" si="164"/>
        <v>-0.46582696675614288</v>
      </c>
      <c r="E5135">
        <v>-6.9424460431654622E-2</v>
      </c>
      <c r="F5135">
        <v>5132</v>
      </c>
      <c r="G5135">
        <f t="shared" ca="1" si="165"/>
        <v>1.3880620807367785E-2</v>
      </c>
    </row>
    <row r="5136" spans="2:7" x14ac:dyDescent="0.35">
      <c r="B5136" s="2">
        <v>39141</v>
      </c>
      <c r="C5136" s="4">
        <v>96.86</v>
      </c>
      <c r="D5136">
        <f t="shared" si="164"/>
        <v>0.50942808165809561</v>
      </c>
      <c r="E5136">
        <v>-6.9727237802535535E-2</v>
      </c>
      <c r="F5136">
        <v>5133</v>
      </c>
      <c r="G5136">
        <f t="shared" ca="1" si="165"/>
        <v>3.8715240967759071E-3</v>
      </c>
    </row>
    <row r="5137" spans="2:7" x14ac:dyDescent="0.35">
      <c r="B5137" s="2">
        <v>38859</v>
      </c>
      <c r="C5137" s="4">
        <v>64.17</v>
      </c>
      <c r="D5137">
        <f t="shared" si="164"/>
        <v>0.16566757493188011</v>
      </c>
      <c r="E5137">
        <v>-7.0673425054308403E-2</v>
      </c>
      <c r="F5137">
        <v>5134</v>
      </c>
      <c r="G5137">
        <f t="shared" ca="1" si="165"/>
        <v>5.9867641198476956E-2</v>
      </c>
    </row>
    <row r="5138" spans="2:7" x14ac:dyDescent="0.35">
      <c r="B5138" s="2">
        <v>39959</v>
      </c>
      <c r="C5138" s="4">
        <v>55.05</v>
      </c>
      <c r="D5138">
        <f t="shared" si="164"/>
        <v>-0.99241197268034487</v>
      </c>
      <c r="E5138">
        <v>-7.0886075949367133E-2</v>
      </c>
      <c r="F5138">
        <v>5135</v>
      </c>
      <c r="G5138">
        <f t="shared" ca="1" si="165"/>
        <v>6.872367571912931E-3</v>
      </c>
    </row>
    <row r="5139" spans="2:7" x14ac:dyDescent="0.35">
      <c r="B5139" s="2">
        <v>44732</v>
      </c>
      <c r="C5139" s="4">
        <v>7254.85</v>
      </c>
      <c r="D5139">
        <f t="shared" si="164"/>
        <v>62.146052746104971</v>
      </c>
      <c r="E5139">
        <v>-7.1420800348144353E-2</v>
      </c>
      <c r="F5139">
        <v>5136</v>
      </c>
      <c r="G5139">
        <f t="shared" ca="1" si="165"/>
        <v>-1.1733689202116626E-2</v>
      </c>
    </row>
    <row r="5140" spans="2:7" x14ac:dyDescent="0.35">
      <c r="B5140" s="2">
        <v>40301</v>
      </c>
      <c r="C5140" s="4">
        <v>114.89</v>
      </c>
      <c r="D5140">
        <f t="shared" si="164"/>
        <v>1.1236598890942697</v>
      </c>
      <c r="E5140">
        <v>-7.2120820545953701E-2</v>
      </c>
      <c r="F5140">
        <v>5137</v>
      </c>
      <c r="G5140">
        <f t="shared" ca="1" si="165"/>
        <v>7.3304262837072236E-3</v>
      </c>
    </row>
    <row r="5141" spans="2:7" x14ac:dyDescent="0.35">
      <c r="B5141" s="2">
        <v>40023</v>
      </c>
      <c r="C5141" s="4">
        <v>54.1</v>
      </c>
      <c r="D5141">
        <f t="shared" si="164"/>
        <v>8.4168336673346777E-2</v>
      </c>
      <c r="E5141">
        <v>-7.2359396433470446E-2</v>
      </c>
      <c r="F5141">
        <v>5138</v>
      </c>
      <c r="G5141">
        <f t="shared" ca="1" si="165"/>
        <v>-4.9542036485719513E-3</v>
      </c>
    </row>
    <row r="5142" spans="2:7" x14ac:dyDescent="0.35">
      <c r="B5142" s="2">
        <v>39982</v>
      </c>
      <c r="C5142" s="4">
        <v>49.9</v>
      </c>
      <c r="D5142">
        <f t="shared" si="164"/>
        <v>-6.1853731904493281E-2</v>
      </c>
      <c r="E5142">
        <v>-7.283537718320332E-2</v>
      </c>
      <c r="F5142">
        <v>5139</v>
      </c>
      <c r="G5142">
        <f t="shared" ca="1" si="165"/>
        <v>-1.0020943463170635E-2</v>
      </c>
    </row>
    <row r="5143" spans="2:7" x14ac:dyDescent="0.35">
      <c r="B5143" s="2">
        <v>38357</v>
      </c>
      <c r="C5143" s="4">
        <v>53.19</v>
      </c>
      <c r="D5143">
        <f t="shared" si="164"/>
        <v>-0.19396878314896193</v>
      </c>
      <c r="E5143">
        <v>-7.2860379989541535E-2</v>
      </c>
      <c r="F5143">
        <v>5140</v>
      </c>
      <c r="G5143">
        <f t="shared" ca="1" si="165"/>
        <v>1.4452785209960762E-2</v>
      </c>
    </row>
    <row r="5144" spans="2:7" x14ac:dyDescent="0.35">
      <c r="B5144" s="2">
        <v>39651</v>
      </c>
      <c r="C5144" s="4">
        <v>65.989999999999995</v>
      </c>
      <c r="D5144">
        <f t="shared" si="164"/>
        <v>2.0735910572892409</v>
      </c>
      <c r="E5144">
        <v>-7.3304311192248228E-2</v>
      </c>
      <c r="F5144">
        <v>5141</v>
      </c>
      <c r="G5144">
        <f t="shared" ca="1" si="165"/>
        <v>-1.6703497093699816E-2</v>
      </c>
    </row>
    <row r="5145" spans="2:7" x14ac:dyDescent="0.35">
      <c r="B5145" s="2">
        <v>37721</v>
      </c>
      <c r="C5145" s="4">
        <v>21.47</v>
      </c>
      <c r="D5145">
        <f t="shared" si="164"/>
        <v>-0.99701998015170756</v>
      </c>
      <c r="E5145">
        <v>-7.337073802330607E-2</v>
      </c>
      <c r="F5145">
        <v>5142</v>
      </c>
      <c r="G5145">
        <f t="shared" ca="1" si="165"/>
        <v>-1.9817104974356028E-2</v>
      </c>
    </row>
    <row r="5146" spans="2:7" x14ac:dyDescent="0.35">
      <c r="B5146" s="2">
        <v>44852</v>
      </c>
      <c r="C5146" s="4">
        <v>7204.65</v>
      </c>
      <c r="D5146">
        <f t="shared" si="164"/>
        <v>199.8544744912183</v>
      </c>
      <c r="E5146">
        <v>-7.4285604152747098E-2</v>
      </c>
      <c r="F5146">
        <v>5143</v>
      </c>
      <c r="G5146">
        <f t="shared" ca="1" si="165"/>
        <v>3.5442065571015216E-2</v>
      </c>
    </row>
    <row r="5147" spans="2:7" x14ac:dyDescent="0.35">
      <c r="B5147" s="2">
        <v>39745</v>
      </c>
      <c r="C5147" s="4">
        <v>35.869999999999997</v>
      </c>
      <c r="D5147">
        <f t="shared" si="164"/>
        <v>-0.57246722288438623</v>
      </c>
      <c r="E5147">
        <v>-7.456140350877194E-2</v>
      </c>
      <c r="F5147">
        <v>5144</v>
      </c>
      <c r="G5147">
        <f t="shared" ca="1" si="165"/>
        <v>5.8414628180643954E-2</v>
      </c>
    </row>
    <row r="5148" spans="2:7" x14ac:dyDescent="0.35">
      <c r="B5148" s="2">
        <v>40862</v>
      </c>
      <c r="C5148" s="4">
        <v>83.9</v>
      </c>
      <c r="D5148">
        <f t="shared" si="164"/>
        <v>-0.86880580444402744</v>
      </c>
      <c r="E5148">
        <v>-7.4666372559832328E-2</v>
      </c>
      <c r="F5148">
        <v>5145</v>
      </c>
      <c r="G5148">
        <f t="shared" ca="1" si="165"/>
        <v>3.3010395926380892E-3</v>
      </c>
    </row>
    <row r="5149" spans="2:7" x14ac:dyDescent="0.35">
      <c r="B5149" s="2">
        <v>42642</v>
      </c>
      <c r="C5149" s="4">
        <v>639.51</v>
      </c>
      <c r="D5149">
        <f t="shared" si="164"/>
        <v>-0.7490385520987034</v>
      </c>
      <c r="E5149">
        <v>-7.5157632903337768E-2</v>
      </c>
      <c r="F5149">
        <v>5146</v>
      </c>
      <c r="G5149">
        <f t="shared" ca="1" si="165"/>
        <v>1.3526495482442219E-2</v>
      </c>
    </row>
    <row r="5150" spans="2:7" x14ac:dyDescent="0.35">
      <c r="B5150" s="2">
        <v>44217</v>
      </c>
      <c r="C5150" s="4">
        <v>2548.2399999999998</v>
      </c>
      <c r="D5150">
        <f t="shared" si="164"/>
        <v>52.099395707439044</v>
      </c>
      <c r="E5150">
        <v>-7.5297379288321808E-2</v>
      </c>
      <c r="F5150">
        <v>5147</v>
      </c>
      <c r="G5150">
        <f t="shared" ca="1" si="165"/>
        <v>1.7629356402946713E-2</v>
      </c>
    </row>
    <row r="5151" spans="2:7" x14ac:dyDescent="0.35">
      <c r="B5151" s="2">
        <v>38364</v>
      </c>
      <c r="C5151" s="4">
        <v>47.99</v>
      </c>
      <c r="D5151">
        <f t="shared" si="164"/>
        <v>0.44722557297949361</v>
      </c>
      <c r="E5151">
        <v>-7.5515314968214065E-2</v>
      </c>
      <c r="F5151">
        <v>5148</v>
      </c>
      <c r="G5151">
        <f t="shared" ca="1" si="165"/>
        <v>-3.9380843506052012E-2</v>
      </c>
    </row>
    <row r="5152" spans="2:7" x14ac:dyDescent="0.35">
      <c r="B5152" s="2">
        <v>39919</v>
      </c>
      <c r="C5152" s="4">
        <v>33.159999999999997</v>
      </c>
      <c r="D5152">
        <f t="shared" si="164"/>
        <v>-0.94258704572605923</v>
      </c>
      <c r="E5152">
        <v>-7.7351140790205886E-2</v>
      </c>
      <c r="F5152">
        <v>5149</v>
      </c>
      <c r="G5152">
        <f t="shared" ca="1" si="165"/>
        <v>-8.5026005235108743E-3</v>
      </c>
    </row>
    <row r="5153" spans="2:7" x14ac:dyDescent="0.35">
      <c r="B5153" s="2">
        <v>42073</v>
      </c>
      <c r="C5153" s="4">
        <v>577.57000000000005</v>
      </c>
      <c r="D5153">
        <f t="shared" si="164"/>
        <v>6.8102772143340102</v>
      </c>
      <c r="E5153">
        <v>-7.7437904320741047E-2</v>
      </c>
      <c r="F5153">
        <v>5150</v>
      </c>
      <c r="G5153">
        <f t="shared" ca="1" si="165"/>
        <v>-2.726449399746626E-2</v>
      </c>
    </row>
    <row r="5154" spans="2:7" x14ac:dyDescent="0.35">
      <c r="B5154" s="2">
        <v>38855</v>
      </c>
      <c r="C5154" s="4">
        <v>73.95</v>
      </c>
      <c r="D5154">
        <f t="shared" si="164"/>
        <v>-0.98776334862294235</v>
      </c>
      <c r="E5154">
        <v>-7.8849028400597931E-2</v>
      </c>
      <c r="F5154">
        <v>5151</v>
      </c>
      <c r="G5154">
        <f t="shared" ca="1" si="165"/>
        <v>-3.3236920468418425E-2</v>
      </c>
    </row>
    <row r="5155" spans="2:7" x14ac:dyDescent="0.35">
      <c r="B5155" s="2">
        <v>44616</v>
      </c>
      <c r="C5155" s="4">
        <v>6043.32</v>
      </c>
      <c r="D5155">
        <f t="shared" si="164"/>
        <v>56.908394020697585</v>
      </c>
      <c r="E5155">
        <v>-8.0204983341679026E-2</v>
      </c>
      <c r="F5155">
        <v>5152</v>
      </c>
      <c r="G5155">
        <f t="shared" ca="1" si="165"/>
        <v>-2.2028628670262219E-2</v>
      </c>
    </row>
    <row r="5156" spans="2:7" x14ac:dyDescent="0.35">
      <c r="B5156" s="2">
        <v>40205</v>
      </c>
      <c r="C5156" s="4">
        <v>104.36</v>
      </c>
      <c r="D5156">
        <f t="shared" si="164"/>
        <v>-0.9865909441332168</v>
      </c>
      <c r="E5156">
        <v>-8.0609637917364196E-2</v>
      </c>
      <c r="F5156">
        <v>5153</v>
      </c>
      <c r="G5156">
        <f t="shared" ca="1" si="165"/>
        <v>2.575941140618376E-2</v>
      </c>
    </row>
    <row r="5157" spans="2:7" x14ac:dyDescent="0.35">
      <c r="B5157" s="2">
        <v>44851</v>
      </c>
      <c r="C5157" s="4">
        <v>7782.8</v>
      </c>
      <c r="D5157">
        <f t="shared" si="164"/>
        <v>267.00275482093667</v>
      </c>
      <c r="E5157">
        <v>-8.0650400741830053E-2</v>
      </c>
      <c r="F5157">
        <v>5154</v>
      </c>
      <c r="G5157">
        <f t="shared" ca="1" si="165"/>
        <v>-1.5243437698999281E-2</v>
      </c>
    </row>
    <row r="5158" spans="2:7" x14ac:dyDescent="0.35">
      <c r="B5158" s="2">
        <v>38121</v>
      </c>
      <c r="C5158" s="4">
        <v>29.04</v>
      </c>
      <c r="D5158">
        <f t="shared" si="164"/>
        <v>-0.47844827586206895</v>
      </c>
      <c r="E5158">
        <v>-8.1303385004745321E-2</v>
      </c>
      <c r="F5158">
        <v>5155</v>
      </c>
      <c r="G5158">
        <f t="shared" ca="1" si="165"/>
        <v>9.6137843961379699E-3</v>
      </c>
    </row>
    <row r="5159" spans="2:7" x14ac:dyDescent="0.35">
      <c r="B5159" s="2">
        <v>39526</v>
      </c>
      <c r="C5159" s="4">
        <v>55.68</v>
      </c>
      <c r="D5159">
        <f t="shared" si="164"/>
        <v>-0.79177262528047865</v>
      </c>
      <c r="E5159">
        <v>-8.2550667325753779E-2</v>
      </c>
      <c r="F5159">
        <v>5156</v>
      </c>
      <c r="G5159">
        <f t="shared" ca="1" si="165"/>
        <v>8.2952635752362044E-4</v>
      </c>
    </row>
    <row r="5160" spans="2:7" x14ac:dyDescent="0.35">
      <c r="B5160" s="2">
        <v>41704</v>
      </c>
      <c r="C5160" s="4">
        <v>267.39999999999998</v>
      </c>
      <c r="D5160">
        <f t="shared" si="164"/>
        <v>6.5345167652859946</v>
      </c>
      <c r="E5160">
        <v>-8.3744517543859698E-2</v>
      </c>
      <c r="F5160">
        <v>5157</v>
      </c>
      <c r="G5160">
        <f t="shared" ca="1" si="165"/>
        <v>-3.9550469914057269E-3</v>
      </c>
    </row>
    <row r="5161" spans="2:7" x14ac:dyDescent="0.35">
      <c r="B5161" s="2">
        <v>39820</v>
      </c>
      <c r="C5161" s="4">
        <v>35.49</v>
      </c>
      <c r="D5161">
        <f t="shared" si="164"/>
        <v>0.53238341968911929</v>
      </c>
      <c r="E5161">
        <v>-8.3892617449664475E-2</v>
      </c>
      <c r="F5161">
        <v>5158</v>
      </c>
      <c r="G5161">
        <f t="shared" ca="1" si="165"/>
        <v>-3.1363431479668205E-2</v>
      </c>
    </row>
    <row r="5162" spans="2:7" x14ac:dyDescent="0.35">
      <c r="B5162" s="2">
        <v>37648</v>
      </c>
      <c r="C5162" s="4">
        <v>23.16</v>
      </c>
      <c r="D5162">
        <f t="shared" si="164"/>
        <v>-0.54499017681728879</v>
      </c>
      <c r="E5162">
        <v>-8.5669166995657298E-2</v>
      </c>
      <c r="F5162">
        <v>5159</v>
      </c>
      <c r="G5162">
        <f t="shared" ca="1" si="165"/>
        <v>1.5664434028023299E-3</v>
      </c>
    </row>
    <row r="5163" spans="2:7" x14ac:dyDescent="0.35">
      <c r="B5163" s="2">
        <v>39531</v>
      </c>
      <c r="C5163" s="4">
        <v>50.9</v>
      </c>
      <c r="D5163">
        <f t="shared" si="164"/>
        <v>-0.91722769701109053</v>
      </c>
      <c r="E5163">
        <v>-8.5847701149425304E-2</v>
      </c>
      <c r="F5163">
        <v>5160</v>
      </c>
      <c r="G5163">
        <f t="shared" ca="1" si="165"/>
        <v>-2.1899745634246407E-2</v>
      </c>
    </row>
    <row r="5164" spans="2:7" x14ac:dyDescent="0.35">
      <c r="B5164" s="2">
        <v>42879</v>
      </c>
      <c r="C5164" s="4">
        <v>614.94000000000005</v>
      </c>
      <c r="D5164">
        <f t="shared" si="164"/>
        <v>15.363491218733373</v>
      </c>
      <c r="E5164">
        <v>-8.6677558294964929E-2</v>
      </c>
      <c r="F5164">
        <v>5161</v>
      </c>
      <c r="G5164">
        <f t="shared" ca="1" si="165"/>
        <v>-1.0115554057977566E-2</v>
      </c>
    </row>
    <row r="5165" spans="2:7" x14ac:dyDescent="0.35">
      <c r="B5165" s="2">
        <v>39763</v>
      </c>
      <c r="C5165" s="4">
        <v>37.58</v>
      </c>
      <c r="D5165">
        <f t="shared" si="164"/>
        <v>-0.40575585072738773</v>
      </c>
      <c r="E5165">
        <v>-8.6755771567436191E-2</v>
      </c>
      <c r="F5165">
        <v>5162</v>
      </c>
      <c r="G5165">
        <f t="shared" ca="1" si="165"/>
        <v>4.829640000239766E-4</v>
      </c>
    </row>
    <row r="5166" spans="2:7" x14ac:dyDescent="0.35">
      <c r="B5166" s="2">
        <v>40113</v>
      </c>
      <c r="C5166" s="4">
        <v>63.24</v>
      </c>
      <c r="D5166">
        <f t="shared" si="164"/>
        <v>-0.87152086465401646</v>
      </c>
      <c r="E5166">
        <v>-8.7840761575075699E-2</v>
      </c>
      <c r="F5166">
        <v>5163</v>
      </c>
      <c r="G5166">
        <f t="shared" ca="1" si="165"/>
        <v>5.0457975031686093E-2</v>
      </c>
    </row>
    <row r="5167" spans="2:7" x14ac:dyDescent="0.35">
      <c r="B5167" s="2">
        <v>42083</v>
      </c>
      <c r="C5167" s="4">
        <v>492.22</v>
      </c>
      <c r="D5167">
        <f t="shared" si="164"/>
        <v>-0.31726194604341496</v>
      </c>
      <c r="E5167">
        <v>-8.8481481481481383E-2</v>
      </c>
      <c r="F5167">
        <v>5164</v>
      </c>
      <c r="G5167">
        <f t="shared" ca="1" si="165"/>
        <v>3.4859710608460617E-2</v>
      </c>
    </row>
    <row r="5168" spans="2:7" x14ac:dyDescent="0.35">
      <c r="B5168" s="2">
        <v>43663</v>
      </c>
      <c r="C5168" s="4">
        <v>720.95</v>
      </c>
      <c r="D5168">
        <f t="shared" si="164"/>
        <v>0.38750962278675916</v>
      </c>
      <c r="E5168">
        <v>-8.8685517816738502E-2</v>
      </c>
      <c r="F5168">
        <v>5165</v>
      </c>
      <c r="G5168">
        <f t="shared" ca="1" si="165"/>
        <v>3.972384045264251E-2</v>
      </c>
    </row>
    <row r="5169" spans="2:7" x14ac:dyDescent="0.35">
      <c r="B5169" s="2">
        <v>42114</v>
      </c>
      <c r="C5169" s="4">
        <v>519.6</v>
      </c>
      <c r="D5169">
        <f t="shared" si="164"/>
        <v>-0.30570031267537878</v>
      </c>
      <c r="E5169">
        <v>-8.9491299700352078E-2</v>
      </c>
      <c r="F5169">
        <v>5166</v>
      </c>
      <c r="G5169">
        <f t="shared" ca="1" si="165"/>
        <v>1.1343126167067256E-2</v>
      </c>
    </row>
    <row r="5170" spans="2:7" x14ac:dyDescent="0.35">
      <c r="B5170" s="2">
        <v>43906</v>
      </c>
      <c r="C5170" s="4">
        <v>748.38</v>
      </c>
      <c r="D5170">
        <f t="shared" si="164"/>
        <v>0.4156971795017308</v>
      </c>
      <c r="E5170">
        <v>-8.9971667254398868E-2</v>
      </c>
      <c r="F5170">
        <v>5167</v>
      </c>
      <c r="G5170">
        <f t="shared" ca="1" si="165"/>
        <v>-4.7214039678577215E-2</v>
      </c>
    </row>
    <row r="5171" spans="2:7" x14ac:dyDescent="0.35">
      <c r="B5171" s="2">
        <v>43913</v>
      </c>
      <c r="C5171" s="4">
        <v>528.63</v>
      </c>
      <c r="D5171">
        <f t="shared" si="164"/>
        <v>-0.38013883351703759</v>
      </c>
      <c r="E5171">
        <v>-9.0544678801224965E-2</v>
      </c>
      <c r="F5171">
        <v>5168</v>
      </c>
      <c r="G5171">
        <f t="shared" ca="1" si="165"/>
        <v>1.3948794188947376E-2</v>
      </c>
    </row>
    <row r="5172" spans="2:7" x14ac:dyDescent="0.35">
      <c r="B5172" s="2">
        <v>43902</v>
      </c>
      <c r="C5172" s="4">
        <v>852.82</v>
      </c>
      <c r="D5172">
        <f t="shared" si="164"/>
        <v>29.360270558917765</v>
      </c>
      <c r="E5172">
        <v>-9.6952497935153148E-2</v>
      </c>
      <c r="F5172">
        <v>5169</v>
      </c>
      <c r="G5172">
        <f t="shared" ca="1" si="165"/>
        <v>5.821193267314613E-2</v>
      </c>
    </row>
    <row r="5173" spans="2:7" x14ac:dyDescent="0.35">
      <c r="B5173" s="2">
        <v>38020</v>
      </c>
      <c r="C5173" s="4">
        <v>28.09</v>
      </c>
      <c r="D5173">
        <f t="shared" si="164"/>
        <v>-0.6530813881684574</v>
      </c>
      <c r="E5173">
        <v>-0.10169491525423724</v>
      </c>
      <c r="F5173">
        <v>5170</v>
      </c>
      <c r="G5173">
        <f t="shared" ca="1" si="165"/>
        <v>1.9264256009813276E-2</v>
      </c>
    </row>
    <row r="5174" spans="2:7" x14ac:dyDescent="0.35">
      <c r="B5174" s="2">
        <v>39468</v>
      </c>
      <c r="C5174" s="4">
        <v>80.97</v>
      </c>
      <c r="D5174">
        <f t="shared" si="164"/>
        <v>-0.91456878178480239</v>
      </c>
      <c r="E5174">
        <v>-0.10894684714427205</v>
      </c>
      <c r="F5174">
        <v>5171</v>
      </c>
      <c r="G5174">
        <f t="shared" ca="1" si="165"/>
        <v>-1.2002071667285666E-2</v>
      </c>
    </row>
    <row r="5175" spans="2:7" x14ac:dyDescent="0.35">
      <c r="B5175" s="2">
        <v>43381</v>
      </c>
      <c r="C5175" s="4">
        <v>947.78</v>
      </c>
      <c r="D5175">
        <f t="shared" si="164"/>
        <v>13.587963675542557</v>
      </c>
      <c r="E5175">
        <v>-0.11527439394363703</v>
      </c>
      <c r="F5175">
        <v>5172</v>
      </c>
      <c r="G5175">
        <f t="shared" ca="1" si="165"/>
        <v>-8.1146897770905464E-4</v>
      </c>
    </row>
    <row r="5176" spans="2:7" x14ac:dyDescent="0.35">
      <c r="B5176" s="2">
        <v>38617</v>
      </c>
      <c r="C5176" s="4">
        <v>64.97</v>
      </c>
      <c r="D5176">
        <f t="shared" si="164"/>
        <v>1.0315822388993121</v>
      </c>
      <c r="E5176">
        <v>-0.11677542142468733</v>
      </c>
      <c r="F5176">
        <v>5173</v>
      </c>
      <c r="G5176">
        <f t="shared" ca="1" si="165"/>
        <v>-3.7070167387165523E-2</v>
      </c>
    </row>
    <row r="5177" spans="2:7" x14ac:dyDescent="0.35">
      <c r="B5177" s="2">
        <v>37463</v>
      </c>
      <c r="C5177" s="4">
        <v>31.98</v>
      </c>
      <c r="D5177">
        <f t="shared" si="164"/>
        <v>-0.17640999227401488</v>
      </c>
      <c r="E5177">
        <v>-0.11949339207048459</v>
      </c>
      <c r="F5177">
        <v>5174</v>
      </c>
      <c r="G5177">
        <f t="shared" ca="1" si="165"/>
        <v>-2.6997882684822189E-2</v>
      </c>
    </row>
    <row r="5178" spans="2:7" x14ac:dyDescent="0.35">
      <c r="B5178" s="2">
        <v>39729</v>
      </c>
      <c r="C5178" s="4">
        <v>38.83</v>
      </c>
      <c r="D5178">
        <f t="shared" si="164"/>
        <v>0.26564537157757484</v>
      </c>
      <c r="E5178">
        <v>-0.12800359308331466</v>
      </c>
      <c r="F5178">
        <v>5175</v>
      </c>
      <c r="G5178">
        <f t="shared" ca="1" si="165"/>
        <v>1.5483091069921615E-2</v>
      </c>
    </row>
    <row r="5179" spans="2:7" x14ac:dyDescent="0.35">
      <c r="B5179" s="2">
        <v>38007</v>
      </c>
      <c r="C5179" s="4">
        <v>30.68</v>
      </c>
      <c r="D5179">
        <f t="shared" si="164"/>
        <v>-0.55932203389830515</v>
      </c>
      <c r="E5179">
        <v>-0.13357808528664217</v>
      </c>
      <c r="F5179">
        <v>5176</v>
      </c>
      <c r="G5179">
        <f t="shared" ca="1" si="165"/>
        <v>1.3574639980741326E-2</v>
      </c>
    </row>
    <row r="5180" spans="2:7" x14ac:dyDescent="0.35">
      <c r="B5180" s="2">
        <v>39469</v>
      </c>
      <c r="C5180" s="4">
        <v>69.62</v>
      </c>
      <c r="D5180">
        <f t="shared" si="164"/>
        <v>0.30717236199774711</v>
      </c>
      <c r="E5180">
        <v>-0.14017537359515864</v>
      </c>
      <c r="F5180">
        <v>5177</v>
      </c>
      <c r="G5180">
        <f t="shared" ca="1" si="165"/>
        <v>-9.5535893518289422E-3</v>
      </c>
    </row>
    <row r="5181" spans="2:7" x14ac:dyDescent="0.35">
      <c r="B5181" s="2">
        <v>38876</v>
      </c>
      <c r="C5181" s="4">
        <v>53.26</v>
      </c>
      <c r="D5181">
        <f t="shared" si="164"/>
        <v>-0.90475168553391638</v>
      </c>
      <c r="E5181">
        <v>-0.14537869062901154</v>
      </c>
      <c r="F5181">
        <v>5178</v>
      </c>
      <c r="G5181">
        <f t="shared" ca="1" si="165"/>
        <v>-9.1134219135355667E-3</v>
      </c>
    </row>
    <row r="5182" spans="2:7" x14ac:dyDescent="0.35">
      <c r="B5182" s="2">
        <v>43909</v>
      </c>
      <c r="C5182" s="4">
        <v>559.16999999999996</v>
      </c>
      <c r="D5182">
        <f t="shared" si="164"/>
        <v>21.916803278688523</v>
      </c>
      <c r="E5182">
        <v>-0.15010715425653187</v>
      </c>
      <c r="F5182">
        <v>5179</v>
      </c>
      <c r="G5182">
        <f t="shared" ca="1" si="165"/>
        <v>-2.0569154256560203E-3</v>
      </c>
    </row>
    <row r="5183" spans="2:7" x14ac:dyDescent="0.35">
      <c r="B5183" s="2">
        <v>38124</v>
      </c>
      <c r="C5183" s="4">
        <v>24.4</v>
      </c>
      <c r="D5183" t="e">
        <f>C5183/#REF!-1</f>
        <v>#REF!</v>
      </c>
      <c r="E5183">
        <v>-0.15977961432506893</v>
      </c>
      <c r="F5183">
        <v>5180</v>
      </c>
      <c r="G5183">
        <f t="shared" ca="1" si="165"/>
        <v>2.1018269984675934E-2</v>
      </c>
    </row>
    <row r="5184" spans="2:7" x14ac:dyDescent="0.35">
      <c r="F5184">
        <v>5181</v>
      </c>
      <c r="G5184">
        <f t="shared" ca="1" si="165"/>
        <v>-1.0281400149293133E-2</v>
      </c>
    </row>
    <row r="5185" spans="6:7" x14ac:dyDescent="0.35">
      <c r="F5185">
        <v>5182</v>
      </c>
      <c r="G5185">
        <f t="shared" ca="1" si="165"/>
        <v>-5.7850754935373592E-3</v>
      </c>
    </row>
    <row r="5186" spans="6:7" x14ac:dyDescent="0.35">
      <c r="F5186">
        <v>5183</v>
      </c>
      <c r="G5186">
        <f t="shared" ca="1" si="165"/>
        <v>1.3401048180497595E-2</v>
      </c>
    </row>
    <row r="5187" spans="6:7" x14ac:dyDescent="0.35">
      <c r="F5187">
        <v>5184</v>
      </c>
      <c r="G5187">
        <f t="shared" ca="1" si="165"/>
        <v>-2.2241661940853589E-2</v>
      </c>
    </row>
    <row r="5188" spans="6:7" x14ac:dyDescent="0.35">
      <c r="F5188">
        <v>5185</v>
      </c>
      <c r="G5188">
        <f t="shared" ca="1" si="165"/>
        <v>-9.9555597003282304E-3</v>
      </c>
    </row>
    <row r="5189" spans="6:7" x14ac:dyDescent="0.35">
      <c r="F5189">
        <v>5186</v>
      </c>
      <c r="G5189">
        <f t="shared" ref="G5189:G5252" ca="1" si="166">_xlfn.NORM.INV(RAND(),K$6,K$7)</f>
        <v>2.9211551707145162E-3</v>
      </c>
    </row>
    <row r="5190" spans="6:7" x14ac:dyDescent="0.35">
      <c r="F5190">
        <v>5187</v>
      </c>
      <c r="G5190">
        <f t="shared" ca="1" si="166"/>
        <v>5.9558979773119552E-2</v>
      </c>
    </row>
    <row r="5191" spans="6:7" x14ac:dyDescent="0.35">
      <c r="F5191">
        <v>5188</v>
      </c>
      <c r="G5191">
        <f t="shared" ca="1" si="166"/>
        <v>2.0612431535292526E-2</v>
      </c>
    </row>
    <row r="5192" spans="6:7" x14ac:dyDescent="0.35">
      <c r="F5192">
        <v>5189</v>
      </c>
      <c r="G5192">
        <f t="shared" ca="1" si="166"/>
        <v>1.5316766776782438E-2</v>
      </c>
    </row>
    <row r="5193" spans="6:7" x14ac:dyDescent="0.35">
      <c r="F5193">
        <v>5190</v>
      </c>
      <c r="G5193">
        <f t="shared" ca="1" si="166"/>
        <v>3.2724661369385087E-2</v>
      </c>
    </row>
    <row r="5194" spans="6:7" x14ac:dyDescent="0.35">
      <c r="F5194">
        <v>5191</v>
      </c>
      <c r="G5194">
        <f t="shared" ca="1" si="166"/>
        <v>2.6305202311443381E-2</v>
      </c>
    </row>
    <row r="5195" spans="6:7" x14ac:dyDescent="0.35">
      <c r="F5195">
        <v>5192</v>
      </c>
      <c r="G5195">
        <f t="shared" ca="1" si="166"/>
        <v>3.2276703316309573E-3</v>
      </c>
    </row>
    <row r="5196" spans="6:7" x14ac:dyDescent="0.35">
      <c r="F5196">
        <v>5193</v>
      </c>
      <c r="G5196">
        <f t="shared" ca="1" si="166"/>
        <v>-3.5611442400194211E-2</v>
      </c>
    </row>
    <row r="5197" spans="6:7" x14ac:dyDescent="0.35">
      <c r="F5197">
        <v>5194</v>
      </c>
      <c r="G5197">
        <f t="shared" ca="1" si="166"/>
        <v>-1.7985071216952999E-2</v>
      </c>
    </row>
    <row r="5198" spans="6:7" x14ac:dyDescent="0.35">
      <c r="F5198">
        <v>5195</v>
      </c>
      <c r="G5198">
        <f t="shared" ca="1" si="166"/>
        <v>3.5661431189110651E-2</v>
      </c>
    </row>
    <row r="5199" spans="6:7" x14ac:dyDescent="0.35">
      <c r="F5199">
        <v>5196</v>
      </c>
      <c r="G5199">
        <f t="shared" ca="1" si="166"/>
        <v>4.7927116255275709E-2</v>
      </c>
    </row>
    <row r="5200" spans="6:7" x14ac:dyDescent="0.35">
      <c r="F5200">
        <v>5197</v>
      </c>
      <c r="G5200">
        <f t="shared" ca="1" si="166"/>
        <v>1.591413341772702E-2</v>
      </c>
    </row>
    <row r="5201" spans="6:7" x14ac:dyDescent="0.35">
      <c r="F5201">
        <v>5198</v>
      </c>
      <c r="G5201">
        <f t="shared" ca="1" si="166"/>
        <v>1.6189542690784795E-2</v>
      </c>
    </row>
    <row r="5202" spans="6:7" x14ac:dyDescent="0.35">
      <c r="F5202">
        <v>5199</v>
      </c>
      <c r="G5202">
        <f t="shared" ca="1" si="166"/>
        <v>1.165852739453257E-2</v>
      </c>
    </row>
    <row r="5203" spans="6:7" x14ac:dyDescent="0.35">
      <c r="F5203">
        <v>5200</v>
      </c>
      <c r="G5203">
        <f t="shared" ca="1" si="166"/>
        <v>1.5802019776811123E-2</v>
      </c>
    </row>
    <row r="5204" spans="6:7" x14ac:dyDescent="0.35">
      <c r="F5204">
        <v>5201</v>
      </c>
      <c r="G5204">
        <f t="shared" ca="1" si="166"/>
        <v>5.8317000310079664E-2</v>
      </c>
    </row>
    <row r="5205" spans="6:7" x14ac:dyDescent="0.35">
      <c r="F5205">
        <v>5202</v>
      </c>
      <c r="G5205">
        <f t="shared" ca="1" si="166"/>
        <v>5.2813495887760473E-3</v>
      </c>
    </row>
    <row r="5206" spans="6:7" x14ac:dyDescent="0.35">
      <c r="F5206">
        <v>5203</v>
      </c>
      <c r="G5206">
        <f t="shared" ca="1" si="166"/>
        <v>-1.9026427037182499E-2</v>
      </c>
    </row>
    <row r="5207" spans="6:7" x14ac:dyDescent="0.35">
      <c r="F5207">
        <v>5204</v>
      </c>
      <c r="G5207">
        <f t="shared" ca="1" si="166"/>
        <v>3.0637258110862809E-2</v>
      </c>
    </row>
    <row r="5208" spans="6:7" x14ac:dyDescent="0.35">
      <c r="F5208">
        <v>5205</v>
      </c>
      <c r="G5208">
        <f t="shared" ca="1" si="166"/>
        <v>4.3526870890595357E-2</v>
      </c>
    </row>
    <row r="5209" spans="6:7" x14ac:dyDescent="0.35">
      <c r="F5209">
        <v>5206</v>
      </c>
      <c r="G5209">
        <f t="shared" ca="1" si="166"/>
        <v>7.8086665589217633E-2</v>
      </c>
    </row>
    <row r="5210" spans="6:7" x14ac:dyDescent="0.35">
      <c r="F5210">
        <v>5207</v>
      </c>
      <c r="G5210">
        <f t="shared" ca="1" si="166"/>
        <v>-4.9356664864074022E-2</v>
      </c>
    </row>
    <row r="5211" spans="6:7" x14ac:dyDescent="0.35">
      <c r="F5211">
        <v>5208</v>
      </c>
      <c r="G5211">
        <f t="shared" ca="1" si="166"/>
        <v>8.8944906229520004E-3</v>
      </c>
    </row>
    <row r="5212" spans="6:7" x14ac:dyDescent="0.35">
      <c r="F5212">
        <v>5209</v>
      </c>
      <c r="G5212">
        <f t="shared" ca="1" si="166"/>
        <v>-2.7309547334533085E-2</v>
      </c>
    </row>
    <row r="5213" spans="6:7" x14ac:dyDescent="0.35">
      <c r="F5213">
        <v>5210</v>
      </c>
      <c r="G5213">
        <f t="shared" ca="1" si="166"/>
        <v>-2.7666025582547462E-2</v>
      </c>
    </row>
    <row r="5214" spans="6:7" x14ac:dyDescent="0.35">
      <c r="F5214">
        <v>5211</v>
      </c>
      <c r="G5214">
        <f t="shared" ca="1" si="166"/>
        <v>-1.0279986695982325E-2</v>
      </c>
    </row>
    <row r="5215" spans="6:7" x14ac:dyDescent="0.35">
      <c r="F5215">
        <v>5212</v>
      </c>
      <c r="G5215">
        <f t="shared" ca="1" si="166"/>
        <v>3.207994991471224E-2</v>
      </c>
    </row>
    <row r="5216" spans="6:7" x14ac:dyDescent="0.35">
      <c r="F5216">
        <v>5213</v>
      </c>
      <c r="G5216">
        <f t="shared" ca="1" si="166"/>
        <v>4.6330927092617805E-3</v>
      </c>
    </row>
    <row r="5217" spans="6:7" x14ac:dyDescent="0.35">
      <c r="F5217">
        <v>5214</v>
      </c>
      <c r="G5217">
        <f t="shared" ca="1" si="166"/>
        <v>-4.1566143469886421E-2</v>
      </c>
    </row>
    <row r="5218" spans="6:7" x14ac:dyDescent="0.35">
      <c r="F5218">
        <v>5215</v>
      </c>
      <c r="G5218">
        <f t="shared" ca="1" si="166"/>
        <v>-1.3601116002062935E-2</v>
      </c>
    </row>
    <row r="5219" spans="6:7" x14ac:dyDescent="0.35">
      <c r="F5219">
        <v>5216</v>
      </c>
      <c r="G5219">
        <f t="shared" ca="1" si="166"/>
        <v>-1.4480497817784228E-2</v>
      </c>
    </row>
    <row r="5220" spans="6:7" x14ac:dyDescent="0.35">
      <c r="F5220">
        <v>5217</v>
      </c>
      <c r="G5220">
        <f t="shared" ca="1" si="166"/>
        <v>-2.7220702435226028E-2</v>
      </c>
    </row>
    <row r="5221" spans="6:7" x14ac:dyDescent="0.35">
      <c r="F5221">
        <v>5218</v>
      </c>
      <c r="G5221">
        <f t="shared" ca="1" si="166"/>
        <v>2.2707360214442262E-2</v>
      </c>
    </row>
    <row r="5222" spans="6:7" x14ac:dyDescent="0.35">
      <c r="F5222">
        <v>5219</v>
      </c>
      <c r="G5222">
        <f t="shared" ca="1" si="166"/>
        <v>3.9844321507049897E-3</v>
      </c>
    </row>
    <row r="5223" spans="6:7" x14ac:dyDescent="0.35">
      <c r="F5223">
        <v>5220</v>
      </c>
      <c r="G5223">
        <f t="shared" ca="1" si="166"/>
        <v>1.53558063643628E-2</v>
      </c>
    </row>
    <row r="5224" spans="6:7" x14ac:dyDescent="0.35">
      <c r="F5224">
        <v>5221</v>
      </c>
      <c r="G5224">
        <f t="shared" ca="1" si="166"/>
        <v>-3.6327995197079146E-2</v>
      </c>
    </row>
    <row r="5225" spans="6:7" x14ac:dyDescent="0.35">
      <c r="F5225">
        <v>5222</v>
      </c>
      <c r="G5225">
        <f t="shared" ca="1" si="166"/>
        <v>-6.4093057679375842E-2</v>
      </c>
    </row>
    <row r="5226" spans="6:7" x14ac:dyDescent="0.35">
      <c r="F5226">
        <v>5223</v>
      </c>
      <c r="G5226">
        <f t="shared" ca="1" si="166"/>
        <v>-2.1301956548897376E-3</v>
      </c>
    </row>
    <row r="5227" spans="6:7" x14ac:dyDescent="0.35">
      <c r="F5227">
        <v>5224</v>
      </c>
      <c r="G5227">
        <f t="shared" ca="1" si="166"/>
        <v>-1.6878915375940044E-2</v>
      </c>
    </row>
    <row r="5228" spans="6:7" x14ac:dyDescent="0.35">
      <c r="F5228">
        <v>5225</v>
      </c>
      <c r="G5228">
        <f t="shared" ca="1" si="166"/>
        <v>2.7498635917094318E-2</v>
      </c>
    </row>
    <row r="5229" spans="6:7" x14ac:dyDescent="0.35">
      <c r="F5229">
        <v>5226</v>
      </c>
      <c r="G5229">
        <f t="shared" ca="1" si="166"/>
        <v>4.2615996797122267E-2</v>
      </c>
    </row>
    <row r="5230" spans="6:7" x14ac:dyDescent="0.35">
      <c r="F5230">
        <v>5227</v>
      </c>
      <c r="G5230">
        <f t="shared" ca="1" si="166"/>
        <v>3.6743366752972233E-2</v>
      </c>
    </row>
    <row r="5231" spans="6:7" x14ac:dyDescent="0.35">
      <c r="F5231">
        <v>5228</v>
      </c>
      <c r="G5231">
        <f t="shared" ca="1" si="166"/>
        <v>-1.7676959992365994E-2</v>
      </c>
    </row>
    <row r="5232" spans="6:7" x14ac:dyDescent="0.35">
      <c r="F5232">
        <v>5229</v>
      </c>
      <c r="G5232">
        <f t="shared" ca="1" si="166"/>
        <v>-3.9095561042749478E-2</v>
      </c>
    </row>
    <row r="5233" spans="6:7" x14ac:dyDescent="0.35">
      <c r="F5233">
        <v>5230</v>
      </c>
      <c r="G5233">
        <f t="shared" ca="1" si="166"/>
        <v>1.2354891251958346E-2</v>
      </c>
    </row>
    <row r="5234" spans="6:7" x14ac:dyDescent="0.35">
      <c r="F5234">
        <v>5231</v>
      </c>
      <c r="G5234">
        <f t="shared" ca="1" si="166"/>
        <v>-1.9671416513474496E-2</v>
      </c>
    </row>
    <row r="5235" spans="6:7" x14ac:dyDescent="0.35">
      <c r="F5235">
        <v>5232</v>
      </c>
      <c r="G5235">
        <f t="shared" ca="1" si="166"/>
        <v>3.4832413667107553E-3</v>
      </c>
    </row>
    <row r="5236" spans="6:7" x14ac:dyDescent="0.35">
      <c r="F5236">
        <v>5233</v>
      </c>
      <c r="G5236">
        <f t="shared" ca="1" si="166"/>
        <v>2.1021775374001381E-2</v>
      </c>
    </row>
    <row r="5237" spans="6:7" x14ac:dyDescent="0.35">
      <c r="F5237">
        <v>5234</v>
      </c>
      <c r="G5237">
        <f t="shared" ca="1" si="166"/>
        <v>-1.177603912647633E-2</v>
      </c>
    </row>
    <row r="5238" spans="6:7" x14ac:dyDescent="0.35">
      <c r="F5238">
        <v>5235</v>
      </c>
      <c r="G5238">
        <f t="shared" ca="1" si="166"/>
        <v>4.7557518392759238E-3</v>
      </c>
    </row>
    <row r="5239" spans="6:7" x14ac:dyDescent="0.35">
      <c r="F5239">
        <v>5236</v>
      </c>
      <c r="G5239">
        <f t="shared" ca="1" si="166"/>
        <v>-4.1950560936759307E-2</v>
      </c>
    </row>
    <row r="5240" spans="6:7" x14ac:dyDescent="0.35">
      <c r="F5240">
        <v>5237</v>
      </c>
      <c r="G5240">
        <f t="shared" ca="1" si="166"/>
        <v>8.7787311475082813E-3</v>
      </c>
    </row>
    <row r="5241" spans="6:7" x14ac:dyDescent="0.35">
      <c r="F5241">
        <v>5238</v>
      </c>
      <c r="G5241">
        <f t="shared" ca="1" si="166"/>
        <v>-9.120986458773836E-3</v>
      </c>
    </row>
    <row r="5242" spans="6:7" x14ac:dyDescent="0.35">
      <c r="F5242">
        <v>5239</v>
      </c>
      <c r="G5242">
        <f t="shared" ca="1" si="166"/>
        <v>1.8800353836507341E-2</v>
      </c>
    </row>
    <row r="5243" spans="6:7" x14ac:dyDescent="0.35">
      <c r="F5243">
        <v>5240</v>
      </c>
      <c r="G5243">
        <f t="shared" ca="1" si="166"/>
        <v>-2.794358078252843E-2</v>
      </c>
    </row>
    <row r="5244" spans="6:7" x14ac:dyDescent="0.35">
      <c r="F5244">
        <v>5241</v>
      </c>
      <c r="G5244">
        <f t="shared" ca="1" si="166"/>
        <v>-3.1013204956695847E-4</v>
      </c>
    </row>
    <row r="5245" spans="6:7" x14ac:dyDescent="0.35">
      <c r="F5245">
        <v>5242</v>
      </c>
      <c r="G5245">
        <f t="shared" ca="1" si="166"/>
        <v>-5.6096660016619566E-2</v>
      </c>
    </row>
    <row r="5246" spans="6:7" x14ac:dyDescent="0.35">
      <c r="F5246">
        <v>5243</v>
      </c>
      <c r="G5246">
        <f t="shared" ca="1" si="166"/>
        <v>3.6453292447036149E-2</v>
      </c>
    </row>
    <row r="5247" spans="6:7" x14ac:dyDescent="0.35">
      <c r="F5247">
        <v>5244</v>
      </c>
      <c r="G5247">
        <f t="shared" ca="1" si="166"/>
        <v>3.9417681870753084E-2</v>
      </c>
    </row>
    <row r="5248" spans="6:7" x14ac:dyDescent="0.35">
      <c r="F5248">
        <v>5245</v>
      </c>
      <c r="G5248">
        <f t="shared" ca="1" si="166"/>
        <v>-1.2368179471521379E-2</v>
      </c>
    </row>
    <row r="5249" spans="6:7" x14ac:dyDescent="0.35">
      <c r="F5249">
        <v>5246</v>
      </c>
      <c r="G5249">
        <f t="shared" ca="1" si="166"/>
        <v>-1.6918104374684328E-2</v>
      </c>
    </row>
    <row r="5250" spans="6:7" x14ac:dyDescent="0.35">
      <c r="F5250">
        <v>5247</v>
      </c>
      <c r="G5250">
        <f t="shared" ca="1" si="166"/>
        <v>7.4811428140076977E-3</v>
      </c>
    </row>
    <row r="5251" spans="6:7" x14ac:dyDescent="0.35">
      <c r="F5251">
        <v>5248</v>
      </c>
      <c r="G5251">
        <f t="shared" ca="1" si="166"/>
        <v>1.3547808778352932E-2</v>
      </c>
    </row>
    <row r="5252" spans="6:7" x14ac:dyDescent="0.35">
      <c r="F5252">
        <v>5249</v>
      </c>
      <c r="G5252">
        <f t="shared" ca="1" si="166"/>
        <v>-9.8131165835545014E-4</v>
      </c>
    </row>
    <row r="5253" spans="6:7" x14ac:dyDescent="0.35">
      <c r="F5253">
        <v>5250</v>
      </c>
      <c r="G5253">
        <f t="shared" ref="G5253:G5316" ca="1" si="167">_xlfn.NORM.INV(RAND(),K$6,K$7)</f>
        <v>-2.8254635936052264E-2</v>
      </c>
    </row>
    <row r="5254" spans="6:7" x14ac:dyDescent="0.35">
      <c r="F5254">
        <v>5251</v>
      </c>
      <c r="G5254">
        <f t="shared" ca="1" si="167"/>
        <v>3.3113315577881067E-2</v>
      </c>
    </row>
    <row r="5255" spans="6:7" x14ac:dyDescent="0.35">
      <c r="F5255">
        <v>5252</v>
      </c>
      <c r="G5255">
        <f t="shared" ca="1" si="167"/>
        <v>5.0162018610523116E-3</v>
      </c>
    </row>
    <row r="5256" spans="6:7" x14ac:dyDescent="0.35">
      <c r="F5256">
        <v>5253</v>
      </c>
      <c r="G5256">
        <f t="shared" ca="1" si="167"/>
        <v>-4.0706136189782728E-2</v>
      </c>
    </row>
    <row r="5257" spans="6:7" x14ac:dyDescent="0.35">
      <c r="F5257">
        <v>5254</v>
      </c>
      <c r="G5257">
        <f t="shared" ca="1" si="167"/>
        <v>6.9155944738448971E-3</v>
      </c>
    </row>
    <row r="5258" spans="6:7" x14ac:dyDescent="0.35">
      <c r="F5258">
        <v>5255</v>
      </c>
      <c r="G5258">
        <f t="shared" ca="1" si="167"/>
        <v>2.71540416191682E-2</v>
      </c>
    </row>
    <row r="5259" spans="6:7" x14ac:dyDescent="0.35">
      <c r="F5259">
        <v>5256</v>
      </c>
      <c r="G5259">
        <f t="shared" ca="1" si="167"/>
        <v>4.5331210746628194E-2</v>
      </c>
    </row>
    <row r="5260" spans="6:7" x14ac:dyDescent="0.35">
      <c r="F5260">
        <v>5257</v>
      </c>
      <c r="G5260">
        <f t="shared" ca="1" si="167"/>
        <v>-3.6428387085100038E-2</v>
      </c>
    </row>
    <row r="5261" spans="6:7" x14ac:dyDescent="0.35">
      <c r="F5261">
        <v>5258</v>
      </c>
      <c r="G5261">
        <f t="shared" ca="1" si="167"/>
        <v>1.1915539531701713E-2</v>
      </c>
    </row>
    <row r="5262" spans="6:7" x14ac:dyDescent="0.35">
      <c r="F5262">
        <v>5259</v>
      </c>
      <c r="G5262">
        <f t="shared" ca="1" si="167"/>
        <v>2.9037762714534298E-2</v>
      </c>
    </row>
    <row r="5263" spans="6:7" x14ac:dyDescent="0.35">
      <c r="F5263">
        <v>5260</v>
      </c>
      <c r="G5263">
        <f t="shared" ca="1" si="167"/>
        <v>2.4450928142671663E-2</v>
      </c>
    </row>
    <row r="5264" spans="6:7" x14ac:dyDescent="0.35">
      <c r="F5264">
        <v>5261</v>
      </c>
      <c r="G5264">
        <f t="shared" ca="1" si="167"/>
        <v>2.8194517372930602E-2</v>
      </c>
    </row>
    <row r="5265" spans="6:7" x14ac:dyDescent="0.35">
      <c r="F5265">
        <v>5262</v>
      </c>
      <c r="G5265">
        <f t="shared" ca="1" si="167"/>
        <v>3.8989579636031502E-2</v>
      </c>
    </row>
    <row r="5266" spans="6:7" x14ac:dyDescent="0.35">
      <c r="F5266">
        <v>5263</v>
      </c>
      <c r="G5266">
        <f t="shared" ca="1" si="167"/>
        <v>1.8821932683587485E-2</v>
      </c>
    </row>
    <row r="5267" spans="6:7" x14ac:dyDescent="0.35">
      <c r="F5267">
        <v>5264</v>
      </c>
      <c r="G5267">
        <f t="shared" ca="1" si="167"/>
        <v>1.9167621526153776E-2</v>
      </c>
    </row>
    <row r="5268" spans="6:7" x14ac:dyDescent="0.35">
      <c r="F5268">
        <v>5265</v>
      </c>
      <c r="G5268">
        <f t="shared" ca="1" si="167"/>
        <v>8.5800007787421705E-3</v>
      </c>
    </row>
    <row r="5269" spans="6:7" x14ac:dyDescent="0.35">
      <c r="F5269">
        <v>5266</v>
      </c>
      <c r="G5269">
        <f t="shared" ca="1" si="167"/>
        <v>3.3401913332249469E-2</v>
      </c>
    </row>
    <row r="5270" spans="6:7" x14ac:dyDescent="0.35">
      <c r="F5270">
        <v>5267</v>
      </c>
      <c r="G5270">
        <f t="shared" ca="1" si="167"/>
        <v>-1.8131788336071562E-2</v>
      </c>
    </row>
    <row r="5271" spans="6:7" x14ac:dyDescent="0.35">
      <c r="F5271">
        <v>5268</v>
      </c>
      <c r="G5271">
        <f t="shared" ca="1" si="167"/>
        <v>2.6258479305221873E-2</v>
      </c>
    </row>
    <row r="5272" spans="6:7" x14ac:dyDescent="0.35">
      <c r="F5272">
        <v>5269</v>
      </c>
      <c r="G5272">
        <f t="shared" ca="1" si="167"/>
        <v>3.637185920061381E-2</v>
      </c>
    </row>
    <row r="5273" spans="6:7" x14ac:dyDescent="0.35">
      <c r="F5273">
        <v>5270</v>
      </c>
      <c r="G5273">
        <f t="shared" ca="1" si="167"/>
        <v>-1.2502956863514422E-2</v>
      </c>
    </row>
    <row r="5274" spans="6:7" x14ac:dyDescent="0.35">
      <c r="F5274">
        <v>5271</v>
      </c>
      <c r="G5274">
        <f t="shared" ca="1" si="167"/>
        <v>-2.3450956197440906E-2</v>
      </c>
    </row>
    <row r="5275" spans="6:7" x14ac:dyDescent="0.35">
      <c r="F5275">
        <v>5272</v>
      </c>
      <c r="G5275">
        <f t="shared" ca="1" si="167"/>
        <v>5.7226732785856825E-3</v>
      </c>
    </row>
    <row r="5276" spans="6:7" x14ac:dyDescent="0.35">
      <c r="F5276">
        <v>5273</v>
      </c>
      <c r="G5276">
        <f t="shared" ca="1" si="167"/>
        <v>-1.5761767128778671E-2</v>
      </c>
    </row>
    <row r="5277" spans="6:7" x14ac:dyDescent="0.35">
      <c r="F5277">
        <v>5274</v>
      </c>
      <c r="G5277">
        <f t="shared" ca="1" si="167"/>
        <v>2.0711021948809107E-2</v>
      </c>
    </row>
    <row r="5278" spans="6:7" x14ac:dyDescent="0.35">
      <c r="F5278">
        <v>5275</v>
      </c>
      <c r="G5278">
        <f t="shared" ca="1" si="167"/>
        <v>-3.3406241070868509E-2</v>
      </c>
    </row>
    <row r="5279" spans="6:7" x14ac:dyDescent="0.35">
      <c r="F5279">
        <v>5276</v>
      </c>
      <c r="G5279">
        <f t="shared" ca="1" si="167"/>
        <v>-4.2405004697449802E-3</v>
      </c>
    </row>
    <row r="5280" spans="6:7" x14ac:dyDescent="0.35">
      <c r="F5280">
        <v>5277</v>
      </c>
      <c r="G5280">
        <f t="shared" ca="1" si="167"/>
        <v>-6.6353020463748194E-4</v>
      </c>
    </row>
    <row r="5281" spans="6:7" x14ac:dyDescent="0.35">
      <c r="F5281">
        <v>5278</v>
      </c>
      <c r="G5281">
        <f t="shared" ca="1" si="167"/>
        <v>-3.4685414502815717E-2</v>
      </c>
    </row>
    <row r="5282" spans="6:7" x14ac:dyDescent="0.35">
      <c r="F5282">
        <v>5279</v>
      </c>
      <c r="G5282">
        <f t="shared" ca="1" si="167"/>
        <v>4.7356956819886949E-2</v>
      </c>
    </row>
    <row r="5283" spans="6:7" x14ac:dyDescent="0.35">
      <c r="F5283">
        <v>5280</v>
      </c>
      <c r="G5283">
        <f t="shared" ca="1" si="167"/>
        <v>4.7161842770082653E-2</v>
      </c>
    </row>
    <row r="5284" spans="6:7" x14ac:dyDescent="0.35">
      <c r="F5284">
        <v>5281</v>
      </c>
      <c r="G5284">
        <f t="shared" ca="1" si="167"/>
        <v>2.0114840695444048E-2</v>
      </c>
    </row>
    <row r="5285" spans="6:7" x14ac:dyDescent="0.35">
      <c r="F5285">
        <v>5282</v>
      </c>
      <c r="G5285">
        <f t="shared" ca="1" si="167"/>
        <v>-2.1313410011112519E-3</v>
      </c>
    </row>
    <row r="5286" spans="6:7" x14ac:dyDescent="0.35">
      <c r="F5286">
        <v>5283</v>
      </c>
      <c r="G5286">
        <f t="shared" ca="1" si="167"/>
        <v>-3.3092129409212585E-2</v>
      </c>
    </row>
    <row r="5287" spans="6:7" x14ac:dyDescent="0.35">
      <c r="F5287">
        <v>5284</v>
      </c>
      <c r="G5287">
        <f t="shared" ca="1" si="167"/>
        <v>8.8336594350215559E-3</v>
      </c>
    </row>
    <row r="5288" spans="6:7" x14ac:dyDescent="0.35">
      <c r="F5288">
        <v>5285</v>
      </c>
      <c r="G5288">
        <f t="shared" ca="1" si="167"/>
        <v>3.0565555376001565E-3</v>
      </c>
    </row>
    <row r="5289" spans="6:7" x14ac:dyDescent="0.35">
      <c r="F5289">
        <v>5286</v>
      </c>
      <c r="G5289">
        <f t="shared" ca="1" si="167"/>
        <v>-8.8132773561501575E-3</v>
      </c>
    </row>
    <row r="5290" spans="6:7" x14ac:dyDescent="0.35">
      <c r="F5290">
        <v>5287</v>
      </c>
      <c r="G5290">
        <f t="shared" ca="1" si="167"/>
        <v>-2.009298833740393E-2</v>
      </c>
    </row>
    <row r="5291" spans="6:7" x14ac:dyDescent="0.35">
      <c r="F5291">
        <v>5288</v>
      </c>
      <c r="G5291">
        <f t="shared" ca="1" si="167"/>
        <v>1.4113028579482564E-3</v>
      </c>
    </row>
    <row r="5292" spans="6:7" x14ac:dyDescent="0.35">
      <c r="F5292">
        <v>5289</v>
      </c>
      <c r="G5292">
        <f t="shared" ca="1" si="167"/>
        <v>-6.8157224167257075E-3</v>
      </c>
    </row>
    <row r="5293" spans="6:7" x14ac:dyDescent="0.35">
      <c r="F5293">
        <v>5290</v>
      </c>
      <c r="G5293">
        <f t="shared" ca="1" si="167"/>
        <v>4.2200762390757388E-2</v>
      </c>
    </row>
    <row r="5294" spans="6:7" x14ac:dyDescent="0.35">
      <c r="F5294">
        <v>5291</v>
      </c>
      <c r="G5294">
        <f t="shared" ca="1" si="167"/>
        <v>3.9614360890603877E-2</v>
      </c>
    </row>
    <row r="5295" spans="6:7" x14ac:dyDescent="0.35">
      <c r="F5295">
        <v>5292</v>
      </c>
      <c r="G5295">
        <f t="shared" ca="1" si="167"/>
        <v>2.0007698993212312E-2</v>
      </c>
    </row>
    <row r="5296" spans="6:7" x14ac:dyDescent="0.35">
      <c r="F5296">
        <v>5293</v>
      </c>
      <c r="G5296">
        <f t="shared" ca="1" si="167"/>
        <v>2.7478965519079244E-3</v>
      </c>
    </row>
    <row r="5297" spans="6:7" x14ac:dyDescent="0.35">
      <c r="F5297">
        <v>5294</v>
      </c>
      <c r="G5297">
        <f t="shared" ca="1" si="167"/>
        <v>1.5333096538881587E-3</v>
      </c>
    </row>
    <row r="5298" spans="6:7" x14ac:dyDescent="0.35">
      <c r="F5298">
        <v>5295</v>
      </c>
      <c r="G5298">
        <f t="shared" ca="1" si="167"/>
        <v>-5.1480304770678227E-2</v>
      </c>
    </row>
    <row r="5299" spans="6:7" x14ac:dyDescent="0.35">
      <c r="F5299">
        <v>5296</v>
      </c>
      <c r="G5299">
        <f t="shared" ca="1" si="167"/>
        <v>-6.9402541255998446E-3</v>
      </c>
    </row>
    <row r="5300" spans="6:7" x14ac:dyDescent="0.35">
      <c r="F5300">
        <v>5297</v>
      </c>
      <c r="G5300">
        <f t="shared" ca="1" si="167"/>
        <v>-8.2317707785600856E-3</v>
      </c>
    </row>
    <row r="5301" spans="6:7" x14ac:dyDescent="0.35">
      <c r="F5301">
        <v>5298</v>
      </c>
      <c r="G5301">
        <f t="shared" ca="1" si="167"/>
        <v>-1.9849152054108522E-2</v>
      </c>
    </row>
    <row r="5302" spans="6:7" x14ac:dyDescent="0.35">
      <c r="F5302">
        <v>5299</v>
      </c>
      <c r="G5302">
        <f t="shared" ca="1" si="167"/>
        <v>-3.1006992671624507E-2</v>
      </c>
    </row>
    <row r="5303" spans="6:7" x14ac:dyDescent="0.35">
      <c r="F5303">
        <v>5300</v>
      </c>
      <c r="G5303">
        <f t="shared" ca="1" si="167"/>
        <v>-1.8456528883791953E-2</v>
      </c>
    </row>
    <row r="5304" spans="6:7" x14ac:dyDescent="0.35">
      <c r="F5304">
        <v>5301</v>
      </c>
      <c r="G5304">
        <f t="shared" ca="1" si="167"/>
        <v>-2.9196766422255709E-3</v>
      </c>
    </row>
    <row r="5305" spans="6:7" x14ac:dyDescent="0.35">
      <c r="F5305">
        <v>5302</v>
      </c>
      <c r="G5305">
        <f t="shared" ca="1" si="167"/>
        <v>-5.1768170460009158E-2</v>
      </c>
    </row>
    <row r="5306" spans="6:7" x14ac:dyDescent="0.35">
      <c r="F5306">
        <v>5303</v>
      </c>
      <c r="G5306">
        <f t="shared" ca="1" si="167"/>
        <v>-8.1873152439897109E-3</v>
      </c>
    </row>
    <row r="5307" spans="6:7" x14ac:dyDescent="0.35">
      <c r="F5307">
        <v>5304</v>
      </c>
      <c r="G5307">
        <f t="shared" ca="1" si="167"/>
        <v>3.9062710341305117E-2</v>
      </c>
    </row>
    <row r="5308" spans="6:7" x14ac:dyDescent="0.35">
      <c r="F5308">
        <v>5305</v>
      </c>
      <c r="G5308">
        <f t="shared" ca="1" si="167"/>
        <v>4.3710111015597755E-2</v>
      </c>
    </row>
    <row r="5309" spans="6:7" x14ac:dyDescent="0.35">
      <c r="F5309">
        <v>5306</v>
      </c>
      <c r="G5309">
        <f t="shared" ca="1" si="167"/>
        <v>1.8742743582553931E-2</v>
      </c>
    </row>
    <row r="5310" spans="6:7" x14ac:dyDescent="0.35">
      <c r="F5310">
        <v>5307</v>
      </c>
      <c r="G5310">
        <f t="shared" ca="1" si="167"/>
        <v>1.7210096854302952E-2</v>
      </c>
    </row>
    <row r="5311" spans="6:7" x14ac:dyDescent="0.35">
      <c r="F5311">
        <v>5308</v>
      </c>
      <c r="G5311">
        <f t="shared" ca="1" si="167"/>
        <v>-8.4392527132016275E-3</v>
      </c>
    </row>
    <row r="5312" spans="6:7" x14ac:dyDescent="0.35">
      <c r="F5312">
        <v>5309</v>
      </c>
      <c r="G5312">
        <f t="shared" ca="1" si="167"/>
        <v>-9.4116721469930283E-3</v>
      </c>
    </row>
    <row r="5313" spans="6:7" x14ac:dyDescent="0.35">
      <c r="F5313">
        <v>5310</v>
      </c>
      <c r="G5313">
        <f t="shared" ca="1" si="167"/>
        <v>-3.9729466298587618E-2</v>
      </c>
    </row>
    <row r="5314" spans="6:7" x14ac:dyDescent="0.35">
      <c r="F5314">
        <v>5311</v>
      </c>
      <c r="G5314">
        <f t="shared" ca="1" si="167"/>
        <v>-4.2421066656149302E-2</v>
      </c>
    </row>
    <row r="5315" spans="6:7" x14ac:dyDescent="0.35">
      <c r="F5315">
        <v>5312</v>
      </c>
      <c r="G5315">
        <f t="shared" ca="1" si="167"/>
        <v>9.5756262757595995E-3</v>
      </c>
    </row>
    <row r="5316" spans="6:7" x14ac:dyDescent="0.35">
      <c r="F5316">
        <v>5313</v>
      </c>
      <c r="G5316">
        <f t="shared" ca="1" si="167"/>
        <v>2.6576116665642552E-2</v>
      </c>
    </row>
    <row r="5317" spans="6:7" x14ac:dyDescent="0.35">
      <c r="F5317">
        <v>5314</v>
      </c>
      <c r="G5317">
        <f t="shared" ref="G5317:G5380" ca="1" si="168">_xlfn.NORM.INV(RAND(),K$6,K$7)</f>
        <v>1.7937979785298076E-2</v>
      </c>
    </row>
    <row r="5318" spans="6:7" x14ac:dyDescent="0.35">
      <c r="F5318">
        <v>5315</v>
      </c>
      <c r="G5318">
        <f t="shared" ca="1" si="168"/>
        <v>-2.338441745932163E-2</v>
      </c>
    </row>
    <row r="5319" spans="6:7" x14ac:dyDescent="0.35">
      <c r="F5319">
        <v>5316</v>
      </c>
      <c r="G5319">
        <f t="shared" ca="1" si="168"/>
        <v>8.4250618003993221E-4</v>
      </c>
    </row>
    <row r="5320" spans="6:7" x14ac:dyDescent="0.35">
      <c r="F5320">
        <v>5317</v>
      </c>
      <c r="G5320">
        <f t="shared" ca="1" si="168"/>
        <v>1.2269278030544378E-2</v>
      </c>
    </row>
    <row r="5321" spans="6:7" x14ac:dyDescent="0.35">
      <c r="F5321">
        <v>5318</v>
      </c>
      <c r="G5321">
        <f t="shared" ca="1" si="168"/>
        <v>1.0145036405650527E-2</v>
      </c>
    </row>
    <row r="5322" spans="6:7" x14ac:dyDescent="0.35">
      <c r="F5322">
        <v>5319</v>
      </c>
      <c r="G5322">
        <f t="shared" ca="1" si="168"/>
        <v>1.7650551804954599E-3</v>
      </c>
    </row>
    <row r="5323" spans="6:7" x14ac:dyDescent="0.35">
      <c r="F5323">
        <v>5320</v>
      </c>
      <c r="G5323">
        <f t="shared" ca="1" si="168"/>
        <v>8.303867679876651E-3</v>
      </c>
    </row>
    <row r="5324" spans="6:7" x14ac:dyDescent="0.35">
      <c r="F5324">
        <v>5321</v>
      </c>
      <c r="G5324">
        <f t="shared" ca="1" si="168"/>
        <v>2.1846454352693642E-3</v>
      </c>
    </row>
    <row r="5325" spans="6:7" x14ac:dyDescent="0.35">
      <c r="F5325">
        <v>5322</v>
      </c>
      <c r="G5325">
        <f t="shared" ca="1" si="168"/>
        <v>-1.4591496152339588E-2</v>
      </c>
    </row>
    <row r="5326" spans="6:7" x14ac:dyDescent="0.35">
      <c r="F5326">
        <v>5323</v>
      </c>
      <c r="G5326">
        <f t="shared" ca="1" si="168"/>
        <v>-3.2197775278336241E-2</v>
      </c>
    </row>
    <row r="5327" spans="6:7" x14ac:dyDescent="0.35">
      <c r="F5327">
        <v>5324</v>
      </c>
      <c r="G5327">
        <f t="shared" ca="1" si="168"/>
        <v>8.8517736005480057E-3</v>
      </c>
    </row>
    <row r="5328" spans="6:7" x14ac:dyDescent="0.35">
      <c r="F5328">
        <v>5325</v>
      </c>
      <c r="G5328">
        <f t="shared" ca="1" si="168"/>
        <v>1.3484118751051806E-2</v>
      </c>
    </row>
    <row r="5329" spans="6:7" x14ac:dyDescent="0.35">
      <c r="F5329">
        <v>5326</v>
      </c>
      <c r="G5329">
        <f t="shared" ca="1" si="168"/>
        <v>-4.3113502201281767E-2</v>
      </c>
    </row>
    <row r="5330" spans="6:7" x14ac:dyDescent="0.35">
      <c r="F5330">
        <v>5327</v>
      </c>
      <c r="G5330">
        <f t="shared" ca="1" si="168"/>
        <v>8.9785154412015244E-3</v>
      </c>
    </row>
    <row r="5331" spans="6:7" x14ac:dyDescent="0.35">
      <c r="F5331">
        <v>5328</v>
      </c>
      <c r="G5331">
        <f t="shared" ca="1" si="168"/>
        <v>-6.2631211858701977E-3</v>
      </c>
    </row>
    <row r="5332" spans="6:7" x14ac:dyDescent="0.35">
      <c r="F5332">
        <v>5329</v>
      </c>
      <c r="G5332">
        <f t="shared" ca="1" si="168"/>
        <v>-7.6584559355252022E-3</v>
      </c>
    </row>
    <row r="5333" spans="6:7" x14ac:dyDescent="0.35">
      <c r="F5333">
        <v>5330</v>
      </c>
      <c r="G5333">
        <f t="shared" ca="1" si="168"/>
        <v>-2.9668726420005904E-2</v>
      </c>
    </row>
    <row r="5334" spans="6:7" x14ac:dyDescent="0.35">
      <c r="F5334">
        <v>5331</v>
      </c>
      <c r="G5334">
        <f t="shared" ca="1" si="168"/>
        <v>-9.2298882332171941E-3</v>
      </c>
    </row>
    <row r="5335" spans="6:7" x14ac:dyDescent="0.35">
      <c r="F5335">
        <v>5332</v>
      </c>
      <c r="G5335">
        <f t="shared" ca="1" si="168"/>
        <v>-1.2468529590506578E-3</v>
      </c>
    </row>
    <row r="5336" spans="6:7" x14ac:dyDescent="0.35">
      <c r="F5336">
        <v>5333</v>
      </c>
      <c r="G5336">
        <f t="shared" ca="1" si="168"/>
        <v>-2.4878944156674458E-2</v>
      </c>
    </row>
    <row r="5337" spans="6:7" x14ac:dyDescent="0.35">
      <c r="F5337">
        <v>5334</v>
      </c>
      <c r="G5337">
        <f t="shared" ca="1" si="168"/>
        <v>2.4737264228542884E-2</v>
      </c>
    </row>
    <row r="5338" spans="6:7" x14ac:dyDescent="0.35">
      <c r="F5338">
        <v>5335</v>
      </c>
      <c r="G5338">
        <f t="shared" ca="1" si="168"/>
        <v>-1.8982868137630268E-2</v>
      </c>
    </row>
    <row r="5339" spans="6:7" x14ac:dyDescent="0.35">
      <c r="F5339">
        <v>5336</v>
      </c>
      <c r="G5339">
        <f t="shared" ca="1" si="168"/>
        <v>-1.478590510081081E-2</v>
      </c>
    </row>
    <row r="5340" spans="6:7" x14ac:dyDescent="0.35">
      <c r="F5340">
        <v>5337</v>
      </c>
      <c r="G5340">
        <f t="shared" ca="1" si="168"/>
        <v>1.2766541268128208E-2</v>
      </c>
    </row>
    <row r="5341" spans="6:7" x14ac:dyDescent="0.35">
      <c r="F5341">
        <v>5338</v>
      </c>
      <c r="G5341">
        <f t="shared" ca="1" si="168"/>
        <v>-3.9443654225349033E-2</v>
      </c>
    </row>
    <row r="5342" spans="6:7" x14ac:dyDescent="0.35">
      <c r="F5342">
        <v>5339</v>
      </c>
      <c r="G5342">
        <f t="shared" ca="1" si="168"/>
        <v>-6.8704340037682277E-2</v>
      </c>
    </row>
    <row r="5343" spans="6:7" x14ac:dyDescent="0.35">
      <c r="F5343">
        <v>5340</v>
      </c>
      <c r="G5343">
        <f t="shared" ca="1" si="168"/>
        <v>-1.5514383712496808E-2</v>
      </c>
    </row>
    <row r="5344" spans="6:7" x14ac:dyDescent="0.35">
      <c r="F5344">
        <v>5341</v>
      </c>
      <c r="G5344">
        <f t="shared" ca="1" si="168"/>
        <v>1.0798045483529467E-2</v>
      </c>
    </row>
    <row r="5345" spans="6:7" x14ac:dyDescent="0.35">
      <c r="F5345">
        <v>5342</v>
      </c>
      <c r="G5345">
        <f t="shared" ca="1" si="168"/>
        <v>-2.454381351500071E-2</v>
      </c>
    </row>
    <row r="5346" spans="6:7" x14ac:dyDescent="0.35">
      <c r="F5346">
        <v>5343</v>
      </c>
      <c r="G5346">
        <f t="shared" ca="1" si="168"/>
        <v>-8.1187955866086209E-3</v>
      </c>
    </row>
    <row r="5347" spans="6:7" x14ac:dyDescent="0.35">
      <c r="F5347">
        <v>5344</v>
      </c>
      <c r="G5347">
        <f t="shared" ca="1" si="168"/>
        <v>1.5190253247688208E-2</v>
      </c>
    </row>
    <row r="5348" spans="6:7" x14ac:dyDescent="0.35">
      <c r="F5348">
        <v>5345</v>
      </c>
      <c r="G5348">
        <f t="shared" ca="1" si="168"/>
        <v>-2.3197922797041148E-2</v>
      </c>
    </row>
    <row r="5349" spans="6:7" x14ac:dyDescent="0.35">
      <c r="F5349">
        <v>5346</v>
      </c>
      <c r="G5349">
        <f t="shared" ca="1" si="168"/>
        <v>1.5573915422650412E-2</v>
      </c>
    </row>
    <row r="5350" spans="6:7" x14ac:dyDescent="0.35">
      <c r="F5350">
        <v>5347</v>
      </c>
      <c r="G5350">
        <f t="shared" ca="1" si="168"/>
        <v>4.7376674117568908E-3</v>
      </c>
    </row>
    <row r="5351" spans="6:7" x14ac:dyDescent="0.35">
      <c r="F5351">
        <v>5348</v>
      </c>
      <c r="G5351">
        <f t="shared" ca="1" si="168"/>
        <v>-2.9174120743762709E-2</v>
      </c>
    </row>
    <row r="5352" spans="6:7" x14ac:dyDescent="0.35">
      <c r="F5352">
        <v>5349</v>
      </c>
      <c r="G5352">
        <f t="shared" ca="1" si="168"/>
        <v>-8.5297749865312304E-3</v>
      </c>
    </row>
    <row r="5353" spans="6:7" x14ac:dyDescent="0.35">
      <c r="F5353">
        <v>5350</v>
      </c>
      <c r="G5353">
        <f t="shared" ca="1" si="168"/>
        <v>4.0701463801900699E-2</v>
      </c>
    </row>
    <row r="5354" spans="6:7" x14ac:dyDescent="0.35">
      <c r="F5354">
        <v>5351</v>
      </c>
      <c r="G5354">
        <f t="shared" ca="1" si="168"/>
        <v>-1.6180651260071816E-2</v>
      </c>
    </row>
    <row r="5355" spans="6:7" x14ac:dyDescent="0.35">
      <c r="F5355">
        <v>5352</v>
      </c>
      <c r="G5355">
        <f t="shared" ca="1" si="168"/>
        <v>4.5174704668208372E-5</v>
      </c>
    </row>
    <row r="5356" spans="6:7" x14ac:dyDescent="0.35">
      <c r="F5356">
        <v>5353</v>
      </c>
      <c r="G5356">
        <f t="shared" ca="1" si="168"/>
        <v>-2.3805241090680544E-2</v>
      </c>
    </row>
    <row r="5357" spans="6:7" x14ac:dyDescent="0.35">
      <c r="F5357">
        <v>5354</v>
      </c>
      <c r="G5357">
        <f t="shared" ca="1" si="168"/>
        <v>-1.3815219931900375E-3</v>
      </c>
    </row>
    <row r="5358" spans="6:7" x14ac:dyDescent="0.35">
      <c r="F5358">
        <v>5355</v>
      </c>
      <c r="G5358">
        <f t="shared" ca="1" si="168"/>
        <v>-2.1202655088382167E-2</v>
      </c>
    </row>
    <row r="5359" spans="6:7" x14ac:dyDescent="0.35">
      <c r="F5359">
        <v>5356</v>
      </c>
      <c r="G5359">
        <f t="shared" ca="1" si="168"/>
        <v>1.867839373846944E-2</v>
      </c>
    </row>
    <row r="5360" spans="6:7" x14ac:dyDescent="0.35">
      <c r="F5360">
        <v>5357</v>
      </c>
      <c r="G5360">
        <f t="shared" ca="1" si="168"/>
        <v>4.531747387891677E-2</v>
      </c>
    </row>
    <row r="5361" spans="6:7" x14ac:dyDescent="0.35">
      <c r="F5361">
        <v>5358</v>
      </c>
      <c r="G5361">
        <f t="shared" ca="1" si="168"/>
        <v>-9.9378862941213678E-3</v>
      </c>
    </row>
    <row r="5362" spans="6:7" x14ac:dyDescent="0.35">
      <c r="F5362">
        <v>5359</v>
      </c>
      <c r="G5362">
        <f t="shared" ca="1" si="168"/>
        <v>5.2973650517144914E-2</v>
      </c>
    </row>
    <row r="5363" spans="6:7" x14ac:dyDescent="0.35">
      <c r="F5363">
        <v>5360</v>
      </c>
      <c r="G5363">
        <f t="shared" ca="1" si="168"/>
        <v>-2.3936528597521132E-2</v>
      </c>
    </row>
    <row r="5364" spans="6:7" x14ac:dyDescent="0.35">
      <c r="F5364">
        <v>5361</v>
      </c>
      <c r="G5364">
        <f t="shared" ca="1" si="168"/>
        <v>-2.1977141210024094E-2</v>
      </c>
    </row>
    <row r="5365" spans="6:7" x14ac:dyDescent="0.35">
      <c r="F5365">
        <v>5362</v>
      </c>
      <c r="G5365">
        <f t="shared" ca="1" si="168"/>
        <v>7.2666643578978181E-6</v>
      </c>
    </row>
    <row r="5366" spans="6:7" x14ac:dyDescent="0.35">
      <c r="F5366">
        <v>5363</v>
      </c>
      <c r="G5366">
        <f t="shared" ca="1" si="168"/>
        <v>-5.4513257843156991E-3</v>
      </c>
    </row>
    <row r="5367" spans="6:7" x14ac:dyDescent="0.35">
      <c r="F5367">
        <v>5364</v>
      </c>
      <c r="G5367">
        <f t="shared" ca="1" si="168"/>
        <v>1.6017428399830641E-2</v>
      </c>
    </row>
    <row r="5368" spans="6:7" x14ac:dyDescent="0.35">
      <c r="F5368">
        <v>5365</v>
      </c>
      <c r="G5368">
        <f t="shared" ca="1" si="168"/>
        <v>-2.8341111964582028E-2</v>
      </c>
    </row>
    <row r="5369" spans="6:7" x14ac:dyDescent="0.35">
      <c r="F5369">
        <v>5366</v>
      </c>
      <c r="G5369">
        <f t="shared" ca="1" si="168"/>
        <v>6.5546955068818816E-2</v>
      </c>
    </row>
    <row r="5370" spans="6:7" x14ac:dyDescent="0.35">
      <c r="F5370">
        <v>5367</v>
      </c>
      <c r="G5370">
        <f t="shared" ca="1" si="168"/>
        <v>-1.1579495442471105E-2</v>
      </c>
    </row>
    <row r="5371" spans="6:7" x14ac:dyDescent="0.35">
      <c r="F5371">
        <v>5368</v>
      </c>
      <c r="G5371">
        <f t="shared" ca="1" si="168"/>
        <v>-4.4093971292868621E-2</v>
      </c>
    </row>
    <row r="5372" spans="6:7" x14ac:dyDescent="0.35">
      <c r="F5372">
        <v>5369</v>
      </c>
      <c r="G5372">
        <f t="shared" ca="1" si="168"/>
        <v>2.4733553523712056E-3</v>
      </c>
    </row>
    <row r="5373" spans="6:7" x14ac:dyDescent="0.35">
      <c r="F5373">
        <v>5370</v>
      </c>
      <c r="G5373">
        <f t="shared" ca="1" si="168"/>
        <v>6.7186874238777897E-3</v>
      </c>
    </row>
    <row r="5374" spans="6:7" x14ac:dyDescent="0.35">
      <c r="F5374">
        <v>5371</v>
      </c>
      <c r="G5374">
        <f t="shared" ca="1" si="168"/>
        <v>4.2539525738948071E-2</v>
      </c>
    </row>
    <row r="5375" spans="6:7" x14ac:dyDescent="0.35">
      <c r="F5375">
        <v>5372</v>
      </c>
      <c r="G5375">
        <f t="shared" ca="1" si="168"/>
        <v>2.9435343495928887E-2</v>
      </c>
    </row>
    <row r="5376" spans="6:7" x14ac:dyDescent="0.35">
      <c r="F5376">
        <v>5373</v>
      </c>
      <c r="G5376">
        <f t="shared" ca="1" si="168"/>
        <v>-2.0376636927936221E-2</v>
      </c>
    </row>
    <row r="5377" spans="6:7" x14ac:dyDescent="0.35">
      <c r="F5377">
        <v>5374</v>
      </c>
      <c r="G5377">
        <f t="shared" ca="1" si="168"/>
        <v>-9.2056011338327304E-3</v>
      </c>
    </row>
    <row r="5378" spans="6:7" x14ac:dyDescent="0.35">
      <c r="F5378">
        <v>5375</v>
      </c>
      <c r="G5378">
        <f t="shared" ca="1" si="168"/>
        <v>-6.9163358051949383E-2</v>
      </c>
    </row>
    <row r="5379" spans="6:7" x14ac:dyDescent="0.35">
      <c r="F5379">
        <v>5376</v>
      </c>
      <c r="G5379">
        <f t="shared" ca="1" si="168"/>
        <v>4.4164622468137417E-3</v>
      </c>
    </row>
    <row r="5380" spans="6:7" x14ac:dyDescent="0.35">
      <c r="F5380">
        <v>5377</v>
      </c>
      <c r="G5380">
        <f t="shared" ca="1" si="168"/>
        <v>1.3348063775696918E-2</v>
      </c>
    </row>
    <row r="5381" spans="6:7" x14ac:dyDescent="0.35">
      <c r="F5381">
        <v>5378</v>
      </c>
      <c r="G5381">
        <f t="shared" ref="G5381:G5444" ca="1" si="169">_xlfn.NORM.INV(RAND(),K$6,K$7)</f>
        <v>-2.0375263198818213E-2</v>
      </c>
    </row>
    <row r="5382" spans="6:7" x14ac:dyDescent="0.35">
      <c r="F5382">
        <v>5379</v>
      </c>
      <c r="G5382">
        <f t="shared" ca="1" si="169"/>
        <v>2.1376206273879116E-2</v>
      </c>
    </row>
    <row r="5383" spans="6:7" x14ac:dyDescent="0.35">
      <c r="F5383">
        <v>5380</v>
      </c>
      <c r="G5383">
        <f t="shared" ca="1" si="169"/>
        <v>5.0392301362970522E-2</v>
      </c>
    </row>
    <row r="5384" spans="6:7" x14ac:dyDescent="0.35">
      <c r="F5384">
        <v>5381</v>
      </c>
      <c r="G5384">
        <f t="shared" ca="1" si="169"/>
        <v>-2.1046192292441285E-2</v>
      </c>
    </row>
    <row r="5385" spans="6:7" x14ac:dyDescent="0.35">
      <c r="F5385">
        <v>5382</v>
      </c>
      <c r="G5385">
        <f t="shared" ca="1" si="169"/>
        <v>-1.5688001934923049E-2</v>
      </c>
    </row>
    <row r="5386" spans="6:7" x14ac:dyDescent="0.35">
      <c r="F5386">
        <v>5383</v>
      </c>
      <c r="G5386">
        <f t="shared" ca="1" si="169"/>
        <v>-5.6198057124385243E-3</v>
      </c>
    </row>
    <row r="5387" spans="6:7" x14ac:dyDescent="0.35">
      <c r="F5387">
        <v>5384</v>
      </c>
      <c r="G5387">
        <f t="shared" ca="1" si="169"/>
        <v>-2.0084769940977246E-2</v>
      </c>
    </row>
    <row r="5388" spans="6:7" x14ac:dyDescent="0.35">
      <c r="F5388">
        <v>5385</v>
      </c>
      <c r="G5388">
        <f t="shared" ca="1" si="169"/>
        <v>2.4874705426567653E-2</v>
      </c>
    </row>
    <row r="5389" spans="6:7" x14ac:dyDescent="0.35">
      <c r="F5389">
        <v>5386</v>
      </c>
      <c r="G5389">
        <f t="shared" ca="1" si="169"/>
        <v>-4.2965958232313688E-3</v>
      </c>
    </row>
    <row r="5390" spans="6:7" x14ac:dyDescent="0.35">
      <c r="F5390">
        <v>5387</v>
      </c>
      <c r="G5390">
        <f t="shared" ca="1" si="169"/>
        <v>-3.9019788941641508E-2</v>
      </c>
    </row>
    <row r="5391" spans="6:7" x14ac:dyDescent="0.35">
      <c r="F5391">
        <v>5388</v>
      </c>
      <c r="G5391">
        <f t="shared" ca="1" si="169"/>
        <v>1.5157512048613975E-2</v>
      </c>
    </row>
    <row r="5392" spans="6:7" x14ac:dyDescent="0.35">
      <c r="F5392">
        <v>5389</v>
      </c>
      <c r="G5392">
        <f t="shared" ca="1" si="169"/>
        <v>-4.4092198189523979E-3</v>
      </c>
    </row>
    <row r="5393" spans="6:7" x14ac:dyDescent="0.35">
      <c r="F5393">
        <v>5390</v>
      </c>
      <c r="G5393">
        <f t="shared" ca="1" si="169"/>
        <v>-1.0057748172249435E-2</v>
      </c>
    </row>
    <row r="5394" spans="6:7" x14ac:dyDescent="0.35">
      <c r="F5394">
        <v>5391</v>
      </c>
      <c r="G5394">
        <f t="shared" ca="1" si="169"/>
        <v>-4.7851796223897063E-2</v>
      </c>
    </row>
    <row r="5395" spans="6:7" x14ac:dyDescent="0.35">
      <c r="F5395">
        <v>5392</v>
      </c>
      <c r="G5395">
        <f t="shared" ca="1" si="169"/>
        <v>-2.9351757137181481E-2</v>
      </c>
    </row>
    <row r="5396" spans="6:7" x14ac:dyDescent="0.35">
      <c r="F5396">
        <v>5393</v>
      </c>
      <c r="G5396">
        <f t="shared" ca="1" si="169"/>
        <v>-2.562818261114804E-3</v>
      </c>
    </row>
    <row r="5397" spans="6:7" x14ac:dyDescent="0.35">
      <c r="F5397">
        <v>5394</v>
      </c>
      <c r="G5397">
        <f t="shared" ca="1" si="169"/>
        <v>-2.4269322499088836E-2</v>
      </c>
    </row>
    <row r="5398" spans="6:7" x14ac:dyDescent="0.35">
      <c r="F5398">
        <v>5395</v>
      </c>
      <c r="G5398">
        <f t="shared" ca="1" si="169"/>
        <v>8.3560470820561363E-3</v>
      </c>
    </row>
    <row r="5399" spans="6:7" x14ac:dyDescent="0.35">
      <c r="F5399">
        <v>5396</v>
      </c>
      <c r="G5399">
        <f t="shared" ca="1" si="169"/>
        <v>-7.2763976365447149E-3</v>
      </c>
    </row>
    <row r="5400" spans="6:7" x14ac:dyDescent="0.35">
      <c r="F5400">
        <v>5397</v>
      </c>
      <c r="G5400">
        <f t="shared" ca="1" si="169"/>
        <v>-2.4531439936382581E-2</v>
      </c>
    </row>
    <row r="5401" spans="6:7" x14ac:dyDescent="0.35">
      <c r="F5401">
        <v>5398</v>
      </c>
      <c r="G5401">
        <f t="shared" ca="1" si="169"/>
        <v>2.2241680492109403E-3</v>
      </c>
    </row>
    <row r="5402" spans="6:7" x14ac:dyDescent="0.35">
      <c r="F5402">
        <v>5399</v>
      </c>
      <c r="G5402">
        <f t="shared" ca="1" si="169"/>
        <v>3.7083544413291807E-4</v>
      </c>
    </row>
    <row r="5403" spans="6:7" x14ac:dyDescent="0.35">
      <c r="F5403">
        <v>5400</v>
      </c>
      <c r="G5403">
        <f t="shared" ca="1" si="169"/>
        <v>-1.9101328108760952E-2</v>
      </c>
    </row>
    <row r="5404" spans="6:7" x14ac:dyDescent="0.35">
      <c r="F5404">
        <v>5401</v>
      </c>
      <c r="G5404">
        <f t="shared" ca="1" si="169"/>
        <v>9.7960855260041928E-3</v>
      </c>
    </row>
    <row r="5405" spans="6:7" x14ac:dyDescent="0.35">
      <c r="F5405">
        <v>5402</v>
      </c>
      <c r="G5405">
        <f t="shared" ca="1" si="169"/>
        <v>4.2752486420056879E-3</v>
      </c>
    </row>
    <row r="5406" spans="6:7" x14ac:dyDescent="0.35">
      <c r="F5406">
        <v>5403</v>
      </c>
      <c r="G5406">
        <f t="shared" ca="1" si="169"/>
        <v>2.8026243410169856E-2</v>
      </c>
    </row>
    <row r="5407" spans="6:7" x14ac:dyDescent="0.35">
      <c r="F5407">
        <v>5404</v>
      </c>
      <c r="G5407">
        <f t="shared" ca="1" si="169"/>
        <v>3.7646836417488776E-2</v>
      </c>
    </row>
    <row r="5408" spans="6:7" x14ac:dyDescent="0.35">
      <c r="F5408">
        <v>5405</v>
      </c>
      <c r="G5408">
        <f t="shared" ca="1" si="169"/>
        <v>1.5159220788526781E-2</v>
      </c>
    </row>
    <row r="5409" spans="6:7" x14ac:dyDescent="0.35">
      <c r="F5409">
        <v>5406</v>
      </c>
      <c r="G5409">
        <f t="shared" ca="1" si="169"/>
        <v>8.4356640910128733E-3</v>
      </c>
    </row>
    <row r="5410" spans="6:7" x14ac:dyDescent="0.35">
      <c r="F5410">
        <v>5407</v>
      </c>
      <c r="G5410">
        <f t="shared" ca="1" si="169"/>
        <v>-4.5939668457697404E-2</v>
      </c>
    </row>
    <row r="5411" spans="6:7" x14ac:dyDescent="0.35">
      <c r="F5411">
        <v>5408</v>
      </c>
      <c r="G5411">
        <f t="shared" ca="1" si="169"/>
        <v>7.6467134317704478E-3</v>
      </c>
    </row>
    <row r="5412" spans="6:7" x14ac:dyDescent="0.35">
      <c r="F5412">
        <v>5409</v>
      </c>
      <c r="G5412">
        <f t="shared" ca="1" si="169"/>
        <v>-1.2643047456465974E-2</v>
      </c>
    </row>
    <row r="5413" spans="6:7" x14ac:dyDescent="0.35">
      <c r="F5413">
        <v>5410</v>
      </c>
      <c r="G5413">
        <f t="shared" ca="1" si="169"/>
        <v>-1.3942637693813082E-2</v>
      </c>
    </row>
    <row r="5414" spans="6:7" x14ac:dyDescent="0.35">
      <c r="F5414">
        <v>5411</v>
      </c>
      <c r="G5414">
        <f t="shared" ca="1" si="169"/>
        <v>3.8801010332483649E-2</v>
      </c>
    </row>
    <row r="5415" spans="6:7" x14ac:dyDescent="0.35">
      <c r="F5415">
        <v>5412</v>
      </c>
      <c r="G5415">
        <f t="shared" ca="1" si="169"/>
        <v>4.5429674573824241E-2</v>
      </c>
    </row>
    <row r="5416" spans="6:7" x14ac:dyDescent="0.35">
      <c r="F5416">
        <v>5413</v>
      </c>
      <c r="G5416">
        <f t="shared" ca="1" si="169"/>
        <v>1.3239661017142985E-2</v>
      </c>
    </row>
    <row r="5417" spans="6:7" x14ac:dyDescent="0.35">
      <c r="F5417">
        <v>5414</v>
      </c>
      <c r="G5417">
        <f t="shared" ca="1" si="169"/>
        <v>-1.1246405739233639E-2</v>
      </c>
    </row>
    <row r="5418" spans="6:7" x14ac:dyDescent="0.35">
      <c r="F5418">
        <v>5415</v>
      </c>
      <c r="G5418">
        <f t="shared" ca="1" si="169"/>
        <v>-3.1069944140079752E-2</v>
      </c>
    </row>
    <row r="5419" spans="6:7" x14ac:dyDescent="0.35">
      <c r="F5419">
        <v>5416</v>
      </c>
      <c r="G5419">
        <f t="shared" ca="1" si="169"/>
        <v>1.1822504065489271E-2</v>
      </c>
    </row>
    <row r="5420" spans="6:7" x14ac:dyDescent="0.35">
      <c r="F5420">
        <v>5417</v>
      </c>
      <c r="G5420">
        <f t="shared" ca="1" si="169"/>
        <v>-9.2379739417601092E-3</v>
      </c>
    </row>
    <row r="5421" spans="6:7" x14ac:dyDescent="0.35">
      <c r="F5421">
        <v>5418</v>
      </c>
      <c r="G5421">
        <f t="shared" ca="1" si="169"/>
        <v>2.16908011824332E-2</v>
      </c>
    </row>
    <row r="5422" spans="6:7" x14ac:dyDescent="0.35">
      <c r="F5422">
        <v>5419</v>
      </c>
      <c r="G5422">
        <f t="shared" ca="1" si="169"/>
        <v>-2.1505918790986268E-2</v>
      </c>
    </row>
    <row r="5423" spans="6:7" x14ac:dyDescent="0.35">
      <c r="F5423">
        <v>5420</v>
      </c>
      <c r="G5423">
        <f t="shared" ca="1" si="169"/>
        <v>-4.5880228511805551E-2</v>
      </c>
    </row>
    <row r="5424" spans="6:7" x14ac:dyDescent="0.35">
      <c r="F5424">
        <v>5421</v>
      </c>
      <c r="G5424">
        <f t="shared" ca="1" si="169"/>
        <v>2.4213873991903244E-2</v>
      </c>
    </row>
    <row r="5425" spans="6:7" x14ac:dyDescent="0.35">
      <c r="F5425">
        <v>5422</v>
      </c>
      <c r="G5425">
        <f t="shared" ca="1" si="169"/>
        <v>-2.7219949233901308E-2</v>
      </c>
    </row>
    <row r="5426" spans="6:7" x14ac:dyDescent="0.35">
      <c r="F5426">
        <v>5423</v>
      </c>
      <c r="G5426">
        <f t="shared" ca="1" si="169"/>
        <v>2.4049858759320468E-2</v>
      </c>
    </row>
    <row r="5427" spans="6:7" x14ac:dyDescent="0.35">
      <c r="F5427">
        <v>5424</v>
      </c>
      <c r="G5427">
        <f t="shared" ca="1" si="169"/>
        <v>-2.5091899788635536E-2</v>
      </c>
    </row>
    <row r="5428" spans="6:7" x14ac:dyDescent="0.35">
      <c r="F5428">
        <v>5425</v>
      </c>
      <c r="G5428">
        <f t="shared" ca="1" si="169"/>
        <v>-1.6503262456303361E-2</v>
      </c>
    </row>
    <row r="5429" spans="6:7" x14ac:dyDescent="0.35">
      <c r="F5429">
        <v>5426</v>
      </c>
      <c r="G5429">
        <f t="shared" ca="1" si="169"/>
        <v>-2.8117124066975786E-2</v>
      </c>
    </row>
    <row r="5430" spans="6:7" x14ac:dyDescent="0.35">
      <c r="F5430">
        <v>5427</v>
      </c>
      <c r="G5430">
        <f t="shared" ca="1" si="169"/>
        <v>-7.308619025415973E-2</v>
      </c>
    </row>
    <row r="5431" spans="6:7" x14ac:dyDescent="0.35">
      <c r="F5431">
        <v>5428</v>
      </c>
      <c r="G5431">
        <f t="shared" ca="1" si="169"/>
        <v>-2.2473656859525192E-2</v>
      </c>
    </row>
    <row r="5432" spans="6:7" x14ac:dyDescent="0.35">
      <c r="F5432">
        <v>5429</v>
      </c>
      <c r="G5432">
        <f t="shared" ca="1" si="169"/>
        <v>-1.2112233069021209E-2</v>
      </c>
    </row>
    <row r="5433" spans="6:7" x14ac:dyDescent="0.35">
      <c r="F5433">
        <v>5430</v>
      </c>
      <c r="G5433">
        <f t="shared" ca="1" si="169"/>
        <v>2.2852678043438976E-2</v>
      </c>
    </row>
    <row r="5434" spans="6:7" x14ac:dyDescent="0.35">
      <c r="F5434">
        <v>5431</v>
      </c>
      <c r="G5434">
        <f t="shared" ca="1" si="169"/>
        <v>1.2942778458568203E-2</v>
      </c>
    </row>
    <row r="5435" spans="6:7" x14ac:dyDescent="0.35">
      <c r="F5435">
        <v>5432</v>
      </c>
      <c r="G5435">
        <f t="shared" ca="1" si="169"/>
        <v>6.694598391268989E-3</v>
      </c>
    </row>
    <row r="5436" spans="6:7" x14ac:dyDescent="0.35">
      <c r="F5436">
        <v>5433</v>
      </c>
      <c r="G5436">
        <f t="shared" ca="1" si="169"/>
        <v>1.9246313333146022E-2</v>
      </c>
    </row>
    <row r="5437" spans="6:7" x14ac:dyDescent="0.35">
      <c r="F5437">
        <v>5434</v>
      </c>
      <c r="G5437">
        <f t="shared" ca="1" si="169"/>
        <v>4.1322372663382533E-2</v>
      </c>
    </row>
    <row r="5438" spans="6:7" x14ac:dyDescent="0.35">
      <c r="F5438">
        <v>5435</v>
      </c>
      <c r="G5438">
        <f t="shared" ca="1" si="169"/>
        <v>-3.4700306230712373E-2</v>
      </c>
    </row>
    <row r="5439" spans="6:7" x14ac:dyDescent="0.35">
      <c r="F5439">
        <v>5436</v>
      </c>
      <c r="G5439">
        <f t="shared" ca="1" si="169"/>
        <v>-2.0752758637663075E-2</v>
      </c>
    </row>
    <row r="5440" spans="6:7" x14ac:dyDescent="0.35">
      <c r="F5440">
        <v>5437</v>
      </c>
      <c r="G5440">
        <f t="shared" ca="1" si="169"/>
        <v>2.0354523171123625E-2</v>
      </c>
    </row>
    <row r="5441" spans="6:7" x14ac:dyDescent="0.35">
      <c r="F5441">
        <v>5438</v>
      </c>
      <c r="G5441">
        <f t="shared" ca="1" si="169"/>
        <v>2.4160024189978015E-2</v>
      </c>
    </row>
    <row r="5442" spans="6:7" x14ac:dyDescent="0.35">
      <c r="F5442">
        <v>5439</v>
      </c>
      <c r="G5442">
        <f t="shared" ca="1" si="169"/>
        <v>-5.260707663558381E-2</v>
      </c>
    </row>
    <row r="5443" spans="6:7" x14ac:dyDescent="0.35">
      <c r="F5443">
        <v>5440</v>
      </c>
      <c r="G5443">
        <f t="shared" ca="1" si="169"/>
        <v>1.904392961879189E-2</v>
      </c>
    </row>
    <row r="5444" spans="6:7" x14ac:dyDescent="0.35">
      <c r="F5444">
        <v>5441</v>
      </c>
      <c r="G5444">
        <f t="shared" ca="1" si="169"/>
        <v>-3.6981056445382014E-2</v>
      </c>
    </row>
    <row r="5445" spans="6:7" x14ac:dyDescent="0.35">
      <c r="F5445">
        <v>5442</v>
      </c>
      <c r="G5445">
        <f t="shared" ref="G5445:G5508" ca="1" si="170">_xlfn.NORM.INV(RAND(),K$6,K$7)</f>
        <v>7.964455140692649E-3</v>
      </c>
    </row>
    <row r="5446" spans="6:7" x14ac:dyDescent="0.35">
      <c r="F5446">
        <v>5443</v>
      </c>
      <c r="G5446">
        <f t="shared" ca="1" si="170"/>
        <v>-2.4188733252686393E-2</v>
      </c>
    </row>
    <row r="5447" spans="6:7" x14ac:dyDescent="0.35">
      <c r="F5447">
        <v>5444</v>
      </c>
      <c r="G5447">
        <f t="shared" ca="1" si="170"/>
        <v>9.5466498914447296E-3</v>
      </c>
    </row>
    <row r="5448" spans="6:7" x14ac:dyDescent="0.35">
      <c r="F5448">
        <v>5445</v>
      </c>
      <c r="G5448">
        <f t="shared" ca="1" si="170"/>
        <v>3.6455936189345858E-3</v>
      </c>
    </row>
    <row r="5449" spans="6:7" x14ac:dyDescent="0.35">
      <c r="F5449">
        <v>5446</v>
      </c>
      <c r="G5449">
        <f t="shared" ca="1" si="170"/>
        <v>1.9033200527028545E-3</v>
      </c>
    </row>
    <row r="5450" spans="6:7" x14ac:dyDescent="0.35">
      <c r="F5450">
        <v>5447</v>
      </c>
      <c r="G5450">
        <f t="shared" ca="1" si="170"/>
        <v>2.6158448269279364E-2</v>
      </c>
    </row>
    <row r="5451" spans="6:7" x14ac:dyDescent="0.35">
      <c r="F5451">
        <v>5448</v>
      </c>
      <c r="G5451">
        <f t="shared" ca="1" si="170"/>
        <v>1.0684093761149685E-2</v>
      </c>
    </row>
    <row r="5452" spans="6:7" x14ac:dyDescent="0.35">
      <c r="F5452">
        <v>5449</v>
      </c>
      <c r="G5452">
        <f t="shared" ca="1" si="170"/>
        <v>3.5181906829827296E-2</v>
      </c>
    </row>
    <row r="5453" spans="6:7" x14ac:dyDescent="0.35">
      <c r="F5453">
        <v>5450</v>
      </c>
      <c r="G5453">
        <f t="shared" ca="1" si="170"/>
        <v>-1.5755351915580643E-2</v>
      </c>
    </row>
    <row r="5454" spans="6:7" x14ac:dyDescent="0.35">
      <c r="F5454">
        <v>5451</v>
      </c>
      <c r="G5454">
        <f t="shared" ca="1" si="170"/>
        <v>2.37347249310958E-2</v>
      </c>
    </row>
    <row r="5455" spans="6:7" x14ac:dyDescent="0.35">
      <c r="F5455">
        <v>5452</v>
      </c>
      <c r="G5455">
        <f t="shared" ca="1" si="170"/>
        <v>2.6858967662692072E-2</v>
      </c>
    </row>
    <row r="5456" spans="6:7" x14ac:dyDescent="0.35">
      <c r="F5456">
        <v>5453</v>
      </c>
      <c r="G5456">
        <f t="shared" ca="1" si="170"/>
        <v>-2.3589047770674321E-2</v>
      </c>
    </row>
    <row r="5457" spans="6:7" x14ac:dyDescent="0.35">
      <c r="F5457">
        <v>5454</v>
      </c>
      <c r="G5457">
        <f t="shared" ca="1" si="170"/>
        <v>2.3689195713961927E-2</v>
      </c>
    </row>
    <row r="5458" spans="6:7" x14ac:dyDescent="0.35">
      <c r="F5458">
        <v>5455</v>
      </c>
      <c r="G5458">
        <f t="shared" ca="1" si="170"/>
        <v>4.8161060095976899E-2</v>
      </c>
    </row>
    <row r="5459" spans="6:7" x14ac:dyDescent="0.35">
      <c r="F5459">
        <v>5456</v>
      </c>
      <c r="G5459">
        <f t="shared" ca="1" si="170"/>
        <v>3.4237652595543094E-2</v>
      </c>
    </row>
    <row r="5460" spans="6:7" x14ac:dyDescent="0.35">
      <c r="F5460">
        <v>5457</v>
      </c>
      <c r="G5460">
        <f t="shared" ca="1" si="170"/>
        <v>1.137007440131604E-2</v>
      </c>
    </row>
    <row r="5461" spans="6:7" x14ac:dyDescent="0.35">
      <c r="F5461">
        <v>5458</v>
      </c>
      <c r="G5461">
        <f t="shared" ca="1" si="170"/>
        <v>-8.8113020646834756E-3</v>
      </c>
    </row>
    <row r="5462" spans="6:7" x14ac:dyDescent="0.35">
      <c r="F5462">
        <v>5459</v>
      </c>
      <c r="G5462">
        <f t="shared" ca="1" si="170"/>
        <v>3.5233628644870528E-2</v>
      </c>
    </row>
    <row r="5463" spans="6:7" x14ac:dyDescent="0.35">
      <c r="F5463">
        <v>5460</v>
      </c>
      <c r="G5463">
        <f t="shared" ca="1" si="170"/>
        <v>1.6444523934978569E-2</v>
      </c>
    </row>
    <row r="5464" spans="6:7" x14ac:dyDescent="0.35">
      <c r="F5464">
        <v>5461</v>
      </c>
      <c r="G5464">
        <f t="shared" ca="1" si="170"/>
        <v>4.8272630649370686E-2</v>
      </c>
    </row>
    <row r="5465" spans="6:7" x14ac:dyDescent="0.35">
      <c r="F5465">
        <v>5462</v>
      </c>
      <c r="G5465">
        <f t="shared" ca="1" si="170"/>
        <v>9.1543632046475754E-4</v>
      </c>
    </row>
    <row r="5466" spans="6:7" x14ac:dyDescent="0.35">
      <c r="F5466">
        <v>5463</v>
      </c>
      <c r="G5466">
        <f t="shared" ca="1" si="170"/>
        <v>3.1919071203610136E-2</v>
      </c>
    </row>
    <row r="5467" spans="6:7" x14ac:dyDescent="0.35">
      <c r="F5467">
        <v>5464</v>
      </c>
      <c r="G5467">
        <f t="shared" ca="1" si="170"/>
        <v>3.0361708361475486E-2</v>
      </c>
    </row>
    <row r="5468" spans="6:7" x14ac:dyDescent="0.35">
      <c r="F5468">
        <v>5465</v>
      </c>
      <c r="G5468">
        <f t="shared" ca="1" si="170"/>
        <v>2.63181430354784E-2</v>
      </c>
    </row>
    <row r="5469" spans="6:7" x14ac:dyDescent="0.35">
      <c r="F5469">
        <v>5466</v>
      </c>
      <c r="G5469">
        <f t="shared" ca="1" si="170"/>
        <v>-2.1318879650488828E-2</v>
      </c>
    </row>
    <row r="5470" spans="6:7" x14ac:dyDescent="0.35">
      <c r="F5470">
        <v>5467</v>
      </c>
      <c r="G5470">
        <f t="shared" ca="1" si="170"/>
        <v>-2.1593650205379719E-2</v>
      </c>
    </row>
    <row r="5471" spans="6:7" x14ac:dyDescent="0.35">
      <c r="F5471">
        <v>5468</v>
      </c>
      <c r="G5471">
        <f t="shared" ca="1" si="170"/>
        <v>1.9560434987712153E-2</v>
      </c>
    </row>
    <row r="5472" spans="6:7" x14ac:dyDescent="0.35">
      <c r="F5472">
        <v>5469</v>
      </c>
      <c r="G5472">
        <f t="shared" ca="1" si="170"/>
        <v>2.2125222718747423E-2</v>
      </c>
    </row>
    <row r="5473" spans="6:7" x14ac:dyDescent="0.35">
      <c r="F5473">
        <v>5470</v>
      </c>
      <c r="G5473">
        <f t="shared" ca="1" si="170"/>
        <v>2.6243670264348316E-3</v>
      </c>
    </row>
    <row r="5474" spans="6:7" x14ac:dyDescent="0.35">
      <c r="F5474">
        <v>5471</v>
      </c>
      <c r="G5474">
        <f t="shared" ca="1" si="170"/>
        <v>-4.2776398641646958E-2</v>
      </c>
    </row>
    <row r="5475" spans="6:7" x14ac:dyDescent="0.35">
      <c r="F5475">
        <v>5472</v>
      </c>
      <c r="G5475">
        <f t="shared" ca="1" si="170"/>
        <v>-5.632589042960931E-2</v>
      </c>
    </row>
    <row r="5476" spans="6:7" x14ac:dyDescent="0.35">
      <c r="F5476">
        <v>5473</v>
      </c>
      <c r="G5476">
        <f t="shared" ca="1" si="170"/>
        <v>2.5734972331055754E-2</v>
      </c>
    </row>
    <row r="5477" spans="6:7" x14ac:dyDescent="0.35">
      <c r="F5477">
        <v>5474</v>
      </c>
      <c r="G5477">
        <f t="shared" ca="1" si="170"/>
        <v>-4.4122865626875828E-3</v>
      </c>
    </row>
    <row r="5478" spans="6:7" x14ac:dyDescent="0.35">
      <c r="F5478">
        <v>5475</v>
      </c>
      <c r="G5478">
        <f t="shared" ca="1" si="170"/>
        <v>-1.0993080914347118E-3</v>
      </c>
    </row>
    <row r="5479" spans="6:7" x14ac:dyDescent="0.35">
      <c r="F5479">
        <v>5476</v>
      </c>
      <c r="G5479">
        <f t="shared" ca="1" si="170"/>
        <v>-7.2436840043562656E-3</v>
      </c>
    </row>
    <row r="5480" spans="6:7" x14ac:dyDescent="0.35">
      <c r="F5480">
        <v>5477</v>
      </c>
      <c r="G5480">
        <f t="shared" ca="1" si="170"/>
        <v>4.5391072799204395E-2</v>
      </c>
    </row>
    <row r="5481" spans="6:7" x14ac:dyDescent="0.35">
      <c r="F5481">
        <v>5478</v>
      </c>
      <c r="G5481">
        <f t="shared" ca="1" si="170"/>
        <v>4.3031745721151933E-2</v>
      </c>
    </row>
    <row r="5482" spans="6:7" x14ac:dyDescent="0.35">
      <c r="F5482">
        <v>5479</v>
      </c>
      <c r="G5482">
        <f t="shared" ca="1" si="170"/>
        <v>1.7766034598864576E-2</v>
      </c>
    </row>
    <row r="5483" spans="6:7" x14ac:dyDescent="0.35">
      <c r="F5483">
        <v>5480</v>
      </c>
      <c r="G5483">
        <f t="shared" ca="1" si="170"/>
        <v>-7.9355721870037559E-4</v>
      </c>
    </row>
    <row r="5484" spans="6:7" x14ac:dyDescent="0.35">
      <c r="F5484">
        <v>5481</v>
      </c>
      <c r="G5484">
        <f t="shared" ca="1" si="170"/>
        <v>3.1084725810199932E-2</v>
      </c>
    </row>
    <row r="5485" spans="6:7" x14ac:dyDescent="0.35">
      <c r="F5485">
        <v>5482</v>
      </c>
      <c r="G5485">
        <f t="shared" ca="1" si="170"/>
        <v>3.3232204724861159E-2</v>
      </c>
    </row>
    <row r="5486" spans="6:7" x14ac:dyDescent="0.35">
      <c r="F5486">
        <v>5483</v>
      </c>
      <c r="G5486">
        <f t="shared" ca="1" si="170"/>
        <v>-1.2201948488988769E-4</v>
      </c>
    </row>
    <row r="5487" spans="6:7" x14ac:dyDescent="0.35">
      <c r="F5487">
        <v>5484</v>
      </c>
      <c r="G5487">
        <f t="shared" ca="1" si="170"/>
        <v>9.1610989264055004E-3</v>
      </c>
    </row>
    <row r="5488" spans="6:7" x14ac:dyDescent="0.35">
      <c r="F5488">
        <v>5485</v>
      </c>
      <c r="G5488">
        <f t="shared" ca="1" si="170"/>
        <v>-2.040964309000743E-2</v>
      </c>
    </row>
    <row r="5489" spans="6:7" x14ac:dyDescent="0.35">
      <c r="F5489">
        <v>5486</v>
      </c>
      <c r="G5489">
        <f t="shared" ca="1" si="170"/>
        <v>-1.4480360272316344E-2</v>
      </c>
    </row>
    <row r="5490" spans="6:7" x14ac:dyDescent="0.35">
      <c r="F5490">
        <v>5487</v>
      </c>
      <c r="G5490">
        <f t="shared" ca="1" si="170"/>
        <v>2.9524096364964638E-2</v>
      </c>
    </row>
    <row r="5491" spans="6:7" x14ac:dyDescent="0.35">
      <c r="F5491">
        <v>5488</v>
      </c>
      <c r="G5491">
        <f t="shared" ca="1" si="170"/>
        <v>2.8847510781852784E-2</v>
      </c>
    </row>
    <row r="5492" spans="6:7" x14ac:dyDescent="0.35">
      <c r="F5492">
        <v>5489</v>
      </c>
      <c r="G5492">
        <f t="shared" ca="1" si="170"/>
        <v>-1.9832905603278755E-2</v>
      </c>
    </row>
    <row r="5493" spans="6:7" x14ac:dyDescent="0.35">
      <c r="F5493">
        <v>5490</v>
      </c>
      <c r="G5493">
        <f t="shared" ca="1" si="170"/>
        <v>-3.0078742993770457E-2</v>
      </c>
    </row>
    <row r="5494" spans="6:7" x14ac:dyDescent="0.35">
      <c r="F5494">
        <v>5491</v>
      </c>
      <c r="G5494">
        <f t="shared" ca="1" si="170"/>
        <v>-1.8928912205983549E-2</v>
      </c>
    </row>
    <row r="5495" spans="6:7" x14ac:dyDescent="0.35">
      <c r="F5495">
        <v>5492</v>
      </c>
      <c r="G5495">
        <f t="shared" ca="1" si="170"/>
        <v>2.7415887523087445E-2</v>
      </c>
    </row>
    <row r="5496" spans="6:7" x14ac:dyDescent="0.35">
      <c r="F5496">
        <v>5493</v>
      </c>
      <c r="G5496">
        <f t="shared" ca="1" si="170"/>
        <v>1.5637717750935795E-2</v>
      </c>
    </row>
    <row r="5497" spans="6:7" x14ac:dyDescent="0.35">
      <c r="F5497">
        <v>5494</v>
      </c>
      <c r="G5497">
        <f t="shared" ca="1" si="170"/>
        <v>-1.9515582199771779E-2</v>
      </c>
    </row>
    <row r="5498" spans="6:7" x14ac:dyDescent="0.35">
      <c r="F5498">
        <v>5495</v>
      </c>
      <c r="G5498">
        <f t="shared" ca="1" si="170"/>
        <v>2.3357078855759512E-2</v>
      </c>
    </row>
    <row r="5499" spans="6:7" x14ac:dyDescent="0.35">
      <c r="F5499">
        <v>5496</v>
      </c>
      <c r="G5499">
        <f t="shared" ca="1" si="170"/>
        <v>3.1358722275171586E-2</v>
      </c>
    </row>
    <row r="5500" spans="6:7" x14ac:dyDescent="0.35">
      <c r="F5500">
        <v>5497</v>
      </c>
      <c r="G5500">
        <f t="shared" ca="1" si="170"/>
        <v>2.8163134064673169E-2</v>
      </c>
    </row>
    <row r="5501" spans="6:7" x14ac:dyDescent="0.35">
      <c r="F5501">
        <v>5498</v>
      </c>
      <c r="G5501">
        <f t="shared" ca="1" si="170"/>
        <v>-1.7776419517746656E-2</v>
      </c>
    </row>
    <row r="5502" spans="6:7" x14ac:dyDescent="0.35">
      <c r="F5502">
        <v>5499</v>
      </c>
      <c r="G5502">
        <f t="shared" ca="1" si="170"/>
        <v>2.2245179879157475E-3</v>
      </c>
    </row>
    <row r="5503" spans="6:7" x14ac:dyDescent="0.35">
      <c r="F5503">
        <v>5500</v>
      </c>
      <c r="G5503">
        <f t="shared" ca="1" si="170"/>
        <v>2.7970316302499399E-2</v>
      </c>
    </row>
    <row r="5504" spans="6:7" x14ac:dyDescent="0.35">
      <c r="F5504">
        <v>5501</v>
      </c>
      <c r="G5504">
        <f t="shared" ca="1" si="170"/>
        <v>-5.3389248723573125E-2</v>
      </c>
    </row>
    <row r="5505" spans="6:7" x14ac:dyDescent="0.35">
      <c r="F5505">
        <v>5502</v>
      </c>
      <c r="G5505">
        <f t="shared" ca="1" si="170"/>
        <v>8.1206596211024235E-3</v>
      </c>
    </row>
    <row r="5506" spans="6:7" x14ac:dyDescent="0.35">
      <c r="F5506">
        <v>5503</v>
      </c>
      <c r="G5506">
        <f t="shared" ca="1" si="170"/>
        <v>-1.1322984793079199E-2</v>
      </c>
    </row>
    <row r="5507" spans="6:7" x14ac:dyDescent="0.35">
      <c r="F5507">
        <v>5504</v>
      </c>
      <c r="G5507">
        <f t="shared" ca="1" si="170"/>
        <v>4.7542746621947896E-3</v>
      </c>
    </row>
    <row r="5508" spans="6:7" x14ac:dyDescent="0.35">
      <c r="F5508">
        <v>5505</v>
      </c>
      <c r="G5508">
        <f t="shared" ca="1" si="170"/>
        <v>2.9343608935171985E-2</v>
      </c>
    </row>
    <row r="5509" spans="6:7" x14ac:dyDescent="0.35">
      <c r="F5509">
        <v>5506</v>
      </c>
      <c r="G5509">
        <f t="shared" ref="G5509:G5572" ca="1" si="171">_xlfn.NORM.INV(RAND(),K$6,K$7)</f>
        <v>1.3018246584335473E-4</v>
      </c>
    </row>
    <row r="5510" spans="6:7" x14ac:dyDescent="0.35">
      <c r="F5510">
        <v>5507</v>
      </c>
      <c r="G5510">
        <f t="shared" ca="1" si="171"/>
        <v>1.6762374777371306E-2</v>
      </c>
    </row>
    <row r="5511" spans="6:7" x14ac:dyDescent="0.35">
      <c r="F5511">
        <v>5508</v>
      </c>
      <c r="G5511">
        <f t="shared" ca="1" si="171"/>
        <v>-2.1519090473997481E-2</v>
      </c>
    </row>
    <row r="5512" spans="6:7" x14ac:dyDescent="0.35">
      <c r="F5512">
        <v>5509</v>
      </c>
      <c r="G5512">
        <f t="shared" ca="1" si="171"/>
        <v>6.4911101425348255E-2</v>
      </c>
    </row>
    <row r="5513" spans="6:7" x14ac:dyDescent="0.35">
      <c r="F5513">
        <v>5510</v>
      </c>
      <c r="G5513">
        <f t="shared" ca="1" si="171"/>
        <v>2.0610347152740252E-2</v>
      </c>
    </row>
    <row r="5514" spans="6:7" x14ac:dyDescent="0.35">
      <c r="F5514">
        <v>5511</v>
      </c>
      <c r="G5514">
        <f t="shared" ca="1" si="171"/>
        <v>1.2235818504218619E-2</v>
      </c>
    </row>
    <row r="5515" spans="6:7" x14ac:dyDescent="0.35">
      <c r="F5515">
        <v>5512</v>
      </c>
      <c r="G5515">
        <f t="shared" ca="1" si="171"/>
        <v>-1.2511742933675676E-2</v>
      </c>
    </row>
    <row r="5516" spans="6:7" x14ac:dyDescent="0.35">
      <c r="F5516">
        <v>5513</v>
      </c>
      <c r="G5516">
        <f t="shared" ca="1" si="171"/>
        <v>2.0916400695772511E-2</v>
      </c>
    </row>
    <row r="5517" spans="6:7" x14ac:dyDescent="0.35">
      <c r="F5517">
        <v>5514</v>
      </c>
      <c r="G5517">
        <f t="shared" ca="1" si="171"/>
        <v>2.2088154235974902E-2</v>
      </c>
    </row>
    <row r="5518" spans="6:7" x14ac:dyDescent="0.35">
      <c r="F5518">
        <v>5515</v>
      </c>
      <c r="G5518">
        <f t="shared" ca="1" si="171"/>
        <v>-3.5988649434516934E-2</v>
      </c>
    </row>
    <row r="5519" spans="6:7" x14ac:dyDescent="0.35">
      <c r="F5519">
        <v>5516</v>
      </c>
      <c r="G5519">
        <f t="shared" ca="1" si="171"/>
        <v>4.4232257600940711E-2</v>
      </c>
    </row>
    <row r="5520" spans="6:7" x14ac:dyDescent="0.35">
      <c r="F5520">
        <v>5517</v>
      </c>
      <c r="G5520">
        <f t="shared" ca="1" si="171"/>
        <v>-4.6938942012364447E-2</v>
      </c>
    </row>
    <row r="5521" spans="6:7" x14ac:dyDescent="0.35">
      <c r="F5521">
        <v>5518</v>
      </c>
      <c r="G5521">
        <f t="shared" ca="1" si="171"/>
        <v>5.0041048037049909E-2</v>
      </c>
    </row>
    <row r="5522" spans="6:7" x14ac:dyDescent="0.35">
      <c r="F5522">
        <v>5519</v>
      </c>
      <c r="G5522">
        <f t="shared" ca="1" si="171"/>
        <v>-3.9003102568635692E-3</v>
      </c>
    </row>
    <row r="5523" spans="6:7" x14ac:dyDescent="0.35">
      <c r="F5523">
        <v>5520</v>
      </c>
      <c r="G5523">
        <f t="shared" ca="1" si="171"/>
        <v>8.3393682122938732E-3</v>
      </c>
    </row>
    <row r="5524" spans="6:7" x14ac:dyDescent="0.35">
      <c r="F5524">
        <v>5521</v>
      </c>
      <c r="G5524">
        <f t="shared" ca="1" si="171"/>
        <v>-1.7152742612068735E-2</v>
      </c>
    </row>
    <row r="5525" spans="6:7" x14ac:dyDescent="0.35">
      <c r="F5525">
        <v>5522</v>
      </c>
      <c r="G5525">
        <f t="shared" ca="1" si="171"/>
        <v>2.0928587442080052E-2</v>
      </c>
    </row>
    <row r="5526" spans="6:7" x14ac:dyDescent="0.35">
      <c r="F5526">
        <v>5523</v>
      </c>
      <c r="G5526">
        <f t="shared" ca="1" si="171"/>
        <v>5.8404965699941453E-3</v>
      </c>
    </row>
    <row r="5527" spans="6:7" x14ac:dyDescent="0.35">
      <c r="F5527">
        <v>5524</v>
      </c>
      <c r="G5527">
        <f t="shared" ca="1" si="171"/>
        <v>2.1310591562775514E-2</v>
      </c>
    </row>
    <row r="5528" spans="6:7" x14ac:dyDescent="0.35">
      <c r="F5528">
        <v>5525</v>
      </c>
      <c r="G5528">
        <f t="shared" ca="1" si="171"/>
        <v>-6.6484830618328879E-3</v>
      </c>
    </row>
    <row r="5529" spans="6:7" x14ac:dyDescent="0.35">
      <c r="F5529">
        <v>5526</v>
      </c>
      <c r="G5529">
        <f t="shared" ca="1" si="171"/>
        <v>-1.0512752872271753E-2</v>
      </c>
    </row>
    <row r="5530" spans="6:7" x14ac:dyDescent="0.35">
      <c r="F5530">
        <v>5527</v>
      </c>
      <c r="G5530">
        <f t="shared" ca="1" si="171"/>
        <v>5.1467703502764819E-2</v>
      </c>
    </row>
    <row r="5531" spans="6:7" x14ac:dyDescent="0.35">
      <c r="F5531">
        <v>5528</v>
      </c>
      <c r="G5531">
        <f t="shared" ca="1" si="171"/>
        <v>-2.2883863446198586E-3</v>
      </c>
    </row>
    <row r="5532" spans="6:7" x14ac:dyDescent="0.35">
      <c r="F5532">
        <v>5529</v>
      </c>
      <c r="G5532">
        <f t="shared" ca="1" si="171"/>
        <v>-3.3548357924582575E-3</v>
      </c>
    </row>
    <row r="5533" spans="6:7" x14ac:dyDescent="0.35">
      <c r="F5533">
        <v>5530</v>
      </c>
      <c r="G5533">
        <f t="shared" ca="1" si="171"/>
        <v>4.0303279883288273E-2</v>
      </c>
    </row>
    <row r="5534" spans="6:7" x14ac:dyDescent="0.35">
      <c r="F5534">
        <v>5531</v>
      </c>
      <c r="G5534">
        <f t="shared" ca="1" si="171"/>
        <v>1.3200387377400064E-2</v>
      </c>
    </row>
    <row r="5535" spans="6:7" x14ac:dyDescent="0.35">
      <c r="F5535">
        <v>5532</v>
      </c>
      <c r="G5535">
        <f t="shared" ca="1" si="171"/>
        <v>-1.9857104310513515E-2</v>
      </c>
    </row>
    <row r="5536" spans="6:7" x14ac:dyDescent="0.35">
      <c r="F5536">
        <v>5533</v>
      </c>
      <c r="G5536">
        <f t="shared" ca="1" si="171"/>
        <v>1.455697731494592E-2</v>
      </c>
    </row>
    <row r="5537" spans="6:7" x14ac:dyDescent="0.35">
      <c r="F5537">
        <v>5534</v>
      </c>
      <c r="G5537">
        <f t="shared" ca="1" si="171"/>
        <v>1.4019917103714802E-2</v>
      </c>
    </row>
    <row r="5538" spans="6:7" x14ac:dyDescent="0.35">
      <c r="F5538">
        <v>5535</v>
      </c>
      <c r="G5538">
        <f t="shared" ca="1" si="171"/>
        <v>3.2776342600088396E-2</v>
      </c>
    </row>
    <row r="5539" spans="6:7" x14ac:dyDescent="0.35">
      <c r="F5539">
        <v>5536</v>
      </c>
      <c r="G5539">
        <f t="shared" ca="1" si="171"/>
        <v>-1.4075030532151752E-3</v>
      </c>
    </row>
    <row r="5540" spans="6:7" x14ac:dyDescent="0.35">
      <c r="F5540">
        <v>5537</v>
      </c>
      <c r="G5540">
        <f t="shared" ca="1" si="171"/>
        <v>-1.8092930439690496E-2</v>
      </c>
    </row>
    <row r="5541" spans="6:7" x14ac:dyDescent="0.35">
      <c r="F5541">
        <v>5538</v>
      </c>
      <c r="G5541">
        <f t="shared" ca="1" si="171"/>
        <v>6.4865777255624868E-2</v>
      </c>
    </row>
    <row r="5542" spans="6:7" x14ac:dyDescent="0.35">
      <c r="F5542">
        <v>5539</v>
      </c>
      <c r="G5542">
        <f t="shared" ca="1" si="171"/>
        <v>-2.6078091882597566E-2</v>
      </c>
    </row>
    <row r="5543" spans="6:7" x14ac:dyDescent="0.35">
      <c r="F5543">
        <v>5540</v>
      </c>
      <c r="G5543">
        <f t="shared" ca="1" si="171"/>
        <v>-3.1070193582806962E-2</v>
      </c>
    </row>
    <row r="5544" spans="6:7" x14ac:dyDescent="0.35">
      <c r="F5544">
        <v>5541</v>
      </c>
      <c r="G5544">
        <f t="shared" ca="1" si="171"/>
        <v>-1.3206932259881643E-2</v>
      </c>
    </row>
    <row r="5545" spans="6:7" x14ac:dyDescent="0.35">
      <c r="F5545">
        <v>5542</v>
      </c>
      <c r="G5545">
        <f t="shared" ca="1" si="171"/>
        <v>2.4029925748307406E-2</v>
      </c>
    </row>
    <row r="5546" spans="6:7" x14ac:dyDescent="0.35">
      <c r="F5546">
        <v>5543</v>
      </c>
      <c r="G5546">
        <f t="shared" ca="1" si="171"/>
        <v>-6.649190308758339E-2</v>
      </c>
    </row>
    <row r="5547" spans="6:7" x14ac:dyDescent="0.35">
      <c r="F5547">
        <v>5544</v>
      </c>
      <c r="G5547">
        <f t="shared" ca="1" si="171"/>
        <v>1.480506300816037E-2</v>
      </c>
    </row>
    <row r="5548" spans="6:7" x14ac:dyDescent="0.35">
      <c r="F5548">
        <v>5545</v>
      </c>
      <c r="G5548">
        <f t="shared" ca="1" si="171"/>
        <v>-3.0231027477319362E-2</v>
      </c>
    </row>
    <row r="5549" spans="6:7" x14ac:dyDescent="0.35">
      <c r="F5549">
        <v>5546</v>
      </c>
      <c r="G5549">
        <f t="shared" ca="1" si="171"/>
        <v>3.1496033624997366E-2</v>
      </c>
    </row>
    <row r="5550" spans="6:7" x14ac:dyDescent="0.35">
      <c r="F5550">
        <v>5547</v>
      </c>
      <c r="G5550">
        <f t="shared" ca="1" si="171"/>
        <v>1.300902330668849E-2</v>
      </c>
    </row>
    <row r="5551" spans="6:7" x14ac:dyDescent="0.35">
      <c r="F5551">
        <v>5548</v>
      </c>
      <c r="G5551">
        <f t="shared" ca="1" si="171"/>
        <v>5.735195955740637E-3</v>
      </c>
    </row>
    <row r="5552" spans="6:7" x14ac:dyDescent="0.35">
      <c r="F5552">
        <v>5549</v>
      </c>
      <c r="G5552">
        <f t="shared" ca="1" si="171"/>
        <v>-3.4020376236368013E-2</v>
      </c>
    </row>
    <row r="5553" spans="6:7" x14ac:dyDescent="0.35">
      <c r="F5553">
        <v>5550</v>
      </c>
      <c r="G5553">
        <f t="shared" ca="1" si="171"/>
        <v>-5.0675265199830594E-2</v>
      </c>
    </row>
    <row r="5554" spans="6:7" x14ac:dyDescent="0.35">
      <c r="F5554">
        <v>5551</v>
      </c>
      <c r="G5554">
        <f t="shared" ca="1" si="171"/>
        <v>-4.0356956306951131E-3</v>
      </c>
    </row>
    <row r="5555" spans="6:7" x14ac:dyDescent="0.35">
      <c r="F5555">
        <v>5552</v>
      </c>
      <c r="G5555">
        <f t="shared" ca="1" si="171"/>
        <v>3.3220860166775834E-2</v>
      </c>
    </row>
    <row r="5556" spans="6:7" x14ac:dyDescent="0.35">
      <c r="F5556">
        <v>5553</v>
      </c>
      <c r="G5556">
        <f t="shared" ca="1" si="171"/>
        <v>-2.3468801386243052E-2</v>
      </c>
    </row>
    <row r="5557" spans="6:7" x14ac:dyDescent="0.35">
      <c r="F5557">
        <v>5554</v>
      </c>
      <c r="G5557">
        <f t="shared" ca="1" si="171"/>
        <v>-8.6685997636778665E-3</v>
      </c>
    </row>
    <row r="5558" spans="6:7" x14ac:dyDescent="0.35">
      <c r="F5558">
        <v>5555</v>
      </c>
      <c r="G5558">
        <f t="shared" ca="1" si="171"/>
        <v>6.3623985465530372E-3</v>
      </c>
    </row>
    <row r="5559" spans="6:7" x14ac:dyDescent="0.35">
      <c r="F5559">
        <v>5556</v>
      </c>
      <c r="G5559">
        <f t="shared" ca="1" si="171"/>
        <v>1.3321142122850934E-2</v>
      </c>
    </row>
    <row r="5560" spans="6:7" x14ac:dyDescent="0.35">
      <c r="F5560">
        <v>5557</v>
      </c>
      <c r="G5560">
        <f t="shared" ca="1" si="171"/>
        <v>7.9614865413160337E-4</v>
      </c>
    </row>
    <row r="5561" spans="6:7" x14ac:dyDescent="0.35">
      <c r="F5561">
        <v>5558</v>
      </c>
      <c r="G5561">
        <f t="shared" ca="1" si="171"/>
        <v>-2.7986247449760205E-3</v>
      </c>
    </row>
    <row r="5562" spans="6:7" x14ac:dyDescent="0.35">
      <c r="F5562">
        <v>5559</v>
      </c>
      <c r="G5562">
        <f t="shared" ca="1" si="171"/>
        <v>1.2492634199562666E-2</v>
      </c>
    </row>
    <row r="5563" spans="6:7" x14ac:dyDescent="0.35">
      <c r="F5563">
        <v>5560</v>
      </c>
      <c r="G5563">
        <f t="shared" ca="1" si="171"/>
        <v>-1.1916038370261983E-2</v>
      </c>
    </row>
    <row r="5564" spans="6:7" x14ac:dyDescent="0.35">
      <c r="F5564">
        <v>5561</v>
      </c>
      <c r="G5564">
        <f t="shared" ca="1" si="171"/>
        <v>-1.663026506796508E-2</v>
      </c>
    </row>
    <row r="5565" spans="6:7" x14ac:dyDescent="0.35">
      <c r="F5565">
        <v>5562</v>
      </c>
      <c r="G5565">
        <f t="shared" ca="1" si="171"/>
        <v>1.0449154799329575E-3</v>
      </c>
    </row>
    <row r="5566" spans="6:7" x14ac:dyDescent="0.35">
      <c r="F5566">
        <v>5563</v>
      </c>
      <c r="G5566">
        <f t="shared" ca="1" si="171"/>
        <v>-5.046936249862246E-2</v>
      </c>
    </row>
    <row r="5567" spans="6:7" x14ac:dyDescent="0.35">
      <c r="F5567">
        <v>5564</v>
      </c>
      <c r="G5567">
        <f t="shared" ca="1" si="171"/>
        <v>2.3858351221203809E-2</v>
      </c>
    </row>
    <row r="5568" spans="6:7" x14ac:dyDescent="0.35">
      <c r="F5568">
        <v>5565</v>
      </c>
      <c r="G5568">
        <f t="shared" ca="1" si="171"/>
        <v>5.8497762894098703E-3</v>
      </c>
    </row>
    <row r="5569" spans="6:7" x14ac:dyDescent="0.35">
      <c r="F5569">
        <v>5566</v>
      </c>
      <c r="G5569">
        <f t="shared" ca="1" si="171"/>
        <v>3.5741662489268057E-2</v>
      </c>
    </row>
    <row r="5570" spans="6:7" x14ac:dyDescent="0.35">
      <c r="F5570">
        <v>5567</v>
      </c>
      <c r="G5570">
        <f t="shared" ca="1" si="171"/>
        <v>9.5192196448480419E-3</v>
      </c>
    </row>
    <row r="5571" spans="6:7" x14ac:dyDescent="0.35">
      <c r="F5571">
        <v>5568</v>
      </c>
      <c r="G5571">
        <f t="shared" ca="1" si="171"/>
        <v>-6.268160312747055E-2</v>
      </c>
    </row>
    <row r="5572" spans="6:7" x14ac:dyDescent="0.35">
      <c r="F5572">
        <v>5569</v>
      </c>
      <c r="G5572">
        <f t="shared" ca="1" si="171"/>
        <v>-1.081420307044054E-2</v>
      </c>
    </row>
    <row r="5573" spans="6:7" x14ac:dyDescent="0.35">
      <c r="F5573">
        <v>5570</v>
      </c>
      <c r="G5573">
        <f t="shared" ref="G5573:G5636" ca="1" si="172">_xlfn.NORM.INV(RAND(),K$6,K$7)</f>
        <v>1.8253495744265123E-2</v>
      </c>
    </row>
    <row r="5574" spans="6:7" x14ac:dyDescent="0.35">
      <c r="F5574">
        <v>5571</v>
      </c>
      <c r="G5574">
        <f t="shared" ca="1" si="172"/>
        <v>-6.7319900195169004E-3</v>
      </c>
    </row>
    <row r="5575" spans="6:7" x14ac:dyDescent="0.35">
      <c r="F5575">
        <v>5572</v>
      </c>
      <c r="G5575">
        <f t="shared" ca="1" si="172"/>
        <v>-7.0293794433536408E-3</v>
      </c>
    </row>
    <row r="5576" spans="6:7" x14ac:dyDescent="0.35">
      <c r="F5576">
        <v>5573</v>
      </c>
      <c r="G5576">
        <f t="shared" ca="1" si="172"/>
        <v>-1.0337091229256577E-2</v>
      </c>
    </row>
    <row r="5577" spans="6:7" x14ac:dyDescent="0.35">
      <c r="F5577">
        <v>5574</v>
      </c>
      <c r="G5577">
        <f t="shared" ca="1" si="172"/>
        <v>-4.1324341090235228E-3</v>
      </c>
    </row>
    <row r="5578" spans="6:7" x14ac:dyDescent="0.35">
      <c r="F5578">
        <v>5575</v>
      </c>
      <c r="G5578">
        <f t="shared" ca="1" si="172"/>
        <v>-8.5112606975538459E-3</v>
      </c>
    </row>
    <row r="5579" spans="6:7" x14ac:dyDescent="0.35">
      <c r="F5579">
        <v>5576</v>
      </c>
      <c r="G5579">
        <f t="shared" ca="1" si="172"/>
        <v>8.3822465924148649E-3</v>
      </c>
    </row>
    <row r="5580" spans="6:7" x14ac:dyDescent="0.35">
      <c r="F5580">
        <v>5577</v>
      </c>
      <c r="G5580">
        <f t="shared" ca="1" si="172"/>
        <v>2.2732807794863752E-2</v>
      </c>
    </row>
    <row r="5581" spans="6:7" x14ac:dyDescent="0.35">
      <c r="F5581">
        <v>5578</v>
      </c>
      <c r="G5581">
        <f t="shared" ca="1" si="172"/>
        <v>-6.4913432466752949E-2</v>
      </c>
    </row>
    <row r="5582" spans="6:7" x14ac:dyDescent="0.35">
      <c r="F5582">
        <v>5579</v>
      </c>
      <c r="G5582">
        <f t="shared" ca="1" si="172"/>
        <v>-2.5302060393597954E-2</v>
      </c>
    </row>
    <row r="5583" spans="6:7" x14ac:dyDescent="0.35">
      <c r="F5583">
        <v>5580</v>
      </c>
      <c r="G5583">
        <f t="shared" ca="1" si="172"/>
        <v>-1.3605461542849579E-2</v>
      </c>
    </row>
    <row r="5584" spans="6:7" x14ac:dyDescent="0.35">
      <c r="F5584">
        <v>5581</v>
      </c>
      <c r="G5584">
        <f t="shared" ca="1" si="172"/>
        <v>8.8295460088430346E-3</v>
      </c>
    </row>
    <row r="5585" spans="6:7" x14ac:dyDescent="0.35">
      <c r="F5585">
        <v>5582</v>
      </c>
      <c r="G5585">
        <f t="shared" ca="1" si="172"/>
        <v>3.4734967737696146E-2</v>
      </c>
    </row>
    <row r="5586" spans="6:7" x14ac:dyDescent="0.35">
      <c r="F5586">
        <v>5583</v>
      </c>
      <c r="G5586">
        <f t="shared" ca="1" si="172"/>
        <v>-1.4383736360111907E-3</v>
      </c>
    </row>
    <row r="5587" spans="6:7" x14ac:dyDescent="0.35">
      <c r="F5587">
        <v>5584</v>
      </c>
      <c r="G5587">
        <f t="shared" ca="1" si="172"/>
        <v>-1.4122776126898568E-2</v>
      </c>
    </row>
    <row r="5588" spans="6:7" x14ac:dyDescent="0.35">
      <c r="F5588">
        <v>5585</v>
      </c>
      <c r="G5588">
        <f t="shared" ca="1" si="172"/>
        <v>7.2391039246658045E-2</v>
      </c>
    </row>
    <row r="5589" spans="6:7" x14ac:dyDescent="0.35">
      <c r="F5589">
        <v>5586</v>
      </c>
      <c r="G5589">
        <f t="shared" ca="1" si="172"/>
        <v>-3.4594178802116573E-3</v>
      </c>
    </row>
    <row r="5590" spans="6:7" x14ac:dyDescent="0.35">
      <c r="F5590">
        <v>5587</v>
      </c>
      <c r="G5590">
        <f t="shared" ca="1" si="172"/>
        <v>1.2360568374959378E-2</v>
      </c>
    </row>
    <row r="5591" spans="6:7" x14ac:dyDescent="0.35">
      <c r="F5591">
        <v>5588</v>
      </c>
      <c r="G5591">
        <f t="shared" ca="1" si="172"/>
        <v>-5.523405440481452E-2</v>
      </c>
    </row>
    <row r="5592" spans="6:7" x14ac:dyDescent="0.35">
      <c r="F5592">
        <v>5589</v>
      </c>
      <c r="G5592">
        <f t="shared" ca="1" si="172"/>
        <v>-1.6846136700313463E-3</v>
      </c>
    </row>
    <row r="5593" spans="6:7" x14ac:dyDescent="0.35">
      <c r="F5593">
        <v>5590</v>
      </c>
      <c r="G5593">
        <f t="shared" ca="1" si="172"/>
        <v>2.9752940779933918E-2</v>
      </c>
    </row>
    <row r="5594" spans="6:7" x14ac:dyDescent="0.35">
      <c r="F5594">
        <v>5591</v>
      </c>
      <c r="G5594">
        <f t="shared" ca="1" si="172"/>
        <v>-3.4969550120528547E-3</v>
      </c>
    </row>
    <row r="5595" spans="6:7" x14ac:dyDescent="0.35">
      <c r="F5595">
        <v>5592</v>
      </c>
      <c r="G5595">
        <f t="shared" ca="1" si="172"/>
        <v>-1.9524954899151389E-2</v>
      </c>
    </row>
    <row r="5596" spans="6:7" x14ac:dyDescent="0.35">
      <c r="F5596">
        <v>5593</v>
      </c>
      <c r="G5596">
        <f t="shared" ca="1" si="172"/>
        <v>-7.7077942035119699E-3</v>
      </c>
    </row>
    <row r="5597" spans="6:7" x14ac:dyDescent="0.35">
      <c r="F5597">
        <v>5594</v>
      </c>
      <c r="G5597">
        <f t="shared" ca="1" si="172"/>
        <v>3.8170206068088935E-2</v>
      </c>
    </row>
    <row r="5598" spans="6:7" x14ac:dyDescent="0.35">
      <c r="F5598">
        <v>5595</v>
      </c>
      <c r="G5598">
        <f t="shared" ca="1" si="172"/>
        <v>-3.5344515757965867E-3</v>
      </c>
    </row>
    <row r="5599" spans="6:7" x14ac:dyDescent="0.35">
      <c r="F5599">
        <v>5596</v>
      </c>
      <c r="G5599">
        <f t="shared" ca="1" si="172"/>
        <v>-5.6515173204918327E-3</v>
      </c>
    </row>
    <row r="5600" spans="6:7" x14ac:dyDescent="0.35">
      <c r="F5600">
        <v>5597</v>
      </c>
      <c r="G5600">
        <f t="shared" ca="1" si="172"/>
        <v>-8.1637752822793803E-3</v>
      </c>
    </row>
    <row r="5601" spans="6:7" x14ac:dyDescent="0.35">
      <c r="F5601">
        <v>5598</v>
      </c>
      <c r="G5601">
        <f t="shared" ca="1" si="172"/>
        <v>3.8659958590811373E-2</v>
      </c>
    </row>
    <row r="5602" spans="6:7" x14ac:dyDescent="0.35">
      <c r="F5602">
        <v>5599</v>
      </c>
      <c r="G5602">
        <f t="shared" ca="1" si="172"/>
        <v>9.9692514499427121E-4</v>
      </c>
    </row>
    <row r="5603" spans="6:7" x14ac:dyDescent="0.35">
      <c r="F5603">
        <v>5600</v>
      </c>
      <c r="G5603">
        <f t="shared" ca="1" si="172"/>
        <v>3.9080595549079652E-3</v>
      </c>
    </row>
    <row r="5604" spans="6:7" x14ac:dyDescent="0.35">
      <c r="F5604">
        <v>5601</v>
      </c>
      <c r="G5604">
        <f t="shared" ca="1" si="172"/>
        <v>2.2830779604835729E-2</v>
      </c>
    </row>
    <row r="5605" spans="6:7" x14ac:dyDescent="0.35">
      <c r="F5605">
        <v>5602</v>
      </c>
      <c r="G5605">
        <f t="shared" ca="1" si="172"/>
        <v>4.6510670090424373E-2</v>
      </c>
    </row>
    <row r="5606" spans="6:7" x14ac:dyDescent="0.35">
      <c r="F5606">
        <v>5603</v>
      </c>
      <c r="G5606">
        <f t="shared" ca="1" si="172"/>
        <v>-9.5229807694843065E-3</v>
      </c>
    </row>
    <row r="5607" spans="6:7" x14ac:dyDescent="0.35">
      <c r="F5607">
        <v>5604</v>
      </c>
      <c r="G5607">
        <f t="shared" ca="1" si="172"/>
        <v>-3.3418856705936341E-2</v>
      </c>
    </row>
    <row r="5608" spans="6:7" x14ac:dyDescent="0.35">
      <c r="F5608">
        <v>5605</v>
      </c>
      <c r="G5608">
        <f t="shared" ca="1" si="172"/>
        <v>2.1774262827119906E-2</v>
      </c>
    </row>
    <row r="5609" spans="6:7" x14ac:dyDescent="0.35">
      <c r="F5609">
        <v>5606</v>
      </c>
      <c r="G5609">
        <f t="shared" ca="1" si="172"/>
        <v>-7.2984953820578985E-2</v>
      </c>
    </row>
    <row r="5610" spans="6:7" x14ac:dyDescent="0.35">
      <c r="F5610">
        <v>5607</v>
      </c>
      <c r="G5610">
        <f t="shared" ca="1" si="172"/>
        <v>-1.3643003431707393E-2</v>
      </c>
    </row>
    <row r="5611" spans="6:7" x14ac:dyDescent="0.35">
      <c r="F5611">
        <v>5608</v>
      </c>
      <c r="G5611">
        <f t="shared" ca="1" si="172"/>
        <v>3.934566712038734E-2</v>
      </c>
    </row>
    <row r="5612" spans="6:7" x14ac:dyDescent="0.35">
      <c r="F5612">
        <v>5609</v>
      </c>
      <c r="G5612">
        <f t="shared" ca="1" si="172"/>
        <v>1.2873503115000465E-2</v>
      </c>
    </row>
    <row r="5613" spans="6:7" x14ac:dyDescent="0.35">
      <c r="F5613">
        <v>5610</v>
      </c>
      <c r="G5613">
        <f t="shared" ca="1" si="172"/>
        <v>-1.7530450433179946E-2</v>
      </c>
    </row>
    <row r="5614" spans="6:7" x14ac:dyDescent="0.35">
      <c r="F5614">
        <v>5611</v>
      </c>
      <c r="G5614">
        <f t="shared" ca="1" si="172"/>
        <v>4.0294616798042963E-2</v>
      </c>
    </row>
    <row r="5615" spans="6:7" x14ac:dyDescent="0.35">
      <c r="F5615">
        <v>5612</v>
      </c>
      <c r="G5615">
        <f t="shared" ca="1" si="172"/>
        <v>6.8592337858557312E-2</v>
      </c>
    </row>
    <row r="5616" spans="6:7" x14ac:dyDescent="0.35">
      <c r="F5616">
        <v>5613</v>
      </c>
      <c r="G5616">
        <f t="shared" ca="1" si="172"/>
        <v>-5.4062282161507505E-2</v>
      </c>
    </row>
    <row r="5617" spans="6:7" x14ac:dyDescent="0.35">
      <c r="F5617">
        <v>5614</v>
      </c>
      <c r="G5617">
        <f t="shared" ca="1" si="172"/>
        <v>6.3276946335913443E-3</v>
      </c>
    </row>
    <row r="5618" spans="6:7" x14ac:dyDescent="0.35">
      <c r="F5618">
        <v>5615</v>
      </c>
      <c r="G5618">
        <f t="shared" ca="1" si="172"/>
        <v>5.3292460423306612E-2</v>
      </c>
    </row>
    <row r="5619" spans="6:7" x14ac:dyDescent="0.35">
      <c r="F5619">
        <v>5616</v>
      </c>
      <c r="G5619">
        <f t="shared" ca="1" si="172"/>
        <v>8.12129752028584E-3</v>
      </c>
    </row>
    <row r="5620" spans="6:7" x14ac:dyDescent="0.35">
      <c r="F5620">
        <v>5617</v>
      </c>
      <c r="G5620">
        <f t="shared" ca="1" si="172"/>
        <v>6.521413026271702E-3</v>
      </c>
    </row>
    <row r="5621" spans="6:7" x14ac:dyDescent="0.35">
      <c r="F5621">
        <v>5618</v>
      </c>
      <c r="G5621">
        <f t="shared" ca="1" si="172"/>
        <v>4.0697834395946639E-2</v>
      </c>
    </row>
    <row r="5622" spans="6:7" x14ac:dyDescent="0.35">
      <c r="F5622">
        <v>5619</v>
      </c>
      <c r="G5622">
        <f t="shared" ca="1" si="172"/>
        <v>2.5465023244104955E-2</v>
      </c>
    </row>
    <row r="5623" spans="6:7" x14ac:dyDescent="0.35">
      <c r="F5623">
        <v>5620</v>
      </c>
      <c r="G5623">
        <f t="shared" ca="1" si="172"/>
        <v>-2.3759947700477239E-2</v>
      </c>
    </row>
    <row r="5624" spans="6:7" x14ac:dyDescent="0.35">
      <c r="F5624">
        <v>5621</v>
      </c>
      <c r="G5624">
        <f t="shared" ca="1" si="172"/>
        <v>1.2456776313485881E-2</v>
      </c>
    </row>
    <row r="5625" spans="6:7" x14ac:dyDescent="0.35">
      <c r="F5625">
        <v>5622</v>
      </c>
      <c r="G5625">
        <f t="shared" ca="1" si="172"/>
        <v>8.6632597850881624E-3</v>
      </c>
    </row>
    <row r="5626" spans="6:7" x14ac:dyDescent="0.35">
      <c r="F5626">
        <v>5623</v>
      </c>
      <c r="G5626">
        <f t="shared" ca="1" si="172"/>
        <v>1.0974571237388124E-2</v>
      </c>
    </row>
    <row r="5627" spans="6:7" x14ac:dyDescent="0.35">
      <c r="F5627">
        <v>5624</v>
      </c>
      <c r="G5627">
        <f t="shared" ca="1" si="172"/>
        <v>2.9175417930072937E-2</v>
      </c>
    </row>
    <row r="5628" spans="6:7" x14ac:dyDescent="0.35">
      <c r="F5628">
        <v>5625</v>
      </c>
      <c r="G5628">
        <f t="shared" ca="1" si="172"/>
        <v>-3.5215228562749723E-2</v>
      </c>
    </row>
    <row r="5629" spans="6:7" x14ac:dyDescent="0.35">
      <c r="F5629">
        <v>5626</v>
      </c>
      <c r="G5629">
        <f t="shared" ca="1" si="172"/>
        <v>7.0618997301589064E-3</v>
      </c>
    </row>
    <row r="5630" spans="6:7" x14ac:dyDescent="0.35">
      <c r="F5630">
        <v>5627</v>
      </c>
      <c r="G5630">
        <f t="shared" ca="1" si="172"/>
        <v>3.594235238672551E-2</v>
      </c>
    </row>
    <row r="5631" spans="6:7" x14ac:dyDescent="0.35">
      <c r="F5631">
        <v>5628</v>
      </c>
      <c r="G5631">
        <f t="shared" ca="1" si="172"/>
        <v>2.6440158316309702E-3</v>
      </c>
    </row>
    <row r="5632" spans="6:7" x14ac:dyDescent="0.35">
      <c r="F5632">
        <v>5629</v>
      </c>
      <c r="G5632">
        <f t="shared" ca="1" si="172"/>
        <v>4.0779940486493534E-2</v>
      </c>
    </row>
    <row r="5633" spans="6:7" x14ac:dyDescent="0.35">
      <c r="F5633">
        <v>5630</v>
      </c>
      <c r="G5633">
        <f t="shared" ca="1" si="172"/>
        <v>-4.5835762626129147E-3</v>
      </c>
    </row>
    <row r="5634" spans="6:7" x14ac:dyDescent="0.35">
      <c r="F5634">
        <v>5631</v>
      </c>
      <c r="G5634">
        <f t="shared" ca="1" si="172"/>
        <v>-3.2036483728783101E-2</v>
      </c>
    </row>
    <row r="5635" spans="6:7" x14ac:dyDescent="0.35">
      <c r="F5635">
        <v>5632</v>
      </c>
      <c r="G5635">
        <f t="shared" ca="1" si="172"/>
        <v>2.0149784948675236E-2</v>
      </c>
    </row>
    <row r="5636" spans="6:7" x14ac:dyDescent="0.35">
      <c r="F5636">
        <v>5633</v>
      </c>
      <c r="G5636">
        <f t="shared" ca="1" si="172"/>
        <v>-1.0790168116286221E-2</v>
      </c>
    </row>
    <row r="5637" spans="6:7" x14ac:dyDescent="0.35">
      <c r="F5637">
        <v>5634</v>
      </c>
      <c r="G5637">
        <f t="shared" ref="G5637:G5700" ca="1" si="173">_xlfn.NORM.INV(RAND(),K$6,K$7)</f>
        <v>3.9758853549769092E-3</v>
      </c>
    </row>
    <row r="5638" spans="6:7" x14ac:dyDescent="0.35">
      <c r="F5638">
        <v>5635</v>
      </c>
      <c r="G5638">
        <f t="shared" ca="1" si="173"/>
        <v>2.2458169944516514E-2</v>
      </c>
    </row>
    <row r="5639" spans="6:7" x14ac:dyDescent="0.35">
      <c r="F5639">
        <v>5636</v>
      </c>
      <c r="G5639">
        <f t="shared" ca="1" si="173"/>
        <v>7.240422733414899E-3</v>
      </c>
    </row>
    <row r="5640" spans="6:7" x14ac:dyDescent="0.35">
      <c r="F5640">
        <v>5637</v>
      </c>
      <c r="G5640">
        <f t="shared" ca="1" si="173"/>
        <v>3.7354179243893296E-2</v>
      </c>
    </row>
    <row r="5641" spans="6:7" x14ac:dyDescent="0.35">
      <c r="F5641">
        <v>5638</v>
      </c>
      <c r="G5641">
        <f t="shared" ca="1" si="173"/>
        <v>1.1525884361647429E-2</v>
      </c>
    </row>
    <row r="5642" spans="6:7" x14ac:dyDescent="0.35">
      <c r="F5642">
        <v>5639</v>
      </c>
      <c r="G5642">
        <f t="shared" ca="1" si="173"/>
        <v>-8.8990212597917884E-4</v>
      </c>
    </row>
    <row r="5643" spans="6:7" x14ac:dyDescent="0.35">
      <c r="F5643">
        <v>5640</v>
      </c>
      <c r="G5643">
        <f t="shared" ca="1" si="173"/>
        <v>-1.983583211490508E-2</v>
      </c>
    </row>
    <row r="5644" spans="6:7" x14ac:dyDescent="0.35">
      <c r="F5644">
        <v>5641</v>
      </c>
      <c r="G5644">
        <f t="shared" ca="1" si="173"/>
        <v>-1.9211108454319489E-2</v>
      </c>
    </row>
    <row r="5645" spans="6:7" x14ac:dyDescent="0.35">
      <c r="F5645">
        <v>5642</v>
      </c>
      <c r="G5645">
        <f t="shared" ca="1" si="173"/>
        <v>-8.6485932338861878E-3</v>
      </c>
    </row>
    <row r="5646" spans="6:7" x14ac:dyDescent="0.35">
      <c r="F5646">
        <v>5643</v>
      </c>
      <c r="G5646">
        <f t="shared" ca="1" si="173"/>
        <v>-9.501813244133555E-3</v>
      </c>
    </row>
    <row r="5647" spans="6:7" x14ac:dyDescent="0.35">
      <c r="F5647">
        <v>5644</v>
      </c>
      <c r="G5647">
        <f t="shared" ca="1" si="173"/>
        <v>-5.790906127370089E-4</v>
      </c>
    </row>
    <row r="5648" spans="6:7" x14ac:dyDescent="0.35">
      <c r="F5648">
        <v>5645</v>
      </c>
      <c r="G5648">
        <f t="shared" ca="1" si="173"/>
        <v>4.6800539801002274E-2</v>
      </c>
    </row>
    <row r="5649" spans="6:7" x14ac:dyDescent="0.35">
      <c r="F5649">
        <v>5646</v>
      </c>
      <c r="G5649">
        <f t="shared" ca="1" si="173"/>
        <v>4.0281400672919441E-3</v>
      </c>
    </row>
    <row r="5650" spans="6:7" x14ac:dyDescent="0.35">
      <c r="F5650">
        <v>5647</v>
      </c>
      <c r="G5650">
        <f t="shared" ca="1" si="173"/>
        <v>8.0754788038065947E-3</v>
      </c>
    </row>
    <row r="5651" spans="6:7" x14ac:dyDescent="0.35">
      <c r="F5651">
        <v>5648</v>
      </c>
      <c r="G5651">
        <f t="shared" ca="1" si="173"/>
        <v>1.5222966524442315E-2</v>
      </c>
    </row>
    <row r="5652" spans="6:7" x14ac:dyDescent="0.35">
      <c r="F5652">
        <v>5649</v>
      </c>
      <c r="G5652">
        <f t="shared" ca="1" si="173"/>
        <v>4.1069395481993815E-2</v>
      </c>
    </row>
    <row r="5653" spans="6:7" x14ac:dyDescent="0.35">
      <c r="F5653">
        <v>5650</v>
      </c>
      <c r="G5653">
        <f t="shared" ca="1" si="173"/>
        <v>4.337652566364493E-2</v>
      </c>
    </row>
    <row r="5654" spans="6:7" x14ac:dyDescent="0.35">
      <c r="F5654">
        <v>5651</v>
      </c>
      <c r="G5654">
        <f t="shared" ca="1" si="173"/>
        <v>3.5028027594017269E-2</v>
      </c>
    </row>
    <row r="5655" spans="6:7" x14ac:dyDescent="0.35">
      <c r="F5655">
        <v>5652</v>
      </c>
      <c r="G5655">
        <f t="shared" ca="1" si="173"/>
        <v>4.9620009429292462E-2</v>
      </c>
    </row>
    <row r="5656" spans="6:7" x14ac:dyDescent="0.35">
      <c r="F5656">
        <v>5653</v>
      </c>
      <c r="G5656">
        <f t="shared" ca="1" si="173"/>
        <v>3.9380428544524308E-3</v>
      </c>
    </row>
    <row r="5657" spans="6:7" x14ac:dyDescent="0.35">
      <c r="F5657">
        <v>5654</v>
      </c>
      <c r="G5657">
        <f t="shared" ca="1" si="173"/>
        <v>4.5787364762258842E-3</v>
      </c>
    </row>
    <row r="5658" spans="6:7" x14ac:dyDescent="0.35">
      <c r="F5658">
        <v>5655</v>
      </c>
      <c r="G5658">
        <f t="shared" ca="1" si="173"/>
        <v>-2.6374713351401784E-3</v>
      </c>
    </row>
    <row r="5659" spans="6:7" x14ac:dyDescent="0.35">
      <c r="F5659">
        <v>5656</v>
      </c>
      <c r="G5659">
        <f t="shared" ca="1" si="173"/>
        <v>1.6324164803132878E-2</v>
      </c>
    </row>
    <row r="5660" spans="6:7" x14ac:dyDescent="0.35">
      <c r="F5660">
        <v>5657</v>
      </c>
      <c r="G5660">
        <f t="shared" ca="1" si="173"/>
        <v>-1.4108731072870985E-2</v>
      </c>
    </row>
    <row r="5661" spans="6:7" x14ac:dyDescent="0.35">
      <c r="F5661">
        <v>5658</v>
      </c>
      <c r="G5661">
        <f t="shared" ca="1" si="173"/>
        <v>2.527702385654531E-2</v>
      </c>
    </row>
    <row r="5662" spans="6:7" x14ac:dyDescent="0.35">
      <c r="F5662">
        <v>5659</v>
      </c>
      <c r="G5662">
        <f t="shared" ca="1" si="173"/>
        <v>1.3687840657283503E-2</v>
      </c>
    </row>
    <row r="5663" spans="6:7" x14ac:dyDescent="0.35">
      <c r="F5663">
        <v>5660</v>
      </c>
      <c r="G5663">
        <f t="shared" ca="1" si="173"/>
        <v>-1.2489909376929825E-2</v>
      </c>
    </row>
    <row r="5664" spans="6:7" x14ac:dyDescent="0.35">
      <c r="F5664">
        <v>5661</v>
      </c>
      <c r="G5664">
        <f t="shared" ca="1" si="173"/>
        <v>-8.8025786547109713E-3</v>
      </c>
    </row>
    <row r="5665" spans="6:7" x14ac:dyDescent="0.35">
      <c r="F5665">
        <v>5662</v>
      </c>
      <c r="G5665">
        <f t="shared" ca="1" si="173"/>
        <v>-1.2543674348970411E-2</v>
      </c>
    </row>
    <row r="5666" spans="6:7" x14ac:dyDescent="0.35">
      <c r="F5666">
        <v>5663</v>
      </c>
      <c r="G5666">
        <f t="shared" ca="1" si="173"/>
        <v>9.8411787188490245E-4</v>
      </c>
    </row>
    <row r="5667" spans="6:7" x14ac:dyDescent="0.35">
      <c r="F5667">
        <v>5664</v>
      </c>
      <c r="G5667">
        <f t="shared" ca="1" si="173"/>
        <v>-5.3717836839588015E-2</v>
      </c>
    </row>
    <row r="5668" spans="6:7" x14ac:dyDescent="0.35">
      <c r="F5668">
        <v>5665</v>
      </c>
      <c r="G5668">
        <f t="shared" ca="1" si="173"/>
        <v>2.0683149246896121E-3</v>
      </c>
    </row>
    <row r="5669" spans="6:7" x14ac:dyDescent="0.35">
      <c r="F5669">
        <v>5666</v>
      </c>
      <c r="G5669">
        <f t="shared" ca="1" si="173"/>
        <v>2.8352111763993368E-3</v>
      </c>
    </row>
    <row r="5670" spans="6:7" x14ac:dyDescent="0.35">
      <c r="F5670">
        <v>5667</v>
      </c>
      <c r="G5670">
        <f t="shared" ca="1" si="173"/>
        <v>3.2697503758712695E-4</v>
      </c>
    </row>
    <row r="5671" spans="6:7" x14ac:dyDescent="0.35">
      <c r="F5671">
        <v>5668</v>
      </c>
      <c r="G5671">
        <f t="shared" ca="1" si="173"/>
        <v>2.8331024701261216E-2</v>
      </c>
    </row>
    <row r="5672" spans="6:7" x14ac:dyDescent="0.35">
      <c r="F5672">
        <v>5669</v>
      </c>
      <c r="G5672">
        <f t="shared" ca="1" si="173"/>
        <v>-2.448397935066959E-2</v>
      </c>
    </row>
    <row r="5673" spans="6:7" x14ac:dyDescent="0.35">
      <c r="F5673">
        <v>5670</v>
      </c>
      <c r="G5673">
        <f t="shared" ca="1" si="173"/>
        <v>-3.2129830506295802E-2</v>
      </c>
    </row>
    <row r="5674" spans="6:7" x14ac:dyDescent="0.35">
      <c r="F5674">
        <v>5671</v>
      </c>
      <c r="G5674">
        <f t="shared" ca="1" si="173"/>
        <v>-4.3933508649773357E-4</v>
      </c>
    </row>
    <row r="5675" spans="6:7" x14ac:dyDescent="0.35">
      <c r="F5675">
        <v>5672</v>
      </c>
      <c r="G5675">
        <f t="shared" ca="1" si="173"/>
        <v>-6.7403127847425817E-3</v>
      </c>
    </row>
    <row r="5676" spans="6:7" x14ac:dyDescent="0.35">
      <c r="F5676">
        <v>5673</v>
      </c>
      <c r="G5676">
        <f t="shared" ca="1" si="173"/>
        <v>5.4759119725873995E-2</v>
      </c>
    </row>
    <row r="5677" spans="6:7" x14ac:dyDescent="0.35">
      <c r="F5677">
        <v>5674</v>
      </c>
      <c r="G5677">
        <f t="shared" ca="1" si="173"/>
        <v>-3.4300736118930966E-3</v>
      </c>
    </row>
    <row r="5678" spans="6:7" x14ac:dyDescent="0.35">
      <c r="F5678">
        <v>5675</v>
      </c>
      <c r="G5678">
        <f t="shared" ca="1" si="173"/>
        <v>-2.0360696125047449E-2</v>
      </c>
    </row>
    <row r="5679" spans="6:7" x14ac:dyDescent="0.35">
      <c r="F5679">
        <v>5676</v>
      </c>
      <c r="G5679">
        <f t="shared" ca="1" si="173"/>
        <v>-7.8634074772082105E-2</v>
      </c>
    </row>
    <row r="5680" spans="6:7" x14ac:dyDescent="0.35">
      <c r="F5680">
        <v>5677</v>
      </c>
      <c r="G5680">
        <f t="shared" ca="1" si="173"/>
        <v>-4.2851666643161515E-3</v>
      </c>
    </row>
    <row r="5681" spans="6:7" x14ac:dyDescent="0.35">
      <c r="F5681">
        <v>5678</v>
      </c>
      <c r="G5681">
        <f t="shared" ca="1" si="173"/>
        <v>-3.2705405854412985E-2</v>
      </c>
    </row>
    <row r="5682" spans="6:7" x14ac:dyDescent="0.35">
      <c r="F5682">
        <v>5679</v>
      </c>
      <c r="G5682">
        <f t="shared" ca="1" si="173"/>
        <v>-2.1281029837966692E-2</v>
      </c>
    </row>
    <row r="5683" spans="6:7" x14ac:dyDescent="0.35">
      <c r="F5683">
        <v>5680</v>
      </c>
      <c r="G5683">
        <f t="shared" ca="1" si="173"/>
        <v>2.0933841500911616E-2</v>
      </c>
    </row>
    <row r="5684" spans="6:7" x14ac:dyDescent="0.35">
      <c r="F5684">
        <v>5681</v>
      </c>
      <c r="G5684">
        <f t="shared" ca="1" si="173"/>
        <v>-6.7096977848327341E-3</v>
      </c>
    </row>
    <row r="5685" spans="6:7" x14ac:dyDescent="0.35">
      <c r="F5685">
        <v>5682</v>
      </c>
      <c r="G5685">
        <f t="shared" ca="1" si="173"/>
        <v>8.6158498289548059E-3</v>
      </c>
    </row>
    <row r="5686" spans="6:7" x14ac:dyDescent="0.35">
      <c r="F5686">
        <v>5683</v>
      </c>
      <c r="G5686">
        <f t="shared" ca="1" si="173"/>
        <v>-1.3703056640800472E-2</v>
      </c>
    </row>
    <row r="5687" spans="6:7" x14ac:dyDescent="0.35">
      <c r="F5687">
        <v>5684</v>
      </c>
      <c r="G5687">
        <f t="shared" ca="1" si="173"/>
        <v>-2.9916326386894922E-2</v>
      </c>
    </row>
    <row r="5688" spans="6:7" x14ac:dyDescent="0.35">
      <c r="F5688">
        <v>5685</v>
      </c>
      <c r="G5688">
        <f t="shared" ca="1" si="173"/>
        <v>-6.3992795438365474E-2</v>
      </c>
    </row>
    <row r="5689" spans="6:7" x14ac:dyDescent="0.35">
      <c r="F5689">
        <v>5686</v>
      </c>
      <c r="G5689">
        <f t="shared" ca="1" si="173"/>
        <v>-1.3422514160146795E-2</v>
      </c>
    </row>
    <row r="5690" spans="6:7" x14ac:dyDescent="0.35">
      <c r="F5690">
        <v>5687</v>
      </c>
      <c r="G5690">
        <f t="shared" ca="1" si="173"/>
        <v>3.3139100753853346E-2</v>
      </c>
    </row>
    <row r="5691" spans="6:7" x14ac:dyDescent="0.35">
      <c r="F5691">
        <v>5688</v>
      </c>
      <c r="G5691">
        <f t="shared" ca="1" si="173"/>
        <v>2.8283770385914987E-2</v>
      </c>
    </row>
    <row r="5692" spans="6:7" x14ac:dyDescent="0.35">
      <c r="F5692">
        <v>5689</v>
      </c>
      <c r="G5692">
        <f t="shared" ca="1" si="173"/>
        <v>5.1406713595050701E-3</v>
      </c>
    </row>
    <row r="5693" spans="6:7" x14ac:dyDescent="0.35">
      <c r="F5693">
        <v>5690</v>
      </c>
      <c r="G5693">
        <f t="shared" ca="1" si="173"/>
        <v>-2.5163258786544573E-2</v>
      </c>
    </row>
    <row r="5694" spans="6:7" x14ac:dyDescent="0.35">
      <c r="F5694">
        <v>5691</v>
      </c>
      <c r="G5694">
        <f t="shared" ca="1" si="173"/>
        <v>1.1373896014227133E-2</v>
      </c>
    </row>
    <row r="5695" spans="6:7" x14ac:dyDescent="0.35">
      <c r="F5695">
        <v>5692</v>
      </c>
      <c r="G5695">
        <f t="shared" ca="1" si="173"/>
        <v>-1.017777185672104E-2</v>
      </c>
    </row>
    <row r="5696" spans="6:7" x14ac:dyDescent="0.35">
      <c r="F5696">
        <v>5693</v>
      </c>
      <c r="G5696">
        <f t="shared" ca="1" si="173"/>
        <v>6.9928483315081147E-3</v>
      </c>
    </row>
    <row r="5697" spans="6:7" x14ac:dyDescent="0.35">
      <c r="F5697">
        <v>5694</v>
      </c>
      <c r="G5697">
        <f t="shared" ca="1" si="173"/>
        <v>-2.1641107107608557E-2</v>
      </c>
    </row>
    <row r="5698" spans="6:7" x14ac:dyDescent="0.35">
      <c r="F5698">
        <v>5695</v>
      </c>
      <c r="G5698">
        <f t="shared" ca="1" si="173"/>
        <v>4.6126648689335413E-3</v>
      </c>
    </row>
    <row r="5699" spans="6:7" x14ac:dyDescent="0.35">
      <c r="F5699">
        <v>5696</v>
      </c>
      <c r="G5699">
        <f t="shared" ca="1" si="173"/>
        <v>4.2828132258864546E-2</v>
      </c>
    </row>
    <row r="5700" spans="6:7" x14ac:dyDescent="0.35">
      <c r="F5700">
        <v>5697</v>
      </c>
      <c r="G5700">
        <f t="shared" ca="1" si="173"/>
        <v>3.7913454950955251E-2</v>
      </c>
    </row>
    <row r="5701" spans="6:7" x14ac:dyDescent="0.35">
      <c r="F5701">
        <v>5698</v>
      </c>
      <c r="G5701">
        <f t="shared" ref="G5701:G5764" ca="1" si="174">_xlfn.NORM.INV(RAND(),K$6,K$7)</f>
        <v>-6.2779878088675234E-4</v>
      </c>
    </row>
    <row r="5702" spans="6:7" x14ac:dyDescent="0.35">
      <c r="F5702">
        <v>5699</v>
      </c>
      <c r="G5702">
        <f t="shared" ca="1" si="174"/>
        <v>-3.6286673311045861E-2</v>
      </c>
    </row>
    <row r="5703" spans="6:7" x14ac:dyDescent="0.35">
      <c r="F5703">
        <v>5700</v>
      </c>
      <c r="G5703">
        <f t="shared" ca="1" si="174"/>
        <v>3.2715666162896763E-2</v>
      </c>
    </row>
    <row r="5704" spans="6:7" x14ac:dyDescent="0.35">
      <c r="F5704">
        <v>5701</v>
      </c>
      <c r="G5704">
        <f t="shared" ca="1" si="174"/>
        <v>5.5739682258241482E-2</v>
      </c>
    </row>
    <row r="5705" spans="6:7" x14ac:dyDescent="0.35">
      <c r="F5705">
        <v>5702</v>
      </c>
      <c r="G5705">
        <f t="shared" ca="1" si="174"/>
        <v>-4.3725657659604233E-2</v>
      </c>
    </row>
    <row r="5706" spans="6:7" x14ac:dyDescent="0.35">
      <c r="F5706">
        <v>5703</v>
      </c>
      <c r="G5706">
        <f t="shared" ca="1" si="174"/>
        <v>-3.9857964711343473E-2</v>
      </c>
    </row>
    <row r="5707" spans="6:7" x14ac:dyDescent="0.35">
      <c r="F5707">
        <v>5704</v>
      </c>
      <c r="G5707">
        <f t="shared" ca="1" si="174"/>
        <v>-1.830181950486778E-2</v>
      </c>
    </row>
    <row r="5708" spans="6:7" x14ac:dyDescent="0.35">
      <c r="F5708">
        <v>5705</v>
      </c>
      <c r="G5708">
        <f t="shared" ca="1" si="174"/>
        <v>-1.1242097736451758E-2</v>
      </c>
    </row>
    <row r="5709" spans="6:7" x14ac:dyDescent="0.35">
      <c r="F5709">
        <v>5706</v>
      </c>
      <c r="G5709">
        <f t="shared" ca="1" si="174"/>
        <v>9.9658902423220147E-3</v>
      </c>
    </row>
    <row r="5710" spans="6:7" x14ac:dyDescent="0.35">
      <c r="F5710">
        <v>5707</v>
      </c>
      <c r="G5710">
        <f t="shared" ca="1" si="174"/>
        <v>1.0871525494784103E-2</v>
      </c>
    </row>
    <row r="5711" spans="6:7" x14ac:dyDescent="0.35">
      <c r="F5711">
        <v>5708</v>
      </c>
      <c r="G5711">
        <f t="shared" ca="1" si="174"/>
        <v>-5.9639403906804949E-3</v>
      </c>
    </row>
    <row r="5712" spans="6:7" x14ac:dyDescent="0.35">
      <c r="F5712">
        <v>5709</v>
      </c>
      <c r="G5712">
        <f t="shared" ca="1" si="174"/>
        <v>-1.0008816803315669E-2</v>
      </c>
    </row>
    <row r="5713" spans="6:7" x14ac:dyDescent="0.35">
      <c r="F5713">
        <v>5710</v>
      </c>
      <c r="G5713">
        <f t="shared" ca="1" si="174"/>
        <v>-3.0191422959561957E-2</v>
      </c>
    </row>
    <row r="5714" spans="6:7" x14ac:dyDescent="0.35">
      <c r="F5714">
        <v>5711</v>
      </c>
      <c r="G5714">
        <f t="shared" ca="1" si="174"/>
        <v>4.4837476820049543E-2</v>
      </c>
    </row>
    <row r="5715" spans="6:7" x14ac:dyDescent="0.35">
      <c r="F5715">
        <v>5712</v>
      </c>
      <c r="G5715">
        <f t="shared" ca="1" si="174"/>
        <v>6.2996600893115836E-3</v>
      </c>
    </row>
    <row r="5716" spans="6:7" x14ac:dyDescent="0.35">
      <c r="F5716">
        <v>5713</v>
      </c>
      <c r="G5716">
        <f t="shared" ca="1" si="174"/>
        <v>-1.99984038000659E-2</v>
      </c>
    </row>
    <row r="5717" spans="6:7" x14ac:dyDescent="0.35">
      <c r="F5717">
        <v>5714</v>
      </c>
      <c r="G5717">
        <f t="shared" ca="1" si="174"/>
        <v>2.5038946915423684E-2</v>
      </c>
    </row>
    <row r="5718" spans="6:7" x14ac:dyDescent="0.35">
      <c r="F5718">
        <v>5715</v>
      </c>
      <c r="G5718">
        <f t="shared" ca="1" si="174"/>
        <v>7.092330532750781E-3</v>
      </c>
    </row>
    <row r="5719" spans="6:7" x14ac:dyDescent="0.35">
      <c r="F5719">
        <v>5716</v>
      </c>
      <c r="G5719">
        <f t="shared" ca="1" si="174"/>
        <v>1.6212598350632094E-2</v>
      </c>
    </row>
    <row r="5720" spans="6:7" x14ac:dyDescent="0.35">
      <c r="F5720">
        <v>5717</v>
      </c>
      <c r="G5720">
        <f t="shared" ca="1" si="174"/>
        <v>5.151982864669085E-2</v>
      </c>
    </row>
    <row r="5721" spans="6:7" x14ac:dyDescent="0.35">
      <c r="F5721">
        <v>5718</v>
      </c>
      <c r="G5721">
        <f t="shared" ca="1" si="174"/>
        <v>9.9976467576968486E-3</v>
      </c>
    </row>
    <row r="5722" spans="6:7" x14ac:dyDescent="0.35">
      <c r="F5722">
        <v>5719</v>
      </c>
      <c r="G5722">
        <f t="shared" ca="1" si="174"/>
        <v>1.5789781505475026E-2</v>
      </c>
    </row>
    <row r="5723" spans="6:7" x14ac:dyDescent="0.35">
      <c r="F5723">
        <v>5720</v>
      </c>
      <c r="G5723">
        <f t="shared" ca="1" si="174"/>
        <v>-2.8747661730337574E-3</v>
      </c>
    </row>
    <row r="5724" spans="6:7" x14ac:dyDescent="0.35">
      <c r="F5724">
        <v>5721</v>
      </c>
      <c r="G5724">
        <f t="shared" ca="1" si="174"/>
        <v>1.5479714885364541E-2</v>
      </c>
    </row>
    <row r="5725" spans="6:7" x14ac:dyDescent="0.35">
      <c r="F5725">
        <v>5722</v>
      </c>
      <c r="G5725">
        <f t="shared" ca="1" si="174"/>
        <v>1.1979292724183205E-2</v>
      </c>
    </row>
    <row r="5726" spans="6:7" x14ac:dyDescent="0.35">
      <c r="F5726">
        <v>5723</v>
      </c>
      <c r="G5726">
        <f t="shared" ca="1" si="174"/>
        <v>9.5416607811457353E-3</v>
      </c>
    </row>
    <row r="5727" spans="6:7" x14ac:dyDescent="0.35">
      <c r="F5727">
        <v>5724</v>
      </c>
      <c r="G5727">
        <f t="shared" ca="1" si="174"/>
        <v>-2.6955235549915208E-2</v>
      </c>
    </row>
    <row r="5728" spans="6:7" x14ac:dyDescent="0.35">
      <c r="F5728">
        <v>5725</v>
      </c>
      <c r="G5728">
        <f t="shared" ca="1" si="174"/>
        <v>-4.7172937987620851E-2</v>
      </c>
    </row>
    <row r="5729" spans="6:7" x14ac:dyDescent="0.35">
      <c r="F5729">
        <v>5726</v>
      </c>
      <c r="G5729">
        <f t="shared" ca="1" si="174"/>
        <v>-3.2646653859907303E-2</v>
      </c>
    </row>
    <row r="5730" spans="6:7" x14ac:dyDescent="0.35">
      <c r="F5730">
        <v>5727</v>
      </c>
      <c r="G5730">
        <f t="shared" ca="1" si="174"/>
        <v>-3.5728815687405435E-2</v>
      </c>
    </row>
    <row r="5731" spans="6:7" x14ac:dyDescent="0.35">
      <c r="F5731">
        <v>5728</v>
      </c>
      <c r="G5731">
        <f t="shared" ca="1" si="174"/>
        <v>6.535902208524522E-3</v>
      </c>
    </row>
    <row r="5732" spans="6:7" x14ac:dyDescent="0.35">
      <c r="F5732">
        <v>5729</v>
      </c>
      <c r="G5732">
        <f t="shared" ca="1" si="174"/>
        <v>-1.4705575037146961E-2</v>
      </c>
    </row>
    <row r="5733" spans="6:7" x14ac:dyDescent="0.35">
      <c r="F5733">
        <v>5730</v>
      </c>
      <c r="G5733">
        <f t="shared" ca="1" si="174"/>
        <v>7.5748957975146382E-4</v>
      </c>
    </row>
    <row r="5734" spans="6:7" x14ac:dyDescent="0.35">
      <c r="F5734">
        <v>5731</v>
      </c>
      <c r="G5734">
        <f t="shared" ca="1" si="174"/>
        <v>-9.2336630115858066E-3</v>
      </c>
    </row>
    <row r="5735" spans="6:7" x14ac:dyDescent="0.35">
      <c r="F5735">
        <v>5732</v>
      </c>
      <c r="G5735">
        <f t="shared" ca="1" si="174"/>
        <v>-1.0181611114535931E-2</v>
      </c>
    </row>
    <row r="5736" spans="6:7" x14ac:dyDescent="0.35">
      <c r="F5736">
        <v>5733</v>
      </c>
      <c r="G5736">
        <f t="shared" ca="1" si="174"/>
        <v>2.6610189248351977E-2</v>
      </c>
    </row>
    <row r="5737" spans="6:7" x14ac:dyDescent="0.35">
      <c r="F5737">
        <v>5734</v>
      </c>
      <c r="G5737">
        <f t="shared" ca="1" si="174"/>
        <v>1.1352437295086133E-2</v>
      </c>
    </row>
    <row r="5738" spans="6:7" x14ac:dyDescent="0.35">
      <c r="F5738">
        <v>5735</v>
      </c>
      <c r="G5738">
        <f t="shared" ca="1" si="174"/>
        <v>3.5215205484286805E-2</v>
      </c>
    </row>
    <row r="5739" spans="6:7" x14ac:dyDescent="0.35">
      <c r="F5739">
        <v>5736</v>
      </c>
      <c r="G5739">
        <f t="shared" ca="1" si="174"/>
        <v>3.2429732903026684E-2</v>
      </c>
    </row>
    <row r="5740" spans="6:7" x14ac:dyDescent="0.35">
      <c r="F5740">
        <v>5737</v>
      </c>
      <c r="G5740">
        <f t="shared" ca="1" si="174"/>
        <v>-1.0125914720681639E-2</v>
      </c>
    </row>
    <row r="5741" spans="6:7" x14ac:dyDescent="0.35">
      <c r="F5741">
        <v>5738</v>
      </c>
      <c r="G5741">
        <f t="shared" ca="1" si="174"/>
        <v>-5.2868950727041064E-3</v>
      </c>
    </row>
    <row r="5742" spans="6:7" x14ac:dyDescent="0.35">
      <c r="F5742">
        <v>5739</v>
      </c>
      <c r="G5742">
        <f t="shared" ca="1" si="174"/>
        <v>6.2322863444395976E-3</v>
      </c>
    </row>
    <row r="5743" spans="6:7" x14ac:dyDescent="0.35">
      <c r="F5743">
        <v>5740</v>
      </c>
      <c r="G5743">
        <f t="shared" ca="1" si="174"/>
        <v>1.4588581143293781E-2</v>
      </c>
    </row>
    <row r="5744" spans="6:7" x14ac:dyDescent="0.35">
      <c r="F5744">
        <v>5741</v>
      </c>
      <c r="G5744">
        <f t="shared" ca="1" si="174"/>
        <v>-8.772130784550664E-4</v>
      </c>
    </row>
    <row r="5745" spans="6:7" x14ac:dyDescent="0.35">
      <c r="F5745">
        <v>5742</v>
      </c>
      <c r="G5745">
        <f t="shared" ca="1" si="174"/>
        <v>2.1838322180126105E-2</v>
      </c>
    </row>
    <row r="5746" spans="6:7" x14ac:dyDescent="0.35">
      <c r="F5746">
        <v>5743</v>
      </c>
      <c r="G5746">
        <f t="shared" ca="1" si="174"/>
        <v>-2.958867978115521E-2</v>
      </c>
    </row>
    <row r="5747" spans="6:7" x14ac:dyDescent="0.35">
      <c r="F5747">
        <v>5744</v>
      </c>
      <c r="G5747">
        <f t="shared" ca="1" si="174"/>
        <v>-8.1012039105400422E-3</v>
      </c>
    </row>
    <row r="5748" spans="6:7" x14ac:dyDescent="0.35">
      <c r="F5748">
        <v>5745</v>
      </c>
      <c r="G5748">
        <f t="shared" ca="1" si="174"/>
        <v>2.4176893874778733E-3</v>
      </c>
    </row>
    <row r="5749" spans="6:7" x14ac:dyDescent="0.35">
      <c r="F5749">
        <v>5746</v>
      </c>
      <c r="G5749">
        <f t="shared" ca="1" si="174"/>
        <v>-5.4234401714760135E-2</v>
      </c>
    </row>
    <row r="5750" spans="6:7" x14ac:dyDescent="0.35">
      <c r="F5750">
        <v>5747</v>
      </c>
      <c r="G5750">
        <f t="shared" ca="1" si="174"/>
        <v>-1.1374139260464055E-2</v>
      </c>
    </row>
    <row r="5751" spans="6:7" x14ac:dyDescent="0.35">
      <c r="F5751">
        <v>5748</v>
      </c>
      <c r="G5751">
        <f t="shared" ca="1" si="174"/>
        <v>3.3812280712465753E-2</v>
      </c>
    </row>
    <row r="5752" spans="6:7" x14ac:dyDescent="0.35">
      <c r="F5752">
        <v>5749</v>
      </c>
      <c r="G5752">
        <f t="shared" ca="1" si="174"/>
        <v>2.152742382786289E-2</v>
      </c>
    </row>
    <row r="5753" spans="6:7" x14ac:dyDescent="0.35">
      <c r="F5753">
        <v>5750</v>
      </c>
      <c r="G5753">
        <f t="shared" ca="1" si="174"/>
        <v>1.3563033175406478E-2</v>
      </c>
    </row>
    <row r="5754" spans="6:7" x14ac:dyDescent="0.35">
      <c r="F5754">
        <v>5751</v>
      </c>
      <c r="G5754">
        <f t="shared" ca="1" si="174"/>
        <v>2.3006078212715744E-2</v>
      </c>
    </row>
    <row r="5755" spans="6:7" x14ac:dyDescent="0.35">
      <c r="F5755">
        <v>5752</v>
      </c>
      <c r="G5755">
        <f t="shared" ca="1" si="174"/>
        <v>3.5167076735559563E-2</v>
      </c>
    </row>
    <row r="5756" spans="6:7" x14ac:dyDescent="0.35">
      <c r="F5756">
        <v>5753</v>
      </c>
      <c r="G5756">
        <f t="shared" ca="1" si="174"/>
        <v>1.0468629286051261E-3</v>
      </c>
    </row>
    <row r="5757" spans="6:7" x14ac:dyDescent="0.35">
      <c r="F5757">
        <v>5754</v>
      </c>
      <c r="G5757">
        <f t="shared" ca="1" si="174"/>
        <v>-5.1869776750564818E-2</v>
      </c>
    </row>
    <row r="5758" spans="6:7" x14ac:dyDescent="0.35">
      <c r="F5758">
        <v>5755</v>
      </c>
      <c r="G5758">
        <f t="shared" ca="1" si="174"/>
        <v>9.3940235841085077E-3</v>
      </c>
    </row>
    <row r="5759" spans="6:7" x14ac:dyDescent="0.35">
      <c r="F5759">
        <v>5756</v>
      </c>
      <c r="G5759">
        <f t="shared" ca="1" si="174"/>
        <v>-3.6130367120415743E-2</v>
      </c>
    </row>
    <row r="5760" spans="6:7" x14ac:dyDescent="0.35">
      <c r="F5760">
        <v>5757</v>
      </c>
      <c r="G5760">
        <f t="shared" ca="1" si="174"/>
        <v>-4.3843768544317057E-3</v>
      </c>
    </row>
    <row r="5761" spans="6:7" x14ac:dyDescent="0.35">
      <c r="F5761">
        <v>5758</v>
      </c>
      <c r="G5761">
        <f t="shared" ca="1" si="174"/>
        <v>3.9344308257391976E-3</v>
      </c>
    </row>
    <row r="5762" spans="6:7" x14ac:dyDescent="0.35">
      <c r="F5762">
        <v>5759</v>
      </c>
      <c r="G5762">
        <f t="shared" ca="1" si="174"/>
        <v>3.8945033824644149E-2</v>
      </c>
    </row>
    <row r="5763" spans="6:7" x14ac:dyDescent="0.35">
      <c r="F5763">
        <v>5760</v>
      </c>
      <c r="G5763">
        <f t="shared" ca="1" si="174"/>
        <v>2.4773209463119599E-2</v>
      </c>
    </row>
    <row r="5764" spans="6:7" x14ac:dyDescent="0.35">
      <c r="F5764">
        <v>5761</v>
      </c>
      <c r="G5764">
        <f t="shared" ca="1" si="174"/>
        <v>1.2014832817030538E-2</v>
      </c>
    </row>
    <row r="5765" spans="6:7" x14ac:dyDescent="0.35">
      <c r="F5765">
        <v>5762</v>
      </c>
      <c r="G5765">
        <f t="shared" ref="G5765:G5828" ca="1" si="175">_xlfn.NORM.INV(RAND(),K$6,K$7)</f>
        <v>-2.6995931007850072E-3</v>
      </c>
    </row>
    <row r="5766" spans="6:7" x14ac:dyDescent="0.35">
      <c r="F5766">
        <v>5763</v>
      </c>
      <c r="G5766">
        <f t="shared" ca="1" si="175"/>
        <v>7.2131417824084165E-2</v>
      </c>
    </row>
    <row r="5767" spans="6:7" x14ac:dyDescent="0.35">
      <c r="F5767">
        <v>5764</v>
      </c>
      <c r="G5767">
        <f t="shared" ca="1" si="175"/>
        <v>-1.7131758037553194E-2</v>
      </c>
    </row>
    <row r="5768" spans="6:7" x14ac:dyDescent="0.35">
      <c r="F5768">
        <v>5765</v>
      </c>
      <c r="G5768">
        <f t="shared" ca="1" si="175"/>
        <v>3.2523553882794307E-2</v>
      </c>
    </row>
    <row r="5769" spans="6:7" x14ac:dyDescent="0.35">
      <c r="F5769">
        <v>5766</v>
      </c>
      <c r="G5769">
        <f t="shared" ca="1" si="175"/>
        <v>-1.5408653394460372E-2</v>
      </c>
    </row>
    <row r="5770" spans="6:7" x14ac:dyDescent="0.35">
      <c r="F5770">
        <v>5767</v>
      </c>
      <c r="G5770">
        <f t="shared" ca="1" si="175"/>
        <v>1.5591231030703367E-2</v>
      </c>
    </row>
    <row r="5771" spans="6:7" x14ac:dyDescent="0.35">
      <c r="F5771">
        <v>5768</v>
      </c>
      <c r="G5771">
        <f t="shared" ca="1" si="175"/>
        <v>2.0198754190400486E-2</v>
      </c>
    </row>
    <row r="5772" spans="6:7" x14ac:dyDescent="0.35">
      <c r="F5772">
        <v>5769</v>
      </c>
      <c r="G5772">
        <f t="shared" ca="1" si="175"/>
        <v>2.8670055249635069E-3</v>
      </c>
    </row>
    <row r="5773" spans="6:7" x14ac:dyDescent="0.35">
      <c r="F5773">
        <v>5770</v>
      </c>
      <c r="G5773">
        <f t="shared" ca="1" si="175"/>
        <v>2.9670934079459046E-2</v>
      </c>
    </row>
    <row r="5774" spans="6:7" x14ac:dyDescent="0.35">
      <c r="F5774">
        <v>5771</v>
      </c>
      <c r="G5774">
        <f t="shared" ca="1" si="175"/>
        <v>-3.6144099370707672E-2</v>
      </c>
    </row>
    <row r="5775" spans="6:7" x14ac:dyDescent="0.35">
      <c r="F5775">
        <v>5772</v>
      </c>
      <c r="G5775">
        <f t="shared" ca="1" si="175"/>
        <v>3.4614900400067351E-2</v>
      </c>
    </row>
    <row r="5776" spans="6:7" x14ac:dyDescent="0.35">
      <c r="F5776">
        <v>5773</v>
      </c>
      <c r="G5776">
        <f t="shared" ca="1" si="175"/>
        <v>1.3117369338045682E-2</v>
      </c>
    </row>
    <row r="5777" spans="6:7" x14ac:dyDescent="0.35">
      <c r="F5777">
        <v>5774</v>
      </c>
      <c r="G5777">
        <f t="shared" ca="1" si="175"/>
        <v>-2.8977930381780516E-2</v>
      </c>
    </row>
    <row r="5778" spans="6:7" x14ac:dyDescent="0.35">
      <c r="F5778">
        <v>5775</v>
      </c>
      <c r="G5778">
        <f t="shared" ca="1" si="175"/>
        <v>-3.0192741579837794E-2</v>
      </c>
    </row>
    <row r="5779" spans="6:7" x14ac:dyDescent="0.35">
      <c r="F5779">
        <v>5776</v>
      </c>
      <c r="G5779">
        <f t="shared" ca="1" si="175"/>
        <v>-3.7105855632109268E-2</v>
      </c>
    </row>
    <row r="5780" spans="6:7" x14ac:dyDescent="0.35">
      <c r="F5780">
        <v>5777</v>
      </c>
      <c r="G5780">
        <f t="shared" ca="1" si="175"/>
        <v>-1.5527997822658613E-2</v>
      </c>
    </row>
    <row r="5781" spans="6:7" x14ac:dyDescent="0.35">
      <c r="F5781">
        <v>5778</v>
      </c>
      <c r="G5781">
        <f t="shared" ca="1" si="175"/>
        <v>-1.970527453165468E-2</v>
      </c>
    </row>
    <row r="5782" spans="6:7" x14ac:dyDescent="0.35">
      <c r="F5782">
        <v>5779</v>
      </c>
      <c r="G5782">
        <f t="shared" ca="1" si="175"/>
        <v>-1.8049140028636404E-2</v>
      </c>
    </row>
    <row r="5783" spans="6:7" x14ac:dyDescent="0.35">
      <c r="F5783">
        <v>5780</v>
      </c>
      <c r="G5783">
        <f t="shared" ca="1" si="175"/>
        <v>-1.6484207032486268E-2</v>
      </c>
    </row>
    <row r="5784" spans="6:7" x14ac:dyDescent="0.35">
      <c r="F5784">
        <v>5781</v>
      </c>
      <c r="G5784">
        <f t="shared" ca="1" si="175"/>
        <v>1.527194062107308E-5</v>
      </c>
    </row>
    <row r="5785" spans="6:7" x14ac:dyDescent="0.35">
      <c r="F5785">
        <v>5782</v>
      </c>
      <c r="G5785">
        <f t="shared" ca="1" si="175"/>
        <v>6.723471059895644E-3</v>
      </c>
    </row>
    <row r="5786" spans="6:7" x14ac:dyDescent="0.35">
      <c r="F5786">
        <v>5783</v>
      </c>
      <c r="G5786">
        <f t="shared" ca="1" si="175"/>
        <v>8.9549091315281396E-3</v>
      </c>
    </row>
    <row r="5787" spans="6:7" x14ac:dyDescent="0.35">
      <c r="F5787">
        <v>5784</v>
      </c>
      <c r="G5787">
        <f t="shared" ca="1" si="175"/>
        <v>9.866524806402148E-3</v>
      </c>
    </row>
    <row r="5788" spans="6:7" x14ac:dyDescent="0.35">
      <c r="F5788">
        <v>5785</v>
      </c>
      <c r="G5788">
        <f t="shared" ca="1" si="175"/>
        <v>2.0942696792340287E-2</v>
      </c>
    </row>
    <row r="5789" spans="6:7" x14ac:dyDescent="0.35">
      <c r="F5789">
        <v>5786</v>
      </c>
      <c r="G5789">
        <f t="shared" ca="1" si="175"/>
        <v>4.4389302852224463E-2</v>
      </c>
    </row>
    <row r="5790" spans="6:7" x14ac:dyDescent="0.35">
      <c r="F5790">
        <v>5787</v>
      </c>
      <c r="G5790">
        <f t="shared" ca="1" si="175"/>
        <v>-3.4334604147257093E-2</v>
      </c>
    </row>
    <row r="5791" spans="6:7" x14ac:dyDescent="0.35">
      <c r="F5791">
        <v>5788</v>
      </c>
      <c r="G5791">
        <f t="shared" ca="1" si="175"/>
        <v>6.3378017095609175E-3</v>
      </c>
    </row>
    <row r="5792" spans="6:7" x14ac:dyDescent="0.35">
      <c r="F5792">
        <v>5789</v>
      </c>
      <c r="G5792">
        <f t="shared" ca="1" si="175"/>
        <v>3.7259808384522267E-2</v>
      </c>
    </row>
    <row r="5793" spans="6:7" x14ac:dyDescent="0.35">
      <c r="F5793">
        <v>5790</v>
      </c>
      <c r="G5793">
        <f t="shared" ca="1" si="175"/>
        <v>3.8523511199388362E-3</v>
      </c>
    </row>
    <row r="5794" spans="6:7" x14ac:dyDescent="0.35">
      <c r="F5794">
        <v>5791</v>
      </c>
      <c r="G5794">
        <f t="shared" ca="1" si="175"/>
        <v>-3.0580236387781515E-2</v>
      </c>
    </row>
    <row r="5795" spans="6:7" x14ac:dyDescent="0.35">
      <c r="F5795">
        <v>5792</v>
      </c>
      <c r="G5795">
        <f t="shared" ca="1" si="175"/>
        <v>-1.3349271127821995E-2</v>
      </c>
    </row>
    <row r="5796" spans="6:7" x14ac:dyDescent="0.35">
      <c r="F5796">
        <v>5793</v>
      </c>
      <c r="G5796">
        <f t="shared" ca="1" si="175"/>
        <v>3.1704547177206659E-2</v>
      </c>
    </row>
    <row r="5797" spans="6:7" x14ac:dyDescent="0.35">
      <c r="F5797">
        <v>5794</v>
      </c>
      <c r="G5797">
        <f t="shared" ca="1" si="175"/>
        <v>1.4895369703754694E-2</v>
      </c>
    </row>
    <row r="5798" spans="6:7" x14ac:dyDescent="0.35">
      <c r="F5798">
        <v>5795</v>
      </c>
      <c r="G5798">
        <f t="shared" ca="1" si="175"/>
        <v>-3.4003100776240094E-2</v>
      </c>
    </row>
    <row r="5799" spans="6:7" x14ac:dyDescent="0.35">
      <c r="F5799">
        <v>5796</v>
      </c>
      <c r="G5799">
        <f t="shared" ca="1" si="175"/>
        <v>-6.1297057053477525E-3</v>
      </c>
    </row>
    <row r="5800" spans="6:7" x14ac:dyDescent="0.35">
      <c r="F5800">
        <v>5797</v>
      </c>
      <c r="G5800">
        <f t="shared" ca="1" si="175"/>
        <v>-3.5802785849534495E-2</v>
      </c>
    </row>
    <row r="5801" spans="6:7" x14ac:dyDescent="0.35">
      <c r="F5801">
        <v>5798</v>
      </c>
      <c r="G5801">
        <f t="shared" ca="1" si="175"/>
        <v>1.4440704503401406E-2</v>
      </c>
    </row>
    <row r="5802" spans="6:7" x14ac:dyDescent="0.35">
      <c r="F5802">
        <v>5799</v>
      </c>
      <c r="G5802">
        <f t="shared" ca="1" si="175"/>
        <v>4.0560052969722045E-2</v>
      </c>
    </row>
    <row r="5803" spans="6:7" x14ac:dyDescent="0.35">
      <c r="F5803">
        <v>5800</v>
      </c>
      <c r="G5803">
        <f t="shared" ca="1" si="175"/>
        <v>-2.8249596646322383E-3</v>
      </c>
    </row>
    <row r="5804" spans="6:7" x14ac:dyDescent="0.35">
      <c r="F5804">
        <v>5801</v>
      </c>
      <c r="G5804">
        <f t="shared" ca="1" si="175"/>
        <v>3.6067234922602283E-2</v>
      </c>
    </row>
    <row r="5805" spans="6:7" x14ac:dyDescent="0.35">
      <c r="F5805">
        <v>5802</v>
      </c>
      <c r="G5805">
        <f t="shared" ca="1" si="175"/>
        <v>-2.7134621776617927E-2</v>
      </c>
    </row>
    <row r="5806" spans="6:7" x14ac:dyDescent="0.35">
      <c r="F5806">
        <v>5803</v>
      </c>
      <c r="G5806">
        <f t="shared" ca="1" si="175"/>
        <v>-5.9464364041155651E-3</v>
      </c>
    </row>
    <row r="5807" spans="6:7" x14ac:dyDescent="0.35">
      <c r="F5807">
        <v>5804</v>
      </c>
      <c r="G5807">
        <f t="shared" ca="1" si="175"/>
        <v>-1.8903413740047455E-2</v>
      </c>
    </row>
    <row r="5808" spans="6:7" x14ac:dyDescent="0.35">
      <c r="F5808">
        <v>5805</v>
      </c>
      <c r="G5808">
        <f t="shared" ca="1" si="175"/>
        <v>2.9235201721975305E-2</v>
      </c>
    </row>
    <row r="5809" spans="6:7" x14ac:dyDescent="0.35">
      <c r="F5809">
        <v>5806</v>
      </c>
      <c r="G5809">
        <f t="shared" ca="1" si="175"/>
        <v>-2.2217396341865404E-2</v>
      </c>
    </row>
    <row r="5810" spans="6:7" x14ac:dyDescent="0.35">
      <c r="F5810">
        <v>5807</v>
      </c>
      <c r="G5810">
        <f t="shared" ca="1" si="175"/>
        <v>3.5082957622980832E-2</v>
      </c>
    </row>
    <row r="5811" spans="6:7" x14ac:dyDescent="0.35">
      <c r="F5811">
        <v>5808</v>
      </c>
      <c r="G5811">
        <f t="shared" ca="1" si="175"/>
        <v>-1.2105847510829527E-2</v>
      </c>
    </row>
    <row r="5812" spans="6:7" x14ac:dyDescent="0.35">
      <c r="F5812">
        <v>5809</v>
      </c>
      <c r="G5812">
        <f t="shared" ca="1" si="175"/>
        <v>-1.1052962862360688E-2</v>
      </c>
    </row>
    <row r="5813" spans="6:7" x14ac:dyDescent="0.35">
      <c r="F5813">
        <v>5810</v>
      </c>
      <c r="G5813">
        <f t="shared" ca="1" si="175"/>
        <v>1.5166901372181811E-2</v>
      </c>
    </row>
    <row r="5814" spans="6:7" x14ac:dyDescent="0.35">
      <c r="F5814">
        <v>5811</v>
      </c>
      <c r="G5814">
        <f t="shared" ca="1" si="175"/>
        <v>-2.1154381943742868E-2</v>
      </c>
    </row>
    <row r="5815" spans="6:7" x14ac:dyDescent="0.35">
      <c r="F5815">
        <v>5812</v>
      </c>
      <c r="G5815">
        <f t="shared" ca="1" si="175"/>
        <v>7.5276957569126316E-3</v>
      </c>
    </row>
    <row r="5816" spans="6:7" x14ac:dyDescent="0.35">
      <c r="F5816">
        <v>5813</v>
      </c>
      <c r="G5816">
        <f t="shared" ca="1" si="175"/>
        <v>6.5641196506768584E-2</v>
      </c>
    </row>
    <row r="5817" spans="6:7" x14ac:dyDescent="0.35">
      <c r="F5817">
        <v>5814</v>
      </c>
      <c r="G5817">
        <f t="shared" ca="1" si="175"/>
        <v>-1.247499642913801E-2</v>
      </c>
    </row>
    <row r="5818" spans="6:7" x14ac:dyDescent="0.35">
      <c r="F5818">
        <v>5815</v>
      </c>
      <c r="G5818">
        <f t="shared" ca="1" si="175"/>
        <v>-4.1517369063364291E-2</v>
      </c>
    </row>
    <row r="5819" spans="6:7" x14ac:dyDescent="0.35">
      <c r="F5819">
        <v>5816</v>
      </c>
      <c r="G5819">
        <f t="shared" ca="1" si="175"/>
        <v>1.7402698478623392E-2</v>
      </c>
    </row>
    <row r="5820" spans="6:7" x14ac:dyDescent="0.35">
      <c r="F5820">
        <v>5817</v>
      </c>
      <c r="G5820">
        <f t="shared" ca="1" si="175"/>
        <v>9.6227036451290477E-4</v>
      </c>
    </row>
    <row r="5821" spans="6:7" x14ac:dyDescent="0.35">
      <c r="F5821">
        <v>5818</v>
      </c>
      <c r="G5821">
        <f t="shared" ca="1" si="175"/>
        <v>-2.3778064475535711E-5</v>
      </c>
    </row>
    <row r="5822" spans="6:7" x14ac:dyDescent="0.35">
      <c r="F5822">
        <v>5819</v>
      </c>
      <c r="G5822">
        <f t="shared" ca="1" si="175"/>
        <v>-4.3910674701456275E-3</v>
      </c>
    </row>
    <row r="5823" spans="6:7" x14ac:dyDescent="0.35">
      <c r="F5823">
        <v>5820</v>
      </c>
      <c r="G5823">
        <f t="shared" ca="1" si="175"/>
        <v>3.1225762004863301E-2</v>
      </c>
    </row>
    <row r="5824" spans="6:7" x14ac:dyDescent="0.35">
      <c r="F5824">
        <v>5821</v>
      </c>
      <c r="G5824">
        <f t="shared" ca="1" si="175"/>
        <v>-3.4779555589643706E-2</v>
      </c>
    </row>
    <row r="5825" spans="6:7" x14ac:dyDescent="0.35">
      <c r="F5825">
        <v>5822</v>
      </c>
      <c r="G5825">
        <f t="shared" ca="1" si="175"/>
        <v>-2.7866852859341044E-2</v>
      </c>
    </row>
    <row r="5826" spans="6:7" x14ac:dyDescent="0.35">
      <c r="F5826">
        <v>5823</v>
      </c>
      <c r="G5826">
        <f t="shared" ca="1" si="175"/>
        <v>-2.8513079358081408E-2</v>
      </c>
    </row>
    <row r="5827" spans="6:7" x14ac:dyDescent="0.35">
      <c r="F5827">
        <v>5824</v>
      </c>
      <c r="G5827">
        <f t="shared" ca="1" si="175"/>
        <v>-2.9108782723737967E-3</v>
      </c>
    </row>
    <row r="5828" spans="6:7" x14ac:dyDescent="0.35">
      <c r="F5828">
        <v>5825</v>
      </c>
      <c r="G5828">
        <f t="shared" ca="1" si="175"/>
        <v>2.8606029119056228E-2</v>
      </c>
    </row>
    <row r="5829" spans="6:7" x14ac:dyDescent="0.35">
      <c r="F5829">
        <v>5826</v>
      </c>
      <c r="G5829">
        <f t="shared" ref="G5829:G5892" ca="1" si="176">_xlfn.NORM.INV(RAND(),K$6,K$7)</f>
        <v>-2.3445895813175185E-2</v>
      </c>
    </row>
    <row r="5830" spans="6:7" x14ac:dyDescent="0.35">
      <c r="F5830">
        <v>5827</v>
      </c>
      <c r="G5830">
        <f t="shared" ca="1" si="176"/>
        <v>-3.1540085175612333E-2</v>
      </c>
    </row>
    <row r="5831" spans="6:7" x14ac:dyDescent="0.35">
      <c r="F5831">
        <v>5828</v>
      </c>
      <c r="G5831">
        <f t="shared" ca="1" si="176"/>
        <v>-1.5575410565225611E-2</v>
      </c>
    </row>
    <row r="5832" spans="6:7" x14ac:dyDescent="0.35">
      <c r="F5832">
        <v>5829</v>
      </c>
      <c r="G5832">
        <f t="shared" ca="1" si="176"/>
        <v>-2.0722328269967338E-2</v>
      </c>
    </row>
    <row r="5833" spans="6:7" x14ac:dyDescent="0.35">
      <c r="F5833">
        <v>5830</v>
      </c>
      <c r="G5833">
        <f t="shared" ca="1" si="176"/>
        <v>4.7899226273141844E-3</v>
      </c>
    </row>
    <row r="5834" spans="6:7" x14ac:dyDescent="0.35">
      <c r="F5834">
        <v>5831</v>
      </c>
      <c r="G5834">
        <f t="shared" ca="1" si="176"/>
        <v>-2.7806894087165197E-2</v>
      </c>
    </row>
    <row r="5835" spans="6:7" x14ac:dyDescent="0.35">
      <c r="F5835">
        <v>5832</v>
      </c>
      <c r="G5835">
        <f t="shared" ca="1" si="176"/>
        <v>-3.4675792970289311E-2</v>
      </c>
    </row>
    <row r="5836" spans="6:7" x14ac:dyDescent="0.35">
      <c r="F5836">
        <v>5833</v>
      </c>
      <c r="G5836">
        <f t="shared" ca="1" si="176"/>
        <v>2.8727749481879918E-2</v>
      </c>
    </row>
    <row r="5837" spans="6:7" x14ac:dyDescent="0.35">
      <c r="F5837">
        <v>5834</v>
      </c>
      <c r="G5837">
        <f t="shared" ca="1" si="176"/>
        <v>-2.34061140981798E-2</v>
      </c>
    </row>
    <row r="5838" spans="6:7" x14ac:dyDescent="0.35">
      <c r="F5838">
        <v>5835</v>
      </c>
      <c r="G5838">
        <f t="shared" ca="1" si="176"/>
        <v>1.6918603089275577E-2</v>
      </c>
    </row>
    <row r="5839" spans="6:7" x14ac:dyDescent="0.35">
      <c r="F5839">
        <v>5836</v>
      </c>
      <c r="G5839">
        <f t="shared" ca="1" si="176"/>
        <v>4.4664061740187222E-2</v>
      </c>
    </row>
    <row r="5840" spans="6:7" x14ac:dyDescent="0.35">
      <c r="F5840">
        <v>5837</v>
      </c>
      <c r="G5840">
        <f t="shared" ca="1" si="176"/>
        <v>-2.9385310988064971E-2</v>
      </c>
    </row>
    <row r="5841" spans="6:7" x14ac:dyDescent="0.35">
      <c r="F5841">
        <v>5838</v>
      </c>
      <c r="G5841">
        <f t="shared" ca="1" si="176"/>
        <v>-2.717804847635736E-2</v>
      </c>
    </row>
    <row r="5842" spans="6:7" x14ac:dyDescent="0.35">
      <c r="F5842">
        <v>5839</v>
      </c>
      <c r="G5842">
        <f t="shared" ca="1" si="176"/>
        <v>3.5075733101646613E-2</v>
      </c>
    </row>
    <row r="5843" spans="6:7" x14ac:dyDescent="0.35">
      <c r="F5843">
        <v>5840</v>
      </c>
      <c r="G5843">
        <f t="shared" ca="1" si="176"/>
        <v>1.4868300184716547E-2</v>
      </c>
    </row>
    <row r="5844" spans="6:7" x14ac:dyDescent="0.35">
      <c r="F5844">
        <v>5841</v>
      </c>
      <c r="G5844">
        <f t="shared" ca="1" si="176"/>
        <v>2.4819480903781787E-2</v>
      </c>
    </row>
    <row r="5845" spans="6:7" x14ac:dyDescent="0.35">
      <c r="F5845">
        <v>5842</v>
      </c>
      <c r="G5845">
        <f t="shared" ca="1" si="176"/>
        <v>-8.5754523053791238E-3</v>
      </c>
    </row>
    <row r="5846" spans="6:7" x14ac:dyDescent="0.35">
      <c r="F5846">
        <v>5843</v>
      </c>
      <c r="G5846">
        <f t="shared" ca="1" si="176"/>
        <v>6.1823622077079596E-3</v>
      </c>
    </row>
    <row r="5847" spans="6:7" x14ac:dyDescent="0.35">
      <c r="F5847">
        <v>5844</v>
      </c>
      <c r="G5847">
        <f t="shared" ca="1" si="176"/>
        <v>4.3666734498513458E-2</v>
      </c>
    </row>
    <row r="5848" spans="6:7" x14ac:dyDescent="0.35">
      <c r="F5848">
        <v>5845</v>
      </c>
      <c r="G5848">
        <f t="shared" ca="1" si="176"/>
        <v>2.4309105619056076E-3</v>
      </c>
    </row>
    <row r="5849" spans="6:7" x14ac:dyDescent="0.35">
      <c r="F5849">
        <v>5846</v>
      </c>
      <c r="G5849">
        <f t="shared" ca="1" si="176"/>
        <v>1.3627713202485257E-2</v>
      </c>
    </row>
    <row r="5850" spans="6:7" x14ac:dyDescent="0.35">
      <c r="F5850">
        <v>5847</v>
      </c>
      <c r="G5850">
        <f t="shared" ca="1" si="176"/>
        <v>-4.3657128530169266E-2</v>
      </c>
    </row>
    <row r="5851" spans="6:7" x14ac:dyDescent="0.35">
      <c r="F5851">
        <v>5848</v>
      </c>
      <c r="G5851">
        <f t="shared" ca="1" si="176"/>
        <v>-1.6211031702836526E-2</v>
      </c>
    </row>
    <row r="5852" spans="6:7" x14ac:dyDescent="0.35">
      <c r="F5852">
        <v>5849</v>
      </c>
      <c r="G5852">
        <f t="shared" ca="1" si="176"/>
        <v>4.0214960426008139E-2</v>
      </c>
    </row>
    <row r="5853" spans="6:7" x14ac:dyDescent="0.35">
      <c r="F5853">
        <v>5850</v>
      </c>
      <c r="G5853">
        <f t="shared" ca="1" si="176"/>
        <v>5.9515096830330287E-2</v>
      </c>
    </row>
    <row r="5854" spans="6:7" x14ac:dyDescent="0.35">
      <c r="F5854">
        <v>5851</v>
      </c>
      <c r="G5854">
        <f t="shared" ca="1" si="176"/>
        <v>1.5855435278389972E-2</v>
      </c>
    </row>
    <row r="5855" spans="6:7" x14ac:dyDescent="0.35">
      <c r="F5855">
        <v>5852</v>
      </c>
      <c r="G5855">
        <f t="shared" ca="1" si="176"/>
        <v>-7.4321471419300136E-2</v>
      </c>
    </row>
    <row r="5856" spans="6:7" x14ac:dyDescent="0.35">
      <c r="F5856">
        <v>5853</v>
      </c>
      <c r="G5856">
        <f t="shared" ca="1" si="176"/>
        <v>-6.723792948724247E-2</v>
      </c>
    </row>
    <row r="5857" spans="6:7" x14ac:dyDescent="0.35">
      <c r="F5857">
        <v>5854</v>
      </c>
      <c r="G5857">
        <f t="shared" ca="1" si="176"/>
        <v>-2.7855929625920373E-2</v>
      </c>
    </row>
    <row r="5858" spans="6:7" x14ac:dyDescent="0.35">
      <c r="F5858">
        <v>5855</v>
      </c>
      <c r="G5858">
        <f t="shared" ca="1" si="176"/>
        <v>4.4831095429952054E-2</v>
      </c>
    </row>
    <row r="5859" spans="6:7" x14ac:dyDescent="0.35">
      <c r="F5859">
        <v>5856</v>
      </c>
      <c r="G5859">
        <f t="shared" ca="1" si="176"/>
        <v>-2.8663462894957342E-2</v>
      </c>
    </row>
    <row r="5860" spans="6:7" x14ac:dyDescent="0.35">
      <c r="F5860">
        <v>5857</v>
      </c>
      <c r="G5860">
        <f t="shared" ca="1" si="176"/>
        <v>4.1879605334674837E-2</v>
      </c>
    </row>
    <row r="5861" spans="6:7" x14ac:dyDescent="0.35">
      <c r="F5861">
        <v>5858</v>
      </c>
      <c r="G5861">
        <f t="shared" ca="1" si="176"/>
        <v>-7.3920487101265132E-3</v>
      </c>
    </row>
    <row r="5862" spans="6:7" x14ac:dyDescent="0.35">
      <c r="F5862">
        <v>5859</v>
      </c>
      <c r="G5862">
        <f t="shared" ca="1" si="176"/>
        <v>-4.6412070328185244E-3</v>
      </c>
    </row>
    <row r="5863" spans="6:7" x14ac:dyDescent="0.35">
      <c r="F5863">
        <v>5860</v>
      </c>
      <c r="G5863">
        <f t="shared" ca="1" si="176"/>
        <v>-2.0602890578824862E-2</v>
      </c>
    </row>
    <row r="5864" spans="6:7" x14ac:dyDescent="0.35">
      <c r="F5864">
        <v>5861</v>
      </c>
      <c r="G5864">
        <f t="shared" ca="1" si="176"/>
        <v>-1.4203345919432439E-2</v>
      </c>
    </row>
    <row r="5865" spans="6:7" x14ac:dyDescent="0.35">
      <c r="F5865">
        <v>5862</v>
      </c>
      <c r="G5865">
        <f t="shared" ca="1" si="176"/>
        <v>2.7322269953440049E-2</v>
      </c>
    </row>
    <row r="5866" spans="6:7" x14ac:dyDescent="0.35">
      <c r="F5866">
        <v>5863</v>
      </c>
      <c r="G5866">
        <f t="shared" ca="1" si="176"/>
        <v>4.0003862921265419E-2</v>
      </c>
    </row>
    <row r="5867" spans="6:7" x14ac:dyDescent="0.35">
      <c r="F5867">
        <v>5864</v>
      </c>
      <c r="G5867">
        <f t="shared" ca="1" si="176"/>
        <v>1.9065266930765563E-2</v>
      </c>
    </row>
    <row r="5868" spans="6:7" x14ac:dyDescent="0.35">
      <c r="F5868">
        <v>5865</v>
      </c>
      <c r="G5868">
        <f t="shared" ca="1" si="176"/>
        <v>6.7163472298284413E-2</v>
      </c>
    </row>
    <row r="5869" spans="6:7" x14ac:dyDescent="0.35">
      <c r="F5869">
        <v>5866</v>
      </c>
      <c r="G5869">
        <f t="shared" ca="1" si="176"/>
        <v>-8.9484796487150388E-3</v>
      </c>
    </row>
    <row r="5870" spans="6:7" x14ac:dyDescent="0.35">
      <c r="F5870">
        <v>5867</v>
      </c>
      <c r="G5870">
        <f t="shared" ca="1" si="176"/>
        <v>1.6255479420970092E-2</v>
      </c>
    </row>
    <row r="5871" spans="6:7" x14ac:dyDescent="0.35">
      <c r="F5871">
        <v>5868</v>
      </c>
      <c r="G5871">
        <f t="shared" ca="1" si="176"/>
        <v>1.0546824669460705E-2</v>
      </c>
    </row>
    <row r="5872" spans="6:7" x14ac:dyDescent="0.35">
      <c r="F5872">
        <v>5869</v>
      </c>
      <c r="G5872">
        <f t="shared" ca="1" si="176"/>
        <v>-3.1707560439438551E-2</v>
      </c>
    </row>
    <row r="5873" spans="6:7" x14ac:dyDescent="0.35">
      <c r="F5873">
        <v>5870</v>
      </c>
      <c r="G5873">
        <f t="shared" ca="1" si="176"/>
        <v>-5.58188732051337E-3</v>
      </c>
    </row>
    <row r="5874" spans="6:7" x14ac:dyDescent="0.35">
      <c r="F5874">
        <v>5871</v>
      </c>
      <c r="G5874">
        <f t="shared" ca="1" si="176"/>
        <v>-8.218503276714537E-3</v>
      </c>
    </row>
    <row r="5875" spans="6:7" x14ac:dyDescent="0.35">
      <c r="F5875">
        <v>5872</v>
      </c>
      <c r="G5875">
        <f t="shared" ca="1" si="176"/>
        <v>-1.4845879924812653E-2</v>
      </c>
    </row>
    <row r="5876" spans="6:7" x14ac:dyDescent="0.35">
      <c r="F5876">
        <v>5873</v>
      </c>
      <c r="G5876">
        <f t="shared" ca="1" si="176"/>
        <v>2.1276959027277085E-2</v>
      </c>
    </row>
    <row r="5877" spans="6:7" x14ac:dyDescent="0.35">
      <c r="F5877">
        <v>5874</v>
      </c>
      <c r="G5877">
        <f t="shared" ca="1" si="176"/>
        <v>-5.4544291958606557E-2</v>
      </c>
    </row>
    <row r="5878" spans="6:7" x14ac:dyDescent="0.35">
      <c r="F5878">
        <v>5875</v>
      </c>
      <c r="G5878">
        <f t="shared" ca="1" si="176"/>
        <v>-2.2137329442203237E-2</v>
      </c>
    </row>
    <row r="5879" spans="6:7" x14ac:dyDescent="0.35">
      <c r="F5879">
        <v>5876</v>
      </c>
      <c r="G5879">
        <f t="shared" ca="1" si="176"/>
        <v>-2.9458979677046387E-2</v>
      </c>
    </row>
    <row r="5880" spans="6:7" x14ac:dyDescent="0.35">
      <c r="F5880">
        <v>5877</v>
      </c>
      <c r="G5880">
        <f t="shared" ca="1" si="176"/>
        <v>2.211016936280789E-2</v>
      </c>
    </row>
    <row r="5881" spans="6:7" x14ac:dyDescent="0.35">
      <c r="F5881">
        <v>5878</v>
      </c>
      <c r="G5881">
        <f t="shared" ca="1" si="176"/>
        <v>-1.668178837019299E-2</v>
      </c>
    </row>
    <row r="5882" spans="6:7" x14ac:dyDescent="0.35">
      <c r="F5882">
        <v>5879</v>
      </c>
      <c r="G5882">
        <f t="shared" ca="1" si="176"/>
        <v>2.4151708879962406E-2</v>
      </c>
    </row>
    <row r="5883" spans="6:7" x14ac:dyDescent="0.35">
      <c r="F5883">
        <v>5880</v>
      </c>
      <c r="G5883">
        <f t="shared" ca="1" si="176"/>
        <v>-2.5388676489699176E-2</v>
      </c>
    </row>
    <row r="5884" spans="6:7" x14ac:dyDescent="0.35">
      <c r="F5884">
        <v>5881</v>
      </c>
      <c r="G5884">
        <f t="shared" ca="1" si="176"/>
        <v>-3.456487707776997E-3</v>
      </c>
    </row>
    <row r="5885" spans="6:7" x14ac:dyDescent="0.35">
      <c r="F5885">
        <v>5882</v>
      </c>
      <c r="G5885">
        <f t="shared" ca="1" si="176"/>
        <v>8.421506808628354E-2</v>
      </c>
    </row>
    <row r="5886" spans="6:7" x14ac:dyDescent="0.35">
      <c r="F5886">
        <v>5883</v>
      </c>
      <c r="G5886">
        <f t="shared" ca="1" si="176"/>
        <v>8.7045288318519723E-3</v>
      </c>
    </row>
    <row r="5887" spans="6:7" x14ac:dyDescent="0.35">
      <c r="F5887">
        <v>5884</v>
      </c>
      <c r="G5887">
        <f t="shared" ca="1" si="176"/>
        <v>-3.8671707932726777E-2</v>
      </c>
    </row>
    <row r="5888" spans="6:7" x14ac:dyDescent="0.35">
      <c r="F5888">
        <v>5885</v>
      </c>
      <c r="G5888">
        <f t="shared" ca="1" si="176"/>
        <v>5.0120995409251396E-3</v>
      </c>
    </row>
    <row r="5889" spans="6:7" x14ac:dyDescent="0.35">
      <c r="F5889">
        <v>5886</v>
      </c>
      <c r="G5889">
        <f t="shared" ca="1" si="176"/>
        <v>8.669305264433399E-4</v>
      </c>
    </row>
    <row r="5890" spans="6:7" x14ac:dyDescent="0.35">
      <c r="F5890">
        <v>5887</v>
      </c>
      <c r="G5890">
        <f t="shared" ca="1" si="176"/>
        <v>-1.6232020842868962E-2</v>
      </c>
    </row>
    <row r="5891" spans="6:7" x14ac:dyDescent="0.35">
      <c r="F5891">
        <v>5888</v>
      </c>
      <c r="G5891">
        <f t="shared" ca="1" si="176"/>
        <v>-1.568121047892175E-2</v>
      </c>
    </row>
    <row r="5892" spans="6:7" x14ac:dyDescent="0.35">
      <c r="F5892">
        <v>5889</v>
      </c>
      <c r="G5892">
        <f t="shared" ca="1" si="176"/>
        <v>-1.3651649832847496E-2</v>
      </c>
    </row>
    <row r="5893" spans="6:7" x14ac:dyDescent="0.35">
      <c r="F5893">
        <v>5890</v>
      </c>
      <c r="G5893">
        <f t="shared" ref="G5893:G5956" ca="1" si="177">_xlfn.NORM.INV(RAND(),K$6,K$7)</f>
        <v>-1.6595017659325178E-2</v>
      </c>
    </row>
    <row r="5894" spans="6:7" x14ac:dyDescent="0.35">
      <c r="F5894">
        <v>5891</v>
      </c>
      <c r="G5894">
        <f t="shared" ca="1" si="177"/>
        <v>-1.3588884397248101E-2</v>
      </c>
    </row>
    <row r="5895" spans="6:7" x14ac:dyDescent="0.35">
      <c r="F5895">
        <v>5892</v>
      </c>
      <c r="G5895">
        <f t="shared" ca="1" si="177"/>
        <v>5.0993971173729877E-2</v>
      </c>
    </row>
    <row r="5896" spans="6:7" x14ac:dyDescent="0.35">
      <c r="F5896">
        <v>5893</v>
      </c>
      <c r="G5896">
        <f t="shared" ca="1" si="177"/>
        <v>3.2698782317445302E-2</v>
      </c>
    </row>
    <row r="5897" spans="6:7" x14ac:dyDescent="0.35">
      <c r="F5897">
        <v>5894</v>
      </c>
      <c r="G5897">
        <f t="shared" ca="1" si="177"/>
        <v>3.369196332660504E-2</v>
      </c>
    </row>
    <row r="5898" spans="6:7" x14ac:dyDescent="0.35">
      <c r="F5898">
        <v>5895</v>
      </c>
      <c r="G5898">
        <f t="shared" ca="1" si="177"/>
        <v>-7.0253295590878229E-2</v>
      </c>
    </row>
    <row r="5899" spans="6:7" x14ac:dyDescent="0.35">
      <c r="F5899">
        <v>5896</v>
      </c>
      <c r="G5899">
        <f t="shared" ca="1" si="177"/>
        <v>-1.6970511551399021E-2</v>
      </c>
    </row>
    <row r="5900" spans="6:7" x14ac:dyDescent="0.35">
      <c r="F5900">
        <v>5897</v>
      </c>
      <c r="G5900">
        <f t="shared" ca="1" si="177"/>
        <v>1.5002841271680206E-2</v>
      </c>
    </row>
    <row r="5901" spans="6:7" x14ac:dyDescent="0.35">
      <c r="F5901">
        <v>5898</v>
      </c>
      <c r="G5901">
        <f t="shared" ca="1" si="177"/>
        <v>2.5495344313389848E-2</v>
      </c>
    </row>
    <row r="5902" spans="6:7" x14ac:dyDescent="0.35">
      <c r="F5902">
        <v>5899</v>
      </c>
      <c r="G5902">
        <f t="shared" ca="1" si="177"/>
        <v>7.4037394843282046E-3</v>
      </c>
    </row>
    <row r="5903" spans="6:7" x14ac:dyDescent="0.35">
      <c r="F5903">
        <v>5900</v>
      </c>
      <c r="G5903">
        <f t="shared" ca="1" si="177"/>
        <v>1.5596013773811934E-2</v>
      </c>
    </row>
    <row r="5904" spans="6:7" x14ac:dyDescent="0.35">
      <c r="F5904">
        <v>5901</v>
      </c>
      <c r="G5904">
        <f t="shared" ca="1" si="177"/>
        <v>-3.0330683829359233E-3</v>
      </c>
    </row>
    <row r="5905" spans="6:7" x14ac:dyDescent="0.35">
      <c r="F5905">
        <v>5902</v>
      </c>
      <c r="G5905">
        <f t="shared" ca="1" si="177"/>
        <v>1.5197075753486286E-2</v>
      </c>
    </row>
    <row r="5906" spans="6:7" x14ac:dyDescent="0.35">
      <c r="F5906">
        <v>5903</v>
      </c>
      <c r="G5906">
        <f t="shared" ca="1" si="177"/>
        <v>-3.8270535646787946E-3</v>
      </c>
    </row>
    <row r="5907" spans="6:7" x14ac:dyDescent="0.35">
      <c r="F5907">
        <v>5904</v>
      </c>
      <c r="G5907">
        <f t="shared" ca="1" si="177"/>
        <v>-8.7282897024411614E-4</v>
      </c>
    </row>
    <row r="5908" spans="6:7" x14ac:dyDescent="0.35">
      <c r="F5908">
        <v>5905</v>
      </c>
      <c r="G5908">
        <f t="shared" ca="1" si="177"/>
        <v>3.0562357496894565E-2</v>
      </c>
    </row>
    <row r="5909" spans="6:7" x14ac:dyDescent="0.35">
      <c r="F5909">
        <v>5906</v>
      </c>
      <c r="G5909">
        <f t="shared" ca="1" si="177"/>
        <v>1.1923529568668323E-2</v>
      </c>
    </row>
    <row r="5910" spans="6:7" x14ac:dyDescent="0.35">
      <c r="F5910">
        <v>5907</v>
      </c>
      <c r="G5910">
        <f t="shared" ca="1" si="177"/>
        <v>2.4201062966133956E-2</v>
      </c>
    </row>
    <row r="5911" spans="6:7" x14ac:dyDescent="0.35">
      <c r="F5911">
        <v>5908</v>
      </c>
      <c r="G5911">
        <f t="shared" ca="1" si="177"/>
        <v>3.361156024494466E-2</v>
      </c>
    </row>
    <row r="5912" spans="6:7" x14ac:dyDescent="0.35">
      <c r="F5912">
        <v>5909</v>
      </c>
      <c r="G5912">
        <f t="shared" ca="1" si="177"/>
        <v>1.0375310288977618E-2</v>
      </c>
    </row>
    <row r="5913" spans="6:7" x14ac:dyDescent="0.35">
      <c r="F5913">
        <v>5910</v>
      </c>
      <c r="G5913">
        <f t="shared" ca="1" si="177"/>
        <v>4.261087296092125E-3</v>
      </c>
    </row>
    <row r="5914" spans="6:7" x14ac:dyDescent="0.35">
      <c r="F5914">
        <v>5911</v>
      </c>
      <c r="G5914">
        <f t="shared" ca="1" si="177"/>
        <v>-1.7177478311758455E-2</v>
      </c>
    </row>
    <row r="5915" spans="6:7" x14ac:dyDescent="0.35">
      <c r="F5915">
        <v>5912</v>
      </c>
      <c r="G5915">
        <f t="shared" ca="1" si="177"/>
        <v>3.4501057578235792E-3</v>
      </c>
    </row>
    <row r="5916" spans="6:7" x14ac:dyDescent="0.35">
      <c r="F5916">
        <v>5913</v>
      </c>
      <c r="G5916">
        <f t="shared" ca="1" si="177"/>
        <v>9.8316174842400621E-3</v>
      </c>
    </row>
    <row r="5917" spans="6:7" x14ac:dyDescent="0.35">
      <c r="F5917">
        <v>5914</v>
      </c>
      <c r="G5917">
        <f t="shared" ca="1" si="177"/>
        <v>2.9958116796256979E-3</v>
      </c>
    </row>
    <row r="5918" spans="6:7" x14ac:dyDescent="0.35">
      <c r="F5918">
        <v>5915</v>
      </c>
      <c r="G5918">
        <f t="shared" ca="1" si="177"/>
        <v>-2.5916311885066809E-2</v>
      </c>
    </row>
    <row r="5919" spans="6:7" x14ac:dyDescent="0.35">
      <c r="F5919">
        <v>5916</v>
      </c>
      <c r="G5919">
        <f t="shared" ca="1" si="177"/>
        <v>-1.6045544164453227E-2</v>
      </c>
    </row>
    <row r="5920" spans="6:7" x14ac:dyDescent="0.35">
      <c r="F5920">
        <v>5917</v>
      </c>
      <c r="G5920">
        <f t="shared" ca="1" si="177"/>
        <v>3.3285274467720526E-2</v>
      </c>
    </row>
    <row r="5921" spans="6:7" x14ac:dyDescent="0.35">
      <c r="F5921">
        <v>5918</v>
      </c>
      <c r="G5921">
        <f t="shared" ca="1" si="177"/>
        <v>4.3058991339126731E-2</v>
      </c>
    </row>
    <row r="5922" spans="6:7" x14ac:dyDescent="0.35">
      <c r="F5922">
        <v>5919</v>
      </c>
      <c r="G5922">
        <f t="shared" ca="1" si="177"/>
        <v>3.2023783613728665E-2</v>
      </c>
    </row>
    <row r="5923" spans="6:7" x14ac:dyDescent="0.35">
      <c r="F5923">
        <v>5920</v>
      </c>
      <c r="G5923">
        <f t="shared" ca="1" si="177"/>
        <v>2.2357933511676097E-2</v>
      </c>
    </row>
    <row r="5924" spans="6:7" x14ac:dyDescent="0.35">
      <c r="F5924">
        <v>5921</v>
      </c>
      <c r="G5924">
        <f t="shared" ca="1" si="177"/>
        <v>-1.6148972499785651E-3</v>
      </c>
    </row>
    <row r="5925" spans="6:7" x14ac:dyDescent="0.35">
      <c r="F5925">
        <v>5922</v>
      </c>
      <c r="G5925">
        <f t="shared" ca="1" si="177"/>
        <v>-1.6950983080741899E-2</v>
      </c>
    </row>
    <row r="5926" spans="6:7" x14ac:dyDescent="0.35">
      <c r="F5926">
        <v>5923</v>
      </c>
      <c r="G5926">
        <f t="shared" ca="1" si="177"/>
        <v>1.5421843085127045E-2</v>
      </c>
    </row>
    <row r="5927" spans="6:7" x14ac:dyDescent="0.35">
      <c r="F5927">
        <v>5924</v>
      </c>
      <c r="G5927">
        <f t="shared" ca="1" si="177"/>
        <v>1.2123855850361801E-2</v>
      </c>
    </row>
    <row r="5928" spans="6:7" x14ac:dyDescent="0.35">
      <c r="F5928">
        <v>5925</v>
      </c>
      <c r="G5928">
        <f t="shared" ca="1" si="177"/>
        <v>-1.9635181848357473E-2</v>
      </c>
    </row>
    <row r="5929" spans="6:7" x14ac:dyDescent="0.35">
      <c r="F5929">
        <v>5926</v>
      </c>
      <c r="G5929">
        <f t="shared" ca="1" si="177"/>
        <v>3.0614528825747386E-2</v>
      </c>
    </row>
    <row r="5930" spans="6:7" x14ac:dyDescent="0.35">
      <c r="F5930">
        <v>5927</v>
      </c>
      <c r="G5930">
        <f t="shared" ca="1" si="177"/>
        <v>-3.3204789256912018E-2</v>
      </c>
    </row>
    <row r="5931" spans="6:7" x14ac:dyDescent="0.35">
      <c r="F5931">
        <v>5928</v>
      </c>
      <c r="G5931">
        <f t="shared" ca="1" si="177"/>
        <v>-1.8362413054603163E-2</v>
      </c>
    </row>
    <row r="5932" spans="6:7" x14ac:dyDescent="0.35">
      <c r="F5932">
        <v>5929</v>
      </c>
      <c r="G5932">
        <f t="shared" ca="1" si="177"/>
        <v>-1.1610258669950751E-2</v>
      </c>
    </row>
    <row r="5933" spans="6:7" x14ac:dyDescent="0.35">
      <c r="F5933">
        <v>5930</v>
      </c>
      <c r="G5933">
        <f t="shared" ca="1" si="177"/>
        <v>-1.2962122339881641E-2</v>
      </c>
    </row>
    <row r="5934" spans="6:7" x14ac:dyDescent="0.35">
      <c r="F5934">
        <v>5931</v>
      </c>
      <c r="G5934">
        <f t="shared" ca="1" si="177"/>
        <v>-8.8158121403458128E-4</v>
      </c>
    </row>
    <row r="5935" spans="6:7" x14ac:dyDescent="0.35">
      <c r="F5935">
        <v>5932</v>
      </c>
      <c r="G5935">
        <f t="shared" ca="1" si="177"/>
        <v>2.9779778344339626E-2</v>
      </c>
    </row>
    <row r="5936" spans="6:7" x14ac:dyDescent="0.35">
      <c r="F5936">
        <v>5933</v>
      </c>
      <c r="G5936">
        <f t="shared" ca="1" si="177"/>
        <v>6.6861572005286569E-3</v>
      </c>
    </row>
    <row r="5937" spans="6:7" x14ac:dyDescent="0.35">
      <c r="F5937">
        <v>5934</v>
      </c>
      <c r="G5937">
        <f t="shared" ca="1" si="177"/>
        <v>-8.7953085865688056E-3</v>
      </c>
    </row>
    <row r="5938" spans="6:7" x14ac:dyDescent="0.35">
      <c r="F5938">
        <v>5935</v>
      </c>
      <c r="G5938">
        <f t="shared" ca="1" si="177"/>
        <v>3.4605422990637381E-2</v>
      </c>
    </row>
    <row r="5939" spans="6:7" x14ac:dyDescent="0.35">
      <c r="F5939">
        <v>5936</v>
      </c>
      <c r="G5939">
        <f t="shared" ca="1" si="177"/>
        <v>2.737791575918631E-2</v>
      </c>
    </row>
    <row r="5940" spans="6:7" x14ac:dyDescent="0.35">
      <c r="F5940">
        <v>5937</v>
      </c>
      <c r="G5940">
        <f t="shared" ca="1" si="177"/>
        <v>-9.8107634503804414E-3</v>
      </c>
    </row>
    <row r="5941" spans="6:7" x14ac:dyDescent="0.35">
      <c r="F5941">
        <v>5938</v>
      </c>
      <c r="G5941">
        <f t="shared" ca="1" si="177"/>
        <v>9.3306116529365511E-3</v>
      </c>
    </row>
    <row r="5942" spans="6:7" x14ac:dyDescent="0.35">
      <c r="F5942">
        <v>5939</v>
      </c>
      <c r="G5942">
        <f t="shared" ca="1" si="177"/>
        <v>1.9068310909771697E-2</v>
      </c>
    </row>
    <row r="5943" spans="6:7" x14ac:dyDescent="0.35">
      <c r="F5943">
        <v>5940</v>
      </c>
      <c r="G5943">
        <f t="shared" ca="1" si="177"/>
        <v>-1.2541538616303917E-2</v>
      </c>
    </row>
    <row r="5944" spans="6:7" x14ac:dyDescent="0.35">
      <c r="F5944">
        <v>5941</v>
      </c>
      <c r="G5944">
        <f t="shared" ca="1" si="177"/>
        <v>-3.1420153771370835E-2</v>
      </c>
    </row>
    <row r="5945" spans="6:7" x14ac:dyDescent="0.35">
      <c r="F5945">
        <v>5942</v>
      </c>
      <c r="G5945">
        <f t="shared" ca="1" si="177"/>
        <v>-5.1503471300698683E-2</v>
      </c>
    </row>
    <row r="5946" spans="6:7" x14ac:dyDescent="0.35">
      <c r="F5946">
        <v>5943</v>
      </c>
      <c r="G5946">
        <f t="shared" ca="1" si="177"/>
        <v>4.8587989849703641E-3</v>
      </c>
    </row>
    <row r="5947" spans="6:7" x14ac:dyDescent="0.35">
      <c r="F5947">
        <v>5944</v>
      </c>
      <c r="G5947">
        <f t="shared" ca="1" si="177"/>
        <v>4.7145797452319872E-2</v>
      </c>
    </row>
    <row r="5948" spans="6:7" x14ac:dyDescent="0.35">
      <c r="F5948">
        <v>5945</v>
      </c>
      <c r="G5948">
        <f t="shared" ca="1" si="177"/>
        <v>1.2647462954891978E-2</v>
      </c>
    </row>
    <row r="5949" spans="6:7" x14ac:dyDescent="0.35">
      <c r="F5949">
        <v>5946</v>
      </c>
      <c r="G5949">
        <f t="shared" ca="1" si="177"/>
        <v>1.3724302071379674E-2</v>
      </c>
    </row>
    <row r="5950" spans="6:7" x14ac:dyDescent="0.35">
      <c r="F5950">
        <v>5947</v>
      </c>
      <c r="G5950">
        <f t="shared" ca="1" si="177"/>
        <v>-2.1514818965481464E-2</v>
      </c>
    </row>
    <row r="5951" spans="6:7" x14ac:dyDescent="0.35">
      <c r="F5951">
        <v>5948</v>
      </c>
      <c r="G5951">
        <f t="shared" ca="1" si="177"/>
        <v>1.3906254083756602E-2</v>
      </c>
    </row>
    <row r="5952" spans="6:7" x14ac:dyDescent="0.35">
      <c r="F5952">
        <v>5949</v>
      </c>
      <c r="G5952">
        <f t="shared" ca="1" si="177"/>
        <v>-2.7190266559419104E-3</v>
      </c>
    </row>
    <row r="5953" spans="6:7" x14ac:dyDescent="0.35">
      <c r="F5953">
        <v>5950</v>
      </c>
      <c r="G5953">
        <f t="shared" ca="1" si="177"/>
        <v>4.593080983053973E-2</v>
      </c>
    </row>
    <row r="5954" spans="6:7" x14ac:dyDescent="0.35">
      <c r="F5954">
        <v>5951</v>
      </c>
      <c r="G5954">
        <f t="shared" ca="1" si="177"/>
        <v>-1.5507026164602925E-2</v>
      </c>
    </row>
    <row r="5955" spans="6:7" x14ac:dyDescent="0.35">
      <c r="F5955">
        <v>5952</v>
      </c>
      <c r="G5955">
        <f t="shared" ca="1" si="177"/>
        <v>3.1111106431448172E-2</v>
      </c>
    </row>
    <row r="5956" spans="6:7" x14ac:dyDescent="0.35">
      <c r="F5956">
        <v>5953</v>
      </c>
      <c r="G5956">
        <f t="shared" ca="1" si="177"/>
        <v>2.4953663248032047E-2</v>
      </c>
    </row>
    <row r="5957" spans="6:7" x14ac:dyDescent="0.35">
      <c r="F5957">
        <v>5954</v>
      </c>
      <c r="G5957">
        <f t="shared" ref="G5957:G6020" ca="1" si="178">_xlfn.NORM.INV(RAND(),K$6,K$7)</f>
        <v>-2.0434223679207025E-2</v>
      </c>
    </row>
    <row r="5958" spans="6:7" x14ac:dyDescent="0.35">
      <c r="F5958">
        <v>5955</v>
      </c>
      <c r="G5958">
        <f t="shared" ca="1" si="178"/>
        <v>-6.7634883445952029E-3</v>
      </c>
    </row>
    <row r="5959" spans="6:7" x14ac:dyDescent="0.35">
      <c r="F5959">
        <v>5956</v>
      </c>
      <c r="G5959">
        <f t="shared" ca="1" si="178"/>
        <v>2.2090338140330564E-2</v>
      </c>
    </row>
    <row r="5960" spans="6:7" x14ac:dyDescent="0.35">
      <c r="F5960">
        <v>5957</v>
      </c>
      <c r="G5960">
        <f t="shared" ca="1" si="178"/>
        <v>7.3848476918747741E-2</v>
      </c>
    </row>
    <row r="5961" spans="6:7" x14ac:dyDescent="0.35">
      <c r="F5961">
        <v>5958</v>
      </c>
      <c r="G5961">
        <f t="shared" ca="1" si="178"/>
        <v>-6.2203234930793055E-3</v>
      </c>
    </row>
    <row r="5962" spans="6:7" x14ac:dyDescent="0.35">
      <c r="F5962">
        <v>5959</v>
      </c>
      <c r="G5962">
        <f t="shared" ca="1" si="178"/>
        <v>-3.9886407557788099E-2</v>
      </c>
    </row>
    <row r="5963" spans="6:7" x14ac:dyDescent="0.35">
      <c r="F5963">
        <v>5960</v>
      </c>
      <c r="G5963">
        <f t="shared" ca="1" si="178"/>
        <v>8.0676807497193619E-3</v>
      </c>
    </row>
    <row r="5964" spans="6:7" x14ac:dyDescent="0.35">
      <c r="F5964">
        <v>5961</v>
      </c>
      <c r="G5964">
        <f t="shared" ca="1" si="178"/>
        <v>3.2044044901679447E-2</v>
      </c>
    </row>
    <row r="5965" spans="6:7" x14ac:dyDescent="0.35">
      <c r="F5965">
        <v>5962</v>
      </c>
      <c r="G5965">
        <f t="shared" ca="1" si="178"/>
        <v>8.7263513779475988E-3</v>
      </c>
    </row>
    <row r="5966" spans="6:7" x14ac:dyDescent="0.35">
      <c r="F5966">
        <v>5963</v>
      </c>
      <c r="G5966">
        <f t="shared" ca="1" si="178"/>
        <v>-7.8519428419388498E-2</v>
      </c>
    </row>
    <row r="5967" spans="6:7" x14ac:dyDescent="0.35">
      <c r="F5967">
        <v>5964</v>
      </c>
      <c r="G5967">
        <f t="shared" ca="1" si="178"/>
        <v>-2.4703923977662749E-2</v>
      </c>
    </row>
    <row r="5968" spans="6:7" x14ac:dyDescent="0.35">
      <c r="F5968">
        <v>5965</v>
      </c>
      <c r="G5968">
        <f t="shared" ca="1" si="178"/>
        <v>-2.9038070116854747E-2</v>
      </c>
    </row>
    <row r="5969" spans="6:7" x14ac:dyDescent="0.35">
      <c r="F5969">
        <v>5966</v>
      </c>
      <c r="G5969">
        <f t="shared" ca="1" si="178"/>
        <v>1.1446346219550055E-2</v>
      </c>
    </row>
    <row r="5970" spans="6:7" x14ac:dyDescent="0.35">
      <c r="F5970">
        <v>5967</v>
      </c>
      <c r="G5970">
        <f t="shared" ca="1" si="178"/>
        <v>-8.3041632486910311E-3</v>
      </c>
    </row>
    <row r="5971" spans="6:7" x14ac:dyDescent="0.35">
      <c r="F5971">
        <v>5968</v>
      </c>
      <c r="G5971">
        <f t="shared" ca="1" si="178"/>
        <v>3.6641500719287089E-2</v>
      </c>
    </row>
    <row r="5972" spans="6:7" x14ac:dyDescent="0.35">
      <c r="F5972">
        <v>5969</v>
      </c>
      <c r="G5972">
        <f t="shared" ca="1" si="178"/>
        <v>-5.0533135430436259E-3</v>
      </c>
    </row>
    <row r="5973" spans="6:7" x14ac:dyDescent="0.35">
      <c r="F5973">
        <v>5970</v>
      </c>
      <c r="G5973">
        <f t="shared" ca="1" si="178"/>
        <v>-1.6728837925636456E-2</v>
      </c>
    </row>
    <row r="5974" spans="6:7" x14ac:dyDescent="0.35">
      <c r="F5974">
        <v>5971</v>
      </c>
      <c r="G5974">
        <f t="shared" ca="1" si="178"/>
        <v>7.2508981823473399E-3</v>
      </c>
    </row>
    <row r="5975" spans="6:7" x14ac:dyDescent="0.35">
      <c r="F5975">
        <v>5972</v>
      </c>
      <c r="G5975">
        <f t="shared" ca="1" si="178"/>
        <v>-5.4605970507276419E-2</v>
      </c>
    </row>
    <row r="5976" spans="6:7" x14ac:dyDescent="0.35">
      <c r="F5976">
        <v>5973</v>
      </c>
      <c r="G5976">
        <f t="shared" ca="1" si="178"/>
        <v>2.8561170971008801E-2</v>
      </c>
    </row>
    <row r="5977" spans="6:7" x14ac:dyDescent="0.35">
      <c r="F5977">
        <v>5974</v>
      </c>
      <c r="G5977">
        <f t="shared" ca="1" si="178"/>
        <v>1.344491640886443E-2</v>
      </c>
    </row>
    <row r="5978" spans="6:7" x14ac:dyDescent="0.35">
      <c r="F5978">
        <v>5975</v>
      </c>
      <c r="G5978">
        <f t="shared" ca="1" si="178"/>
        <v>1.8206473787713898E-2</v>
      </c>
    </row>
    <row r="5979" spans="6:7" x14ac:dyDescent="0.35">
      <c r="F5979">
        <v>5976</v>
      </c>
      <c r="G5979">
        <f t="shared" ca="1" si="178"/>
        <v>3.4452471167426895E-3</v>
      </c>
    </row>
    <row r="5980" spans="6:7" x14ac:dyDescent="0.35">
      <c r="F5980">
        <v>5977</v>
      </c>
      <c r="G5980">
        <f t="shared" ca="1" si="178"/>
        <v>-1.3813960422701742E-2</v>
      </c>
    </row>
    <row r="5981" spans="6:7" x14ac:dyDescent="0.35">
      <c r="F5981">
        <v>5978</v>
      </c>
      <c r="G5981">
        <f t="shared" ca="1" si="178"/>
        <v>2.562277297192837E-2</v>
      </c>
    </row>
    <row r="5982" spans="6:7" x14ac:dyDescent="0.35">
      <c r="F5982">
        <v>5979</v>
      </c>
      <c r="G5982">
        <f t="shared" ca="1" si="178"/>
        <v>6.0808475124352656E-3</v>
      </c>
    </row>
    <row r="5983" spans="6:7" x14ac:dyDescent="0.35">
      <c r="F5983">
        <v>5980</v>
      </c>
      <c r="G5983">
        <f t="shared" ca="1" si="178"/>
        <v>-3.0337168450397339E-2</v>
      </c>
    </row>
    <row r="5984" spans="6:7" x14ac:dyDescent="0.35">
      <c r="F5984">
        <v>5981</v>
      </c>
      <c r="G5984">
        <f t="shared" ca="1" si="178"/>
        <v>8.6871703306631853E-3</v>
      </c>
    </row>
    <row r="5985" spans="6:7" x14ac:dyDescent="0.35">
      <c r="F5985">
        <v>5982</v>
      </c>
      <c r="G5985">
        <f t="shared" ca="1" si="178"/>
        <v>1.5279640294821414E-2</v>
      </c>
    </row>
    <row r="5986" spans="6:7" x14ac:dyDescent="0.35">
      <c r="F5986">
        <v>5983</v>
      </c>
      <c r="G5986">
        <f t="shared" ca="1" si="178"/>
        <v>-3.4612738500543177E-3</v>
      </c>
    </row>
    <row r="5987" spans="6:7" x14ac:dyDescent="0.35">
      <c r="F5987">
        <v>5984</v>
      </c>
      <c r="G5987">
        <f t="shared" ca="1" si="178"/>
        <v>-8.8247199522222125E-3</v>
      </c>
    </row>
    <row r="5988" spans="6:7" x14ac:dyDescent="0.35">
      <c r="F5988">
        <v>5985</v>
      </c>
      <c r="G5988">
        <f t="shared" ca="1" si="178"/>
        <v>3.6326140349582869E-2</v>
      </c>
    </row>
    <row r="5989" spans="6:7" x14ac:dyDescent="0.35">
      <c r="F5989">
        <v>5986</v>
      </c>
      <c r="G5989">
        <f t="shared" ca="1" si="178"/>
        <v>2.061980830526897E-3</v>
      </c>
    </row>
    <row r="5990" spans="6:7" x14ac:dyDescent="0.35">
      <c r="F5990">
        <v>5987</v>
      </c>
      <c r="G5990">
        <f t="shared" ca="1" si="178"/>
        <v>-2.8839351553976822E-2</v>
      </c>
    </row>
    <row r="5991" spans="6:7" x14ac:dyDescent="0.35">
      <c r="F5991">
        <v>5988</v>
      </c>
      <c r="G5991">
        <f t="shared" ca="1" si="178"/>
        <v>1.2815579707319089E-2</v>
      </c>
    </row>
    <row r="5992" spans="6:7" x14ac:dyDescent="0.35">
      <c r="F5992">
        <v>5989</v>
      </c>
      <c r="G5992">
        <f t="shared" ca="1" si="178"/>
        <v>1.6566071350132831E-2</v>
      </c>
    </row>
    <row r="5993" spans="6:7" x14ac:dyDescent="0.35">
      <c r="F5993">
        <v>5990</v>
      </c>
      <c r="G5993">
        <f t="shared" ca="1" si="178"/>
        <v>2.2344994712249343E-2</v>
      </c>
    </row>
    <row r="5994" spans="6:7" x14ac:dyDescent="0.35">
      <c r="F5994">
        <v>5991</v>
      </c>
      <c r="G5994">
        <f t="shared" ca="1" si="178"/>
        <v>-9.1508667332476142E-3</v>
      </c>
    </row>
    <row r="5995" spans="6:7" x14ac:dyDescent="0.35">
      <c r="F5995">
        <v>5992</v>
      </c>
      <c r="G5995">
        <f t="shared" ca="1" si="178"/>
        <v>6.2271758785149033E-2</v>
      </c>
    </row>
    <row r="5996" spans="6:7" x14ac:dyDescent="0.35">
      <c r="F5996">
        <v>5993</v>
      </c>
      <c r="G5996">
        <f t="shared" ca="1" si="178"/>
        <v>-1.9291618385125987E-2</v>
      </c>
    </row>
    <row r="5997" spans="6:7" x14ac:dyDescent="0.35">
      <c r="F5997">
        <v>5994</v>
      </c>
      <c r="G5997">
        <f t="shared" ca="1" si="178"/>
        <v>-1.9555235040616108E-3</v>
      </c>
    </row>
    <row r="5998" spans="6:7" x14ac:dyDescent="0.35">
      <c r="F5998">
        <v>5995</v>
      </c>
      <c r="G5998">
        <f t="shared" ca="1" si="178"/>
        <v>-1.6017272059127362E-2</v>
      </c>
    </row>
    <row r="5999" spans="6:7" x14ac:dyDescent="0.35">
      <c r="F5999">
        <v>5996</v>
      </c>
      <c r="G5999">
        <f t="shared" ca="1" si="178"/>
        <v>2.346636358912178E-2</v>
      </c>
    </row>
    <row r="6000" spans="6:7" x14ac:dyDescent="0.35">
      <c r="F6000">
        <v>5997</v>
      </c>
      <c r="G6000">
        <f t="shared" ca="1" si="178"/>
        <v>-8.3502786965516541E-3</v>
      </c>
    </row>
    <row r="6001" spans="6:7" x14ac:dyDescent="0.35">
      <c r="F6001">
        <v>5998</v>
      </c>
      <c r="G6001">
        <f t="shared" ca="1" si="178"/>
        <v>-1.6326668819982258E-2</v>
      </c>
    </row>
    <row r="6002" spans="6:7" x14ac:dyDescent="0.35">
      <c r="F6002">
        <v>5999</v>
      </c>
      <c r="G6002">
        <f t="shared" ca="1" si="178"/>
        <v>1.5441521624600683E-2</v>
      </c>
    </row>
    <row r="6003" spans="6:7" x14ac:dyDescent="0.35">
      <c r="F6003">
        <v>6000</v>
      </c>
      <c r="G6003">
        <f t="shared" ca="1" si="178"/>
        <v>-3.3957150943744831E-2</v>
      </c>
    </row>
    <row r="6004" spans="6:7" x14ac:dyDescent="0.35">
      <c r="F6004">
        <v>6001</v>
      </c>
      <c r="G6004">
        <f t="shared" ca="1" si="178"/>
        <v>-2.1912493062459733E-2</v>
      </c>
    </row>
    <row r="6005" spans="6:7" x14ac:dyDescent="0.35">
      <c r="F6005">
        <v>6002</v>
      </c>
      <c r="G6005">
        <f t="shared" ca="1" si="178"/>
        <v>-2.6371322203260852E-2</v>
      </c>
    </row>
    <row r="6006" spans="6:7" x14ac:dyDescent="0.35">
      <c r="F6006">
        <v>6003</v>
      </c>
      <c r="G6006">
        <f t="shared" ca="1" si="178"/>
        <v>-1.4281655837163371E-2</v>
      </c>
    </row>
    <row r="6007" spans="6:7" x14ac:dyDescent="0.35">
      <c r="F6007">
        <v>6004</v>
      </c>
      <c r="G6007">
        <f t="shared" ca="1" si="178"/>
        <v>2.2260547950181526E-2</v>
      </c>
    </row>
    <row r="6008" spans="6:7" x14ac:dyDescent="0.35">
      <c r="F6008">
        <v>6005</v>
      </c>
      <c r="G6008">
        <f t="shared" ca="1" si="178"/>
        <v>-3.0618401279657991E-2</v>
      </c>
    </row>
    <row r="6009" spans="6:7" x14ac:dyDescent="0.35">
      <c r="F6009">
        <v>6006</v>
      </c>
      <c r="G6009">
        <f t="shared" ca="1" si="178"/>
        <v>-4.471008524811004E-3</v>
      </c>
    </row>
    <row r="6010" spans="6:7" x14ac:dyDescent="0.35">
      <c r="F6010">
        <v>6007</v>
      </c>
      <c r="G6010">
        <f t="shared" ca="1" si="178"/>
        <v>2.141663751303426E-2</v>
      </c>
    </row>
    <row r="6011" spans="6:7" x14ac:dyDescent="0.35">
      <c r="F6011">
        <v>6008</v>
      </c>
      <c r="G6011">
        <f t="shared" ca="1" si="178"/>
        <v>2.5974191287738493E-2</v>
      </c>
    </row>
    <row r="6012" spans="6:7" x14ac:dyDescent="0.35">
      <c r="F6012">
        <v>6009</v>
      </c>
      <c r="G6012">
        <f t="shared" ca="1" si="178"/>
        <v>1.2377970289080964E-2</v>
      </c>
    </row>
    <row r="6013" spans="6:7" x14ac:dyDescent="0.35">
      <c r="F6013">
        <v>6010</v>
      </c>
      <c r="G6013">
        <f t="shared" ca="1" si="178"/>
        <v>1.2911239624663487E-2</v>
      </c>
    </row>
    <row r="6014" spans="6:7" x14ac:dyDescent="0.35">
      <c r="F6014">
        <v>6011</v>
      </c>
      <c r="G6014">
        <f t="shared" ca="1" si="178"/>
        <v>-2.1513361632802073E-2</v>
      </c>
    </row>
    <row r="6015" spans="6:7" x14ac:dyDescent="0.35">
      <c r="F6015">
        <v>6012</v>
      </c>
      <c r="G6015">
        <f t="shared" ca="1" si="178"/>
        <v>2.7467762962934707E-2</v>
      </c>
    </row>
    <row r="6016" spans="6:7" x14ac:dyDescent="0.35">
      <c r="F6016">
        <v>6013</v>
      </c>
      <c r="G6016">
        <f t="shared" ca="1" si="178"/>
        <v>-7.8490601669761698E-2</v>
      </c>
    </row>
    <row r="6017" spans="6:7" x14ac:dyDescent="0.35">
      <c r="F6017">
        <v>6014</v>
      </c>
      <c r="G6017">
        <f t="shared" ca="1" si="178"/>
        <v>2.2540988600917564E-2</v>
      </c>
    </row>
    <row r="6018" spans="6:7" x14ac:dyDescent="0.35">
      <c r="F6018">
        <v>6015</v>
      </c>
      <c r="G6018">
        <f t="shared" ca="1" si="178"/>
        <v>4.324949218777345E-3</v>
      </c>
    </row>
    <row r="6019" spans="6:7" x14ac:dyDescent="0.35">
      <c r="F6019">
        <v>6016</v>
      </c>
      <c r="G6019">
        <f t="shared" ca="1" si="178"/>
        <v>6.4766663053936824E-3</v>
      </c>
    </row>
    <row r="6020" spans="6:7" x14ac:dyDescent="0.35">
      <c r="F6020">
        <v>6017</v>
      </c>
      <c r="G6020">
        <f t="shared" ca="1" si="178"/>
        <v>3.4575131857998105E-2</v>
      </c>
    </row>
    <row r="6021" spans="6:7" x14ac:dyDescent="0.35">
      <c r="F6021">
        <v>6018</v>
      </c>
      <c r="G6021">
        <f t="shared" ref="G6021:G6084" ca="1" si="179">_xlfn.NORM.INV(RAND(),K$6,K$7)</f>
        <v>-1.790906184569491E-2</v>
      </c>
    </row>
    <row r="6022" spans="6:7" x14ac:dyDescent="0.35">
      <c r="F6022">
        <v>6019</v>
      </c>
      <c r="G6022">
        <f t="shared" ca="1" si="179"/>
        <v>-1.6654217944996389E-2</v>
      </c>
    </row>
    <row r="6023" spans="6:7" x14ac:dyDescent="0.35">
      <c r="F6023">
        <v>6020</v>
      </c>
      <c r="G6023">
        <f t="shared" ca="1" si="179"/>
        <v>-3.1003245687192841E-3</v>
      </c>
    </row>
    <row r="6024" spans="6:7" x14ac:dyDescent="0.35">
      <c r="F6024">
        <v>6021</v>
      </c>
      <c r="G6024">
        <f t="shared" ca="1" si="179"/>
        <v>-6.5771720151510012E-3</v>
      </c>
    </row>
    <row r="6025" spans="6:7" x14ac:dyDescent="0.35">
      <c r="F6025">
        <v>6022</v>
      </c>
      <c r="G6025">
        <f t="shared" ca="1" si="179"/>
        <v>2.6317333599584415E-2</v>
      </c>
    </row>
    <row r="6026" spans="6:7" x14ac:dyDescent="0.35">
      <c r="F6026">
        <v>6023</v>
      </c>
      <c r="G6026">
        <f t="shared" ca="1" si="179"/>
        <v>1.5582896265297127E-2</v>
      </c>
    </row>
    <row r="6027" spans="6:7" x14ac:dyDescent="0.35">
      <c r="F6027">
        <v>6024</v>
      </c>
      <c r="G6027">
        <f t="shared" ca="1" si="179"/>
        <v>-4.9863620565571788E-2</v>
      </c>
    </row>
    <row r="6028" spans="6:7" x14ac:dyDescent="0.35">
      <c r="F6028">
        <v>6025</v>
      </c>
      <c r="G6028">
        <f t="shared" ca="1" si="179"/>
        <v>-2.7747918068743369E-2</v>
      </c>
    </row>
    <row r="6029" spans="6:7" x14ac:dyDescent="0.35">
      <c r="F6029">
        <v>6026</v>
      </c>
      <c r="G6029">
        <f t="shared" ca="1" si="179"/>
        <v>-4.2539589730017445E-2</v>
      </c>
    </row>
    <row r="6030" spans="6:7" x14ac:dyDescent="0.35">
      <c r="F6030">
        <v>6027</v>
      </c>
      <c r="G6030">
        <f t="shared" ca="1" si="179"/>
        <v>8.5711892414862996E-3</v>
      </c>
    </row>
    <row r="6031" spans="6:7" x14ac:dyDescent="0.35">
      <c r="F6031">
        <v>6028</v>
      </c>
      <c r="G6031">
        <f t="shared" ca="1" si="179"/>
        <v>7.6682707731744902E-3</v>
      </c>
    </row>
    <row r="6032" spans="6:7" x14ac:dyDescent="0.35">
      <c r="F6032">
        <v>6029</v>
      </c>
      <c r="G6032">
        <f t="shared" ca="1" si="179"/>
        <v>5.1228174045541844E-3</v>
      </c>
    </row>
    <row r="6033" spans="6:7" x14ac:dyDescent="0.35">
      <c r="F6033">
        <v>6030</v>
      </c>
      <c r="G6033">
        <f t="shared" ca="1" si="179"/>
        <v>4.9136305075397041E-2</v>
      </c>
    </row>
    <row r="6034" spans="6:7" x14ac:dyDescent="0.35">
      <c r="F6034">
        <v>6031</v>
      </c>
      <c r="G6034">
        <f t="shared" ca="1" si="179"/>
        <v>-3.8532869622671106E-2</v>
      </c>
    </row>
    <row r="6035" spans="6:7" x14ac:dyDescent="0.35">
      <c r="F6035">
        <v>6032</v>
      </c>
      <c r="G6035">
        <f t="shared" ca="1" si="179"/>
        <v>4.2817180226727931E-2</v>
      </c>
    </row>
    <row r="6036" spans="6:7" x14ac:dyDescent="0.35">
      <c r="F6036">
        <v>6033</v>
      </c>
      <c r="G6036">
        <f t="shared" ca="1" si="179"/>
        <v>1.4600588265179598E-2</v>
      </c>
    </row>
    <row r="6037" spans="6:7" x14ac:dyDescent="0.35">
      <c r="F6037">
        <v>6034</v>
      </c>
      <c r="G6037">
        <f t="shared" ca="1" si="179"/>
        <v>3.1278160677790374E-3</v>
      </c>
    </row>
    <row r="6038" spans="6:7" x14ac:dyDescent="0.35">
      <c r="F6038">
        <v>6035</v>
      </c>
      <c r="G6038">
        <f t="shared" ca="1" si="179"/>
        <v>1.9419370355829892E-4</v>
      </c>
    </row>
    <row r="6039" spans="6:7" x14ac:dyDescent="0.35">
      <c r="F6039">
        <v>6036</v>
      </c>
      <c r="G6039">
        <f t="shared" ca="1" si="179"/>
        <v>-4.6178574191087056E-2</v>
      </c>
    </row>
    <row r="6040" spans="6:7" x14ac:dyDescent="0.35">
      <c r="F6040">
        <v>6037</v>
      </c>
      <c r="G6040">
        <f t="shared" ca="1" si="179"/>
        <v>-2.1139159764102827E-2</v>
      </c>
    </row>
    <row r="6041" spans="6:7" x14ac:dyDescent="0.35">
      <c r="F6041">
        <v>6038</v>
      </c>
      <c r="G6041">
        <f t="shared" ca="1" si="179"/>
        <v>6.1338763556920764E-3</v>
      </c>
    </row>
    <row r="6042" spans="6:7" x14ac:dyDescent="0.35">
      <c r="F6042">
        <v>6039</v>
      </c>
      <c r="G6042">
        <f t="shared" ca="1" si="179"/>
        <v>-3.5364027961155758E-2</v>
      </c>
    </row>
    <row r="6043" spans="6:7" x14ac:dyDescent="0.35">
      <c r="F6043">
        <v>6040</v>
      </c>
      <c r="G6043">
        <f t="shared" ca="1" si="179"/>
        <v>-5.3396519610185447E-2</v>
      </c>
    </row>
    <row r="6044" spans="6:7" x14ac:dyDescent="0.35">
      <c r="F6044">
        <v>6041</v>
      </c>
      <c r="G6044">
        <f t="shared" ca="1" si="179"/>
        <v>-1.3536409362288938E-3</v>
      </c>
    </row>
    <row r="6045" spans="6:7" x14ac:dyDescent="0.35">
      <c r="F6045">
        <v>6042</v>
      </c>
      <c r="G6045">
        <f t="shared" ca="1" si="179"/>
        <v>1.557029522535462E-2</v>
      </c>
    </row>
    <row r="6046" spans="6:7" x14ac:dyDescent="0.35">
      <c r="F6046">
        <v>6043</v>
      </c>
      <c r="G6046">
        <f t="shared" ca="1" si="179"/>
        <v>-3.496607726160496E-3</v>
      </c>
    </row>
    <row r="6047" spans="6:7" x14ac:dyDescent="0.35">
      <c r="F6047">
        <v>6044</v>
      </c>
      <c r="G6047">
        <f t="shared" ca="1" si="179"/>
        <v>3.5056209019244736E-2</v>
      </c>
    </row>
    <row r="6048" spans="6:7" x14ac:dyDescent="0.35">
      <c r="F6048">
        <v>6045</v>
      </c>
      <c r="G6048">
        <f t="shared" ca="1" si="179"/>
        <v>5.1509137364012672E-3</v>
      </c>
    </row>
    <row r="6049" spans="6:7" x14ac:dyDescent="0.35">
      <c r="F6049">
        <v>6046</v>
      </c>
      <c r="G6049">
        <f t="shared" ca="1" si="179"/>
        <v>1.388349367638019E-2</v>
      </c>
    </row>
    <row r="6050" spans="6:7" x14ac:dyDescent="0.35">
      <c r="F6050">
        <v>6047</v>
      </c>
      <c r="G6050">
        <f t="shared" ca="1" si="179"/>
        <v>1.3963467788636447E-3</v>
      </c>
    </row>
    <row r="6051" spans="6:7" x14ac:dyDescent="0.35">
      <c r="F6051">
        <v>6048</v>
      </c>
      <c r="G6051">
        <f t="shared" ca="1" si="179"/>
        <v>-7.8212734446610806E-3</v>
      </c>
    </row>
    <row r="6052" spans="6:7" x14ac:dyDescent="0.35">
      <c r="F6052">
        <v>6049</v>
      </c>
      <c r="G6052">
        <f t="shared" ca="1" si="179"/>
        <v>3.1421647492750698E-2</v>
      </c>
    </row>
    <row r="6053" spans="6:7" x14ac:dyDescent="0.35">
      <c r="F6053">
        <v>6050</v>
      </c>
      <c r="G6053">
        <f t="shared" ca="1" si="179"/>
        <v>-3.2236066750321847E-2</v>
      </c>
    </row>
    <row r="6054" spans="6:7" x14ac:dyDescent="0.35">
      <c r="F6054">
        <v>6051</v>
      </c>
      <c r="G6054">
        <f t="shared" ca="1" si="179"/>
        <v>-1.5518037047491735E-2</v>
      </c>
    </row>
    <row r="6055" spans="6:7" x14ac:dyDescent="0.35">
      <c r="F6055">
        <v>6052</v>
      </c>
      <c r="G6055">
        <f t="shared" ca="1" si="179"/>
        <v>-5.6478537595392782E-3</v>
      </c>
    </row>
    <row r="6056" spans="6:7" x14ac:dyDescent="0.35">
      <c r="F6056">
        <v>6053</v>
      </c>
      <c r="G6056">
        <f t="shared" ca="1" si="179"/>
        <v>-1.7733834694245488E-3</v>
      </c>
    </row>
    <row r="6057" spans="6:7" x14ac:dyDescent="0.35">
      <c r="F6057">
        <v>6054</v>
      </c>
      <c r="G6057">
        <f t="shared" ca="1" si="179"/>
        <v>-9.6705052077306983E-3</v>
      </c>
    </row>
    <row r="6058" spans="6:7" x14ac:dyDescent="0.35">
      <c r="F6058">
        <v>6055</v>
      </c>
      <c r="G6058">
        <f t="shared" ca="1" si="179"/>
        <v>1.711621197326502E-2</v>
      </c>
    </row>
    <row r="6059" spans="6:7" x14ac:dyDescent="0.35">
      <c r="F6059">
        <v>6056</v>
      </c>
      <c r="G6059">
        <f t="shared" ca="1" si="179"/>
        <v>1.7835899991280872E-2</v>
      </c>
    </row>
    <row r="6060" spans="6:7" x14ac:dyDescent="0.35">
      <c r="F6060">
        <v>6057</v>
      </c>
      <c r="G6060">
        <f t="shared" ca="1" si="179"/>
        <v>1.3283948928407862E-3</v>
      </c>
    </row>
    <row r="6061" spans="6:7" x14ac:dyDescent="0.35">
      <c r="F6061">
        <v>6058</v>
      </c>
      <c r="G6061">
        <f t="shared" ca="1" si="179"/>
        <v>-1.8041375538753526E-2</v>
      </c>
    </row>
    <row r="6062" spans="6:7" x14ac:dyDescent="0.35">
      <c r="F6062">
        <v>6059</v>
      </c>
      <c r="G6062">
        <f t="shared" ca="1" si="179"/>
        <v>-2.158785458405723E-2</v>
      </c>
    </row>
    <row r="6063" spans="6:7" x14ac:dyDescent="0.35">
      <c r="F6063">
        <v>6060</v>
      </c>
      <c r="G6063">
        <f t="shared" ca="1" si="179"/>
        <v>-3.7263716689806417E-3</v>
      </c>
    </row>
    <row r="6064" spans="6:7" x14ac:dyDescent="0.35">
      <c r="F6064">
        <v>6061</v>
      </c>
      <c r="G6064">
        <f t="shared" ca="1" si="179"/>
        <v>-1.9655230374313267E-2</v>
      </c>
    </row>
    <row r="6065" spans="6:7" x14ac:dyDescent="0.35">
      <c r="F6065">
        <v>6062</v>
      </c>
      <c r="G6065">
        <f t="shared" ca="1" si="179"/>
        <v>2.6329549619206118E-2</v>
      </c>
    </row>
    <row r="6066" spans="6:7" x14ac:dyDescent="0.35">
      <c r="F6066">
        <v>6063</v>
      </c>
      <c r="G6066">
        <f t="shared" ca="1" si="179"/>
        <v>-3.6182410688959568E-2</v>
      </c>
    </row>
    <row r="6067" spans="6:7" x14ac:dyDescent="0.35">
      <c r="F6067">
        <v>6064</v>
      </c>
      <c r="G6067">
        <f t="shared" ca="1" si="179"/>
        <v>1.2914462077324574E-2</v>
      </c>
    </row>
    <row r="6068" spans="6:7" x14ac:dyDescent="0.35">
      <c r="F6068">
        <v>6065</v>
      </c>
      <c r="G6068">
        <f t="shared" ca="1" si="179"/>
        <v>-4.5762456631457601E-2</v>
      </c>
    </row>
    <row r="6069" spans="6:7" x14ac:dyDescent="0.35">
      <c r="F6069">
        <v>6066</v>
      </c>
      <c r="G6069">
        <f t="shared" ca="1" si="179"/>
        <v>4.6840238450067156E-2</v>
      </c>
    </row>
    <row r="6070" spans="6:7" x14ac:dyDescent="0.35">
      <c r="F6070">
        <v>6067</v>
      </c>
      <c r="G6070">
        <f t="shared" ca="1" si="179"/>
        <v>1.8758252441561794E-2</v>
      </c>
    </row>
    <row r="6071" spans="6:7" x14ac:dyDescent="0.35">
      <c r="F6071">
        <v>6068</v>
      </c>
      <c r="G6071">
        <f t="shared" ca="1" si="179"/>
        <v>-1.6437271980374417E-2</v>
      </c>
    </row>
    <row r="6072" spans="6:7" x14ac:dyDescent="0.35">
      <c r="F6072">
        <v>6069</v>
      </c>
      <c r="G6072">
        <f t="shared" ca="1" si="179"/>
        <v>3.7256139500744115E-3</v>
      </c>
    </row>
    <row r="6073" spans="6:7" x14ac:dyDescent="0.35">
      <c r="F6073">
        <v>6070</v>
      </c>
      <c r="G6073">
        <f t="shared" ca="1" si="179"/>
        <v>1.2479088556497972E-2</v>
      </c>
    </row>
    <row r="6074" spans="6:7" x14ac:dyDescent="0.35">
      <c r="F6074">
        <v>6071</v>
      </c>
      <c r="G6074">
        <f t="shared" ca="1" si="179"/>
        <v>5.3187306633290816E-3</v>
      </c>
    </row>
    <row r="6075" spans="6:7" x14ac:dyDescent="0.35">
      <c r="F6075">
        <v>6072</v>
      </c>
      <c r="G6075">
        <f t="shared" ca="1" si="179"/>
        <v>5.4534153238365995E-2</v>
      </c>
    </row>
    <row r="6076" spans="6:7" x14ac:dyDescent="0.35">
      <c r="F6076">
        <v>6073</v>
      </c>
      <c r="G6076">
        <f t="shared" ca="1" si="179"/>
        <v>9.3095956383767216E-3</v>
      </c>
    </row>
    <row r="6077" spans="6:7" x14ac:dyDescent="0.35">
      <c r="F6077">
        <v>6074</v>
      </c>
      <c r="G6077">
        <f t="shared" ca="1" si="179"/>
        <v>-1.8526656266002008E-2</v>
      </c>
    </row>
    <row r="6078" spans="6:7" x14ac:dyDescent="0.35">
      <c r="F6078">
        <v>6075</v>
      </c>
      <c r="G6078">
        <f t="shared" ca="1" si="179"/>
        <v>5.3506992823335701E-2</v>
      </c>
    </row>
    <row r="6079" spans="6:7" x14ac:dyDescent="0.35">
      <c r="F6079">
        <v>6076</v>
      </c>
      <c r="G6079">
        <f t="shared" ca="1" si="179"/>
        <v>2.9166695593907848E-3</v>
      </c>
    </row>
    <row r="6080" spans="6:7" x14ac:dyDescent="0.35">
      <c r="F6080">
        <v>6077</v>
      </c>
      <c r="G6080">
        <f t="shared" ca="1" si="179"/>
        <v>-4.1223617828225624E-2</v>
      </c>
    </row>
    <row r="6081" spans="6:7" x14ac:dyDescent="0.35">
      <c r="F6081">
        <v>6078</v>
      </c>
      <c r="G6081">
        <f t="shared" ca="1" si="179"/>
        <v>-4.0275082128023304E-2</v>
      </c>
    </row>
    <row r="6082" spans="6:7" x14ac:dyDescent="0.35">
      <c r="F6082">
        <v>6079</v>
      </c>
      <c r="G6082">
        <f t="shared" ca="1" si="179"/>
        <v>-1.2033800827976802E-2</v>
      </c>
    </row>
    <row r="6083" spans="6:7" x14ac:dyDescent="0.35">
      <c r="F6083">
        <v>6080</v>
      </c>
      <c r="G6083">
        <f t="shared" ca="1" si="179"/>
        <v>-1.4819352434562727E-2</v>
      </c>
    </row>
    <row r="6084" spans="6:7" x14ac:dyDescent="0.35">
      <c r="F6084">
        <v>6081</v>
      </c>
      <c r="G6084">
        <f t="shared" ca="1" si="179"/>
        <v>1.0294229113791187E-2</v>
      </c>
    </row>
    <row r="6085" spans="6:7" x14ac:dyDescent="0.35">
      <c r="F6085">
        <v>6082</v>
      </c>
      <c r="G6085">
        <f t="shared" ref="G6085:G6148" ca="1" si="180">_xlfn.NORM.INV(RAND(),K$6,K$7)</f>
        <v>1.8649413927131368E-2</v>
      </c>
    </row>
    <row r="6086" spans="6:7" x14ac:dyDescent="0.35">
      <c r="F6086">
        <v>6083</v>
      </c>
      <c r="G6086">
        <f t="shared" ca="1" si="180"/>
        <v>3.5246825198335191E-2</v>
      </c>
    </row>
    <row r="6087" spans="6:7" x14ac:dyDescent="0.35">
      <c r="F6087">
        <v>6084</v>
      </c>
      <c r="G6087">
        <f t="shared" ca="1" si="180"/>
        <v>7.0067648485261681E-3</v>
      </c>
    </row>
    <row r="6088" spans="6:7" x14ac:dyDescent="0.35">
      <c r="F6088">
        <v>6085</v>
      </c>
      <c r="G6088">
        <f t="shared" ca="1" si="180"/>
        <v>4.3907023128437486E-2</v>
      </c>
    </row>
    <row r="6089" spans="6:7" x14ac:dyDescent="0.35">
      <c r="F6089">
        <v>6086</v>
      </c>
      <c r="G6089">
        <f t="shared" ca="1" si="180"/>
        <v>2.986757868571575E-2</v>
      </c>
    </row>
    <row r="6090" spans="6:7" x14ac:dyDescent="0.35">
      <c r="F6090">
        <v>6087</v>
      </c>
      <c r="G6090">
        <f t="shared" ca="1" si="180"/>
        <v>1.6933017093688604E-2</v>
      </c>
    </row>
    <row r="6091" spans="6:7" x14ac:dyDescent="0.35">
      <c r="F6091">
        <v>6088</v>
      </c>
      <c r="G6091">
        <f t="shared" ca="1" si="180"/>
        <v>-2.2352415274055473E-2</v>
      </c>
    </row>
    <row r="6092" spans="6:7" x14ac:dyDescent="0.35">
      <c r="F6092">
        <v>6089</v>
      </c>
      <c r="G6092">
        <f t="shared" ca="1" si="180"/>
        <v>-1.8102423790543349E-2</v>
      </c>
    </row>
    <row r="6093" spans="6:7" x14ac:dyDescent="0.35">
      <c r="F6093">
        <v>6090</v>
      </c>
      <c r="G6093">
        <f t="shared" ca="1" si="180"/>
        <v>5.7166686291684199E-2</v>
      </c>
    </row>
    <row r="6094" spans="6:7" x14ac:dyDescent="0.35">
      <c r="F6094">
        <v>6091</v>
      </c>
      <c r="G6094">
        <f t="shared" ca="1" si="180"/>
        <v>2.1811707807559047E-2</v>
      </c>
    </row>
    <row r="6095" spans="6:7" x14ac:dyDescent="0.35">
      <c r="F6095">
        <v>6092</v>
      </c>
      <c r="G6095">
        <f t="shared" ca="1" si="180"/>
        <v>1.4218474449897362E-3</v>
      </c>
    </row>
    <row r="6096" spans="6:7" x14ac:dyDescent="0.35">
      <c r="F6096">
        <v>6093</v>
      </c>
      <c r="G6096">
        <f t="shared" ca="1" si="180"/>
        <v>-5.1591014234983077E-3</v>
      </c>
    </row>
    <row r="6097" spans="6:7" x14ac:dyDescent="0.35">
      <c r="F6097">
        <v>6094</v>
      </c>
      <c r="G6097">
        <f t="shared" ca="1" si="180"/>
        <v>-2.8777187898599003E-2</v>
      </c>
    </row>
    <row r="6098" spans="6:7" x14ac:dyDescent="0.35">
      <c r="F6098">
        <v>6095</v>
      </c>
      <c r="G6098">
        <f t="shared" ca="1" si="180"/>
        <v>-7.0275366538347251E-3</v>
      </c>
    </row>
    <row r="6099" spans="6:7" x14ac:dyDescent="0.35">
      <c r="F6099">
        <v>6096</v>
      </c>
      <c r="G6099">
        <f t="shared" ca="1" si="180"/>
        <v>-1.2197327991109045E-2</v>
      </c>
    </row>
    <row r="6100" spans="6:7" x14ac:dyDescent="0.35">
      <c r="F6100">
        <v>6097</v>
      </c>
      <c r="G6100">
        <f t="shared" ca="1" si="180"/>
        <v>-2.3669470681141908E-2</v>
      </c>
    </row>
    <row r="6101" spans="6:7" x14ac:dyDescent="0.35">
      <c r="F6101">
        <v>6098</v>
      </c>
      <c r="G6101">
        <f t="shared" ca="1" si="180"/>
        <v>-4.6276516692047735E-2</v>
      </c>
    </row>
    <row r="6102" spans="6:7" x14ac:dyDescent="0.35">
      <c r="F6102">
        <v>6099</v>
      </c>
      <c r="G6102">
        <f t="shared" ca="1" si="180"/>
        <v>-2.8939306710166614E-2</v>
      </c>
    </row>
    <row r="6103" spans="6:7" x14ac:dyDescent="0.35">
      <c r="F6103">
        <v>6100</v>
      </c>
      <c r="G6103">
        <f t="shared" ca="1" si="180"/>
        <v>1.1946730172241415E-2</v>
      </c>
    </row>
    <row r="6104" spans="6:7" x14ac:dyDescent="0.35">
      <c r="F6104">
        <v>6101</v>
      </c>
      <c r="G6104">
        <f t="shared" ca="1" si="180"/>
        <v>2.1793252074724975E-2</v>
      </c>
    </row>
    <row r="6105" spans="6:7" x14ac:dyDescent="0.35">
      <c r="F6105">
        <v>6102</v>
      </c>
      <c r="G6105">
        <f t="shared" ca="1" si="180"/>
        <v>-1.0226339203388782E-2</v>
      </c>
    </row>
    <row r="6106" spans="6:7" x14ac:dyDescent="0.35">
      <c r="F6106">
        <v>6103</v>
      </c>
      <c r="G6106">
        <f t="shared" ca="1" si="180"/>
        <v>-1.9674201435758952E-4</v>
      </c>
    </row>
    <row r="6107" spans="6:7" x14ac:dyDescent="0.35">
      <c r="F6107">
        <v>6104</v>
      </c>
      <c r="G6107">
        <f t="shared" ca="1" si="180"/>
        <v>3.0596506008719929E-3</v>
      </c>
    </row>
    <row r="6108" spans="6:7" x14ac:dyDescent="0.35">
      <c r="F6108">
        <v>6105</v>
      </c>
      <c r="G6108">
        <f t="shared" ca="1" si="180"/>
        <v>3.8888747117206392E-2</v>
      </c>
    </row>
    <row r="6109" spans="6:7" x14ac:dyDescent="0.35">
      <c r="F6109">
        <v>6106</v>
      </c>
      <c r="G6109">
        <f t="shared" ca="1" si="180"/>
        <v>3.8869538378402534E-2</v>
      </c>
    </row>
    <row r="6110" spans="6:7" x14ac:dyDescent="0.35">
      <c r="F6110">
        <v>6107</v>
      </c>
      <c r="G6110">
        <f t="shared" ca="1" si="180"/>
        <v>-1.6469665123810699E-2</v>
      </c>
    </row>
    <row r="6111" spans="6:7" x14ac:dyDescent="0.35">
      <c r="F6111">
        <v>6108</v>
      </c>
      <c r="G6111">
        <f t="shared" ca="1" si="180"/>
        <v>3.2180045846345859E-2</v>
      </c>
    </row>
    <row r="6112" spans="6:7" x14ac:dyDescent="0.35">
      <c r="F6112">
        <v>6109</v>
      </c>
      <c r="G6112">
        <f t="shared" ca="1" si="180"/>
        <v>1.6868458284551996E-2</v>
      </c>
    </row>
    <row r="6113" spans="6:7" x14ac:dyDescent="0.35">
      <c r="F6113">
        <v>6110</v>
      </c>
      <c r="G6113">
        <f t="shared" ca="1" si="180"/>
        <v>5.2115167497552538E-2</v>
      </c>
    </row>
    <row r="6114" spans="6:7" x14ac:dyDescent="0.35">
      <c r="F6114">
        <v>6111</v>
      </c>
      <c r="G6114">
        <f t="shared" ca="1" si="180"/>
        <v>2.8950390911761135E-2</v>
      </c>
    </row>
    <row r="6115" spans="6:7" x14ac:dyDescent="0.35">
      <c r="F6115">
        <v>6112</v>
      </c>
      <c r="G6115">
        <f t="shared" ca="1" si="180"/>
        <v>1.0952155357028133E-3</v>
      </c>
    </row>
    <row r="6116" spans="6:7" x14ac:dyDescent="0.35">
      <c r="F6116">
        <v>6113</v>
      </c>
      <c r="G6116">
        <f t="shared" ca="1" si="180"/>
        <v>3.0921913369103455E-2</v>
      </c>
    </row>
    <row r="6117" spans="6:7" x14ac:dyDescent="0.35">
      <c r="F6117">
        <v>6114</v>
      </c>
      <c r="G6117">
        <f t="shared" ca="1" si="180"/>
        <v>3.7903289675292447E-2</v>
      </c>
    </row>
    <row r="6118" spans="6:7" x14ac:dyDescent="0.35">
      <c r="F6118">
        <v>6115</v>
      </c>
      <c r="G6118">
        <f t="shared" ca="1" si="180"/>
        <v>-2.648702857345369E-2</v>
      </c>
    </row>
    <row r="6119" spans="6:7" x14ac:dyDescent="0.35">
      <c r="F6119">
        <v>6116</v>
      </c>
      <c r="G6119">
        <f t="shared" ca="1" si="180"/>
        <v>-3.4293925308460156E-2</v>
      </c>
    </row>
    <row r="6120" spans="6:7" x14ac:dyDescent="0.35">
      <c r="F6120">
        <v>6117</v>
      </c>
      <c r="G6120">
        <f t="shared" ca="1" si="180"/>
        <v>7.7493372201592799E-3</v>
      </c>
    </row>
    <row r="6121" spans="6:7" x14ac:dyDescent="0.35">
      <c r="F6121">
        <v>6118</v>
      </c>
      <c r="G6121">
        <f t="shared" ca="1" si="180"/>
        <v>8.2253319490940332E-3</v>
      </c>
    </row>
    <row r="6122" spans="6:7" x14ac:dyDescent="0.35">
      <c r="F6122">
        <v>6119</v>
      </c>
      <c r="G6122">
        <f t="shared" ca="1" si="180"/>
        <v>2.8028784175967502E-2</v>
      </c>
    </row>
    <row r="6123" spans="6:7" x14ac:dyDescent="0.35">
      <c r="F6123">
        <v>6120</v>
      </c>
      <c r="G6123">
        <f t="shared" ca="1" si="180"/>
        <v>3.0434543996370144E-2</v>
      </c>
    </row>
    <row r="6124" spans="6:7" x14ac:dyDescent="0.35">
      <c r="F6124">
        <v>6121</v>
      </c>
      <c r="G6124">
        <f t="shared" ca="1" si="180"/>
        <v>-8.6997113951643359E-3</v>
      </c>
    </row>
    <row r="6125" spans="6:7" x14ac:dyDescent="0.35">
      <c r="F6125">
        <v>6122</v>
      </c>
      <c r="G6125">
        <f t="shared" ca="1" si="180"/>
        <v>-1.5608199096455784E-2</v>
      </c>
    </row>
    <row r="6126" spans="6:7" x14ac:dyDescent="0.35">
      <c r="F6126">
        <v>6123</v>
      </c>
      <c r="G6126">
        <f t="shared" ca="1" si="180"/>
        <v>-2.8551548093358727E-2</v>
      </c>
    </row>
    <row r="6127" spans="6:7" x14ac:dyDescent="0.35">
      <c r="F6127">
        <v>6124</v>
      </c>
      <c r="G6127">
        <f t="shared" ca="1" si="180"/>
        <v>4.0219861955936471E-3</v>
      </c>
    </row>
    <row r="6128" spans="6:7" x14ac:dyDescent="0.35">
      <c r="F6128">
        <v>6125</v>
      </c>
      <c r="G6128">
        <f t="shared" ca="1" si="180"/>
        <v>2.7577860816374596E-2</v>
      </c>
    </row>
    <row r="6129" spans="6:7" x14ac:dyDescent="0.35">
      <c r="F6129">
        <v>6126</v>
      </c>
      <c r="G6129">
        <f t="shared" ca="1" si="180"/>
        <v>3.6558450100558767E-4</v>
      </c>
    </row>
    <row r="6130" spans="6:7" x14ac:dyDescent="0.35">
      <c r="F6130">
        <v>6127</v>
      </c>
      <c r="G6130">
        <f t="shared" ca="1" si="180"/>
        <v>5.2180253427379961E-2</v>
      </c>
    </row>
    <row r="6131" spans="6:7" x14ac:dyDescent="0.35">
      <c r="F6131">
        <v>6128</v>
      </c>
      <c r="G6131">
        <f t="shared" ca="1" si="180"/>
        <v>1.7826881621855199E-2</v>
      </c>
    </row>
    <row r="6132" spans="6:7" x14ac:dyDescent="0.35">
      <c r="F6132">
        <v>6129</v>
      </c>
      <c r="G6132">
        <f t="shared" ca="1" si="180"/>
        <v>-2.1887506988845909E-2</v>
      </c>
    </row>
    <row r="6133" spans="6:7" x14ac:dyDescent="0.35">
      <c r="F6133">
        <v>6130</v>
      </c>
      <c r="G6133">
        <f t="shared" ca="1" si="180"/>
        <v>-4.5246627679862046E-2</v>
      </c>
    </row>
    <row r="6134" spans="6:7" x14ac:dyDescent="0.35">
      <c r="F6134">
        <v>6131</v>
      </c>
      <c r="G6134">
        <f t="shared" ca="1" si="180"/>
        <v>-1.6805277267461609E-2</v>
      </c>
    </row>
    <row r="6135" spans="6:7" x14ac:dyDescent="0.35">
      <c r="F6135">
        <v>6132</v>
      </c>
      <c r="G6135">
        <f t="shared" ca="1" si="180"/>
        <v>3.9383108544968806E-2</v>
      </c>
    </row>
    <row r="6136" spans="6:7" x14ac:dyDescent="0.35">
      <c r="F6136">
        <v>6133</v>
      </c>
      <c r="G6136">
        <f t="shared" ca="1" si="180"/>
        <v>-5.5324205918499202E-2</v>
      </c>
    </row>
    <row r="6137" spans="6:7" x14ac:dyDescent="0.35">
      <c r="F6137">
        <v>6134</v>
      </c>
      <c r="G6137">
        <f t="shared" ca="1" si="180"/>
        <v>4.214858248264698E-3</v>
      </c>
    </row>
    <row r="6138" spans="6:7" x14ac:dyDescent="0.35">
      <c r="F6138">
        <v>6135</v>
      </c>
      <c r="G6138">
        <f t="shared" ca="1" si="180"/>
        <v>4.1296546523382216E-2</v>
      </c>
    </row>
    <row r="6139" spans="6:7" x14ac:dyDescent="0.35">
      <c r="F6139">
        <v>6136</v>
      </c>
      <c r="G6139">
        <f t="shared" ca="1" si="180"/>
        <v>-4.6600483487125796E-2</v>
      </c>
    </row>
    <row r="6140" spans="6:7" x14ac:dyDescent="0.35">
      <c r="F6140">
        <v>6137</v>
      </c>
      <c r="G6140">
        <f t="shared" ca="1" si="180"/>
        <v>4.9413985974643096E-2</v>
      </c>
    </row>
    <row r="6141" spans="6:7" x14ac:dyDescent="0.35">
      <c r="F6141">
        <v>6138</v>
      </c>
      <c r="G6141">
        <f t="shared" ca="1" si="180"/>
        <v>8.9067456477554818E-3</v>
      </c>
    </row>
    <row r="6142" spans="6:7" x14ac:dyDescent="0.35">
      <c r="F6142">
        <v>6139</v>
      </c>
      <c r="G6142">
        <f t="shared" ca="1" si="180"/>
        <v>1.4193887078077217E-2</v>
      </c>
    </row>
    <row r="6143" spans="6:7" x14ac:dyDescent="0.35">
      <c r="F6143">
        <v>6140</v>
      </c>
      <c r="G6143">
        <f t="shared" ca="1" si="180"/>
        <v>1.8089725668034896E-2</v>
      </c>
    </row>
    <row r="6144" spans="6:7" x14ac:dyDescent="0.35">
      <c r="F6144">
        <v>6141</v>
      </c>
      <c r="G6144">
        <f t="shared" ca="1" si="180"/>
        <v>-4.6276559817821507E-2</v>
      </c>
    </row>
    <row r="6145" spans="6:7" x14ac:dyDescent="0.35">
      <c r="F6145">
        <v>6142</v>
      </c>
      <c r="G6145">
        <f t="shared" ca="1" si="180"/>
        <v>-3.219228333447708E-2</v>
      </c>
    </row>
    <row r="6146" spans="6:7" x14ac:dyDescent="0.35">
      <c r="F6146">
        <v>6143</v>
      </c>
      <c r="G6146">
        <f t="shared" ca="1" si="180"/>
        <v>3.9801351480121486E-3</v>
      </c>
    </row>
    <row r="6147" spans="6:7" x14ac:dyDescent="0.35">
      <c r="F6147">
        <v>6144</v>
      </c>
      <c r="G6147">
        <f t="shared" ca="1" si="180"/>
        <v>3.2449322962924271E-2</v>
      </c>
    </row>
    <row r="6148" spans="6:7" x14ac:dyDescent="0.35">
      <c r="F6148">
        <v>6145</v>
      </c>
      <c r="G6148">
        <f t="shared" ca="1" si="180"/>
        <v>-3.856160070124557E-2</v>
      </c>
    </row>
    <row r="6149" spans="6:7" x14ac:dyDescent="0.35">
      <c r="F6149">
        <v>6146</v>
      </c>
      <c r="G6149">
        <f t="shared" ref="G6149:G6212" ca="1" si="181">_xlfn.NORM.INV(RAND(),K$6,K$7)</f>
        <v>-5.4026612821365824E-2</v>
      </c>
    </row>
    <row r="6150" spans="6:7" x14ac:dyDescent="0.35">
      <c r="F6150">
        <v>6147</v>
      </c>
      <c r="G6150">
        <f t="shared" ca="1" si="181"/>
        <v>-1.0959311657259012E-2</v>
      </c>
    </row>
    <row r="6151" spans="6:7" x14ac:dyDescent="0.35">
      <c r="F6151">
        <v>6148</v>
      </c>
      <c r="G6151">
        <f t="shared" ca="1" si="181"/>
        <v>5.9028007351986392E-2</v>
      </c>
    </row>
    <row r="6152" spans="6:7" x14ac:dyDescent="0.35">
      <c r="F6152">
        <v>6149</v>
      </c>
      <c r="G6152">
        <f t="shared" ca="1" si="181"/>
        <v>-2.3753375182679351E-2</v>
      </c>
    </row>
    <row r="6153" spans="6:7" x14ac:dyDescent="0.35">
      <c r="F6153">
        <v>6150</v>
      </c>
      <c r="G6153">
        <f t="shared" ca="1" si="181"/>
        <v>-1.2628072804167334E-2</v>
      </c>
    </row>
    <row r="6154" spans="6:7" x14ac:dyDescent="0.35">
      <c r="F6154">
        <v>6151</v>
      </c>
      <c r="G6154">
        <f t="shared" ca="1" si="181"/>
        <v>-4.1979451462368693E-2</v>
      </c>
    </row>
    <row r="6155" spans="6:7" x14ac:dyDescent="0.35">
      <c r="F6155">
        <v>6152</v>
      </c>
      <c r="G6155">
        <f t="shared" ca="1" si="181"/>
        <v>1.5614432164828846E-2</v>
      </c>
    </row>
    <row r="6156" spans="6:7" x14ac:dyDescent="0.35">
      <c r="F6156">
        <v>6153</v>
      </c>
      <c r="G6156">
        <f t="shared" ca="1" si="181"/>
        <v>-1.1220604274389357E-2</v>
      </c>
    </row>
    <row r="6157" spans="6:7" x14ac:dyDescent="0.35">
      <c r="F6157">
        <v>6154</v>
      </c>
      <c r="G6157">
        <f t="shared" ca="1" si="181"/>
        <v>-8.3737413371282304E-3</v>
      </c>
    </row>
    <row r="6158" spans="6:7" x14ac:dyDescent="0.35">
      <c r="F6158">
        <v>6155</v>
      </c>
      <c r="G6158">
        <f t="shared" ca="1" si="181"/>
        <v>-9.9075110436548722E-3</v>
      </c>
    </row>
    <row r="6159" spans="6:7" x14ac:dyDescent="0.35">
      <c r="F6159">
        <v>6156</v>
      </c>
      <c r="G6159">
        <f t="shared" ca="1" si="181"/>
        <v>-1.562263710827207E-2</v>
      </c>
    </row>
    <row r="6160" spans="6:7" x14ac:dyDescent="0.35">
      <c r="F6160">
        <v>6157</v>
      </c>
      <c r="G6160">
        <f t="shared" ca="1" si="181"/>
        <v>-2.8993898519810917E-2</v>
      </c>
    </row>
    <row r="6161" spans="6:7" x14ac:dyDescent="0.35">
      <c r="F6161">
        <v>6158</v>
      </c>
      <c r="G6161">
        <f t="shared" ca="1" si="181"/>
        <v>2.1564660739381736E-2</v>
      </c>
    </row>
    <row r="6162" spans="6:7" x14ac:dyDescent="0.35">
      <c r="F6162">
        <v>6159</v>
      </c>
      <c r="G6162">
        <f t="shared" ca="1" si="181"/>
        <v>2.4316967540859474E-2</v>
      </c>
    </row>
    <row r="6163" spans="6:7" x14ac:dyDescent="0.35">
      <c r="F6163">
        <v>6160</v>
      </c>
      <c r="G6163">
        <f t="shared" ca="1" si="181"/>
        <v>4.3257624757388716E-2</v>
      </c>
    </row>
    <row r="6164" spans="6:7" x14ac:dyDescent="0.35">
      <c r="F6164">
        <v>6161</v>
      </c>
      <c r="G6164">
        <f t="shared" ca="1" si="181"/>
        <v>-3.7192699015671869E-2</v>
      </c>
    </row>
    <row r="6165" spans="6:7" x14ac:dyDescent="0.35">
      <c r="F6165">
        <v>6162</v>
      </c>
      <c r="G6165">
        <f t="shared" ca="1" si="181"/>
        <v>-1.4470802084131432E-2</v>
      </c>
    </row>
    <row r="6166" spans="6:7" x14ac:dyDescent="0.35">
      <c r="F6166">
        <v>6163</v>
      </c>
      <c r="G6166">
        <f t="shared" ca="1" si="181"/>
        <v>-1.0012489157136614E-2</v>
      </c>
    </row>
    <row r="6167" spans="6:7" x14ac:dyDescent="0.35">
      <c r="F6167">
        <v>6164</v>
      </c>
      <c r="G6167">
        <f t="shared" ca="1" si="181"/>
        <v>2.6815278973355703E-2</v>
      </c>
    </row>
    <row r="6168" spans="6:7" x14ac:dyDescent="0.35">
      <c r="F6168">
        <v>6165</v>
      </c>
      <c r="G6168">
        <f t="shared" ca="1" si="181"/>
        <v>3.6354626632716571E-3</v>
      </c>
    </row>
    <row r="6169" spans="6:7" x14ac:dyDescent="0.35">
      <c r="F6169">
        <v>6166</v>
      </c>
      <c r="G6169">
        <f t="shared" ca="1" si="181"/>
        <v>-3.980389062503481E-2</v>
      </c>
    </row>
    <row r="6170" spans="6:7" x14ac:dyDescent="0.35">
      <c r="F6170">
        <v>6167</v>
      </c>
      <c r="G6170">
        <f t="shared" ca="1" si="181"/>
        <v>3.9469809082072075E-3</v>
      </c>
    </row>
    <row r="6171" spans="6:7" x14ac:dyDescent="0.35">
      <c r="F6171">
        <v>6168</v>
      </c>
      <c r="G6171">
        <f t="shared" ca="1" si="181"/>
        <v>1.8673596572514196E-2</v>
      </c>
    </row>
    <row r="6172" spans="6:7" x14ac:dyDescent="0.35">
      <c r="F6172">
        <v>6169</v>
      </c>
      <c r="G6172">
        <f t="shared" ca="1" si="181"/>
        <v>-2.5095176584284468E-2</v>
      </c>
    </row>
    <row r="6173" spans="6:7" x14ac:dyDescent="0.35">
      <c r="F6173">
        <v>6170</v>
      </c>
      <c r="G6173">
        <f t="shared" ca="1" si="181"/>
        <v>1.3643115699656989E-2</v>
      </c>
    </row>
    <row r="6174" spans="6:7" x14ac:dyDescent="0.35">
      <c r="F6174">
        <v>6171</v>
      </c>
      <c r="G6174">
        <f t="shared" ca="1" si="181"/>
        <v>9.0405227290293756E-3</v>
      </c>
    </row>
    <row r="6175" spans="6:7" x14ac:dyDescent="0.35">
      <c r="F6175">
        <v>6172</v>
      </c>
      <c r="G6175">
        <f t="shared" ca="1" si="181"/>
        <v>2.1763593045644104E-2</v>
      </c>
    </row>
    <row r="6176" spans="6:7" x14ac:dyDescent="0.35">
      <c r="F6176">
        <v>6173</v>
      </c>
      <c r="G6176">
        <f t="shared" ca="1" si="181"/>
        <v>3.7604347250047292E-2</v>
      </c>
    </row>
    <row r="6177" spans="6:7" x14ac:dyDescent="0.35">
      <c r="F6177">
        <v>6174</v>
      </c>
      <c r="G6177">
        <f t="shared" ca="1" si="181"/>
        <v>4.3725372917165816E-3</v>
      </c>
    </row>
    <row r="6178" spans="6:7" x14ac:dyDescent="0.35">
      <c r="F6178">
        <v>6175</v>
      </c>
      <c r="G6178">
        <f t="shared" ca="1" si="181"/>
        <v>-3.0480950367963926E-2</v>
      </c>
    </row>
    <row r="6179" spans="6:7" x14ac:dyDescent="0.35">
      <c r="F6179">
        <v>6176</v>
      </c>
      <c r="G6179">
        <f t="shared" ca="1" si="181"/>
        <v>-5.4157296178052795E-2</v>
      </c>
    </row>
    <row r="6180" spans="6:7" x14ac:dyDescent="0.35">
      <c r="F6180">
        <v>6177</v>
      </c>
      <c r="G6180">
        <f t="shared" ca="1" si="181"/>
        <v>2.1735898023152067E-2</v>
      </c>
    </row>
    <row r="6181" spans="6:7" x14ac:dyDescent="0.35">
      <c r="F6181">
        <v>6178</v>
      </c>
      <c r="G6181">
        <f t="shared" ca="1" si="181"/>
        <v>-2.0597770412551248E-2</v>
      </c>
    </row>
    <row r="6182" spans="6:7" x14ac:dyDescent="0.35">
      <c r="F6182">
        <v>6179</v>
      </c>
      <c r="G6182">
        <f t="shared" ca="1" si="181"/>
        <v>3.6265716488845939E-3</v>
      </c>
    </row>
    <row r="6183" spans="6:7" x14ac:dyDescent="0.35">
      <c r="F6183">
        <v>6180</v>
      </c>
      <c r="G6183">
        <f t="shared" ca="1" si="181"/>
        <v>7.4398220835430358E-3</v>
      </c>
    </row>
    <row r="6184" spans="6:7" x14ac:dyDescent="0.35">
      <c r="F6184">
        <v>6181</v>
      </c>
      <c r="G6184">
        <f t="shared" ca="1" si="181"/>
        <v>-2.0146357355152387E-2</v>
      </c>
    </row>
    <row r="6185" spans="6:7" x14ac:dyDescent="0.35">
      <c r="F6185">
        <v>6182</v>
      </c>
      <c r="G6185">
        <f t="shared" ca="1" si="181"/>
        <v>9.1967292936421547E-3</v>
      </c>
    </row>
    <row r="6186" spans="6:7" x14ac:dyDescent="0.35">
      <c r="F6186">
        <v>6183</v>
      </c>
      <c r="G6186">
        <f t="shared" ca="1" si="181"/>
        <v>-4.9395113966910792E-2</v>
      </c>
    </row>
    <row r="6187" spans="6:7" x14ac:dyDescent="0.35">
      <c r="F6187">
        <v>6184</v>
      </c>
      <c r="G6187">
        <f t="shared" ca="1" si="181"/>
        <v>-1.1515012048696376E-3</v>
      </c>
    </row>
    <row r="6188" spans="6:7" x14ac:dyDescent="0.35">
      <c r="F6188">
        <v>6185</v>
      </c>
      <c r="G6188">
        <f t="shared" ca="1" si="181"/>
        <v>9.7405400590007546E-3</v>
      </c>
    </row>
    <row r="6189" spans="6:7" x14ac:dyDescent="0.35">
      <c r="F6189">
        <v>6186</v>
      </c>
      <c r="G6189">
        <f t="shared" ca="1" si="181"/>
        <v>8.5404588466879497E-3</v>
      </c>
    </row>
    <row r="6190" spans="6:7" x14ac:dyDescent="0.35">
      <c r="F6190">
        <v>6187</v>
      </c>
      <c r="G6190">
        <f t="shared" ca="1" si="181"/>
        <v>4.4241601288750133E-2</v>
      </c>
    </row>
    <row r="6191" spans="6:7" x14ac:dyDescent="0.35">
      <c r="F6191">
        <v>6188</v>
      </c>
      <c r="G6191">
        <f t="shared" ca="1" si="181"/>
        <v>3.252598001766431E-2</v>
      </c>
    </row>
    <row r="6192" spans="6:7" x14ac:dyDescent="0.35">
      <c r="F6192">
        <v>6189</v>
      </c>
      <c r="G6192">
        <f t="shared" ca="1" si="181"/>
        <v>3.6849567595255525E-2</v>
      </c>
    </row>
    <row r="6193" spans="6:7" x14ac:dyDescent="0.35">
      <c r="F6193">
        <v>6190</v>
      </c>
      <c r="G6193">
        <f t="shared" ca="1" si="181"/>
        <v>4.774925074312944E-2</v>
      </c>
    </row>
    <row r="6194" spans="6:7" x14ac:dyDescent="0.35">
      <c r="F6194">
        <v>6191</v>
      </c>
      <c r="G6194">
        <f t="shared" ca="1" si="181"/>
        <v>-2.3859132898378946E-2</v>
      </c>
    </row>
    <row r="6195" spans="6:7" x14ac:dyDescent="0.35">
      <c r="F6195">
        <v>6192</v>
      </c>
      <c r="G6195">
        <f t="shared" ca="1" si="181"/>
        <v>2.3134505257882187E-2</v>
      </c>
    </row>
    <row r="6196" spans="6:7" x14ac:dyDescent="0.35">
      <c r="F6196">
        <v>6193</v>
      </c>
      <c r="G6196">
        <f t="shared" ca="1" si="181"/>
        <v>-1.8845695741443541E-2</v>
      </c>
    </row>
    <row r="6197" spans="6:7" x14ac:dyDescent="0.35">
      <c r="F6197">
        <v>6194</v>
      </c>
      <c r="G6197">
        <f t="shared" ca="1" si="181"/>
        <v>1.6865026496769797E-2</v>
      </c>
    </row>
    <row r="6198" spans="6:7" x14ac:dyDescent="0.35">
      <c r="F6198">
        <v>6195</v>
      </c>
      <c r="G6198">
        <f t="shared" ca="1" si="181"/>
        <v>-2.2763888627393133E-2</v>
      </c>
    </row>
    <row r="6199" spans="6:7" x14ac:dyDescent="0.35">
      <c r="F6199">
        <v>6196</v>
      </c>
      <c r="G6199">
        <f t="shared" ca="1" si="181"/>
        <v>-3.1705807963472693E-2</v>
      </c>
    </row>
    <row r="6200" spans="6:7" x14ac:dyDescent="0.35">
      <c r="F6200">
        <v>6197</v>
      </c>
      <c r="G6200">
        <f t="shared" ca="1" si="181"/>
        <v>2.4881076781414501E-2</v>
      </c>
    </row>
    <row r="6201" spans="6:7" x14ac:dyDescent="0.35">
      <c r="F6201">
        <v>6198</v>
      </c>
      <c r="G6201">
        <f t="shared" ca="1" si="181"/>
        <v>1.3984602408831795E-2</v>
      </c>
    </row>
    <row r="6202" spans="6:7" x14ac:dyDescent="0.35">
      <c r="F6202">
        <v>6199</v>
      </c>
      <c r="G6202">
        <f t="shared" ca="1" si="181"/>
        <v>-3.5577272906098641E-2</v>
      </c>
    </row>
    <row r="6203" spans="6:7" x14ac:dyDescent="0.35">
      <c r="F6203">
        <v>6200</v>
      </c>
      <c r="G6203">
        <f t="shared" ca="1" si="181"/>
        <v>3.5175621374904577E-2</v>
      </c>
    </row>
    <row r="6204" spans="6:7" x14ac:dyDescent="0.35">
      <c r="F6204">
        <v>6201</v>
      </c>
      <c r="G6204">
        <f t="shared" ca="1" si="181"/>
        <v>-5.2803578456421599E-2</v>
      </c>
    </row>
    <row r="6205" spans="6:7" x14ac:dyDescent="0.35">
      <c r="F6205">
        <v>6202</v>
      </c>
      <c r="G6205">
        <f t="shared" ca="1" si="181"/>
        <v>-3.642549000873295E-2</v>
      </c>
    </row>
    <row r="6206" spans="6:7" x14ac:dyDescent="0.35">
      <c r="F6206">
        <v>6203</v>
      </c>
      <c r="G6206">
        <f t="shared" ca="1" si="181"/>
        <v>-2.7122791689841285E-3</v>
      </c>
    </row>
    <row r="6207" spans="6:7" x14ac:dyDescent="0.35">
      <c r="F6207">
        <v>6204</v>
      </c>
      <c r="G6207">
        <f t="shared" ca="1" si="181"/>
        <v>-3.2940842842270335E-2</v>
      </c>
    </row>
    <row r="6208" spans="6:7" x14ac:dyDescent="0.35">
      <c r="F6208">
        <v>6205</v>
      </c>
      <c r="G6208">
        <f t="shared" ca="1" si="181"/>
        <v>-3.1840362106686532E-2</v>
      </c>
    </row>
    <row r="6209" spans="6:7" x14ac:dyDescent="0.35">
      <c r="F6209">
        <v>6206</v>
      </c>
      <c r="G6209">
        <f t="shared" ca="1" si="181"/>
        <v>2.6780639329134184E-2</v>
      </c>
    </row>
    <row r="6210" spans="6:7" x14ac:dyDescent="0.35">
      <c r="F6210">
        <v>6207</v>
      </c>
      <c r="G6210">
        <f t="shared" ca="1" si="181"/>
        <v>-3.6247028863272336E-2</v>
      </c>
    </row>
    <row r="6211" spans="6:7" x14ac:dyDescent="0.35">
      <c r="F6211">
        <v>6208</v>
      </c>
      <c r="G6211">
        <f t="shared" ca="1" si="181"/>
        <v>-6.349321268111446E-3</v>
      </c>
    </row>
    <row r="6212" spans="6:7" x14ac:dyDescent="0.35">
      <c r="F6212">
        <v>6209</v>
      </c>
      <c r="G6212">
        <f t="shared" ca="1" si="181"/>
        <v>-6.7564126239530644E-3</v>
      </c>
    </row>
    <row r="6213" spans="6:7" x14ac:dyDescent="0.35">
      <c r="F6213">
        <v>6210</v>
      </c>
      <c r="G6213">
        <f t="shared" ref="G6213:G6276" ca="1" si="182">_xlfn.NORM.INV(RAND(),K$6,K$7)</f>
        <v>-4.6173384514023846E-3</v>
      </c>
    </row>
    <row r="6214" spans="6:7" x14ac:dyDescent="0.35">
      <c r="F6214">
        <v>6211</v>
      </c>
      <c r="G6214">
        <f t="shared" ca="1" si="182"/>
        <v>2.7483500796181073E-2</v>
      </c>
    </row>
    <row r="6215" spans="6:7" x14ac:dyDescent="0.35">
      <c r="F6215">
        <v>6212</v>
      </c>
      <c r="G6215">
        <f t="shared" ca="1" si="182"/>
        <v>-3.5211930978735345E-3</v>
      </c>
    </row>
    <row r="6216" spans="6:7" x14ac:dyDescent="0.35">
      <c r="F6216">
        <v>6213</v>
      </c>
      <c r="G6216">
        <f t="shared" ca="1" si="182"/>
        <v>-2.5625812914547401E-2</v>
      </c>
    </row>
    <row r="6217" spans="6:7" x14ac:dyDescent="0.35">
      <c r="F6217">
        <v>6214</v>
      </c>
      <c r="G6217">
        <f t="shared" ca="1" si="182"/>
        <v>-0.10903597642567206</v>
      </c>
    </row>
    <row r="6218" spans="6:7" x14ac:dyDescent="0.35">
      <c r="F6218">
        <v>6215</v>
      </c>
      <c r="G6218">
        <f t="shared" ca="1" si="182"/>
        <v>-6.555720583415952E-3</v>
      </c>
    </row>
    <row r="6219" spans="6:7" x14ac:dyDescent="0.35">
      <c r="F6219">
        <v>6216</v>
      </c>
      <c r="G6219">
        <f t="shared" ca="1" si="182"/>
        <v>1.9596645426795442E-2</v>
      </c>
    </row>
    <row r="6220" spans="6:7" x14ac:dyDescent="0.35">
      <c r="F6220">
        <v>6217</v>
      </c>
      <c r="G6220">
        <f t="shared" ca="1" si="182"/>
        <v>-1.2202942905970508E-2</v>
      </c>
    </row>
    <row r="6221" spans="6:7" x14ac:dyDescent="0.35">
      <c r="F6221">
        <v>6218</v>
      </c>
      <c r="G6221">
        <f t="shared" ca="1" si="182"/>
        <v>2.3666858088254941E-2</v>
      </c>
    </row>
    <row r="6222" spans="6:7" x14ac:dyDescent="0.35">
      <c r="F6222">
        <v>6219</v>
      </c>
      <c r="G6222">
        <f t="shared" ca="1" si="182"/>
        <v>3.2642683018877058E-2</v>
      </c>
    </row>
    <row r="6223" spans="6:7" x14ac:dyDescent="0.35">
      <c r="F6223">
        <v>6220</v>
      </c>
      <c r="G6223">
        <f t="shared" ca="1" si="182"/>
        <v>4.3760634898511126E-2</v>
      </c>
    </row>
    <row r="6224" spans="6:7" x14ac:dyDescent="0.35">
      <c r="F6224">
        <v>6221</v>
      </c>
      <c r="G6224">
        <f t="shared" ca="1" si="182"/>
        <v>5.7552358183589079E-2</v>
      </c>
    </row>
    <row r="6225" spans="6:7" x14ac:dyDescent="0.35">
      <c r="F6225">
        <v>6222</v>
      </c>
      <c r="G6225">
        <f t="shared" ca="1" si="182"/>
        <v>2.44024779181914E-2</v>
      </c>
    </row>
    <row r="6226" spans="6:7" x14ac:dyDescent="0.35">
      <c r="F6226">
        <v>6223</v>
      </c>
      <c r="G6226">
        <f t="shared" ca="1" si="182"/>
        <v>-3.1317205164596643E-2</v>
      </c>
    </row>
    <row r="6227" spans="6:7" x14ac:dyDescent="0.35">
      <c r="F6227">
        <v>6224</v>
      </c>
      <c r="G6227">
        <f t="shared" ca="1" si="182"/>
        <v>9.1960025594414469E-4</v>
      </c>
    </row>
    <row r="6228" spans="6:7" x14ac:dyDescent="0.35">
      <c r="F6228">
        <v>6225</v>
      </c>
      <c r="G6228">
        <f t="shared" ca="1" si="182"/>
        <v>3.303541153290469E-3</v>
      </c>
    </row>
    <row r="6229" spans="6:7" x14ac:dyDescent="0.35">
      <c r="F6229">
        <v>6226</v>
      </c>
      <c r="G6229">
        <f t="shared" ca="1" si="182"/>
        <v>-3.3747221980687143E-2</v>
      </c>
    </row>
    <row r="6230" spans="6:7" x14ac:dyDescent="0.35">
      <c r="F6230">
        <v>6227</v>
      </c>
      <c r="G6230">
        <f t="shared" ca="1" si="182"/>
        <v>-4.071816243293077E-2</v>
      </c>
    </row>
    <row r="6231" spans="6:7" x14ac:dyDescent="0.35">
      <c r="F6231">
        <v>6228</v>
      </c>
      <c r="G6231">
        <f t="shared" ca="1" si="182"/>
        <v>-3.2525195258956474E-2</v>
      </c>
    </row>
    <row r="6232" spans="6:7" x14ac:dyDescent="0.35">
      <c r="F6232">
        <v>6229</v>
      </c>
      <c r="G6232">
        <f t="shared" ca="1" si="182"/>
        <v>9.0742452141110014E-3</v>
      </c>
    </row>
    <row r="6233" spans="6:7" x14ac:dyDescent="0.35">
      <c r="F6233">
        <v>6230</v>
      </c>
      <c r="G6233">
        <f t="shared" ca="1" si="182"/>
        <v>3.521627398836983E-2</v>
      </c>
    </row>
    <row r="6234" spans="6:7" x14ac:dyDescent="0.35">
      <c r="F6234">
        <v>6231</v>
      </c>
      <c r="G6234">
        <f t="shared" ca="1" si="182"/>
        <v>-3.3033753737883122E-2</v>
      </c>
    </row>
    <row r="6235" spans="6:7" x14ac:dyDescent="0.35">
      <c r="F6235">
        <v>6232</v>
      </c>
      <c r="G6235">
        <f t="shared" ca="1" si="182"/>
        <v>-7.7889582914180289E-3</v>
      </c>
    </row>
    <row r="6236" spans="6:7" x14ac:dyDescent="0.35">
      <c r="F6236">
        <v>6233</v>
      </c>
      <c r="G6236">
        <f t="shared" ca="1" si="182"/>
        <v>-4.7607166584731762E-2</v>
      </c>
    </row>
    <row r="6237" spans="6:7" x14ac:dyDescent="0.35">
      <c r="F6237">
        <v>6234</v>
      </c>
      <c r="G6237">
        <f t="shared" ca="1" si="182"/>
        <v>-1.1840470020692927E-2</v>
      </c>
    </row>
    <row r="6238" spans="6:7" x14ac:dyDescent="0.35">
      <c r="F6238">
        <v>6235</v>
      </c>
      <c r="G6238">
        <f t="shared" ca="1" si="182"/>
        <v>-3.1356180388687122E-2</v>
      </c>
    </row>
    <row r="6239" spans="6:7" x14ac:dyDescent="0.35">
      <c r="F6239">
        <v>6236</v>
      </c>
      <c r="G6239">
        <f t="shared" ca="1" si="182"/>
        <v>6.8944461409986085E-2</v>
      </c>
    </row>
    <row r="6240" spans="6:7" x14ac:dyDescent="0.35">
      <c r="F6240">
        <v>6237</v>
      </c>
      <c r="G6240">
        <f t="shared" ca="1" si="182"/>
        <v>2.6083896292194353E-3</v>
      </c>
    </row>
    <row r="6241" spans="6:7" x14ac:dyDescent="0.35">
      <c r="F6241">
        <v>6238</v>
      </c>
      <c r="G6241">
        <f t="shared" ca="1" si="182"/>
        <v>2.990028092285834E-2</v>
      </c>
    </row>
    <row r="6242" spans="6:7" x14ac:dyDescent="0.35">
      <c r="F6242">
        <v>6239</v>
      </c>
      <c r="G6242">
        <f t="shared" ca="1" si="182"/>
        <v>-1.7167869293564713E-2</v>
      </c>
    </row>
    <row r="6243" spans="6:7" x14ac:dyDescent="0.35">
      <c r="F6243">
        <v>6240</v>
      </c>
      <c r="G6243">
        <f t="shared" ca="1" si="182"/>
        <v>-4.0047319810730973E-2</v>
      </c>
    </row>
    <row r="6244" spans="6:7" x14ac:dyDescent="0.35">
      <c r="F6244">
        <v>6241</v>
      </c>
      <c r="G6244">
        <f t="shared" ca="1" si="182"/>
        <v>-2.1859495691299281E-2</v>
      </c>
    </row>
    <row r="6245" spans="6:7" x14ac:dyDescent="0.35">
      <c r="F6245">
        <v>6242</v>
      </c>
      <c r="G6245">
        <f t="shared" ca="1" si="182"/>
        <v>1.348477492634744E-3</v>
      </c>
    </row>
    <row r="6246" spans="6:7" x14ac:dyDescent="0.35">
      <c r="F6246">
        <v>6243</v>
      </c>
      <c r="G6246">
        <f t="shared" ca="1" si="182"/>
        <v>3.269993706979659E-2</v>
      </c>
    </row>
    <row r="6247" spans="6:7" x14ac:dyDescent="0.35">
      <c r="F6247">
        <v>6244</v>
      </c>
      <c r="G6247">
        <f t="shared" ca="1" si="182"/>
        <v>1.1822231151664793E-2</v>
      </c>
    </row>
    <row r="6248" spans="6:7" x14ac:dyDescent="0.35">
      <c r="F6248">
        <v>6245</v>
      </c>
      <c r="G6248">
        <f t="shared" ca="1" si="182"/>
        <v>3.2285703413567991E-2</v>
      </c>
    </row>
    <row r="6249" spans="6:7" x14ac:dyDescent="0.35">
      <c r="F6249">
        <v>6246</v>
      </c>
      <c r="G6249">
        <f t="shared" ca="1" si="182"/>
        <v>-3.2141741098312991E-2</v>
      </c>
    </row>
    <row r="6250" spans="6:7" x14ac:dyDescent="0.35">
      <c r="F6250">
        <v>6247</v>
      </c>
      <c r="G6250">
        <f t="shared" ca="1" si="182"/>
        <v>5.6844154437809595E-2</v>
      </c>
    </row>
    <row r="6251" spans="6:7" x14ac:dyDescent="0.35">
      <c r="F6251">
        <v>6248</v>
      </c>
      <c r="G6251">
        <f t="shared" ca="1" si="182"/>
        <v>9.5547500656521095E-3</v>
      </c>
    </row>
    <row r="6252" spans="6:7" x14ac:dyDescent="0.35">
      <c r="F6252">
        <v>6249</v>
      </c>
      <c r="G6252">
        <f t="shared" ca="1" si="182"/>
        <v>3.2707296408818136E-2</v>
      </c>
    </row>
    <row r="6253" spans="6:7" x14ac:dyDescent="0.35">
      <c r="F6253">
        <v>6250</v>
      </c>
      <c r="G6253">
        <f t="shared" ca="1" si="182"/>
        <v>9.6809467623004651E-3</v>
      </c>
    </row>
    <row r="6254" spans="6:7" x14ac:dyDescent="0.35">
      <c r="F6254">
        <v>6251</v>
      </c>
      <c r="G6254">
        <f t="shared" ca="1" si="182"/>
        <v>-4.3828827546400643E-3</v>
      </c>
    </row>
    <row r="6255" spans="6:7" x14ac:dyDescent="0.35">
      <c r="F6255">
        <v>6252</v>
      </c>
      <c r="G6255">
        <f t="shared" ca="1" si="182"/>
        <v>1.3055475978430564E-2</v>
      </c>
    </row>
    <row r="6256" spans="6:7" x14ac:dyDescent="0.35">
      <c r="F6256">
        <v>6253</v>
      </c>
      <c r="G6256">
        <f t="shared" ca="1" si="182"/>
        <v>1.2055082109434619E-2</v>
      </c>
    </row>
    <row r="6257" spans="6:7" x14ac:dyDescent="0.35">
      <c r="F6257">
        <v>6254</v>
      </c>
      <c r="G6257">
        <f t="shared" ca="1" si="182"/>
        <v>-1.1946137488442631E-2</v>
      </c>
    </row>
    <row r="6258" spans="6:7" x14ac:dyDescent="0.35">
      <c r="F6258">
        <v>6255</v>
      </c>
      <c r="G6258">
        <f t="shared" ca="1" si="182"/>
        <v>1.5740624504166696E-2</v>
      </c>
    </row>
    <row r="6259" spans="6:7" x14ac:dyDescent="0.35">
      <c r="F6259">
        <v>6256</v>
      </c>
      <c r="G6259">
        <f t="shared" ca="1" si="182"/>
        <v>-1.7857373878223743E-2</v>
      </c>
    </row>
    <row r="6260" spans="6:7" x14ac:dyDescent="0.35">
      <c r="F6260">
        <v>6257</v>
      </c>
      <c r="G6260">
        <f t="shared" ca="1" si="182"/>
        <v>1.2057046575443955E-2</v>
      </c>
    </row>
    <row r="6261" spans="6:7" x14ac:dyDescent="0.35">
      <c r="F6261">
        <v>6258</v>
      </c>
      <c r="G6261">
        <f t="shared" ca="1" si="182"/>
        <v>4.4647204980736788E-3</v>
      </c>
    </row>
    <row r="6262" spans="6:7" x14ac:dyDescent="0.35">
      <c r="F6262">
        <v>6259</v>
      </c>
      <c r="G6262">
        <f t="shared" ca="1" si="182"/>
        <v>2.6243196632902598E-2</v>
      </c>
    </row>
    <row r="6263" spans="6:7" x14ac:dyDescent="0.35">
      <c r="F6263">
        <v>6260</v>
      </c>
      <c r="G6263">
        <f t="shared" ca="1" si="182"/>
        <v>3.2842394683654956E-2</v>
      </c>
    </row>
    <row r="6264" spans="6:7" x14ac:dyDescent="0.35">
      <c r="F6264">
        <v>6261</v>
      </c>
      <c r="G6264">
        <f t="shared" ca="1" si="182"/>
        <v>1.4013760152328322E-2</v>
      </c>
    </row>
    <row r="6265" spans="6:7" x14ac:dyDescent="0.35">
      <c r="F6265">
        <v>6262</v>
      </c>
      <c r="G6265">
        <f t="shared" ca="1" si="182"/>
        <v>3.0164750142624795E-2</v>
      </c>
    </row>
    <row r="6266" spans="6:7" x14ac:dyDescent="0.35">
      <c r="F6266">
        <v>6263</v>
      </c>
      <c r="G6266">
        <f t="shared" ca="1" si="182"/>
        <v>7.1424760697564637E-3</v>
      </c>
    </row>
    <row r="6267" spans="6:7" x14ac:dyDescent="0.35">
      <c r="F6267">
        <v>6264</v>
      </c>
      <c r="G6267">
        <f t="shared" ca="1" si="182"/>
        <v>2.9240539163674958E-2</v>
      </c>
    </row>
    <row r="6268" spans="6:7" x14ac:dyDescent="0.35">
      <c r="F6268">
        <v>6265</v>
      </c>
      <c r="G6268">
        <f t="shared" ca="1" si="182"/>
        <v>-3.1448133555066447E-2</v>
      </c>
    </row>
    <row r="6269" spans="6:7" x14ac:dyDescent="0.35">
      <c r="F6269">
        <v>6266</v>
      </c>
      <c r="G6269">
        <f t="shared" ca="1" si="182"/>
        <v>-6.565422996427768E-2</v>
      </c>
    </row>
    <row r="6270" spans="6:7" x14ac:dyDescent="0.35">
      <c r="F6270">
        <v>6267</v>
      </c>
      <c r="G6270">
        <f t="shared" ca="1" si="182"/>
        <v>-2.4078202258250862E-2</v>
      </c>
    </row>
    <row r="6271" spans="6:7" x14ac:dyDescent="0.35">
      <c r="F6271">
        <v>6268</v>
      </c>
      <c r="G6271">
        <f t="shared" ca="1" si="182"/>
        <v>-3.7859922206478783E-2</v>
      </c>
    </row>
    <row r="6272" spans="6:7" x14ac:dyDescent="0.35">
      <c r="F6272">
        <v>6269</v>
      </c>
      <c r="G6272">
        <f t="shared" ca="1" si="182"/>
        <v>-5.2355635382102327E-2</v>
      </c>
    </row>
    <row r="6273" spans="6:7" x14ac:dyDescent="0.35">
      <c r="F6273">
        <v>6270</v>
      </c>
      <c r="G6273">
        <f t="shared" ca="1" si="182"/>
        <v>3.879080644567378E-2</v>
      </c>
    </row>
    <row r="6274" spans="6:7" x14ac:dyDescent="0.35">
      <c r="F6274">
        <v>6271</v>
      </c>
      <c r="G6274">
        <f t="shared" ca="1" si="182"/>
        <v>-2.469314509407545E-3</v>
      </c>
    </row>
    <row r="6275" spans="6:7" x14ac:dyDescent="0.35">
      <c r="F6275">
        <v>6272</v>
      </c>
      <c r="G6275">
        <f t="shared" ca="1" si="182"/>
        <v>-1.4660275074130473E-2</v>
      </c>
    </row>
    <row r="6276" spans="6:7" x14ac:dyDescent="0.35">
      <c r="F6276">
        <v>6273</v>
      </c>
      <c r="G6276">
        <f t="shared" ca="1" si="182"/>
        <v>4.6549813240935392E-2</v>
      </c>
    </row>
    <row r="6277" spans="6:7" x14ac:dyDescent="0.35">
      <c r="F6277">
        <v>6274</v>
      </c>
      <c r="G6277">
        <f t="shared" ref="G6277:G6340" ca="1" si="183">_xlfn.NORM.INV(RAND(),K$6,K$7)</f>
        <v>-4.6498305695480892E-2</v>
      </c>
    </row>
    <row r="6278" spans="6:7" x14ac:dyDescent="0.35">
      <c r="F6278">
        <v>6275</v>
      </c>
      <c r="G6278">
        <f t="shared" ca="1" si="183"/>
        <v>-4.7298709969543322E-2</v>
      </c>
    </row>
    <row r="6279" spans="6:7" x14ac:dyDescent="0.35">
      <c r="F6279">
        <v>6276</v>
      </c>
      <c r="G6279">
        <f t="shared" ca="1" si="183"/>
        <v>-1.2707853366660459E-2</v>
      </c>
    </row>
    <row r="6280" spans="6:7" x14ac:dyDescent="0.35">
      <c r="F6280">
        <v>6277</v>
      </c>
      <c r="G6280">
        <f t="shared" ca="1" si="183"/>
        <v>-5.3089976268599674E-2</v>
      </c>
    </row>
    <row r="6281" spans="6:7" x14ac:dyDescent="0.35">
      <c r="F6281">
        <v>6278</v>
      </c>
      <c r="G6281">
        <f t="shared" ca="1" si="183"/>
        <v>-1.3102653240189263E-2</v>
      </c>
    </row>
    <row r="6282" spans="6:7" x14ac:dyDescent="0.35">
      <c r="F6282">
        <v>6279</v>
      </c>
      <c r="G6282">
        <f t="shared" ca="1" si="183"/>
        <v>3.0269979432597433E-2</v>
      </c>
    </row>
    <row r="6283" spans="6:7" x14ac:dyDescent="0.35">
      <c r="F6283">
        <v>6280</v>
      </c>
      <c r="G6283">
        <f t="shared" ca="1" si="183"/>
        <v>1.4959694953874518E-2</v>
      </c>
    </row>
    <row r="6284" spans="6:7" x14ac:dyDescent="0.35">
      <c r="F6284">
        <v>6281</v>
      </c>
      <c r="G6284">
        <f t="shared" ca="1" si="183"/>
        <v>4.0764128922149742E-2</v>
      </c>
    </row>
    <row r="6285" spans="6:7" x14ac:dyDescent="0.35">
      <c r="F6285">
        <v>6282</v>
      </c>
      <c r="G6285">
        <f t="shared" ca="1" si="183"/>
        <v>1.060756364280995E-2</v>
      </c>
    </row>
    <row r="6286" spans="6:7" x14ac:dyDescent="0.35">
      <c r="F6286">
        <v>6283</v>
      </c>
      <c r="G6286">
        <f t="shared" ca="1" si="183"/>
        <v>1.4681188923949652E-3</v>
      </c>
    </row>
    <row r="6287" spans="6:7" x14ac:dyDescent="0.35">
      <c r="F6287">
        <v>6284</v>
      </c>
      <c r="G6287">
        <f t="shared" ca="1" si="183"/>
        <v>-4.4657705501297928E-4</v>
      </c>
    </row>
    <row r="6288" spans="6:7" x14ac:dyDescent="0.35">
      <c r="F6288">
        <v>6285</v>
      </c>
      <c r="G6288">
        <f t="shared" ca="1" si="183"/>
        <v>3.6811111093071565E-2</v>
      </c>
    </row>
    <row r="6289" spans="6:7" x14ac:dyDescent="0.35">
      <c r="F6289">
        <v>6286</v>
      </c>
      <c r="G6289">
        <f t="shared" ca="1" si="183"/>
        <v>6.1011138492330447E-2</v>
      </c>
    </row>
    <row r="6290" spans="6:7" x14ac:dyDescent="0.35">
      <c r="F6290">
        <v>6287</v>
      </c>
      <c r="G6290">
        <f t="shared" ca="1" si="183"/>
        <v>1.8284402146866312E-2</v>
      </c>
    </row>
    <row r="6291" spans="6:7" x14ac:dyDescent="0.35">
      <c r="F6291">
        <v>6288</v>
      </c>
      <c r="G6291">
        <f t="shared" ca="1" si="183"/>
        <v>2.2628124167872923E-2</v>
      </c>
    </row>
    <row r="6292" spans="6:7" x14ac:dyDescent="0.35">
      <c r="F6292">
        <v>6289</v>
      </c>
      <c r="G6292">
        <f t="shared" ca="1" si="183"/>
        <v>2.6197808309886602E-2</v>
      </c>
    </row>
    <row r="6293" spans="6:7" x14ac:dyDescent="0.35">
      <c r="F6293">
        <v>6290</v>
      </c>
      <c r="G6293">
        <f t="shared" ca="1" si="183"/>
        <v>1.2160185038826027E-3</v>
      </c>
    </row>
    <row r="6294" spans="6:7" x14ac:dyDescent="0.35">
      <c r="F6294">
        <v>6291</v>
      </c>
      <c r="G6294">
        <f t="shared" ca="1" si="183"/>
        <v>-4.4141918506866565E-2</v>
      </c>
    </row>
    <row r="6295" spans="6:7" x14ac:dyDescent="0.35">
      <c r="F6295">
        <v>6292</v>
      </c>
      <c r="G6295">
        <f t="shared" ca="1" si="183"/>
        <v>-2.5311882048544138E-2</v>
      </c>
    </row>
    <row r="6296" spans="6:7" x14ac:dyDescent="0.35">
      <c r="F6296">
        <v>6293</v>
      </c>
      <c r="G6296">
        <f t="shared" ca="1" si="183"/>
        <v>4.2162243553879653E-2</v>
      </c>
    </row>
    <row r="6297" spans="6:7" x14ac:dyDescent="0.35">
      <c r="F6297">
        <v>6294</v>
      </c>
      <c r="G6297">
        <f t="shared" ca="1" si="183"/>
        <v>2.551941260714936E-2</v>
      </c>
    </row>
    <row r="6298" spans="6:7" x14ac:dyDescent="0.35">
      <c r="F6298">
        <v>6295</v>
      </c>
      <c r="G6298">
        <f t="shared" ca="1" si="183"/>
        <v>8.6181689203338808E-4</v>
      </c>
    </row>
    <row r="6299" spans="6:7" x14ac:dyDescent="0.35">
      <c r="F6299">
        <v>6296</v>
      </c>
      <c r="G6299">
        <f t="shared" ca="1" si="183"/>
        <v>4.1737032576198096E-2</v>
      </c>
    </row>
    <row r="6300" spans="6:7" x14ac:dyDescent="0.35">
      <c r="F6300">
        <v>6297</v>
      </c>
      <c r="G6300">
        <f t="shared" ca="1" si="183"/>
        <v>7.6513486948334318E-3</v>
      </c>
    </row>
    <row r="6301" spans="6:7" x14ac:dyDescent="0.35">
      <c r="F6301">
        <v>6298</v>
      </c>
      <c r="G6301">
        <f t="shared" ca="1" si="183"/>
        <v>1.6359557986162933E-2</v>
      </c>
    </row>
    <row r="6302" spans="6:7" x14ac:dyDescent="0.35">
      <c r="F6302">
        <v>6299</v>
      </c>
      <c r="G6302">
        <f t="shared" ca="1" si="183"/>
        <v>4.1521183327978634E-2</v>
      </c>
    </row>
    <row r="6303" spans="6:7" x14ac:dyDescent="0.35">
      <c r="F6303">
        <v>6300</v>
      </c>
      <c r="G6303">
        <f t="shared" ca="1" si="183"/>
        <v>-1.2277817611002899E-2</v>
      </c>
    </row>
    <row r="6304" spans="6:7" x14ac:dyDescent="0.35">
      <c r="F6304">
        <v>6301</v>
      </c>
      <c r="G6304">
        <f t="shared" ca="1" si="183"/>
        <v>-1.4413123905491102E-2</v>
      </c>
    </row>
    <row r="6305" spans="6:7" x14ac:dyDescent="0.35">
      <c r="F6305">
        <v>6302</v>
      </c>
      <c r="G6305">
        <f t="shared" ca="1" si="183"/>
        <v>2.0064707282027836E-2</v>
      </c>
    </row>
    <row r="6306" spans="6:7" x14ac:dyDescent="0.35">
      <c r="F6306">
        <v>6303</v>
      </c>
      <c r="G6306">
        <f t="shared" ca="1" si="183"/>
        <v>5.2339514215004372E-2</v>
      </c>
    </row>
    <row r="6307" spans="6:7" x14ac:dyDescent="0.35">
      <c r="F6307">
        <v>6304</v>
      </c>
      <c r="G6307">
        <f t="shared" ca="1" si="183"/>
        <v>-2.4051363399847609E-2</v>
      </c>
    </row>
    <row r="6308" spans="6:7" x14ac:dyDescent="0.35">
      <c r="F6308">
        <v>6305</v>
      </c>
      <c r="G6308">
        <f t="shared" ca="1" si="183"/>
        <v>-1.9542569904452876E-2</v>
      </c>
    </row>
    <row r="6309" spans="6:7" x14ac:dyDescent="0.35">
      <c r="F6309">
        <v>6306</v>
      </c>
      <c r="G6309">
        <f t="shared" ca="1" si="183"/>
        <v>-1.4485659140105703E-2</v>
      </c>
    </row>
    <row r="6310" spans="6:7" x14ac:dyDescent="0.35">
      <c r="F6310">
        <v>6307</v>
      </c>
      <c r="G6310">
        <f t="shared" ca="1" si="183"/>
        <v>-1.1553091252760347E-2</v>
      </c>
    </row>
    <row r="6311" spans="6:7" x14ac:dyDescent="0.35">
      <c r="F6311">
        <v>6308</v>
      </c>
      <c r="G6311">
        <f t="shared" ca="1" si="183"/>
        <v>1.4813765677421918E-2</v>
      </c>
    </row>
    <row r="6312" spans="6:7" x14ac:dyDescent="0.35">
      <c r="F6312">
        <v>6309</v>
      </c>
      <c r="G6312">
        <f t="shared" ca="1" si="183"/>
        <v>3.1230746910067147E-2</v>
      </c>
    </row>
    <row r="6313" spans="6:7" x14ac:dyDescent="0.35">
      <c r="F6313">
        <v>6310</v>
      </c>
      <c r="G6313">
        <f t="shared" ca="1" si="183"/>
        <v>-9.9864222464025616E-3</v>
      </c>
    </row>
    <row r="6314" spans="6:7" x14ac:dyDescent="0.35">
      <c r="F6314">
        <v>6311</v>
      </c>
      <c r="G6314">
        <f t="shared" ca="1" si="183"/>
        <v>-3.1279200228497832E-2</v>
      </c>
    </row>
    <row r="6315" spans="6:7" x14ac:dyDescent="0.35">
      <c r="F6315">
        <v>6312</v>
      </c>
      <c r="G6315">
        <f t="shared" ca="1" si="183"/>
        <v>-1.6518212808401576E-2</v>
      </c>
    </row>
    <row r="6316" spans="6:7" x14ac:dyDescent="0.35">
      <c r="F6316">
        <v>6313</v>
      </c>
      <c r="G6316">
        <f t="shared" ca="1" si="183"/>
        <v>-8.3039613277191768E-3</v>
      </c>
    </row>
    <row r="6317" spans="6:7" x14ac:dyDescent="0.35">
      <c r="F6317">
        <v>6314</v>
      </c>
      <c r="G6317">
        <f t="shared" ca="1" si="183"/>
        <v>2.2341120516992365E-2</v>
      </c>
    </row>
    <row r="6318" spans="6:7" x14ac:dyDescent="0.35">
      <c r="F6318">
        <v>6315</v>
      </c>
      <c r="G6318">
        <f t="shared" ca="1" si="183"/>
        <v>1.5606221031133551E-2</v>
      </c>
    </row>
    <row r="6319" spans="6:7" x14ac:dyDescent="0.35">
      <c r="F6319">
        <v>6316</v>
      </c>
      <c r="G6319">
        <f t="shared" ca="1" si="183"/>
        <v>-1.8234498990693369E-2</v>
      </c>
    </row>
    <row r="6320" spans="6:7" x14ac:dyDescent="0.35">
      <c r="F6320">
        <v>6317</v>
      </c>
      <c r="G6320">
        <f t="shared" ca="1" si="183"/>
        <v>3.0031060395308989E-2</v>
      </c>
    </row>
    <row r="6321" spans="6:7" x14ac:dyDescent="0.35">
      <c r="F6321">
        <v>6318</v>
      </c>
      <c r="G6321">
        <f t="shared" ca="1" si="183"/>
        <v>-7.6416057512064244E-3</v>
      </c>
    </row>
    <row r="6322" spans="6:7" x14ac:dyDescent="0.35">
      <c r="F6322">
        <v>6319</v>
      </c>
      <c r="G6322">
        <f t="shared" ca="1" si="183"/>
        <v>2.3856766424119554E-4</v>
      </c>
    </row>
    <row r="6323" spans="6:7" x14ac:dyDescent="0.35">
      <c r="F6323">
        <v>6320</v>
      </c>
      <c r="G6323">
        <f t="shared" ca="1" si="183"/>
        <v>-3.1398344021257373E-2</v>
      </c>
    </row>
    <row r="6324" spans="6:7" x14ac:dyDescent="0.35">
      <c r="F6324">
        <v>6321</v>
      </c>
      <c r="G6324">
        <f t="shared" ca="1" si="183"/>
        <v>-2.6868577126376685E-3</v>
      </c>
    </row>
    <row r="6325" spans="6:7" x14ac:dyDescent="0.35">
      <c r="F6325">
        <v>6322</v>
      </c>
      <c r="G6325">
        <f t="shared" ca="1" si="183"/>
        <v>-2.582109300754876E-2</v>
      </c>
    </row>
    <row r="6326" spans="6:7" x14ac:dyDescent="0.35">
      <c r="F6326">
        <v>6323</v>
      </c>
      <c r="G6326">
        <f t="shared" ca="1" si="183"/>
        <v>2.2873410506424736E-2</v>
      </c>
    </row>
    <row r="6327" spans="6:7" x14ac:dyDescent="0.35">
      <c r="F6327">
        <v>6324</v>
      </c>
      <c r="G6327">
        <f t="shared" ca="1" si="183"/>
        <v>-5.3648427473367336E-4</v>
      </c>
    </row>
    <row r="6328" spans="6:7" x14ac:dyDescent="0.35">
      <c r="F6328">
        <v>6325</v>
      </c>
      <c r="G6328">
        <f t="shared" ca="1" si="183"/>
        <v>3.4150295785331373E-2</v>
      </c>
    </row>
    <row r="6329" spans="6:7" x14ac:dyDescent="0.35">
      <c r="F6329">
        <v>6326</v>
      </c>
      <c r="G6329">
        <f t="shared" ca="1" si="183"/>
        <v>2.6270990745942684E-2</v>
      </c>
    </row>
    <row r="6330" spans="6:7" x14ac:dyDescent="0.35">
      <c r="F6330">
        <v>6327</v>
      </c>
      <c r="G6330">
        <f t="shared" ca="1" si="183"/>
        <v>4.4791441931409576E-2</v>
      </c>
    </row>
    <row r="6331" spans="6:7" x14ac:dyDescent="0.35">
      <c r="F6331">
        <v>6328</v>
      </c>
      <c r="G6331">
        <f t="shared" ca="1" si="183"/>
        <v>-3.7938619427761305E-2</v>
      </c>
    </row>
    <row r="6332" spans="6:7" x14ac:dyDescent="0.35">
      <c r="F6332">
        <v>6329</v>
      </c>
      <c r="G6332">
        <f t="shared" ca="1" si="183"/>
        <v>-1.7401148213085436E-2</v>
      </c>
    </row>
    <row r="6333" spans="6:7" x14ac:dyDescent="0.35">
      <c r="F6333">
        <v>6330</v>
      </c>
      <c r="G6333">
        <f t="shared" ca="1" si="183"/>
        <v>5.4999533803648118E-3</v>
      </c>
    </row>
    <row r="6334" spans="6:7" x14ac:dyDescent="0.35">
      <c r="F6334">
        <v>6331</v>
      </c>
      <c r="G6334">
        <f t="shared" ca="1" si="183"/>
        <v>-4.5611328688738989E-2</v>
      </c>
    </row>
    <row r="6335" spans="6:7" x14ac:dyDescent="0.35">
      <c r="F6335">
        <v>6332</v>
      </c>
      <c r="G6335">
        <f t="shared" ca="1" si="183"/>
        <v>7.8545183494844774E-3</v>
      </c>
    </row>
    <row r="6336" spans="6:7" x14ac:dyDescent="0.35">
      <c r="F6336">
        <v>6333</v>
      </c>
      <c r="G6336">
        <f t="shared" ca="1" si="183"/>
        <v>7.9862665818646473E-3</v>
      </c>
    </row>
    <row r="6337" spans="6:7" x14ac:dyDescent="0.35">
      <c r="F6337">
        <v>6334</v>
      </c>
      <c r="G6337">
        <f t="shared" ca="1" si="183"/>
        <v>3.7309005234840854E-2</v>
      </c>
    </row>
    <row r="6338" spans="6:7" x14ac:dyDescent="0.35">
      <c r="F6338">
        <v>6335</v>
      </c>
      <c r="G6338">
        <f t="shared" ca="1" si="183"/>
        <v>-5.0151808387828636E-3</v>
      </c>
    </row>
    <row r="6339" spans="6:7" x14ac:dyDescent="0.35">
      <c r="F6339">
        <v>6336</v>
      </c>
      <c r="G6339">
        <f t="shared" ca="1" si="183"/>
        <v>3.0557058853335566E-3</v>
      </c>
    </row>
    <row r="6340" spans="6:7" x14ac:dyDescent="0.35">
      <c r="F6340">
        <v>6337</v>
      </c>
      <c r="G6340">
        <f t="shared" ca="1" si="183"/>
        <v>-3.4507370281697862E-2</v>
      </c>
    </row>
    <row r="6341" spans="6:7" x14ac:dyDescent="0.35">
      <c r="F6341">
        <v>6338</v>
      </c>
      <c r="G6341">
        <f t="shared" ref="G6341:G6404" ca="1" si="184">_xlfn.NORM.INV(RAND(),K$6,K$7)</f>
        <v>3.3592005045793599E-2</v>
      </c>
    </row>
    <row r="6342" spans="6:7" x14ac:dyDescent="0.35">
      <c r="F6342">
        <v>6339</v>
      </c>
      <c r="G6342">
        <f t="shared" ca="1" si="184"/>
        <v>4.4609779197972693E-3</v>
      </c>
    </row>
    <row r="6343" spans="6:7" x14ac:dyDescent="0.35">
      <c r="F6343">
        <v>6340</v>
      </c>
      <c r="G6343">
        <f t="shared" ca="1" si="184"/>
        <v>8.5730066020830373E-3</v>
      </c>
    </row>
    <row r="6344" spans="6:7" x14ac:dyDescent="0.35">
      <c r="F6344">
        <v>6341</v>
      </c>
      <c r="G6344">
        <f t="shared" ca="1" si="184"/>
        <v>-2.6279700420730433E-2</v>
      </c>
    </row>
    <row r="6345" spans="6:7" x14ac:dyDescent="0.35">
      <c r="F6345">
        <v>6342</v>
      </c>
      <c r="G6345">
        <f t="shared" ca="1" si="184"/>
        <v>2.5784057632466165E-2</v>
      </c>
    </row>
    <row r="6346" spans="6:7" x14ac:dyDescent="0.35">
      <c r="F6346">
        <v>6343</v>
      </c>
      <c r="G6346">
        <f t="shared" ca="1" si="184"/>
        <v>-3.3847093109628287E-2</v>
      </c>
    </row>
    <row r="6347" spans="6:7" x14ac:dyDescent="0.35">
      <c r="F6347">
        <v>6344</v>
      </c>
      <c r="G6347">
        <f t="shared" ca="1" si="184"/>
        <v>-6.1583443834279217E-2</v>
      </c>
    </row>
    <row r="6348" spans="6:7" x14ac:dyDescent="0.35">
      <c r="F6348">
        <v>6345</v>
      </c>
      <c r="G6348">
        <f t="shared" ca="1" si="184"/>
        <v>-1.7815290924875452E-2</v>
      </c>
    </row>
    <row r="6349" spans="6:7" x14ac:dyDescent="0.35">
      <c r="F6349">
        <v>6346</v>
      </c>
      <c r="G6349">
        <f t="shared" ca="1" si="184"/>
        <v>-2.4422645908545856E-2</v>
      </c>
    </row>
    <row r="6350" spans="6:7" x14ac:dyDescent="0.35">
      <c r="F6350">
        <v>6347</v>
      </c>
      <c r="G6350">
        <f t="shared" ca="1" si="184"/>
        <v>-5.6143889488371339E-2</v>
      </c>
    </row>
    <row r="6351" spans="6:7" x14ac:dyDescent="0.35">
      <c r="F6351">
        <v>6348</v>
      </c>
      <c r="G6351">
        <f t="shared" ca="1" si="184"/>
        <v>-7.9759668499190268E-3</v>
      </c>
    </row>
    <row r="6352" spans="6:7" x14ac:dyDescent="0.35">
      <c r="F6352">
        <v>6349</v>
      </c>
      <c r="G6352">
        <f t="shared" ca="1" si="184"/>
        <v>8.1894597711440319E-3</v>
      </c>
    </row>
    <row r="6353" spans="6:7" x14ac:dyDescent="0.35">
      <c r="F6353">
        <v>6350</v>
      </c>
      <c r="G6353">
        <f t="shared" ca="1" si="184"/>
        <v>4.8406355326557366E-3</v>
      </c>
    </row>
    <row r="6354" spans="6:7" x14ac:dyDescent="0.35">
      <c r="F6354">
        <v>6351</v>
      </c>
      <c r="G6354">
        <f t="shared" ca="1" si="184"/>
        <v>-2.3352094154791173E-2</v>
      </c>
    </row>
    <row r="6355" spans="6:7" x14ac:dyDescent="0.35">
      <c r="F6355">
        <v>6352</v>
      </c>
      <c r="G6355">
        <f t="shared" ca="1" si="184"/>
        <v>3.753252767635884E-3</v>
      </c>
    </row>
    <row r="6356" spans="6:7" x14ac:dyDescent="0.35">
      <c r="F6356">
        <v>6353</v>
      </c>
      <c r="G6356">
        <f t="shared" ca="1" si="184"/>
        <v>3.5101762707795817E-2</v>
      </c>
    </row>
    <row r="6357" spans="6:7" x14ac:dyDescent="0.35">
      <c r="F6357">
        <v>6354</v>
      </c>
      <c r="G6357">
        <f t="shared" ca="1" si="184"/>
        <v>8.2956642510618357E-3</v>
      </c>
    </row>
    <row r="6358" spans="6:7" x14ac:dyDescent="0.35">
      <c r="F6358">
        <v>6355</v>
      </c>
      <c r="G6358">
        <f t="shared" ca="1" si="184"/>
        <v>-7.6362692913217699E-3</v>
      </c>
    </row>
    <row r="6359" spans="6:7" x14ac:dyDescent="0.35">
      <c r="F6359">
        <v>6356</v>
      </c>
      <c r="G6359">
        <f t="shared" ca="1" si="184"/>
        <v>-2.4968581812239512E-2</v>
      </c>
    </row>
    <row r="6360" spans="6:7" x14ac:dyDescent="0.35">
      <c r="F6360">
        <v>6357</v>
      </c>
      <c r="G6360">
        <f t="shared" ca="1" si="184"/>
        <v>-1.039622904687996E-2</v>
      </c>
    </row>
    <row r="6361" spans="6:7" x14ac:dyDescent="0.35">
      <c r="F6361">
        <v>6358</v>
      </c>
      <c r="G6361">
        <f t="shared" ca="1" si="184"/>
        <v>-2.5230413715474759E-2</v>
      </c>
    </row>
    <row r="6362" spans="6:7" x14ac:dyDescent="0.35">
      <c r="F6362">
        <v>6359</v>
      </c>
      <c r="G6362">
        <f t="shared" ca="1" si="184"/>
        <v>5.6602159456316074E-3</v>
      </c>
    </row>
    <row r="6363" spans="6:7" x14ac:dyDescent="0.35">
      <c r="F6363">
        <v>6360</v>
      </c>
      <c r="G6363">
        <f t="shared" ca="1" si="184"/>
        <v>-1.465860430899605E-2</v>
      </c>
    </row>
    <row r="6364" spans="6:7" x14ac:dyDescent="0.35">
      <c r="F6364">
        <v>6361</v>
      </c>
      <c r="G6364">
        <f t="shared" ca="1" si="184"/>
        <v>3.1446363097433504E-2</v>
      </c>
    </row>
    <row r="6365" spans="6:7" x14ac:dyDescent="0.35">
      <c r="F6365">
        <v>6362</v>
      </c>
      <c r="G6365">
        <f t="shared" ca="1" si="184"/>
        <v>2.7042711945502937E-2</v>
      </c>
    </row>
    <row r="6366" spans="6:7" x14ac:dyDescent="0.35">
      <c r="F6366">
        <v>6363</v>
      </c>
      <c r="G6366">
        <f t="shared" ca="1" si="184"/>
        <v>-3.895099656358926E-2</v>
      </c>
    </row>
    <row r="6367" spans="6:7" x14ac:dyDescent="0.35">
      <c r="F6367">
        <v>6364</v>
      </c>
      <c r="G6367">
        <f t="shared" ca="1" si="184"/>
        <v>-1.1788666480058453E-2</v>
      </c>
    </row>
    <row r="6368" spans="6:7" x14ac:dyDescent="0.35">
      <c r="F6368">
        <v>6365</v>
      </c>
      <c r="G6368">
        <f t="shared" ca="1" si="184"/>
        <v>3.7021603859575057E-2</v>
      </c>
    </row>
    <row r="6369" spans="6:7" x14ac:dyDescent="0.35">
      <c r="F6369">
        <v>6366</v>
      </c>
      <c r="G6369">
        <f t="shared" ca="1" si="184"/>
        <v>-1.1774983792278525E-2</v>
      </c>
    </row>
    <row r="6370" spans="6:7" x14ac:dyDescent="0.35">
      <c r="F6370">
        <v>6367</v>
      </c>
      <c r="G6370">
        <f t="shared" ca="1" si="184"/>
        <v>-4.512246065498763E-2</v>
      </c>
    </row>
    <row r="6371" spans="6:7" x14ac:dyDescent="0.35">
      <c r="F6371">
        <v>6368</v>
      </c>
      <c r="G6371">
        <f t="shared" ca="1" si="184"/>
        <v>-1.798588665276013E-2</v>
      </c>
    </row>
    <row r="6372" spans="6:7" x14ac:dyDescent="0.35">
      <c r="F6372">
        <v>6369</v>
      </c>
      <c r="G6372">
        <f t="shared" ca="1" si="184"/>
        <v>4.6428761065963713E-2</v>
      </c>
    </row>
    <row r="6373" spans="6:7" x14ac:dyDescent="0.35">
      <c r="F6373">
        <v>6370</v>
      </c>
      <c r="G6373">
        <f t="shared" ca="1" si="184"/>
        <v>-8.6601720850017802E-4</v>
      </c>
    </row>
    <row r="6374" spans="6:7" x14ac:dyDescent="0.35">
      <c r="F6374">
        <v>6371</v>
      </c>
      <c r="G6374">
        <f t="shared" ca="1" si="184"/>
        <v>1.0073716084347331E-2</v>
      </c>
    </row>
    <row r="6375" spans="6:7" x14ac:dyDescent="0.35">
      <c r="F6375">
        <v>6372</v>
      </c>
      <c r="G6375">
        <f t="shared" ca="1" si="184"/>
        <v>-3.1789125645744383E-3</v>
      </c>
    </row>
    <row r="6376" spans="6:7" x14ac:dyDescent="0.35">
      <c r="F6376">
        <v>6373</v>
      </c>
      <c r="G6376">
        <f t="shared" ca="1" si="184"/>
        <v>6.8383546454009903E-2</v>
      </c>
    </row>
    <row r="6377" spans="6:7" x14ac:dyDescent="0.35">
      <c r="F6377">
        <v>6374</v>
      </c>
      <c r="G6377">
        <f t="shared" ca="1" si="184"/>
        <v>1.8094824661924115E-2</v>
      </c>
    </row>
    <row r="6378" spans="6:7" x14ac:dyDescent="0.35">
      <c r="F6378">
        <v>6375</v>
      </c>
      <c r="G6378">
        <f t="shared" ca="1" si="184"/>
        <v>4.2215942765219013E-3</v>
      </c>
    </row>
    <row r="6379" spans="6:7" x14ac:dyDescent="0.35">
      <c r="F6379">
        <v>6376</v>
      </c>
      <c r="G6379">
        <f t="shared" ca="1" si="184"/>
        <v>-4.2385842441042557E-2</v>
      </c>
    </row>
    <row r="6380" spans="6:7" x14ac:dyDescent="0.35">
      <c r="F6380">
        <v>6377</v>
      </c>
      <c r="G6380">
        <f t="shared" ca="1" si="184"/>
        <v>-3.0924379134281348E-2</v>
      </c>
    </row>
    <row r="6381" spans="6:7" x14ac:dyDescent="0.35">
      <c r="F6381">
        <v>6378</v>
      </c>
      <c r="G6381">
        <f t="shared" ca="1" si="184"/>
        <v>-5.538969593484315E-3</v>
      </c>
    </row>
    <row r="6382" spans="6:7" x14ac:dyDescent="0.35">
      <c r="F6382">
        <v>6379</v>
      </c>
      <c r="G6382">
        <f t="shared" ca="1" si="184"/>
        <v>4.9103387938094238E-3</v>
      </c>
    </row>
    <row r="6383" spans="6:7" x14ac:dyDescent="0.35">
      <c r="F6383">
        <v>6380</v>
      </c>
      <c r="G6383">
        <f t="shared" ca="1" si="184"/>
        <v>-2.8790461076947478E-3</v>
      </c>
    </row>
    <row r="6384" spans="6:7" x14ac:dyDescent="0.35">
      <c r="F6384">
        <v>6381</v>
      </c>
      <c r="G6384">
        <f t="shared" ca="1" si="184"/>
        <v>1.7916241763428864E-3</v>
      </c>
    </row>
    <row r="6385" spans="6:7" x14ac:dyDescent="0.35">
      <c r="F6385">
        <v>6382</v>
      </c>
      <c r="G6385">
        <f t="shared" ca="1" si="184"/>
        <v>-6.1837074238708812E-3</v>
      </c>
    </row>
    <row r="6386" spans="6:7" x14ac:dyDescent="0.35">
      <c r="F6386">
        <v>6383</v>
      </c>
      <c r="G6386">
        <f t="shared" ca="1" si="184"/>
        <v>3.1884511431582397E-3</v>
      </c>
    </row>
    <row r="6387" spans="6:7" x14ac:dyDescent="0.35">
      <c r="F6387">
        <v>6384</v>
      </c>
      <c r="G6387">
        <f t="shared" ca="1" si="184"/>
        <v>6.8563172944227802E-3</v>
      </c>
    </row>
    <row r="6388" spans="6:7" x14ac:dyDescent="0.35">
      <c r="F6388">
        <v>6385</v>
      </c>
      <c r="G6388">
        <f t="shared" ca="1" si="184"/>
        <v>8.6996590354800063E-3</v>
      </c>
    </row>
    <row r="6389" spans="6:7" x14ac:dyDescent="0.35">
      <c r="F6389">
        <v>6386</v>
      </c>
      <c r="G6389">
        <f t="shared" ca="1" si="184"/>
        <v>8.5466886245956011E-3</v>
      </c>
    </row>
    <row r="6390" spans="6:7" x14ac:dyDescent="0.35">
      <c r="F6390">
        <v>6387</v>
      </c>
      <c r="G6390">
        <f t="shared" ca="1" si="184"/>
        <v>1.18206043481842E-2</v>
      </c>
    </row>
    <row r="6391" spans="6:7" x14ac:dyDescent="0.35">
      <c r="F6391">
        <v>6388</v>
      </c>
      <c r="G6391">
        <f t="shared" ca="1" si="184"/>
        <v>9.2875096839335443E-4</v>
      </c>
    </row>
    <row r="6392" spans="6:7" x14ac:dyDescent="0.35">
      <c r="F6392">
        <v>6389</v>
      </c>
      <c r="G6392">
        <f t="shared" ca="1" si="184"/>
        <v>-4.5669687671197522E-2</v>
      </c>
    </row>
    <row r="6393" spans="6:7" x14ac:dyDescent="0.35">
      <c r="F6393">
        <v>6390</v>
      </c>
      <c r="G6393">
        <f t="shared" ca="1" si="184"/>
        <v>2.0146622048137039E-2</v>
      </c>
    </row>
    <row r="6394" spans="6:7" x14ac:dyDescent="0.35">
      <c r="F6394">
        <v>6391</v>
      </c>
      <c r="G6394">
        <f t="shared" ca="1" si="184"/>
        <v>-3.0425509887787038E-2</v>
      </c>
    </row>
    <row r="6395" spans="6:7" x14ac:dyDescent="0.35">
      <c r="F6395">
        <v>6392</v>
      </c>
      <c r="G6395">
        <f t="shared" ca="1" si="184"/>
        <v>2.1200807569362046E-2</v>
      </c>
    </row>
    <row r="6396" spans="6:7" x14ac:dyDescent="0.35">
      <c r="F6396">
        <v>6393</v>
      </c>
      <c r="G6396">
        <f t="shared" ca="1" si="184"/>
        <v>-1.6107818469538598E-2</v>
      </c>
    </row>
    <row r="6397" spans="6:7" x14ac:dyDescent="0.35">
      <c r="F6397">
        <v>6394</v>
      </c>
      <c r="G6397">
        <f t="shared" ca="1" si="184"/>
        <v>1.8955531511298709E-2</v>
      </c>
    </row>
    <row r="6398" spans="6:7" x14ac:dyDescent="0.35">
      <c r="F6398">
        <v>6395</v>
      </c>
      <c r="G6398">
        <f t="shared" ca="1" si="184"/>
        <v>5.2922376368847932E-4</v>
      </c>
    </row>
    <row r="6399" spans="6:7" x14ac:dyDescent="0.35">
      <c r="F6399">
        <v>6396</v>
      </c>
      <c r="G6399">
        <f t="shared" ca="1" si="184"/>
        <v>-6.3489661849949461E-2</v>
      </c>
    </row>
    <row r="6400" spans="6:7" x14ac:dyDescent="0.35">
      <c r="F6400">
        <v>6397</v>
      </c>
      <c r="G6400">
        <f t="shared" ca="1" si="184"/>
        <v>-2.8465554971505512E-2</v>
      </c>
    </row>
    <row r="6401" spans="6:7" x14ac:dyDescent="0.35">
      <c r="F6401">
        <v>6398</v>
      </c>
      <c r="G6401">
        <f t="shared" ca="1" si="184"/>
        <v>-1.1527184279543549E-2</v>
      </c>
    </row>
    <row r="6402" spans="6:7" x14ac:dyDescent="0.35">
      <c r="F6402">
        <v>6399</v>
      </c>
      <c r="G6402">
        <f t="shared" ca="1" si="184"/>
        <v>-2.0001602443860522E-2</v>
      </c>
    </row>
    <row r="6403" spans="6:7" x14ac:dyDescent="0.35">
      <c r="F6403">
        <v>6400</v>
      </c>
      <c r="G6403">
        <f t="shared" ca="1" si="184"/>
        <v>-8.1548495640648474E-3</v>
      </c>
    </row>
    <row r="6404" spans="6:7" x14ac:dyDescent="0.35">
      <c r="F6404">
        <v>6401</v>
      </c>
      <c r="G6404">
        <f t="shared" ca="1" si="184"/>
        <v>3.197031864540268E-2</v>
      </c>
    </row>
    <row r="6405" spans="6:7" x14ac:dyDescent="0.35">
      <c r="F6405">
        <v>6402</v>
      </c>
      <c r="G6405">
        <f t="shared" ref="G6405:G6468" ca="1" si="185">_xlfn.NORM.INV(RAND(),K$6,K$7)</f>
        <v>3.8967989182730332E-2</v>
      </c>
    </row>
    <row r="6406" spans="6:7" x14ac:dyDescent="0.35">
      <c r="F6406">
        <v>6403</v>
      </c>
      <c r="G6406">
        <f t="shared" ca="1" si="185"/>
        <v>-6.8965128520898505E-3</v>
      </c>
    </row>
    <row r="6407" spans="6:7" x14ac:dyDescent="0.35">
      <c r="F6407">
        <v>6404</v>
      </c>
      <c r="G6407">
        <f t="shared" ca="1" si="185"/>
        <v>2.1951759662294556E-3</v>
      </c>
    </row>
    <row r="6408" spans="6:7" x14ac:dyDescent="0.35">
      <c r="F6408">
        <v>6405</v>
      </c>
      <c r="G6408">
        <f t="shared" ca="1" si="185"/>
        <v>4.0684816138260256E-2</v>
      </c>
    </row>
    <row r="6409" spans="6:7" x14ac:dyDescent="0.35">
      <c r="F6409">
        <v>6406</v>
      </c>
      <c r="G6409">
        <f t="shared" ca="1" si="185"/>
        <v>1.003061376660295E-2</v>
      </c>
    </row>
    <row r="6410" spans="6:7" x14ac:dyDescent="0.35">
      <c r="F6410">
        <v>6407</v>
      </c>
      <c r="G6410">
        <f t="shared" ca="1" si="185"/>
        <v>8.6060130125264166E-3</v>
      </c>
    </row>
    <row r="6411" spans="6:7" x14ac:dyDescent="0.35">
      <c r="F6411">
        <v>6408</v>
      </c>
      <c r="G6411">
        <f t="shared" ca="1" si="185"/>
        <v>6.046785689756526E-3</v>
      </c>
    </row>
    <row r="6412" spans="6:7" x14ac:dyDescent="0.35">
      <c r="F6412">
        <v>6409</v>
      </c>
      <c r="G6412">
        <f t="shared" ca="1" si="185"/>
        <v>-5.6406775270739329E-4</v>
      </c>
    </row>
    <row r="6413" spans="6:7" x14ac:dyDescent="0.35">
      <c r="F6413">
        <v>6410</v>
      </c>
      <c r="G6413">
        <f t="shared" ca="1" si="185"/>
        <v>4.5509112131378308E-2</v>
      </c>
    </row>
    <row r="6414" spans="6:7" x14ac:dyDescent="0.35">
      <c r="F6414">
        <v>6411</v>
      </c>
      <c r="G6414">
        <f t="shared" ca="1" si="185"/>
        <v>-4.3240126396426365E-4</v>
      </c>
    </row>
    <row r="6415" spans="6:7" x14ac:dyDescent="0.35">
      <c r="F6415">
        <v>6412</v>
      </c>
      <c r="G6415">
        <f t="shared" ca="1" si="185"/>
        <v>1.426446224851303E-3</v>
      </c>
    </row>
    <row r="6416" spans="6:7" x14ac:dyDescent="0.35">
      <c r="F6416">
        <v>6413</v>
      </c>
      <c r="G6416">
        <f t="shared" ca="1" si="185"/>
        <v>-2.727026303714716E-2</v>
      </c>
    </row>
    <row r="6417" spans="6:7" x14ac:dyDescent="0.35">
      <c r="F6417">
        <v>6414</v>
      </c>
      <c r="G6417">
        <f t="shared" ca="1" si="185"/>
        <v>-2.4655294111604126E-2</v>
      </c>
    </row>
    <row r="6418" spans="6:7" x14ac:dyDescent="0.35">
      <c r="F6418">
        <v>6415</v>
      </c>
      <c r="G6418">
        <f t="shared" ca="1" si="185"/>
        <v>4.2477273717342022E-3</v>
      </c>
    </row>
    <row r="6419" spans="6:7" x14ac:dyDescent="0.35">
      <c r="F6419">
        <v>6416</v>
      </c>
      <c r="G6419">
        <f t="shared" ca="1" si="185"/>
        <v>1.1290896765982966E-2</v>
      </c>
    </row>
    <row r="6420" spans="6:7" x14ac:dyDescent="0.35">
      <c r="F6420">
        <v>6417</v>
      </c>
      <c r="G6420">
        <f t="shared" ca="1" si="185"/>
        <v>-2.9891802098196706E-2</v>
      </c>
    </row>
    <row r="6421" spans="6:7" x14ac:dyDescent="0.35">
      <c r="F6421">
        <v>6418</v>
      </c>
      <c r="G6421">
        <f t="shared" ca="1" si="185"/>
        <v>1.6898134854082463E-2</v>
      </c>
    </row>
    <row r="6422" spans="6:7" x14ac:dyDescent="0.35">
      <c r="F6422">
        <v>6419</v>
      </c>
      <c r="G6422">
        <f t="shared" ca="1" si="185"/>
        <v>2.9993513622846146E-2</v>
      </c>
    </row>
    <row r="6423" spans="6:7" x14ac:dyDescent="0.35">
      <c r="F6423">
        <v>6420</v>
      </c>
      <c r="G6423">
        <f t="shared" ca="1" si="185"/>
        <v>-1.0435003778588066E-2</v>
      </c>
    </row>
    <row r="6424" spans="6:7" x14ac:dyDescent="0.35">
      <c r="F6424">
        <v>6421</v>
      </c>
      <c r="G6424">
        <f t="shared" ca="1" si="185"/>
        <v>1.0362126313055454E-2</v>
      </c>
    </row>
    <row r="6425" spans="6:7" x14ac:dyDescent="0.35">
      <c r="F6425">
        <v>6422</v>
      </c>
      <c r="G6425">
        <f t="shared" ca="1" si="185"/>
        <v>-3.0106253161127302E-2</v>
      </c>
    </row>
    <row r="6426" spans="6:7" x14ac:dyDescent="0.35">
      <c r="F6426">
        <v>6423</v>
      </c>
      <c r="G6426">
        <f t="shared" ca="1" si="185"/>
        <v>-1.0726215724816003E-2</v>
      </c>
    </row>
    <row r="6427" spans="6:7" x14ac:dyDescent="0.35">
      <c r="F6427">
        <v>6424</v>
      </c>
      <c r="G6427">
        <f t="shared" ca="1" si="185"/>
        <v>2.9190414303017134E-2</v>
      </c>
    </row>
    <row r="6428" spans="6:7" x14ac:dyDescent="0.35">
      <c r="F6428">
        <v>6425</v>
      </c>
      <c r="G6428">
        <f t="shared" ca="1" si="185"/>
        <v>-7.0509295769333916E-2</v>
      </c>
    </row>
    <row r="6429" spans="6:7" x14ac:dyDescent="0.35">
      <c r="F6429">
        <v>6426</v>
      </c>
      <c r="G6429">
        <f t="shared" ca="1" si="185"/>
        <v>-1.3940371532370563E-2</v>
      </c>
    </row>
    <row r="6430" spans="6:7" x14ac:dyDescent="0.35">
      <c r="F6430">
        <v>6427</v>
      </c>
      <c r="G6430">
        <f t="shared" ca="1" si="185"/>
        <v>2.5920624497021202E-2</v>
      </c>
    </row>
    <row r="6431" spans="6:7" x14ac:dyDescent="0.35">
      <c r="F6431">
        <v>6428</v>
      </c>
      <c r="G6431">
        <f t="shared" ca="1" si="185"/>
        <v>2.6178635083056187E-3</v>
      </c>
    </row>
    <row r="6432" spans="6:7" x14ac:dyDescent="0.35">
      <c r="F6432">
        <v>6429</v>
      </c>
      <c r="G6432">
        <f t="shared" ca="1" si="185"/>
        <v>-5.4883037638577218E-3</v>
      </c>
    </row>
    <row r="6433" spans="6:7" x14ac:dyDescent="0.35">
      <c r="F6433">
        <v>6430</v>
      </c>
      <c r="G6433">
        <f t="shared" ca="1" si="185"/>
        <v>-2.4935308667495354E-2</v>
      </c>
    </row>
    <row r="6434" spans="6:7" x14ac:dyDescent="0.35">
      <c r="F6434">
        <v>6431</v>
      </c>
      <c r="G6434">
        <f t="shared" ca="1" si="185"/>
        <v>-1.6953953514024463E-2</v>
      </c>
    </row>
    <row r="6435" spans="6:7" x14ac:dyDescent="0.35">
      <c r="F6435">
        <v>6432</v>
      </c>
      <c r="G6435">
        <f t="shared" ca="1" si="185"/>
        <v>-3.7556359516994634E-3</v>
      </c>
    </row>
    <row r="6436" spans="6:7" x14ac:dyDescent="0.35">
      <c r="F6436">
        <v>6433</v>
      </c>
      <c r="G6436">
        <f t="shared" ca="1" si="185"/>
        <v>-4.0740839516691295E-2</v>
      </c>
    </row>
    <row r="6437" spans="6:7" x14ac:dyDescent="0.35">
      <c r="F6437">
        <v>6434</v>
      </c>
      <c r="G6437">
        <f t="shared" ca="1" si="185"/>
        <v>-3.747900765931169E-2</v>
      </c>
    </row>
    <row r="6438" spans="6:7" x14ac:dyDescent="0.35">
      <c r="F6438">
        <v>6435</v>
      </c>
      <c r="G6438">
        <f t="shared" ca="1" si="185"/>
        <v>6.3748478295138952E-2</v>
      </c>
    </row>
    <row r="6439" spans="6:7" x14ac:dyDescent="0.35">
      <c r="F6439">
        <v>6436</v>
      </c>
      <c r="G6439">
        <f t="shared" ca="1" si="185"/>
        <v>4.792916566354697E-3</v>
      </c>
    </row>
    <row r="6440" spans="6:7" x14ac:dyDescent="0.35">
      <c r="F6440">
        <v>6437</v>
      </c>
      <c r="G6440">
        <f t="shared" ca="1" si="185"/>
        <v>-4.7846197143306596E-2</v>
      </c>
    </row>
    <row r="6441" spans="6:7" x14ac:dyDescent="0.35">
      <c r="F6441">
        <v>6438</v>
      </c>
      <c r="G6441">
        <f t="shared" ca="1" si="185"/>
        <v>-5.075702642443101E-3</v>
      </c>
    </row>
    <row r="6442" spans="6:7" x14ac:dyDescent="0.35">
      <c r="F6442">
        <v>6439</v>
      </c>
      <c r="G6442">
        <f t="shared" ca="1" si="185"/>
        <v>1.2761581402011717E-2</v>
      </c>
    </row>
    <row r="6443" spans="6:7" x14ac:dyDescent="0.35">
      <c r="F6443">
        <v>6440</v>
      </c>
      <c r="G6443">
        <f t="shared" ca="1" si="185"/>
        <v>8.9159742081640625E-3</v>
      </c>
    </row>
    <row r="6444" spans="6:7" x14ac:dyDescent="0.35">
      <c r="F6444">
        <v>6441</v>
      </c>
      <c r="G6444">
        <f t="shared" ca="1" si="185"/>
        <v>-6.7591414888149171E-3</v>
      </c>
    </row>
    <row r="6445" spans="6:7" x14ac:dyDescent="0.35">
      <c r="F6445">
        <v>6442</v>
      </c>
      <c r="G6445">
        <f t="shared" ca="1" si="185"/>
        <v>-1.5380604767589599E-2</v>
      </c>
    </row>
    <row r="6446" spans="6:7" x14ac:dyDescent="0.35">
      <c r="F6446">
        <v>6443</v>
      </c>
      <c r="G6446">
        <f t="shared" ca="1" si="185"/>
        <v>-3.724517274309844E-3</v>
      </c>
    </row>
    <row r="6447" spans="6:7" x14ac:dyDescent="0.35">
      <c r="F6447">
        <v>6444</v>
      </c>
      <c r="G6447">
        <f t="shared" ca="1" si="185"/>
        <v>6.0146777261981584E-3</v>
      </c>
    </row>
    <row r="6448" spans="6:7" x14ac:dyDescent="0.35">
      <c r="F6448">
        <v>6445</v>
      </c>
      <c r="G6448">
        <f t="shared" ca="1" si="185"/>
        <v>5.1957418236981689E-3</v>
      </c>
    </row>
    <row r="6449" spans="6:7" x14ac:dyDescent="0.35">
      <c r="F6449">
        <v>6446</v>
      </c>
      <c r="G6449">
        <f t="shared" ca="1" si="185"/>
        <v>3.2629652366027259E-2</v>
      </c>
    </row>
    <row r="6450" spans="6:7" x14ac:dyDescent="0.35">
      <c r="F6450">
        <v>6447</v>
      </c>
      <c r="G6450">
        <f t="shared" ca="1" si="185"/>
        <v>-4.4977688024615227E-5</v>
      </c>
    </row>
    <row r="6451" spans="6:7" x14ac:dyDescent="0.35">
      <c r="F6451">
        <v>6448</v>
      </c>
      <c r="G6451">
        <f t="shared" ca="1" si="185"/>
        <v>1.6819224046642166E-3</v>
      </c>
    </row>
    <row r="6452" spans="6:7" x14ac:dyDescent="0.35">
      <c r="F6452">
        <v>6449</v>
      </c>
      <c r="G6452">
        <f t="shared" ca="1" si="185"/>
        <v>-3.0554565987637051E-2</v>
      </c>
    </row>
    <row r="6453" spans="6:7" x14ac:dyDescent="0.35">
      <c r="F6453">
        <v>6450</v>
      </c>
      <c r="G6453">
        <f t="shared" ca="1" si="185"/>
        <v>-9.8822953908683092E-3</v>
      </c>
    </row>
    <row r="6454" spans="6:7" x14ac:dyDescent="0.35">
      <c r="F6454">
        <v>6451</v>
      </c>
      <c r="G6454">
        <f t="shared" ca="1" si="185"/>
        <v>-2.3951460084807728E-2</v>
      </c>
    </row>
    <row r="6455" spans="6:7" x14ac:dyDescent="0.35">
      <c r="F6455">
        <v>6452</v>
      </c>
      <c r="G6455">
        <f t="shared" ca="1" si="185"/>
        <v>-1.9404219468370926E-2</v>
      </c>
    </row>
    <row r="6456" spans="6:7" x14ac:dyDescent="0.35">
      <c r="F6456">
        <v>6453</v>
      </c>
      <c r="G6456">
        <f t="shared" ca="1" si="185"/>
        <v>1.2861154822196064E-2</v>
      </c>
    </row>
    <row r="6457" spans="6:7" x14ac:dyDescent="0.35">
      <c r="F6457">
        <v>6454</v>
      </c>
      <c r="G6457">
        <f t="shared" ca="1" si="185"/>
        <v>2.7523210096292616E-2</v>
      </c>
    </row>
    <row r="6458" spans="6:7" x14ac:dyDescent="0.35">
      <c r="F6458">
        <v>6455</v>
      </c>
      <c r="G6458">
        <f t="shared" ca="1" si="185"/>
        <v>-2.4870586020370452E-2</v>
      </c>
    </row>
    <row r="6459" spans="6:7" x14ac:dyDescent="0.35">
      <c r="F6459">
        <v>6456</v>
      </c>
      <c r="G6459">
        <f t="shared" ca="1" si="185"/>
        <v>-2.0628669153373809E-2</v>
      </c>
    </row>
    <row r="6460" spans="6:7" x14ac:dyDescent="0.35">
      <c r="F6460">
        <v>6457</v>
      </c>
      <c r="G6460">
        <f t="shared" ca="1" si="185"/>
        <v>-4.5283785830358561E-3</v>
      </c>
    </row>
    <row r="6461" spans="6:7" x14ac:dyDescent="0.35">
      <c r="F6461">
        <v>6458</v>
      </c>
      <c r="G6461">
        <f t="shared" ca="1" si="185"/>
        <v>2.4728156203646667E-2</v>
      </c>
    </row>
    <row r="6462" spans="6:7" x14ac:dyDescent="0.35">
      <c r="F6462">
        <v>6459</v>
      </c>
      <c r="G6462">
        <f t="shared" ca="1" si="185"/>
        <v>-1.3463132425138106E-2</v>
      </c>
    </row>
    <row r="6463" spans="6:7" x14ac:dyDescent="0.35">
      <c r="F6463">
        <v>6460</v>
      </c>
      <c r="G6463">
        <f t="shared" ca="1" si="185"/>
        <v>1.0772580084668868E-2</v>
      </c>
    </row>
    <row r="6464" spans="6:7" x14ac:dyDescent="0.35">
      <c r="F6464">
        <v>6461</v>
      </c>
      <c r="G6464">
        <f t="shared" ca="1" si="185"/>
        <v>-6.2253177383007792E-3</v>
      </c>
    </row>
    <row r="6465" spans="6:7" x14ac:dyDescent="0.35">
      <c r="F6465">
        <v>6462</v>
      </c>
      <c r="G6465">
        <f t="shared" ca="1" si="185"/>
        <v>-1.0073108881664839E-2</v>
      </c>
    </row>
    <row r="6466" spans="6:7" x14ac:dyDescent="0.35">
      <c r="F6466">
        <v>6463</v>
      </c>
      <c r="G6466">
        <f t="shared" ca="1" si="185"/>
        <v>-2.2112042268224517E-2</v>
      </c>
    </row>
    <row r="6467" spans="6:7" x14ac:dyDescent="0.35">
      <c r="F6467">
        <v>6464</v>
      </c>
      <c r="G6467">
        <f t="shared" ca="1" si="185"/>
        <v>1.4297132688854159E-3</v>
      </c>
    </row>
    <row r="6468" spans="6:7" x14ac:dyDescent="0.35">
      <c r="F6468">
        <v>6465</v>
      </c>
      <c r="G6468">
        <f t="shared" ca="1" si="185"/>
        <v>1.2957902168714555E-2</v>
      </c>
    </row>
    <row r="6469" spans="6:7" x14ac:dyDescent="0.35">
      <c r="F6469">
        <v>6466</v>
      </c>
      <c r="G6469">
        <f t="shared" ref="G6469:G6532" ca="1" si="186">_xlfn.NORM.INV(RAND(),K$6,K$7)</f>
        <v>2.3097144956834539E-2</v>
      </c>
    </row>
    <row r="6470" spans="6:7" x14ac:dyDescent="0.35">
      <c r="F6470">
        <v>6467</v>
      </c>
      <c r="G6470">
        <f t="shared" ca="1" si="186"/>
        <v>3.4549597025131183E-2</v>
      </c>
    </row>
    <row r="6471" spans="6:7" x14ac:dyDescent="0.35">
      <c r="F6471">
        <v>6468</v>
      </c>
      <c r="G6471">
        <f t="shared" ca="1" si="186"/>
        <v>7.8698808189184098E-3</v>
      </c>
    </row>
    <row r="6472" spans="6:7" x14ac:dyDescent="0.35">
      <c r="F6472">
        <v>6469</v>
      </c>
      <c r="G6472">
        <f t="shared" ca="1" si="186"/>
        <v>-1.6366311802947123E-2</v>
      </c>
    </row>
    <row r="6473" spans="6:7" x14ac:dyDescent="0.35">
      <c r="F6473">
        <v>6470</v>
      </c>
      <c r="G6473">
        <f t="shared" ca="1" si="186"/>
        <v>-2.4678030515249985E-2</v>
      </c>
    </row>
    <row r="6474" spans="6:7" x14ac:dyDescent="0.35">
      <c r="F6474">
        <v>6471</v>
      </c>
      <c r="G6474">
        <f t="shared" ca="1" si="186"/>
        <v>9.0615974844096142E-3</v>
      </c>
    </row>
    <row r="6475" spans="6:7" x14ac:dyDescent="0.35">
      <c r="F6475">
        <v>6472</v>
      </c>
      <c r="G6475">
        <f t="shared" ca="1" si="186"/>
        <v>2.5548893166060321E-2</v>
      </c>
    </row>
    <row r="6476" spans="6:7" x14ac:dyDescent="0.35">
      <c r="F6476">
        <v>6473</v>
      </c>
      <c r="G6476">
        <f t="shared" ca="1" si="186"/>
        <v>1.2484006281165796E-2</v>
      </c>
    </row>
    <row r="6477" spans="6:7" x14ac:dyDescent="0.35">
      <c r="F6477">
        <v>6474</v>
      </c>
      <c r="G6477">
        <f t="shared" ca="1" si="186"/>
        <v>-1.0612616029470421E-2</v>
      </c>
    </row>
    <row r="6478" spans="6:7" x14ac:dyDescent="0.35">
      <c r="F6478">
        <v>6475</v>
      </c>
      <c r="G6478">
        <f t="shared" ca="1" si="186"/>
        <v>2.4973816326630129E-2</v>
      </c>
    </row>
    <row r="6479" spans="6:7" x14ac:dyDescent="0.35">
      <c r="F6479">
        <v>6476</v>
      </c>
      <c r="G6479">
        <f t="shared" ca="1" si="186"/>
        <v>-5.1068960781184156E-2</v>
      </c>
    </row>
    <row r="6480" spans="6:7" x14ac:dyDescent="0.35">
      <c r="F6480">
        <v>6477</v>
      </c>
      <c r="G6480">
        <f t="shared" ca="1" si="186"/>
        <v>-4.1708624006465515E-2</v>
      </c>
    </row>
    <row r="6481" spans="6:7" x14ac:dyDescent="0.35">
      <c r="F6481">
        <v>6478</v>
      </c>
      <c r="G6481">
        <f t="shared" ca="1" si="186"/>
        <v>3.5033288896457113E-2</v>
      </c>
    </row>
    <row r="6482" spans="6:7" x14ac:dyDescent="0.35">
      <c r="F6482">
        <v>6479</v>
      </c>
      <c r="G6482">
        <f t="shared" ca="1" si="186"/>
        <v>1.9040594031243471E-2</v>
      </c>
    </row>
    <row r="6483" spans="6:7" x14ac:dyDescent="0.35">
      <c r="F6483">
        <v>6480</v>
      </c>
      <c r="G6483">
        <f t="shared" ca="1" si="186"/>
        <v>2.0866238132409006E-2</v>
      </c>
    </row>
    <row r="6484" spans="6:7" x14ac:dyDescent="0.35">
      <c r="F6484">
        <v>6481</v>
      </c>
      <c r="G6484">
        <f t="shared" ca="1" si="186"/>
        <v>5.9582588751268074E-2</v>
      </c>
    </row>
    <row r="6485" spans="6:7" x14ac:dyDescent="0.35">
      <c r="F6485">
        <v>6482</v>
      </c>
      <c r="G6485">
        <f t="shared" ca="1" si="186"/>
        <v>-9.6079836353057928E-3</v>
      </c>
    </row>
    <row r="6486" spans="6:7" x14ac:dyDescent="0.35">
      <c r="F6486">
        <v>6483</v>
      </c>
      <c r="G6486">
        <f t="shared" ca="1" si="186"/>
        <v>7.2743597980323912E-3</v>
      </c>
    </row>
    <row r="6487" spans="6:7" x14ac:dyDescent="0.35">
      <c r="F6487">
        <v>6484</v>
      </c>
      <c r="G6487">
        <f t="shared" ca="1" si="186"/>
        <v>-3.0649068683883838E-3</v>
      </c>
    </row>
    <row r="6488" spans="6:7" x14ac:dyDescent="0.35">
      <c r="F6488">
        <v>6485</v>
      </c>
      <c r="G6488">
        <f t="shared" ca="1" si="186"/>
        <v>2.0127139609446214E-2</v>
      </c>
    </row>
    <row r="6489" spans="6:7" x14ac:dyDescent="0.35">
      <c r="F6489">
        <v>6486</v>
      </c>
      <c r="G6489">
        <f t="shared" ca="1" si="186"/>
        <v>5.005841518396717E-2</v>
      </c>
    </row>
    <row r="6490" spans="6:7" x14ac:dyDescent="0.35">
      <c r="F6490">
        <v>6487</v>
      </c>
      <c r="G6490">
        <f t="shared" ca="1" si="186"/>
        <v>6.6515774604040151E-2</v>
      </c>
    </row>
    <row r="6491" spans="6:7" x14ac:dyDescent="0.35">
      <c r="F6491">
        <v>6488</v>
      </c>
      <c r="G6491">
        <f t="shared" ca="1" si="186"/>
        <v>-7.0322506255833372E-3</v>
      </c>
    </row>
    <row r="6492" spans="6:7" x14ac:dyDescent="0.35">
      <c r="F6492">
        <v>6489</v>
      </c>
      <c r="G6492">
        <f t="shared" ca="1" si="186"/>
        <v>-5.6611194575648962E-4</v>
      </c>
    </row>
    <row r="6493" spans="6:7" x14ac:dyDescent="0.35">
      <c r="F6493">
        <v>6490</v>
      </c>
      <c r="G6493">
        <f t="shared" ca="1" si="186"/>
        <v>-7.9216803135644775E-2</v>
      </c>
    </row>
    <row r="6494" spans="6:7" x14ac:dyDescent="0.35">
      <c r="F6494">
        <v>6491</v>
      </c>
      <c r="G6494">
        <f t="shared" ca="1" si="186"/>
        <v>7.5841977416598091E-3</v>
      </c>
    </row>
    <row r="6495" spans="6:7" x14ac:dyDescent="0.35">
      <c r="F6495">
        <v>6492</v>
      </c>
      <c r="G6495">
        <f t="shared" ca="1" si="186"/>
        <v>-2.9636202789889925E-2</v>
      </c>
    </row>
    <row r="6496" spans="6:7" x14ac:dyDescent="0.35">
      <c r="F6496">
        <v>6493</v>
      </c>
      <c r="G6496">
        <f t="shared" ca="1" si="186"/>
        <v>-1.5465407151963435E-2</v>
      </c>
    </row>
    <row r="6497" spans="6:7" x14ac:dyDescent="0.35">
      <c r="F6497">
        <v>6494</v>
      </c>
      <c r="G6497">
        <f t="shared" ca="1" si="186"/>
        <v>2.9200183402947014E-2</v>
      </c>
    </row>
    <row r="6498" spans="6:7" x14ac:dyDescent="0.35">
      <c r="F6498">
        <v>6495</v>
      </c>
      <c r="G6498">
        <f t="shared" ca="1" si="186"/>
        <v>3.9812327709263066E-2</v>
      </c>
    </row>
    <row r="6499" spans="6:7" x14ac:dyDescent="0.35">
      <c r="F6499">
        <v>6496</v>
      </c>
      <c r="G6499">
        <f t="shared" ca="1" si="186"/>
        <v>-5.7494309771848065E-2</v>
      </c>
    </row>
    <row r="6500" spans="6:7" x14ac:dyDescent="0.35">
      <c r="F6500">
        <v>6497</v>
      </c>
      <c r="G6500">
        <f t="shared" ca="1" si="186"/>
        <v>-6.390163967468724E-3</v>
      </c>
    </row>
    <row r="6501" spans="6:7" x14ac:dyDescent="0.35">
      <c r="F6501">
        <v>6498</v>
      </c>
      <c r="G6501">
        <f t="shared" ca="1" si="186"/>
        <v>6.3375929808860282E-2</v>
      </c>
    </row>
    <row r="6502" spans="6:7" x14ac:dyDescent="0.35">
      <c r="F6502">
        <v>6499</v>
      </c>
      <c r="G6502">
        <f t="shared" ca="1" si="186"/>
        <v>1.8022968219569897E-2</v>
      </c>
    </row>
    <row r="6503" spans="6:7" x14ac:dyDescent="0.35">
      <c r="F6503">
        <v>6500</v>
      </c>
      <c r="G6503">
        <f t="shared" ca="1" si="186"/>
        <v>4.5071121026004572E-2</v>
      </c>
    </row>
    <row r="6504" spans="6:7" x14ac:dyDescent="0.35">
      <c r="F6504">
        <v>6501</v>
      </c>
      <c r="G6504">
        <f t="shared" ca="1" si="186"/>
        <v>2.8702411384665484E-2</v>
      </c>
    </row>
    <row r="6505" spans="6:7" x14ac:dyDescent="0.35">
      <c r="F6505">
        <v>6502</v>
      </c>
      <c r="G6505">
        <f t="shared" ca="1" si="186"/>
        <v>1.7085418597691401E-2</v>
      </c>
    </row>
    <row r="6506" spans="6:7" x14ac:dyDescent="0.35">
      <c r="F6506">
        <v>6503</v>
      </c>
      <c r="G6506">
        <f t="shared" ca="1" si="186"/>
        <v>-4.493291464340203E-2</v>
      </c>
    </row>
    <row r="6507" spans="6:7" x14ac:dyDescent="0.35">
      <c r="F6507">
        <v>6504</v>
      </c>
      <c r="G6507">
        <f t="shared" ca="1" si="186"/>
        <v>-1.7689404066944185E-2</v>
      </c>
    </row>
    <row r="6508" spans="6:7" x14ac:dyDescent="0.35">
      <c r="F6508">
        <v>6505</v>
      </c>
      <c r="G6508">
        <f t="shared" ca="1" si="186"/>
        <v>-1.9298234056337033E-2</v>
      </c>
    </row>
    <row r="6509" spans="6:7" x14ac:dyDescent="0.35">
      <c r="F6509">
        <v>6506</v>
      </c>
      <c r="G6509">
        <f t="shared" ca="1" si="186"/>
        <v>2.9199691284185928E-2</v>
      </c>
    </row>
    <row r="6510" spans="6:7" x14ac:dyDescent="0.35">
      <c r="F6510">
        <v>6507</v>
      </c>
      <c r="G6510">
        <f t="shared" ca="1" si="186"/>
        <v>-5.1157549797396167E-2</v>
      </c>
    </row>
    <row r="6511" spans="6:7" x14ac:dyDescent="0.35">
      <c r="F6511">
        <v>6508</v>
      </c>
      <c r="G6511">
        <f t="shared" ca="1" si="186"/>
        <v>-4.7695620792504716E-2</v>
      </c>
    </row>
    <row r="6512" spans="6:7" x14ac:dyDescent="0.35">
      <c r="F6512">
        <v>6509</v>
      </c>
      <c r="G6512">
        <f t="shared" ca="1" si="186"/>
        <v>-5.9359847696629671E-2</v>
      </c>
    </row>
    <row r="6513" spans="6:7" x14ac:dyDescent="0.35">
      <c r="F6513">
        <v>6510</v>
      </c>
      <c r="G6513">
        <f t="shared" ca="1" si="186"/>
        <v>-3.7955565013686535E-3</v>
      </c>
    </row>
    <row r="6514" spans="6:7" x14ac:dyDescent="0.35">
      <c r="F6514">
        <v>6511</v>
      </c>
      <c r="G6514">
        <f t="shared" ca="1" si="186"/>
        <v>-2.7609356125678858E-2</v>
      </c>
    </row>
    <row r="6515" spans="6:7" x14ac:dyDescent="0.35">
      <c r="F6515">
        <v>6512</v>
      </c>
      <c r="G6515">
        <f t="shared" ca="1" si="186"/>
        <v>6.2483228775355249E-3</v>
      </c>
    </row>
    <row r="6516" spans="6:7" x14ac:dyDescent="0.35">
      <c r="F6516">
        <v>6513</v>
      </c>
      <c r="G6516">
        <f t="shared" ca="1" si="186"/>
        <v>4.1908933782253383E-2</v>
      </c>
    </row>
    <row r="6517" spans="6:7" x14ac:dyDescent="0.35">
      <c r="F6517">
        <v>6514</v>
      </c>
      <c r="G6517">
        <f t="shared" ca="1" si="186"/>
        <v>2.8675793836551486E-2</v>
      </c>
    </row>
    <row r="6518" spans="6:7" x14ac:dyDescent="0.35">
      <c r="F6518">
        <v>6515</v>
      </c>
      <c r="G6518">
        <f t="shared" ca="1" si="186"/>
        <v>-2.803884117763205E-2</v>
      </c>
    </row>
    <row r="6519" spans="6:7" x14ac:dyDescent="0.35">
      <c r="F6519">
        <v>6516</v>
      </c>
      <c r="G6519">
        <f t="shared" ca="1" si="186"/>
        <v>-4.5127653277613179E-2</v>
      </c>
    </row>
    <row r="6520" spans="6:7" x14ac:dyDescent="0.35">
      <c r="F6520">
        <v>6517</v>
      </c>
      <c r="G6520">
        <f t="shared" ca="1" si="186"/>
        <v>-1.3492007746881812E-2</v>
      </c>
    </row>
    <row r="6521" spans="6:7" x14ac:dyDescent="0.35">
      <c r="F6521">
        <v>6518</v>
      </c>
      <c r="G6521">
        <f t="shared" ca="1" si="186"/>
        <v>-1.8253421923870038E-2</v>
      </c>
    </row>
    <row r="6522" spans="6:7" x14ac:dyDescent="0.35">
      <c r="F6522">
        <v>6519</v>
      </c>
      <c r="G6522">
        <f t="shared" ca="1" si="186"/>
        <v>-2.7553472360617066E-2</v>
      </c>
    </row>
    <row r="6523" spans="6:7" x14ac:dyDescent="0.35">
      <c r="F6523">
        <v>6520</v>
      </c>
      <c r="G6523">
        <f t="shared" ca="1" si="186"/>
        <v>-9.3247893904922882E-4</v>
      </c>
    </row>
    <row r="6524" spans="6:7" x14ac:dyDescent="0.35">
      <c r="F6524">
        <v>6521</v>
      </c>
      <c r="G6524">
        <f t="shared" ca="1" si="186"/>
        <v>2.8592185515775661E-2</v>
      </c>
    </row>
    <row r="6525" spans="6:7" x14ac:dyDescent="0.35">
      <c r="F6525">
        <v>6522</v>
      </c>
      <c r="G6525">
        <f t="shared" ca="1" si="186"/>
        <v>-2.7059031844875681E-2</v>
      </c>
    </row>
    <row r="6526" spans="6:7" x14ac:dyDescent="0.35">
      <c r="F6526">
        <v>6523</v>
      </c>
      <c r="G6526">
        <f t="shared" ca="1" si="186"/>
        <v>-4.9034564646260725E-3</v>
      </c>
    </row>
    <row r="6527" spans="6:7" x14ac:dyDescent="0.35">
      <c r="F6527">
        <v>6524</v>
      </c>
      <c r="G6527">
        <f t="shared" ca="1" si="186"/>
        <v>-8.9646676040509229E-3</v>
      </c>
    </row>
    <row r="6528" spans="6:7" x14ac:dyDescent="0.35">
      <c r="F6528">
        <v>6525</v>
      </c>
      <c r="G6528">
        <f t="shared" ca="1" si="186"/>
        <v>-2.5359062253304358E-2</v>
      </c>
    </row>
    <row r="6529" spans="6:7" x14ac:dyDescent="0.35">
      <c r="F6529">
        <v>6526</v>
      </c>
      <c r="G6529">
        <f t="shared" ca="1" si="186"/>
        <v>2.1275640520677465E-2</v>
      </c>
    </row>
    <row r="6530" spans="6:7" x14ac:dyDescent="0.35">
      <c r="F6530">
        <v>6527</v>
      </c>
      <c r="G6530">
        <f t="shared" ca="1" si="186"/>
        <v>1.1095446449005347E-2</v>
      </c>
    </row>
    <row r="6531" spans="6:7" x14ac:dyDescent="0.35">
      <c r="F6531">
        <v>6528</v>
      </c>
      <c r="G6531">
        <f t="shared" ca="1" si="186"/>
        <v>-2.29549548203879E-2</v>
      </c>
    </row>
    <row r="6532" spans="6:7" x14ac:dyDescent="0.35">
      <c r="F6532">
        <v>6529</v>
      </c>
      <c r="G6532">
        <f t="shared" ca="1" si="186"/>
        <v>-2.8105311666966259E-3</v>
      </c>
    </row>
    <row r="6533" spans="6:7" x14ac:dyDescent="0.35">
      <c r="F6533">
        <v>6530</v>
      </c>
      <c r="G6533">
        <f t="shared" ref="G6533:G6596" ca="1" si="187">_xlfn.NORM.INV(RAND(),K$6,K$7)</f>
        <v>-5.917968346248613E-2</v>
      </c>
    </row>
    <row r="6534" spans="6:7" x14ac:dyDescent="0.35">
      <c r="F6534">
        <v>6531</v>
      </c>
      <c r="G6534">
        <f t="shared" ca="1" si="187"/>
        <v>-4.5707722470484852E-2</v>
      </c>
    </row>
    <row r="6535" spans="6:7" x14ac:dyDescent="0.35">
      <c r="F6535">
        <v>6532</v>
      </c>
      <c r="G6535">
        <f t="shared" ca="1" si="187"/>
        <v>-5.9886560813849198E-3</v>
      </c>
    </row>
    <row r="6536" spans="6:7" x14ac:dyDescent="0.35">
      <c r="F6536">
        <v>6533</v>
      </c>
      <c r="G6536">
        <f t="shared" ca="1" si="187"/>
        <v>-7.8084493603994124E-4</v>
      </c>
    </row>
    <row r="6537" spans="6:7" x14ac:dyDescent="0.35">
      <c r="F6537">
        <v>6534</v>
      </c>
      <c r="G6537">
        <f t="shared" ca="1" si="187"/>
        <v>8.3916597137650289E-3</v>
      </c>
    </row>
    <row r="6538" spans="6:7" x14ac:dyDescent="0.35">
      <c r="F6538">
        <v>6535</v>
      </c>
      <c r="G6538">
        <f t="shared" ca="1" si="187"/>
        <v>2.1007775120564634E-2</v>
      </c>
    </row>
    <row r="6539" spans="6:7" x14ac:dyDescent="0.35">
      <c r="F6539">
        <v>6536</v>
      </c>
      <c r="G6539">
        <f t="shared" ca="1" si="187"/>
        <v>1.5983817206554066E-2</v>
      </c>
    </row>
    <row r="6540" spans="6:7" x14ac:dyDescent="0.35">
      <c r="F6540">
        <v>6537</v>
      </c>
      <c r="G6540">
        <f t="shared" ca="1" si="187"/>
        <v>7.6103278512983834E-3</v>
      </c>
    </row>
    <row r="6541" spans="6:7" x14ac:dyDescent="0.35">
      <c r="F6541">
        <v>6538</v>
      </c>
      <c r="G6541">
        <f t="shared" ca="1" si="187"/>
        <v>5.2502128908121844E-2</v>
      </c>
    </row>
    <row r="6542" spans="6:7" x14ac:dyDescent="0.35">
      <c r="F6542">
        <v>6539</v>
      </c>
      <c r="G6542">
        <f t="shared" ca="1" si="187"/>
        <v>2.3958928492763706E-2</v>
      </c>
    </row>
    <row r="6543" spans="6:7" x14ac:dyDescent="0.35">
      <c r="F6543">
        <v>6540</v>
      </c>
      <c r="G6543">
        <f t="shared" ca="1" si="187"/>
        <v>1.51352454576699E-3</v>
      </c>
    </row>
    <row r="6544" spans="6:7" x14ac:dyDescent="0.35">
      <c r="F6544">
        <v>6541</v>
      </c>
      <c r="G6544">
        <f t="shared" ca="1" si="187"/>
        <v>-1.4352298273641557E-2</v>
      </c>
    </row>
    <row r="6545" spans="6:7" x14ac:dyDescent="0.35">
      <c r="F6545">
        <v>6542</v>
      </c>
      <c r="G6545">
        <f t="shared" ca="1" si="187"/>
        <v>-3.7977960116650708E-3</v>
      </c>
    </row>
    <row r="6546" spans="6:7" x14ac:dyDescent="0.35">
      <c r="F6546">
        <v>6543</v>
      </c>
      <c r="G6546">
        <f t="shared" ca="1" si="187"/>
        <v>5.6357306532921737E-2</v>
      </c>
    </row>
    <row r="6547" spans="6:7" x14ac:dyDescent="0.35">
      <c r="F6547">
        <v>6544</v>
      </c>
      <c r="G6547">
        <f t="shared" ca="1" si="187"/>
        <v>2.6779581958879282E-2</v>
      </c>
    </row>
    <row r="6548" spans="6:7" x14ac:dyDescent="0.35">
      <c r="F6548">
        <v>6545</v>
      </c>
      <c r="G6548">
        <f t="shared" ca="1" si="187"/>
        <v>3.654697908035115E-2</v>
      </c>
    </row>
    <row r="6549" spans="6:7" x14ac:dyDescent="0.35">
      <c r="F6549">
        <v>6546</v>
      </c>
      <c r="G6549">
        <f t="shared" ca="1" si="187"/>
        <v>4.2427860318616575E-2</v>
      </c>
    </row>
    <row r="6550" spans="6:7" x14ac:dyDescent="0.35">
      <c r="F6550">
        <v>6547</v>
      </c>
      <c r="G6550">
        <f t="shared" ca="1" si="187"/>
        <v>-5.1440182715735645E-2</v>
      </c>
    </row>
    <row r="6551" spans="6:7" x14ac:dyDescent="0.35">
      <c r="F6551">
        <v>6548</v>
      </c>
      <c r="G6551">
        <f t="shared" ca="1" si="187"/>
        <v>-1.3558409656012819E-2</v>
      </c>
    </row>
    <row r="6552" spans="6:7" x14ac:dyDescent="0.35">
      <c r="F6552">
        <v>6549</v>
      </c>
      <c r="G6552">
        <f t="shared" ca="1" si="187"/>
        <v>-9.1004332090784575E-3</v>
      </c>
    </row>
    <row r="6553" spans="6:7" x14ac:dyDescent="0.35">
      <c r="F6553">
        <v>6550</v>
      </c>
      <c r="G6553">
        <f t="shared" ca="1" si="187"/>
        <v>9.6471282335910732E-3</v>
      </c>
    </row>
    <row r="6554" spans="6:7" x14ac:dyDescent="0.35">
      <c r="F6554">
        <v>6551</v>
      </c>
      <c r="G6554">
        <f t="shared" ca="1" si="187"/>
        <v>-2.876281941650323E-2</v>
      </c>
    </row>
    <row r="6555" spans="6:7" x14ac:dyDescent="0.35">
      <c r="F6555">
        <v>6552</v>
      </c>
      <c r="G6555">
        <f t="shared" ca="1" si="187"/>
        <v>-4.4821051419289297E-3</v>
      </c>
    </row>
    <row r="6556" spans="6:7" x14ac:dyDescent="0.35">
      <c r="F6556">
        <v>6553</v>
      </c>
      <c r="G6556">
        <f t="shared" ca="1" si="187"/>
        <v>-2.8046704831954971E-3</v>
      </c>
    </row>
    <row r="6557" spans="6:7" x14ac:dyDescent="0.35">
      <c r="F6557">
        <v>6554</v>
      </c>
      <c r="G6557">
        <f t="shared" ca="1" si="187"/>
        <v>-6.3372592409116843E-2</v>
      </c>
    </row>
    <row r="6558" spans="6:7" x14ac:dyDescent="0.35">
      <c r="F6558">
        <v>6555</v>
      </c>
      <c r="G6558">
        <f t="shared" ca="1" si="187"/>
        <v>-3.0987179719806284E-2</v>
      </c>
    </row>
    <row r="6559" spans="6:7" x14ac:dyDescent="0.35">
      <c r="F6559">
        <v>6556</v>
      </c>
      <c r="G6559">
        <f t="shared" ca="1" si="187"/>
        <v>3.0697470471716996E-2</v>
      </c>
    </row>
    <row r="6560" spans="6:7" x14ac:dyDescent="0.35">
      <c r="F6560">
        <v>6557</v>
      </c>
      <c r="G6560">
        <f t="shared" ca="1" si="187"/>
        <v>-4.618081475745122E-2</v>
      </c>
    </row>
    <row r="6561" spans="6:7" x14ac:dyDescent="0.35">
      <c r="F6561">
        <v>6558</v>
      </c>
      <c r="G6561">
        <f t="shared" ca="1" si="187"/>
        <v>-3.6009025715263134E-2</v>
      </c>
    </row>
    <row r="6562" spans="6:7" x14ac:dyDescent="0.35">
      <c r="F6562">
        <v>6559</v>
      </c>
      <c r="G6562">
        <f t="shared" ca="1" si="187"/>
        <v>8.6020300253117757E-2</v>
      </c>
    </row>
    <row r="6563" spans="6:7" x14ac:dyDescent="0.35">
      <c r="F6563">
        <v>6560</v>
      </c>
      <c r="G6563">
        <f t="shared" ca="1" si="187"/>
        <v>2.8144609687143194E-2</v>
      </c>
    </row>
    <row r="6564" spans="6:7" x14ac:dyDescent="0.35">
      <c r="F6564">
        <v>6561</v>
      </c>
      <c r="G6564">
        <f t="shared" ca="1" si="187"/>
        <v>-4.4215488179498053E-2</v>
      </c>
    </row>
    <row r="6565" spans="6:7" x14ac:dyDescent="0.35">
      <c r="F6565">
        <v>6562</v>
      </c>
      <c r="G6565">
        <f t="shared" ca="1" si="187"/>
        <v>2.9863334950121063E-2</v>
      </c>
    </row>
    <row r="6566" spans="6:7" x14ac:dyDescent="0.35">
      <c r="F6566">
        <v>6563</v>
      </c>
      <c r="G6566">
        <f t="shared" ca="1" si="187"/>
        <v>1.161952891780697E-2</v>
      </c>
    </row>
    <row r="6567" spans="6:7" x14ac:dyDescent="0.35">
      <c r="F6567">
        <v>6564</v>
      </c>
      <c r="G6567">
        <f t="shared" ca="1" si="187"/>
        <v>-2.8378037081295396E-2</v>
      </c>
    </row>
    <row r="6568" spans="6:7" x14ac:dyDescent="0.35">
      <c r="F6568">
        <v>6565</v>
      </c>
      <c r="G6568">
        <f t="shared" ca="1" si="187"/>
        <v>4.0774585190336131E-2</v>
      </c>
    </row>
    <row r="6569" spans="6:7" x14ac:dyDescent="0.35">
      <c r="F6569">
        <v>6566</v>
      </c>
      <c r="G6569">
        <f t="shared" ca="1" si="187"/>
        <v>2.3583287894782413E-2</v>
      </c>
    </row>
    <row r="6570" spans="6:7" x14ac:dyDescent="0.35">
      <c r="F6570">
        <v>6567</v>
      </c>
      <c r="G6570">
        <f t="shared" ca="1" si="187"/>
        <v>-6.5698846240353354E-3</v>
      </c>
    </row>
    <row r="6571" spans="6:7" x14ac:dyDescent="0.35">
      <c r="F6571">
        <v>6568</v>
      </c>
      <c r="G6571">
        <f t="shared" ca="1" si="187"/>
        <v>-4.7744308136631252E-3</v>
      </c>
    </row>
    <row r="6572" spans="6:7" x14ac:dyDescent="0.35">
      <c r="F6572">
        <v>6569</v>
      </c>
      <c r="G6572">
        <f t="shared" ca="1" si="187"/>
        <v>-7.1494186631385782E-3</v>
      </c>
    </row>
    <row r="6573" spans="6:7" x14ac:dyDescent="0.35">
      <c r="F6573">
        <v>6570</v>
      </c>
      <c r="G6573">
        <f t="shared" ca="1" si="187"/>
        <v>-2.1095388781390532E-2</v>
      </c>
    </row>
    <row r="6574" spans="6:7" x14ac:dyDescent="0.35">
      <c r="F6574">
        <v>6571</v>
      </c>
      <c r="G6574">
        <f t="shared" ca="1" si="187"/>
        <v>-3.7356628095654328E-2</v>
      </c>
    </row>
    <row r="6575" spans="6:7" x14ac:dyDescent="0.35">
      <c r="F6575">
        <v>6572</v>
      </c>
      <c r="G6575">
        <f t="shared" ca="1" si="187"/>
        <v>4.4075024240439332E-2</v>
      </c>
    </row>
    <row r="6576" spans="6:7" x14ac:dyDescent="0.35">
      <c r="F6576">
        <v>6573</v>
      </c>
      <c r="G6576">
        <f t="shared" ca="1" si="187"/>
        <v>-3.4601266947675742E-2</v>
      </c>
    </row>
    <row r="6577" spans="6:7" x14ac:dyDescent="0.35">
      <c r="F6577">
        <v>6574</v>
      </c>
      <c r="G6577">
        <f t="shared" ca="1" si="187"/>
        <v>5.8634869924186891E-3</v>
      </c>
    </row>
    <row r="6578" spans="6:7" x14ac:dyDescent="0.35">
      <c r="F6578">
        <v>6575</v>
      </c>
      <c r="G6578">
        <f t="shared" ca="1" si="187"/>
        <v>2.1331021356145327E-2</v>
      </c>
    </row>
    <row r="6579" spans="6:7" x14ac:dyDescent="0.35">
      <c r="F6579">
        <v>6576</v>
      </c>
      <c r="G6579">
        <f t="shared" ca="1" si="187"/>
        <v>3.6235314039968831E-2</v>
      </c>
    </row>
    <row r="6580" spans="6:7" x14ac:dyDescent="0.35">
      <c r="F6580">
        <v>6577</v>
      </c>
      <c r="G6580">
        <f t="shared" ca="1" si="187"/>
        <v>-3.6457767579090687E-2</v>
      </c>
    </row>
    <row r="6581" spans="6:7" x14ac:dyDescent="0.35">
      <c r="F6581">
        <v>6578</v>
      </c>
      <c r="G6581">
        <f t="shared" ca="1" si="187"/>
        <v>-1.5937945560017635E-2</v>
      </c>
    </row>
    <row r="6582" spans="6:7" x14ac:dyDescent="0.35">
      <c r="F6582">
        <v>6579</v>
      </c>
      <c r="G6582">
        <f t="shared" ca="1" si="187"/>
        <v>-2.6417461773886129E-2</v>
      </c>
    </row>
    <row r="6583" spans="6:7" x14ac:dyDescent="0.35">
      <c r="F6583">
        <v>6580</v>
      </c>
      <c r="G6583">
        <f t="shared" ca="1" si="187"/>
        <v>2.5453677174445157E-2</v>
      </c>
    </row>
    <row r="6584" spans="6:7" x14ac:dyDescent="0.35">
      <c r="F6584">
        <v>6581</v>
      </c>
      <c r="G6584">
        <f t="shared" ca="1" si="187"/>
        <v>-3.9037653774934115E-2</v>
      </c>
    </row>
    <row r="6585" spans="6:7" x14ac:dyDescent="0.35">
      <c r="F6585">
        <v>6582</v>
      </c>
      <c r="G6585">
        <f t="shared" ca="1" si="187"/>
        <v>8.248395200959102E-4</v>
      </c>
    </row>
    <row r="6586" spans="6:7" x14ac:dyDescent="0.35">
      <c r="F6586">
        <v>6583</v>
      </c>
      <c r="G6586">
        <f t="shared" ca="1" si="187"/>
        <v>-2.811824771101373E-2</v>
      </c>
    </row>
    <row r="6587" spans="6:7" x14ac:dyDescent="0.35">
      <c r="F6587">
        <v>6584</v>
      </c>
      <c r="G6587">
        <f t="shared" ca="1" si="187"/>
        <v>4.4647836303433268E-2</v>
      </c>
    </row>
    <row r="6588" spans="6:7" x14ac:dyDescent="0.35">
      <c r="F6588">
        <v>6585</v>
      </c>
      <c r="G6588">
        <f t="shared" ca="1" si="187"/>
        <v>4.4145087753816724E-2</v>
      </c>
    </row>
    <row r="6589" spans="6:7" x14ac:dyDescent="0.35">
      <c r="F6589">
        <v>6586</v>
      </c>
      <c r="G6589">
        <f t="shared" ca="1" si="187"/>
        <v>-2.2069989277318906E-2</v>
      </c>
    </row>
    <row r="6590" spans="6:7" x14ac:dyDescent="0.35">
      <c r="F6590">
        <v>6587</v>
      </c>
      <c r="G6590">
        <f t="shared" ca="1" si="187"/>
        <v>-2.3797795897800206E-2</v>
      </c>
    </row>
    <row r="6591" spans="6:7" x14ac:dyDescent="0.35">
      <c r="F6591">
        <v>6588</v>
      </c>
      <c r="G6591">
        <f t="shared" ca="1" si="187"/>
        <v>-1.3429181985492296E-2</v>
      </c>
    </row>
    <row r="6592" spans="6:7" x14ac:dyDescent="0.35">
      <c r="F6592">
        <v>6589</v>
      </c>
      <c r="G6592">
        <f t="shared" ca="1" si="187"/>
        <v>-2.0940903166168758E-3</v>
      </c>
    </row>
    <row r="6593" spans="6:7" x14ac:dyDescent="0.35">
      <c r="F6593">
        <v>6590</v>
      </c>
      <c r="G6593">
        <f t="shared" ca="1" si="187"/>
        <v>4.2040180471112625E-2</v>
      </c>
    </row>
    <row r="6594" spans="6:7" x14ac:dyDescent="0.35">
      <c r="F6594">
        <v>6591</v>
      </c>
      <c r="G6594">
        <f t="shared" ca="1" si="187"/>
        <v>-5.0525166447302396E-3</v>
      </c>
    </row>
    <row r="6595" spans="6:7" x14ac:dyDescent="0.35">
      <c r="F6595">
        <v>6592</v>
      </c>
      <c r="G6595">
        <f t="shared" ca="1" si="187"/>
        <v>-5.5853494367817435E-3</v>
      </c>
    </row>
    <row r="6596" spans="6:7" x14ac:dyDescent="0.35">
      <c r="F6596">
        <v>6593</v>
      </c>
      <c r="G6596">
        <f t="shared" ca="1" si="187"/>
        <v>4.2201385301991424E-3</v>
      </c>
    </row>
    <row r="6597" spans="6:7" x14ac:dyDescent="0.35">
      <c r="F6597">
        <v>6594</v>
      </c>
      <c r="G6597">
        <f t="shared" ref="G6597:G6660" ca="1" si="188">_xlfn.NORM.INV(RAND(),K$6,K$7)</f>
        <v>1.6059041100929344E-2</v>
      </c>
    </row>
    <row r="6598" spans="6:7" x14ac:dyDescent="0.35">
      <c r="F6598">
        <v>6595</v>
      </c>
      <c r="G6598">
        <f t="shared" ca="1" si="188"/>
        <v>1.9825192067272974E-2</v>
      </c>
    </row>
    <row r="6599" spans="6:7" x14ac:dyDescent="0.35">
      <c r="F6599">
        <v>6596</v>
      </c>
      <c r="G6599">
        <f t="shared" ca="1" si="188"/>
        <v>-7.6557507998546367E-3</v>
      </c>
    </row>
    <row r="6600" spans="6:7" x14ac:dyDescent="0.35">
      <c r="F6600">
        <v>6597</v>
      </c>
      <c r="G6600">
        <f t="shared" ca="1" si="188"/>
        <v>7.4516715054261731E-2</v>
      </c>
    </row>
    <row r="6601" spans="6:7" x14ac:dyDescent="0.35">
      <c r="F6601">
        <v>6598</v>
      </c>
      <c r="G6601">
        <f t="shared" ca="1" si="188"/>
        <v>-4.5506162100497167E-3</v>
      </c>
    </row>
    <row r="6602" spans="6:7" x14ac:dyDescent="0.35">
      <c r="F6602">
        <v>6599</v>
      </c>
      <c r="G6602">
        <f t="shared" ca="1" si="188"/>
        <v>-3.129041886519101E-2</v>
      </c>
    </row>
    <row r="6603" spans="6:7" x14ac:dyDescent="0.35">
      <c r="F6603">
        <v>6600</v>
      </c>
      <c r="G6603">
        <f t="shared" ca="1" si="188"/>
        <v>3.9246409760569582E-2</v>
      </c>
    </row>
    <row r="6604" spans="6:7" x14ac:dyDescent="0.35">
      <c r="F6604">
        <v>6601</v>
      </c>
      <c r="G6604">
        <f t="shared" ca="1" si="188"/>
        <v>5.9247023384359096E-2</v>
      </c>
    </row>
    <row r="6605" spans="6:7" x14ac:dyDescent="0.35">
      <c r="F6605">
        <v>6602</v>
      </c>
      <c r="G6605">
        <f t="shared" ca="1" si="188"/>
        <v>2.3013493441825288E-2</v>
      </c>
    </row>
    <row r="6606" spans="6:7" x14ac:dyDescent="0.35">
      <c r="F6606">
        <v>6603</v>
      </c>
      <c r="G6606">
        <f t="shared" ca="1" si="188"/>
        <v>4.4856248751407079E-3</v>
      </c>
    </row>
    <row r="6607" spans="6:7" x14ac:dyDescent="0.35">
      <c r="F6607">
        <v>6604</v>
      </c>
      <c r="G6607">
        <f t="shared" ca="1" si="188"/>
        <v>-7.3312778983672324E-4</v>
      </c>
    </row>
    <row r="6608" spans="6:7" x14ac:dyDescent="0.35">
      <c r="F6608">
        <v>6605</v>
      </c>
      <c r="G6608">
        <f t="shared" ca="1" si="188"/>
        <v>-3.1701271401802782E-2</v>
      </c>
    </row>
    <row r="6609" spans="6:7" x14ac:dyDescent="0.35">
      <c r="F6609">
        <v>6606</v>
      </c>
      <c r="G6609">
        <f t="shared" ca="1" si="188"/>
        <v>-7.0355404835686919E-3</v>
      </c>
    </row>
    <row r="6610" spans="6:7" x14ac:dyDescent="0.35">
      <c r="F6610">
        <v>6607</v>
      </c>
      <c r="G6610">
        <f t="shared" ca="1" si="188"/>
        <v>-1.4511305203934698E-2</v>
      </c>
    </row>
    <row r="6611" spans="6:7" x14ac:dyDescent="0.35">
      <c r="F6611">
        <v>6608</v>
      </c>
      <c r="G6611">
        <f t="shared" ca="1" si="188"/>
        <v>2.5809638316917408E-2</v>
      </c>
    </row>
    <row r="6612" spans="6:7" x14ac:dyDescent="0.35">
      <c r="F6612">
        <v>6609</v>
      </c>
      <c r="G6612">
        <f t="shared" ca="1" si="188"/>
        <v>-1.191700891866978E-3</v>
      </c>
    </row>
    <row r="6613" spans="6:7" x14ac:dyDescent="0.35">
      <c r="F6613">
        <v>6610</v>
      </c>
      <c r="G6613">
        <f t="shared" ca="1" si="188"/>
        <v>-5.1718041144758482E-2</v>
      </c>
    </row>
    <row r="6614" spans="6:7" x14ac:dyDescent="0.35">
      <c r="F6614">
        <v>6611</v>
      </c>
      <c r="G6614">
        <f t="shared" ca="1" si="188"/>
        <v>-1.2422063636640062E-2</v>
      </c>
    </row>
    <row r="6615" spans="6:7" x14ac:dyDescent="0.35">
      <c r="F6615">
        <v>6612</v>
      </c>
      <c r="G6615">
        <f t="shared" ca="1" si="188"/>
        <v>-2.7809227532197785E-2</v>
      </c>
    </row>
    <row r="6616" spans="6:7" x14ac:dyDescent="0.35">
      <c r="F6616">
        <v>6613</v>
      </c>
      <c r="G6616">
        <f t="shared" ca="1" si="188"/>
        <v>4.8062626646017709E-2</v>
      </c>
    </row>
    <row r="6617" spans="6:7" x14ac:dyDescent="0.35">
      <c r="F6617">
        <v>6614</v>
      </c>
      <c r="G6617">
        <f t="shared" ca="1" si="188"/>
        <v>1.3127193107665251E-2</v>
      </c>
    </row>
    <row r="6618" spans="6:7" x14ac:dyDescent="0.35">
      <c r="F6618">
        <v>6615</v>
      </c>
      <c r="G6618">
        <f t="shared" ca="1" si="188"/>
        <v>-8.3230196405803861E-4</v>
      </c>
    </row>
    <row r="6619" spans="6:7" x14ac:dyDescent="0.35">
      <c r="F6619">
        <v>6616</v>
      </c>
      <c r="G6619">
        <f t="shared" ca="1" si="188"/>
        <v>-1.236907868180597E-2</v>
      </c>
    </row>
    <row r="6620" spans="6:7" x14ac:dyDescent="0.35">
      <c r="F6620">
        <v>6617</v>
      </c>
      <c r="G6620">
        <f t="shared" ca="1" si="188"/>
        <v>1.7766793305109261E-4</v>
      </c>
    </row>
    <row r="6621" spans="6:7" x14ac:dyDescent="0.35">
      <c r="F6621">
        <v>6618</v>
      </c>
      <c r="G6621">
        <f t="shared" ca="1" si="188"/>
        <v>4.0640489390042452E-2</v>
      </c>
    </row>
    <row r="6622" spans="6:7" x14ac:dyDescent="0.35">
      <c r="F6622">
        <v>6619</v>
      </c>
      <c r="G6622">
        <f t="shared" ca="1" si="188"/>
        <v>-1.5071317352035086E-3</v>
      </c>
    </row>
    <row r="6623" spans="6:7" x14ac:dyDescent="0.35">
      <c r="F6623">
        <v>6620</v>
      </c>
      <c r="G6623">
        <f t="shared" ca="1" si="188"/>
        <v>-3.4215883098096048E-3</v>
      </c>
    </row>
    <row r="6624" spans="6:7" x14ac:dyDescent="0.35">
      <c r="F6624">
        <v>6621</v>
      </c>
      <c r="G6624">
        <f t="shared" ca="1" si="188"/>
        <v>-2.5838730344895533E-2</v>
      </c>
    </row>
    <row r="6625" spans="6:7" x14ac:dyDescent="0.35">
      <c r="F6625">
        <v>6622</v>
      </c>
      <c r="G6625">
        <f t="shared" ca="1" si="188"/>
        <v>4.753682610860388E-2</v>
      </c>
    </row>
    <row r="6626" spans="6:7" x14ac:dyDescent="0.35">
      <c r="F6626">
        <v>6623</v>
      </c>
      <c r="G6626">
        <f t="shared" ca="1" si="188"/>
        <v>2.9163038474073585E-2</v>
      </c>
    </row>
    <row r="6627" spans="6:7" x14ac:dyDescent="0.35">
      <c r="F6627">
        <v>6624</v>
      </c>
      <c r="G6627">
        <f t="shared" ca="1" si="188"/>
        <v>1.8746933482650621E-2</v>
      </c>
    </row>
    <row r="6628" spans="6:7" x14ac:dyDescent="0.35">
      <c r="F6628">
        <v>6625</v>
      </c>
      <c r="G6628">
        <f t="shared" ca="1" si="188"/>
        <v>-5.8859902644687314E-3</v>
      </c>
    </row>
    <row r="6629" spans="6:7" x14ac:dyDescent="0.35">
      <c r="F6629">
        <v>6626</v>
      </c>
      <c r="G6629">
        <f t="shared" ca="1" si="188"/>
        <v>3.8667651014040863E-2</v>
      </c>
    </row>
    <row r="6630" spans="6:7" x14ac:dyDescent="0.35">
      <c r="F6630">
        <v>6627</v>
      </c>
      <c r="G6630">
        <f t="shared" ca="1" si="188"/>
        <v>1.4514436108311187E-2</v>
      </c>
    </row>
    <row r="6631" spans="6:7" x14ac:dyDescent="0.35">
      <c r="F6631">
        <v>6628</v>
      </c>
      <c r="G6631">
        <f t="shared" ca="1" si="188"/>
        <v>-1.1110126309015575E-3</v>
      </c>
    </row>
    <row r="6632" spans="6:7" x14ac:dyDescent="0.35">
      <c r="F6632">
        <v>6629</v>
      </c>
      <c r="G6632">
        <f t="shared" ca="1" si="188"/>
        <v>-8.7897621280558884E-3</v>
      </c>
    </row>
    <row r="6633" spans="6:7" x14ac:dyDescent="0.35">
      <c r="F6633">
        <v>6630</v>
      </c>
      <c r="G6633">
        <f t="shared" ca="1" si="188"/>
        <v>1.2408658419273815E-2</v>
      </c>
    </row>
    <row r="6634" spans="6:7" x14ac:dyDescent="0.35">
      <c r="F6634">
        <v>6631</v>
      </c>
      <c r="G6634">
        <f t="shared" ca="1" si="188"/>
        <v>-2.6178061958409878E-3</v>
      </c>
    </row>
    <row r="6635" spans="6:7" x14ac:dyDescent="0.35">
      <c r="F6635">
        <v>6632</v>
      </c>
      <c r="G6635">
        <f t="shared" ca="1" si="188"/>
        <v>-1.3004459234020325E-2</v>
      </c>
    </row>
    <row r="6636" spans="6:7" x14ac:dyDescent="0.35">
      <c r="F6636">
        <v>6633</v>
      </c>
      <c r="G6636">
        <f t="shared" ca="1" si="188"/>
        <v>-6.1088957753201749E-3</v>
      </c>
    </row>
    <row r="6637" spans="6:7" x14ac:dyDescent="0.35">
      <c r="F6637">
        <v>6634</v>
      </c>
      <c r="G6637">
        <f t="shared" ca="1" si="188"/>
        <v>-3.4368503348865917E-2</v>
      </c>
    </row>
    <row r="6638" spans="6:7" x14ac:dyDescent="0.35">
      <c r="F6638">
        <v>6635</v>
      </c>
      <c r="G6638">
        <f t="shared" ca="1" si="188"/>
        <v>2.9859946902001725E-2</v>
      </c>
    </row>
    <row r="6639" spans="6:7" x14ac:dyDescent="0.35">
      <c r="F6639">
        <v>6636</v>
      </c>
      <c r="G6639">
        <f t="shared" ca="1" si="188"/>
        <v>-2.5588532557818911E-3</v>
      </c>
    </row>
    <row r="6640" spans="6:7" x14ac:dyDescent="0.35">
      <c r="F6640">
        <v>6637</v>
      </c>
      <c r="G6640">
        <f t="shared" ca="1" si="188"/>
        <v>5.8066672605137665E-3</v>
      </c>
    </row>
    <row r="6641" spans="6:7" x14ac:dyDescent="0.35">
      <c r="F6641">
        <v>6638</v>
      </c>
      <c r="G6641">
        <f t="shared" ca="1" si="188"/>
        <v>1.6472149277142863E-2</v>
      </c>
    </row>
    <row r="6642" spans="6:7" x14ac:dyDescent="0.35">
      <c r="F6642">
        <v>6639</v>
      </c>
      <c r="G6642">
        <f t="shared" ca="1" si="188"/>
        <v>5.0130272604549581E-2</v>
      </c>
    </row>
    <row r="6643" spans="6:7" x14ac:dyDescent="0.35">
      <c r="F6643">
        <v>6640</v>
      </c>
      <c r="G6643">
        <f t="shared" ca="1" si="188"/>
        <v>-4.496020896705559E-2</v>
      </c>
    </row>
    <row r="6644" spans="6:7" x14ac:dyDescent="0.35">
      <c r="F6644">
        <v>6641</v>
      </c>
      <c r="G6644">
        <f t="shared" ca="1" si="188"/>
        <v>-2.4750699653819902E-2</v>
      </c>
    </row>
    <row r="6645" spans="6:7" x14ac:dyDescent="0.35">
      <c r="F6645">
        <v>6642</v>
      </c>
      <c r="G6645">
        <f t="shared" ca="1" si="188"/>
        <v>-3.6803303957560339E-2</v>
      </c>
    </row>
    <row r="6646" spans="6:7" x14ac:dyDescent="0.35">
      <c r="F6646">
        <v>6643</v>
      </c>
      <c r="G6646">
        <f t="shared" ca="1" si="188"/>
        <v>-1.2755815488997626E-2</v>
      </c>
    </row>
    <row r="6647" spans="6:7" x14ac:dyDescent="0.35">
      <c r="F6647">
        <v>6644</v>
      </c>
      <c r="G6647">
        <f t="shared" ca="1" si="188"/>
        <v>-5.8813170049958376E-2</v>
      </c>
    </row>
    <row r="6648" spans="6:7" x14ac:dyDescent="0.35">
      <c r="F6648">
        <v>6645</v>
      </c>
      <c r="G6648">
        <f t="shared" ca="1" si="188"/>
        <v>1.1423618558566041E-2</v>
      </c>
    </row>
    <row r="6649" spans="6:7" x14ac:dyDescent="0.35">
      <c r="F6649">
        <v>6646</v>
      </c>
      <c r="G6649">
        <f t="shared" ca="1" si="188"/>
        <v>1.248968040609753E-2</v>
      </c>
    </row>
    <row r="6650" spans="6:7" x14ac:dyDescent="0.35">
      <c r="F6650">
        <v>6647</v>
      </c>
      <c r="G6650">
        <f t="shared" ca="1" si="188"/>
        <v>1.6425615420604205E-2</v>
      </c>
    </row>
    <row r="6651" spans="6:7" x14ac:dyDescent="0.35">
      <c r="F6651">
        <v>6648</v>
      </c>
      <c r="G6651">
        <f t="shared" ca="1" si="188"/>
        <v>1.1216931072772999E-2</v>
      </c>
    </row>
    <row r="6652" spans="6:7" x14ac:dyDescent="0.35">
      <c r="F6652">
        <v>6649</v>
      </c>
      <c r="G6652">
        <f t="shared" ca="1" si="188"/>
        <v>1.9795857471116632E-2</v>
      </c>
    </row>
    <row r="6653" spans="6:7" x14ac:dyDescent="0.35">
      <c r="F6653">
        <v>6650</v>
      </c>
      <c r="G6653">
        <f t="shared" ca="1" si="188"/>
        <v>9.177220054483777E-2</v>
      </c>
    </row>
    <row r="6654" spans="6:7" x14ac:dyDescent="0.35">
      <c r="F6654">
        <v>6651</v>
      </c>
      <c r="G6654">
        <f t="shared" ca="1" si="188"/>
        <v>3.1198648220379013E-2</v>
      </c>
    </row>
    <row r="6655" spans="6:7" x14ac:dyDescent="0.35">
      <c r="F6655">
        <v>6652</v>
      </c>
      <c r="G6655">
        <f t="shared" ca="1" si="188"/>
        <v>-1.5254181118528231E-2</v>
      </c>
    </row>
    <row r="6656" spans="6:7" x14ac:dyDescent="0.35">
      <c r="F6656">
        <v>6653</v>
      </c>
      <c r="G6656">
        <f t="shared" ca="1" si="188"/>
        <v>2.1439419148659062E-2</v>
      </c>
    </row>
    <row r="6657" spans="6:7" x14ac:dyDescent="0.35">
      <c r="F6657">
        <v>6654</v>
      </c>
      <c r="G6657">
        <f t="shared" ca="1" si="188"/>
        <v>9.5116382550017604E-3</v>
      </c>
    </row>
    <row r="6658" spans="6:7" x14ac:dyDescent="0.35">
      <c r="F6658">
        <v>6655</v>
      </c>
      <c r="G6658">
        <f t="shared" ca="1" si="188"/>
        <v>1.0392045908226746E-2</v>
      </c>
    </row>
    <row r="6659" spans="6:7" x14ac:dyDescent="0.35">
      <c r="F6659">
        <v>6656</v>
      </c>
      <c r="G6659">
        <f t="shared" ca="1" si="188"/>
        <v>4.5507327443153889E-3</v>
      </c>
    </row>
    <row r="6660" spans="6:7" x14ac:dyDescent="0.35">
      <c r="F6660">
        <v>6657</v>
      </c>
      <c r="G6660">
        <f t="shared" ca="1" si="188"/>
        <v>-4.3828965073795211E-3</v>
      </c>
    </row>
    <row r="6661" spans="6:7" x14ac:dyDescent="0.35">
      <c r="F6661">
        <v>6658</v>
      </c>
      <c r="G6661">
        <f t="shared" ref="G6661:G6724" ca="1" si="189">_xlfn.NORM.INV(RAND(),K$6,K$7)</f>
        <v>1.5788570242731201E-2</v>
      </c>
    </row>
    <row r="6662" spans="6:7" x14ac:dyDescent="0.35">
      <c r="F6662">
        <v>6659</v>
      </c>
      <c r="G6662">
        <f t="shared" ca="1" si="189"/>
        <v>5.549588730265885E-2</v>
      </c>
    </row>
    <row r="6663" spans="6:7" x14ac:dyDescent="0.35">
      <c r="F6663">
        <v>6660</v>
      </c>
      <c r="G6663">
        <f t="shared" ca="1" si="189"/>
        <v>3.2538888192538057E-2</v>
      </c>
    </row>
    <row r="6664" spans="6:7" x14ac:dyDescent="0.35">
      <c r="F6664">
        <v>6661</v>
      </c>
      <c r="G6664">
        <f t="shared" ca="1" si="189"/>
        <v>-5.2545110716291393E-2</v>
      </c>
    </row>
    <row r="6665" spans="6:7" x14ac:dyDescent="0.35">
      <c r="F6665">
        <v>6662</v>
      </c>
      <c r="G6665">
        <f t="shared" ca="1" si="189"/>
        <v>-5.0468085496917356E-4</v>
      </c>
    </row>
    <row r="6666" spans="6:7" x14ac:dyDescent="0.35">
      <c r="F6666">
        <v>6663</v>
      </c>
      <c r="G6666">
        <f t="shared" ca="1" si="189"/>
        <v>9.0957899245541329E-3</v>
      </c>
    </row>
    <row r="6667" spans="6:7" x14ac:dyDescent="0.35">
      <c r="F6667">
        <v>6664</v>
      </c>
      <c r="G6667">
        <f t="shared" ca="1" si="189"/>
        <v>5.2329329049482821E-2</v>
      </c>
    </row>
    <row r="6668" spans="6:7" x14ac:dyDescent="0.35">
      <c r="F6668">
        <v>6665</v>
      </c>
      <c r="G6668">
        <f t="shared" ca="1" si="189"/>
        <v>-2.1839911823268398E-2</v>
      </c>
    </row>
    <row r="6669" spans="6:7" x14ac:dyDescent="0.35">
      <c r="F6669">
        <v>6666</v>
      </c>
      <c r="G6669">
        <f t="shared" ca="1" si="189"/>
        <v>4.0830068009910661E-3</v>
      </c>
    </row>
    <row r="6670" spans="6:7" x14ac:dyDescent="0.35">
      <c r="F6670">
        <v>6667</v>
      </c>
      <c r="G6670">
        <f t="shared" ca="1" si="189"/>
        <v>2.4621496272166518E-2</v>
      </c>
    </row>
    <row r="6671" spans="6:7" x14ac:dyDescent="0.35">
      <c r="F6671">
        <v>6668</v>
      </c>
      <c r="G6671">
        <f t="shared" ca="1" si="189"/>
        <v>4.880662248033641E-2</v>
      </c>
    </row>
    <row r="6672" spans="6:7" x14ac:dyDescent="0.35">
      <c r="F6672">
        <v>6669</v>
      </c>
      <c r="G6672">
        <f t="shared" ca="1" si="189"/>
        <v>-1.4553052640042953E-3</v>
      </c>
    </row>
    <row r="6673" spans="6:7" x14ac:dyDescent="0.35">
      <c r="F6673">
        <v>6670</v>
      </c>
      <c r="G6673">
        <f t="shared" ca="1" si="189"/>
        <v>-1.2515275715743679E-2</v>
      </c>
    </row>
    <row r="6674" spans="6:7" x14ac:dyDescent="0.35">
      <c r="F6674">
        <v>6671</v>
      </c>
      <c r="G6674">
        <f t="shared" ca="1" si="189"/>
        <v>-8.448123014287141E-3</v>
      </c>
    </row>
    <row r="6675" spans="6:7" x14ac:dyDescent="0.35">
      <c r="F6675">
        <v>6672</v>
      </c>
      <c r="G6675">
        <f t="shared" ca="1" si="189"/>
        <v>-1.4345834680410514E-2</v>
      </c>
    </row>
    <row r="6676" spans="6:7" x14ac:dyDescent="0.35">
      <c r="F6676">
        <v>6673</v>
      </c>
      <c r="G6676">
        <f t="shared" ca="1" si="189"/>
        <v>5.6872943514341676E-2</v>
      </c>
    </row>
    <row r="6677" spans="6:7" x14ac:dyDescent="0.35">
      <c r="F6677">
        <v>6674</v>
      </c>
      <c r="G6677">
        <f t="shared" ca="1" si="189"/>
        <v>2.5174338395057731E-2</v>
      </c>
    </row>
    <row r="6678" spans="6:7" x14ac:dyDescent="0.35">
      <c r="F6678">
        <v>6675</v>
      </c>
      <c r="G6678">
        <f t="shared" ca="1" si="189"/>
        <v>6.1137792252173263E-3</v>
      </c>
    </row>
    <row r="6679" spans="6:7" x14ac:dyDescent="0.35">
      <c r="F6679">
        <v>6676</v>
      </c>
      <c r="G6679">
        <f t="shared" ca="1" si="189"/>
        <v>-3.7602784293972902E-2</v>
      </c>
    </row>
    <row r="6680" spans="6:7" x14ac:dyDescent="0.35">
      <c r="F6680">
        <v>6677</v>
      </c>
      <c r="G6680">
        <f t="shared" ca="1" si="189"/>
        <v>-1.0885238205125091E-2</v>
      </c>
    </row>
    <row r="6681" spans="6:7" x14ac:dyDescent="0.35">
      <c r="F6681">
        <v>6678</v>
      </c>
      <c r="G6681">
        <f t="shared" ca="1" si="189"/>
        <v>1.0053515558672881E-2</v>
      </c>
    </row>
    <row r="6682" spans="6:7" x14ac:dyDescent="0.35">
      <c r="F6682">
        <v>6679</v>
      </c>
      <c r="G6682">
        <f t="shared" ca="1" si="189"/>
        <v>2.0589320286890936E-2</v>
      </c>
    </row>
    <row r="6683" spans="6:7" x14ac:dyDescent="0.35">
      <c r="F6683">
        <v>6680</v>
      </c>
      <c r="G6683">
        <f t="shared" ca="1" si="189"/>
        <v>-2.2636161855566855E-2</v>
      </c>
    </row>
    <row r="6684" spans="6:7" x14ac:dyDescent="0.35">
      <c r="F6684">
        <v>6681</v>
      </c>
      <c r="G6684">
        <f t="shared" ca="1" si="189"/>
        <v>2.1858476657177241E-2</v>
      </c>
    </row>
    <row r="6685" spans="6:7" x14ac:dyDescent="0.35">
      <c r="F6685">
        <v>6682</v>
      </c>
      <c r="G6685">
        <f t="shared" ca="1" si="189"/>
        <v>-1.4325096578475142E-2</v>
      </c>
    </row>
    <row r="6686" spans="6:7" x14ac:dyDescent="0.35">
      <c r="F6686">
        <v>6683</v>
      </c>
      <c r="G6686">
        <f t="shared" ca="1" si="189"/>
        <v>-4.5001653150092778E-3</v>
      </c>
    </row>
    <row r="6687" spans="6:7" x14ac:dyDescent="0.35">
      <c r="F6687">
        <v>6684</v>
      </c>
      <c r="G6687">
        <f t="shared" ca="1" si="189"/>
        <v>-8.5675645469327592E-3</v>
      </c>
    </row>
    <row r="6688" spans="6:7" x14ac:dyDescent="0.35">
      <c r="F6688">
        <v>6685</v>
      </c>
      <c r="G6688">
        <f t="shared" ca="1" si="189"/>
        <v>1.0279024356609471E-2</v>
      </c>
    </row>
    <row r="6689" spans="6:7" x14ac:dyDescent="0.35">
      <c r="F6689">
        <v>6686</v>
      </c>
      <c r="G6689">
        <f t="shared" ca="1" si="189"/>
        <v>-7.7720175440755736E-3</v>
      </c>
    </row>
    <row r="6690" spans="6:7" x14ac:dyDescent="0.35">
      <c r="F6690">
        <v>6687</v>
      </c>
      <c r="G6690">
        <f t="shared" ca="1" si="189"/>
        <v>5.0375596132400642E-3</v>
      </c>
    </row>
    <row r="6691" spans="6:7" x14ac:dyDescent="0.35">
      <c r="F6691">
        <v>6688</v>
      </c>
      <c r="G6691">
        <f t="shared" ca="1" si="189"/>
        <v>5.0723020826708935E-3</v>
      </c>
    </row>
    <row r="6692" spans="6:7" x14ac:dyDescent="0.35">
      <c r="F6692">
        <v>6689</v>
      </c>
      <c r="G6692">
        <f t="shared" ca="1" si="189"/>
        <v>2.627678189963947E-4</v>
      </c>
    </row>
    <row r="6693" spans="6:7" x14ac:dyDescent="0.35">
      <c r="F6693">
        <v>6690</v>
      </c>
      <c r="G6693">
        <f t="shared" ca="1" si="189"/>
        <v>-2.0033763583119403E-2</v>
      </c>
    </row>
    <row r="6694" spans="6:7" x14ac:dyDescent="0.35">
      <c r="F6694">
        <v>6691</v>
      </c>
      <c r="G6694">
        <f t="shared" ca="1" si="189"/>
        <v>-4.3126379404139603E-2</v>
      </c>
    </row>
    <row r="6695" spans="6:7" x14ac:dyDescent="0.35">
      <c r="F6695">
        <v>6692</v>
      </c>
      <c r="G6695">
        <f t="shared" ca="1" si="189"/>
        <v>1.2566425788455543E-3</v>
      </c>
    </row>
    <row r="6696" spans="6:7" x14ac:dyDescent="0.35">
      <c r="F6696">
        <v>6693</v>
      </c>
      <c r="G6696">
        <f t="shared" ca="1" si="189"/>
        <v>-2.0486294931587053E-2</v>
      </c>
    </row>
    <row r="6697" spans="6:7" x14ac:dyDescent="0.35">
      <c r="F6697">
        <v>6694</v>
      </c>
      <c r="G6697">
        <f t="shared" ca="1" si="189"/>
        <v>4.1013340654426807E-3</v>
      </c>
    </row>
    <row r="6698" spans="6:7" x14ac:dyDescent="0.35">
      <c r="F6698">
        <v>6695</v>
      </c>
      <c r="G6698">
        <f t="shared" ca="1" si="189"/>
        <v>-1.0055029290171122E-2</v>
      </c>
    </row>
    <row r="6699" spans="6:7" x14ac:dyDescent="0.35">
      <c r="F6699">
        <v>6696</v>
      </c>
      <c r="G6699">
        <f t="shared" ca="1" si="189"/>
        <v>1.0663230653642237E-2</v>
      </c>
    </row>
    <row r="6700" spans="6:7" x14ac:dyDescent="0.35">
      <c r="F6700">
        <v>6697</v>
      </c>
      <c r="G6700">
        <f t="shared" ca="1" si="189"/>
        <v>4.088252405662212E-2</v>
      </c>
    </row>
    <row r="6701" spans="6:7" x14ac:dyDescent="0.35">
      <c r="F6701">
        <v>6698</v>
      </c>
      <c r="G6701">
        <f t="shared" ca="1" si="189"/>
        <v>3.8055926780733385E-2</v>
      </c>
    </row>
    <row r="6702" spans="6:7" x14ac:dyDescent="0.35">
      <c r="F6702">
        <v>6699</v>
      </c>
      <c r="G6702">
        <f t="shared" ca="1" si="189"/>
        <v>-1.5233201776708772E-2</v>
      </c>
    </row>
    <row r="6703" spans="6:7" x14ac:dyDescent="0.35">
      <c r="F6703">
        <v>6700</v>
      </c>
      <c r="G6703">
        <f t="shared" ca="1" si="189"/>
        <v>1.9997375144606463E-2</v>
      </c>
    </row>
    <row r="6704" spans="6:7" x14ac:dyDescent="0.35">
      <c r="F6704">
        <v>6701</v>
      </c>
      <c r="G6704">
        <f t="shared" ca="1" si="189"/>
        <v>1.5795002385560433E-2</v>
      </c>
    </row>
    <row r="6705" spans="6:7" x14ac:dyDescent="0.35">
      <c r="F6705">
        <v>6702</v>
      </c>
      <c r="G6705">
        <f t="shared" ca="1" si="189"/>
        <v>3.8445755212159378E-3</v>
      </c>
    </row>
    <row r="6706" spans="6:7" x14ac:dyDescent="0.35">
      <c r="F6706">
        <v>6703</v>
      </c>
      <c r="G6706">
        <f t="shared" ca="1" si="189"/>
        <v>-1.3865167737412686E-2</v>
      </c>
    </row>
    <row r="6707" spans="6:7" x14ac:dyDescent="0.35">
      <c r="F6707">
        <v>6704</v>
      </c>
      <c r="G6707">
        <f t="shared" ca="1" si="189"/>
        <v>-2.3106159279369272E-3</v>
      </c>
    </row>
    <row r="6708" spans="6:7" x14ac:dyDescent="0.35">
      <c r="F6708">
        <v>6705</v>
      </c>
      <c r="G6708">
        <f t="shared" ca="1" si="189"/>
        <v>-2.2737975776775447E-2</v>
      </c>
    </row>
    <row r="6709" spans="6:7" x14ac:dyDescent="0.35">
      <c r="F6709">
        <v>6706</v>
      </c>
      <c r="G6709">
        <f t="shared" ca="1" si="189"/>
        <v>-3.1118357169075015E-3</v>
      </c>
    </row>
    <row r="6710" spans="6:7" x14ac:dyDescent="0.35">
      <c r="F6710">
        <v>6707</v>
      </c>
      <c r="G6710">
        <f t="shared" ca="1" si="189"/>
        <v>5.814059955758439E-2</v>
      </c>
    </row>
    <row r="6711" spans="6:7" x14ac:dyDescent="0.35">
      <c r="F6711">
        <v>6708</v>
      </c>
      <c r="G6711">
        <f t="shared" ca="1" si="189"/>
        <v>7.3544043316743895E-3</v>
      </c>
    </row>
    <row r="6712" spans="6:7" x14ac:dyDescent="0.35">
      <c r="F6712">
        <v>6709</v>
      </c>
      <c r="G6712">
        <f t="shared" ca="1" si="189"/>
        <v>1.9455296441747528E-2</v>
      </c>
    </row>
    <row r="6713" spans="6:7" x14ac:dyDescent="0.35">
      <c r="F6713">
        <v>6710</v>
      </c>
      <c r="G6713">
        <f t="shared" ca="1" si="189"/>
        <v>2.7623629921669144E-2</v>
      </c>
    </row>
    <row r="6714" spans="6:7" x14ac:dyDescent="0.35">
      <c r="F6714">
        <v>6711</v>
      </c>
      <c r="G6714">
        <f t="shared" ca="1" si="189"/>
        <v>-2.6196693820073867E-2</v>
      </c>
    </row>
    <row r="6715" spans="6:7" x14ac:dyDescent="0.35">
      <c r="F6715">
        <v>6712</v>
      </c>
      <c r="G6715">
        <f t="shared" ca="1" si="189"/>
        <v>6.5319957372062636E-3</v>
      </c>
    </row>
    <row r="6716" spans="6:7" x14ac:dyDescent="0.35">
      <c r="F6716">
        <v>6713</v>
      </c>
      <c r="G6716">
        <f t="shared" ca="1" si="189"/>
        <v>1.7067844072778227E-2</v>
      </c>
    </row>
    <row r="6717" spans="6:7" x14ac:dyDescent="0.35">
      <c r="F6717">
        <v>6714</v>
      </c>
      <c r="G6717">
        <f t="shared" ca="1" si="189"/>
        <v>1.6686737322934215E-3</v>
      </c>
    </row>
    <row r="6718" spans="6:7" x14ac:dyDescent="0.35">
      <c r="F6718">
        <v>6715</v>
      </c>
      <c r="G6718">
        <f t="shared" ca="1" si="189"/>
        <v>7.6949223922185162E-3</v>
      </c>
    </row>
    <row r="6719" spans="6:7" x14ac:dyDescent="0.35">
      <c r="F6719">
        <v>6716</v>
      </c>
      <c r="G6719">
        <f t="shared" ca="1" si="189"/>
        <v>-1.2751000300657204E-2</v>
      </c>
    </row>
    <row r="6720" spans="6:7" x14ac:dyDescent="0.35">
      <c r="F6720">
        <v>6717</v>
      </c>
      <c r="G6720">
        <f t="shared" ca="1" si="189"/>
        <v>-4.8978481563685282E-5</v>
      </c>
    </row>
    <row r="6721" spans="6:7" x14ac:dyDescent="0.35">
      <c r="F6721">
        <v>6718</v>
      </c>
      <c r="G6721">
        <f t="shared" ca="1" si="189"/>
        <v>2.4639624213137149E-2</v>
      </c>
    </row>
    <row r="6722" spans="6:7" x14ac:dyDescent="0.35">
      <c r="F6722">
        <v>6719</v>
      </c>
      <c r="G6722">
        <f t="shared" ca="1" si="189"/>
        <v>-5.4744913720989594E-2</v>
      </c>
    </row>
    <row r="6723" spans="6:7" x14ac:dyDescent="0.35">
      <c r="F6723">
        <v>6720</v>
      </c>
      <c r="G6723">
        <f t="shared" ca="1" si="189"/>
        <v>6.7231850105347107E-3</v>
      </c>
    </row>
    <row r="6724" spans="6:7" x14ac:dyDescent="0.35">
      <c r="F6724">
        <v>6721</v>
      </c>
      <c r="G6724">
        <f t="shared" ca="1" si="189"/>
        <v>-1.1518862768726133E-2</v>
      </c>
    </row>
    <row r="6725" spans="6:7" x14ac:dyDescent="0.35">
      <c r="F6725">
        <v>6722</v>
      </c>
      <c r="G6725">
        <f t="shared" ref="G6725:G6788" ca="1" si="190">_xlfn.NORM.INV(RAND(),K$6,K$7)</f>
        <v>-1.7898202756742546E-2</v>
      </c>
    </row>
    <row r="6726" spans="6:7" x14ac:dyDescent="0.35">
      <c r="F6726">
        <v>6723</v>
      </c>
      <c r="G6726">
        <f t="shared" ca="1" si="190"/>
        <v>-1.2732109030095229E-2</v>
      </c>
    </row>
    <row r="6727" spans="6:7" x14ac:dyDescent="0.35">
      <c r="F6727">
        <v>6724</v>
      </c>
      <c r="G6727">
        <f t="shared" ca="1" si="190"/>
        <v>1.282768767711634E-2</v>
      </c>
    </row>
    <row r="6728" spans="6:7" x14ac:dyDescent="0.35">
      <c r="F6728">
        <v>6725</v>
      </c>
      <c r="G6728">
        <f t="shared" ca="1" si="190"/>
        <v>1.709767396733729E-3</v>
      </c>
    </row>
    <row r="6729" spans="6:7" x14ac:dyDescent="0.35">
      <c r="F6729">
        <v>6726</v>
      </c>
      <c r="G6729">
        <f t="shared" ca="1" si="190"/>
        <v>-7.7590246846499789E-3</v>
      </c>
    </row>
    <row r="6730" spans="6:7" x14ac:dyDescent="0.35">
      <c r="F6730">
        <v>6727</v>
      </c>
      <c r="G6730">
        <f t="shared" ca="1" si="190"/>
        <v>-2.608055321502825E-3</v>
      </c>
    </row>
    <row r="6731" spans="6:7" x14ac:dyDescent="0.35">
      <c r="F6731">
        <v>6728</v>
      </c>
      <c r="G6731">
        <f t="shared" ca="1" si="190"/>
        <v>3.338224551157358E-2</v>
      </c>
    </row>
    <row r="6732" spans="6:7" x14ac:dyDescent="0.35">
      <c r="F6732">
        <v>6729</v>
      </c>
      <c r="G6732">
        <f t="shared" ca="1" si="190"/>
        <v>4.408859809539134E-2</v>
      </c>
    </row>
    <row r="6733" spans="6:7" x14ac:dyDescent="0.35">
      <c r="F6733">
        <v>6730</v>
      </c>
      <c r="G6733">
        <f t="shared" ca="1" si="190"/>
        <v>1.5062501250935926E-2</v>
      </c>
    </row>
    <row r="6734" spans="6:7" x14ac:dyDescent="0.35">
      <c r="F6734">
        <v>6731</v>
      </c>
      <c r="G6734">
        <f t="shared" ca="1" si="190"/>
        <v>-8.8340494255200359E-3</v>
      </c>
    </row>
    <row r="6735" spans="6:7" x14ac:dyDescent="0.35">
      <c r="F6735">
        <v>6732</v>
      </c>
      <c r="G6735">
        <f t="shared" ca="1" si="190"/>
        <v>2.9216615756524497E-2</v>
      </c>
    </row>
    <row r="6736" spans="6:7" x14ac:dyDescent="0.35">
      <c r="F6736">
        <v>6733</v>
      </c>
      <c r="G6736">
        <f t="shared" ca="1" si="190"/>
        <v>1.4356087656486492E-3</v>
      </c>
    </row>
    <row r="6737" spans="6:7" x14ac:dyDescent="0.35">
      <c r="F6737">
        <v>6734</v>
      </c>
      <c r="G6737">
        <f t="shared" ca="1" si="190"/>
        <v>-5.6034006775223202E-2</v>
      </c>
    </row>
    <row r="6738" spans="6:7" x14ac:dyDescent="0.35">
      <c r="F6738">
        <v>6735</v>
      </c>
      <c r="G6738">
        <f t="shared" ca="1" si="190"/>
        <v>3.8230307923220193E-2</v>
      </c>
    </row>
    <row r="6739" spans="6:7" x14ac:dyDescent="0.35">
      <c r="F6739">
        <v>6736</v>
      </c>
      <c r="G6739">
        <f t="shared" ca="1" si="190"/>
        <v>-7.0716720909081265E-2</v>
      </c>
    </row>
    <row r="6740" spans="6:7" x14ac:dyDescent="0.35">
      <c r="F6740">
        <v>6737</v>
      </c>
      <c r="G6740">
        <f t="shared" ca="1" si="190"/>
        <v>4.2456046807050112E-2</v>
      </c>
    </row>
    <row r="6741" spans="6:7" x14ac:dyDescent="0.35">
      <c r="F6741">
        <v>6738</v>
      </c>
      <c r="G6741">
        <f t="shared" ca="1" si="190"/>
        <v>-3.3424247801564264E-2</v>
      </c>
    </row>
    <row r="6742" spans="6:7" x14ac:dyDescent="0.35">
      <c r="F6742">
        <v>6739</v>
      </c>
      <c r="G6742">
        <f t="shared" ca="1" si="190"/>
        <v>2.1887033958143898E-2</v>
      </c>
    </row>
    <row r="6743" spans="6:7" x14ac:dyDescent="0.35">
      <c r="F6743">
        <v>6740</v>
      </c>
      <c r="G6743">
        <f t="shared" ca="1" si="190"/>
        <v>3.6752038266780279E-2</v>
      </c>
    </row>
    <row r="6744" spans="6:7" x14ac:dyDescent="0.35">
      <c r="F6744">
        <v>6741</v>
      </c>
      <c r="G6744">
        <f t="shared" ca="1" si="190"/>
        <v>8.3910544623178422E-3</v>
      </c>
    </row>
    <row r="6745" spans="6:7" x14ac:dyDescent="0.35">
      <c r="F6745">
        <v>6742</v>
      </c>
      <c r="G6745">
        <f t="shared" ca="1" si="190"/>
        <v>3.5445009593374904E-2</v>
      </c>
    </row>
    <row r="6746" spans="6:7" x14ac:dyDescent="0.35">
      <c r="F6746">
        <v>6743</v>
      </c>
      <c r="G6746">
        <f t="shared" ca="1" si="190"/>
        <v>-8.7986357762505924E-3</v>
      </c>
    </row>
    <row r="6747" spans="6:7" x14ac:dyDescent="0.35">
      <c r="F6747">
        <v>6744</v>
      </c>
      <c r="G6747">
        <f t="shared" ca="1" si="190"/>
        <v>-3.5295130462217342E-2</v>
      </c>
    </row>
    <row r="6748" spans="6:7" x14ac:dyDescent="0.35">
      <c r="F6748">
        <v>6745</v>
      </c>
      <c r="G6748">
        <f t="shared" ca="1" si="190"/>
        <v>-3.948889265627651E-2</v>
      </c>
    </row>
    <row r="6749" spans="6:7" x14ac:dyDescent="0.35">
      <c r="F6749">
        <v>6746</v>
      </c>
      <c r="G6749">
        <f t="shared" ca="1" si="190"/>
        <v>6.6437103457834684E-3</v>
      </c>
    </row>
    <row r="6750" spans="6:7" x14ac:dyDescent="0.35">
      <c r="F6750">
        <v>6747</v>
      </c>
      <c r="G6750">
        <f t="shared" ca="1" si="190"/>
        <v>-7.4597983442992136E-2</v>
      </c>
    </row>
    <row r="6751" spans="6:7" x14ac:dyDescent="0.35">
      <c r="F6751">
        <v>6748</v>
      </c>
      <c r="G6751">
        <f t="shared" ca="1" si="190"/>
        <v>2.9452257050644234E-2</v>
      </c>
    </row>
    <row r="6752" spans="6:7" x14ac:dyDescent="0.35">
      <c r="F6752">
        <v>6749</v>
      </c>
      <c r="G6752">
        <f t="shared" ca="1" si="190"/>
        <v>-2.3006355497957903E-2</v>
      </c>
    </row>
    <row r="6753" spans="6:7" x14ac:dyDescent="0.35">
      <c r="F6753">
        <v>6750</v>
      </c>
      <c r="G6753">
        <f t="shared" ca="1" si="190"/>
        <v>-1.9054211654608535E-2</v>
      </c>
    </row>
    <row r="6754" spans="6:7" x14ac:dyDescent="0.35">
      <c r="F6754">
        <v>6751</v>
      </c>
      <c r="G6754">
        <f t="shared" ca="1" si="190"/>
        <v>-5.7418875291511337E-2</v>
      </c>
    </row>
    <row r="6755" spans="6:7" x14ac:dyDescent="0.35">
      <c r="F6755">
        <v>6752</v>
      </c>
      <c r="G6755">
        <f t="shared" ca="1" si="190"/>
        <v>-1.8087299928185301E-2</v>
      </c>
    </row>
    <row r="6756" spans="6:7" x14ac:dyDescent="0.35">
      <c r="F6756">
        <v>6753</v>
      </c>
      <c r="G6756">
        <f t="shared" ca="1" si="190"/>
        <v>2.5454344684907475E-2</v>
      </c>
    </row>
    <row r="6757" spans="6:7" x14ac:dyDescent="0.35">
      <c r="F6757">
        <v>6754</v>
      </c>
      <c r="G6757">
        <f t="shared" ca="1" si="190"/>
        <v>-2.4558685302019399E-2</v>
      </c>
    </row>
    <row r="6758" spans="6:7" x14ac:dyDescent="0.35">
      <c r="F6758">
        <v>6755</v>
      </c>
      <c r="G6758">
        <f t="shared" ca="1" si="190"/>
        <v>5.6179357762748877E-2</v>
      </c>
    </row>
    <row r="6759" spans="6:7" x14ac:dyDescent="0.35">
      <c r="F6759">
        <v>6756</v>
      </c>
      <c r="G6759">
        <f t="shared" ca="1" si="190"/>
        <v>1.7396556121368638E-2</v>
      </c>
    </row>
    <row r="6760" spans="6:7" x14ac:dyDescent="0.35">
      <c r="F6760">
        <v>6757</v>
      </c>
      <c r="G6760">
        <f t="shared" ca="1" si="190"/>
        <v>-1.3085737234012774E-2</v>
      </c>
    </row>
    <row r="6761" spans="6:7" x14ac:dyDescent="0.35">
      <c r="F6761">
        <v>6758</v>
      </c>
      <c r="G6761">
        <f t="shared" ca="1" si="190"/>
        <v>3.7970444304230015E-2</v>
      </c>
    </row>
    <row r="6762" spans="6:7" x14ac:dyDescent="0.35">
      <c r="F6762">
        <v>6759</v>
      </c>
      <c r="G6762">
        <f t="shared" ca="1" si="190"/>
        <v>1.8272891038916918E-2</v>
      </c>
    </row>
    <row r="6763" spans="6:7" x14ac:dyDescent="0.35">
      <c r="F6763">
        <v>6760</v>
      </c>
      <c r="G6763">
        <f t="shared" ca="1" si="190"/>
        <v>-7.941279190960519E-3</v>
      </c>
    </row>
    <row r="6764" spans="6:7" x14ac:dyDescent="0.35">
      <c r="F6764">
        <v>6761</v>
      </c>
      <c r="G6764">
        <f t="shared" ca="1" si="190"/>
        <v>-1.8950358657204874E-2</v>
      </c>
    </row>
    <row r="6765" spans="6:7" x14ac:dyDescent="0.35">
      <c r="F6765">
        <v>6762</v>
      </c>
      <c r="G6765">
        <f t="shared" ca="1" si="190"/>
        <v>-1.2067896190357058E-2</v>
      </c>
    </row>
    <row r="6766" spans="6:7" x14ac:dyDescent="0.35">
      <c r="F6766">
        <v>6763</v>
      </c>
      <c r="G6766">
        <f t="shared" ca="1" si="190"/>
        <v>-1.5869946994589476E-2</v>
      </c>
    </row>
    <row r="6767" spans="6:7" x14ac:dyDescent="0.35">
      <c r="F6767">
        <v>6764</v>
      </c>
      <c r="G6767">
        <f t="shared" ca="1" si="190"/>
        <v>4.3129432243238586E-3</v>
      </c>
    </row>
    <row r="6768" spans="6:7" x14ac:dyDescent="0.35">
      <c r="F6768">
        <v>6765</v>
      </c>
      <c r="G6768">
        <f t="shared" ca="1" si="190"/>
        <v>-4.758190896868149E-3</v>
      </c>
    </row>
    <row r="6769" spans="6:7" x14ac:dyDescent="0.35">
      <c r="F6769">
        <v>6766</v>
      </c>
      <c r="G6769">
        <f t="shared" ca="1" si="190"/>
        <v>-2.6198833974306463E-2</v>
      </c>
    </row>
    <row r="6770" spans="6:7" x14ac:dyDescent="0.35">
      <c r="F6770">
        <v>6767</v>
      </c>
      <c r="G6770">
        <f t="shared" ca="1" si="190"/>
        <v>1.4100752543578066E-2</v>
      </c>
    </row>
    <row r="6771" spans="6:7" x14ac:dyDescent="0.35">
      <c r="F6771">
        <v>6768</v>
      </c>
      <c r="G6771">
        <f t="shared" ca="1" si="190"/>
        <v>-2.1526611398566018E-2</v>
      </c>
    </row>
    <row r="6772" spans="6:7" x14ac:dyDescent="0.35">
      <c r="F6772">
        <v>6769</v>
      </c>
      <c r="G6772">
        <f t="shared" ca="1" si="190"/>
        <v>-3.0269965482117172E-2</v>
      </c>
    </row>
    <row r="6773" spans="6:7" x14ac:dyDescent="0.35">
      <c r="F6773">
        <v>6770</v>
      </c>
      <c r="G6773">
        <f t="shared" ca="1" si="190"/>
        <v>-6.0707894728954815E-3</v>
      </c>
    </row>
    <row r="6774" spans="6:7" x14ac:dyDescent="0.35">
      <c r="F6774">
        <v>6771</v>
      </c>
      <c r="G6774">
        <f t="shared" ca="1" si="190"/>
        <v>2.1641403846198354E-2</v>
      </c>
    </row>
    <row r="6775" spans="6:7" x14ac:dyDescent="0.35">
      <c r="F6775">
        <v>6772</v>
      </c>
      <c r="G6775">
        <f t="shared" ca="1" si="190"/>
        <v>1.1638283135789991E-2</v>
      </c>
    </row>
    <row r="6776" spans="6:7" x14ac:dyDescent="0.35">
      <c r="F6776">
        <v>6773</v>
      </c>
      <c r="G6776">
        <f t="shared" ca="1" si="190"/>
        <v>2.7329534293515891E-2</v>
      </c>
    </row>
    <row r="6777" spans="6:7" x14ac:dyDescent="0.35">
      <c r="F6777">
        <v>6774</v>
      </c>
      <c r="G6777">
        <f t="shared" ca="1" si="190"/>
        <v>-5.9017473122091046E-2</v>
      </c>
    </row>
    <row r="6778" spans="6:7" x14ac:dyDescent="0.35">
      <c r="F6778">
        <v>6775</v>
      </c>
      <c r="G6778">
        <f t="shared" ca="1" si="190"/>
        <v>-7.6243996748977406E-3</v>
      </c>
    </row>
    <row r="6779" spans="6:7" x14ac:dyDescent="0.35">
      <c r="F6779">
        <v>6776</v>
      </c>
      <c r="G6779">
        <f t="shared" ca="1" si="190"/>
        <v>2.9528958270721193E-2</v>
      </c>
    </row>
    <row r="6780" spans="6:7" x14ac:dyDescent="0.35">
      <c r="F6780">
        <v>6777</v>
      </c>
      <c r="G6780">
        <f t="shared" ca="1" si="190"/>
        <v>3.9054949752449407E-2</v>
      </c>
    </row>
    <row r="6781" spans="6:7" x14ac:dyDescent="0.35">
      <c r="F6781">
        <v>6778</v>
      </c>
      <c r="G6781">
        <f t="shared" ca="1" si="190"/>
        <v>-1.6598563583115553E-4</v>
      </c>
    </row>
    <row r="6782" spans="6:7" x14ac:dyDescent="0.35">
      <c r="F6782">
        <v>6779</v>
      </c>
      <c r="G6782">
        <f t="shared" ca="1" si="190"/>
        <v>-1.4271302063866603E-2</v>
      </c>
    </row>
    <row r="6783" spans="6:7" x14ac:dyDescent="0.35">
      <c r="F6783">
        <v>6780</v>
      </c>
      <c r="G6783">
        <f t="shared" ca="1" si="190"/>
        <v>-1.8950733743774536E-2</v>
      </c>
    </row>
    <row r="6784" spans="6:7" x14ac:dyDescent="0.35">
      <c r="F6784">
        <v>6781</v>
      </c>
      <c r="G6784">
        <f t="shared" ca="1" si="190"/>
        <v>-3.8398766993539599E-2</v>
      </c>
    </row>
    <row r="6785" spans="6:7" x14ac:dyDescent="0.35">
      <c r="F6785">
        <v>6782</v>
      </c>
      <c r="G6785">
        <f t="shared" ca="1" si="190"/>
        <v>-5.3929749316275769E-2</v>
      </c>
    </row>
    <row r="6786" spans="6:7" x14ac:dyDescent="0.35">
      <c r="F6786">
        <v>6783</v>
      </c>
      <c r="G6786">
        <f t="shared" ca="1" si="190"/>
        <v>-3.2181497889587511E-2</v>
      </c>
    </row>
    <row r="6787" spans="6:7" x14ac:dyDescent="0.35">
      <c r="F6787">
        <v>6784</v>
      </c>
      <c r="G6787">
        <f t="shared" ca="1" si="190"/>
        <v>1.2861518244564116E-2</v>
      </c>
    </row>
    <row r="6788" spans="6:7" x14ac:dyDescent="0.35">
      <c r="F6788">
        <v>6785</v>
      </c>
      <c r="G6788">
        <f t="shared" ca="1" si="190"/>
        <v>1.3625508306883048E-2</v>
      </c>
    </row>
    <row r="6789" spans="6:7" x14ac:dyDescent="0.35">
      <c r="F6789">
        <v>6786</v>
      </c>
      <c r="G6789">
        <f t="shared" ref="G6789:G6852" ca="1" si="191">_xlfn.NORM.INV(RAND(),K$6,K$7)</f>
        <v>2.3401283521454212E-2</v>
      </c>
    </row>
    <row r="6790" spans="6:7" x14ac:dyDescent="0.35">
      <c r="F6790">
        <v>6787</v>
      </c>
      <c r="G6790">
        <f t="shared" ca="1" si="191"/>
        <v>3.213992302345986E-2</v>
      </c>
    </row>
    <row r="6791" spans="6:7" x14ac:dyDescent="0.35">
      <c r="F6791">
        <v>6788</v>
      </c>
      <c r="G6791">
        <f t="shared" ca="1" si="191"/>
        <v>3.0892599554731741E-3</v>
      </c>
    </row>
    <row r="6792" spans="6:7" x14ac:dyDescent="0.35">
      <c r="F6792">
        <v>6789</v>
      </c>
      <c r="G6792">
        <f t="shared" ca="1" si="191"/>
        <v>1.7703099145425848E-2</v>
      </c>
    </row>
    <row r="6793" spans="6:7" x14ac:dyDescent="0.35">
      <c r="F6793">
        <v>6790</v>
      </c>
      <c r="G6793">
        <f t="shared" ca="1" si="191"/>
        <v>2.3939975987454843E-3</v>
      </c>
    </row>
    <row r="6794" spans="6:7" x14ac:dyDescent="0.35">
      <c r="F6794">
        <v>6791</v>
      </c>
      <c r="G6794">
        <f t="shared" ca="1" si="191"/>
        <v>-4.7449933367129798E-2</v>
      </c>
    </row>
    <row r="6795" spans="6:7" x14ac:dyDescent="0.35">
      <c r="F6795">
        <v>6792</v>
      </c>
      <c r="G6795">
        <f t="shared" ca="1" si="191"/>
        <v>2.4570732565897535E-2</v>
      </c>
    </row>
    <row r="6796" spans="6:7" x14ac:dyDescent="0.35">
      <c r="F6796">
        <v>6793</v>
      </c>
      <c r="G6796">
        <f t="shared" ca="1" si="191"/>
        <v>-2.2183885904404219E-2</v>
      </c>
    </row>
    <row r="6797" spans="6:7" x14ac:dyDescent="0.35">
      <c r="F6797">
        <v>6794</v>
      </c>
      <c r="G6797">
        <f t="shared" ca="1" si="191"/>
        <v>1.1193432265850427E-3</v>
      </c>
    </row>
    <row r="6798" spans="6:7" x14ac:dyDescent="0.35">
      <c r="F6798">
        <v>6795</v>
      </c>
      <c r="G6798">
        <f t="shared" ca="1" si="191"/>
        <v>-4.8912712747232835E-2</v>
      </c>
    </row>
    <row r="6799" spans="6:7" x14ac:dyDescent="0.35">
      <c r="F6799">
        <v>6796</v>
      </c>
      <c r="G6799">
        <f t="shared" ca="1" si="191"/>
        <v>5.0788332817806127E-2</v>
      </c>
    </row>
    <row r="6800" spans="6:7" x14ac:dyDescent="0.35">
      <c r="F6800">
        <v>6797</v>
      </c>
      <c r="G6800">
        <f t="shared" ca="1" si="191"/>
        <v>2.9346961687477427E-2</v>
      </c>
    </row>
    <row r="6801" spans="6:7" x14ac:dyDescent="0.35">
      <c r="F6801">
        <v>6798</v>
      </c>
      <c r="G6801">
        <f t="shared" ca="1" si="191"/>
        <v>-1.2978359637246001E-2</v>
      </c>
    </row>
    <row r="6802" spans="6:7" x14ac:dyDescent="0.35">
      <c r="F6802">
        <v>6799</v>
      </c>
      <c r="G6802">
        <f t="shared" ca="1" si="191"/>
        <v>-3.3820559782157138E-2</v>
      </c>
    </row>
    <row r="6803" spans="6:7" x14ac:dyDescent="0.35">
      <c r="F6803">
        <v>6800</v>
      </c>
      <c r="G6803">
        <f t="shared" ca="1" si="191"/>
        <v>-3.7326280261109138E-3</v>
      </c>
    </row>
    <row r="6804" spans="6:7" x14ac:dyDescent="0.35">
      <c r="F6804">
        <v>6801</v>
      </c>
      <c r="G6804">
        <f t="shared" ca="1" si="191"/>
        <v>-3.8914818620299732E-2</v>
      </c>
    </row>
    <row r="6805" spans="6:7" x14ac:dyDescent="0.35">
      <c r="F6805">
        <v>6802</v>
      </c>
      <c r="G6805">
        <f t="shared" ca="1" si="191"/>
        <v>2.3772424165492814E-2</v>
      </c>
    </row>
    <row r="6806" spans="6:7" x14ac:dyDescent="0.35">
      <c r="F6806">
        <v>6803</v>
      </c>
      <c r="G6806">
        <f t="shared" ca="1" si="191"/>
        <v>-3.5429171124272914E-2</v>
      </c>
    </row>
    <row r="6807" spans="6:7" x14ac:dyDescent="0.35">
      <c r="F6807">
        <v>6804</v>
      </c>
      <c r="G6807">
        <f t="shared" ca="1" si="191"/>
        <v>1.3294009529506001E-2</v>
      </c>
    </row>
    <row r="6808" spans="6:7" x14ac:dyDescent="0.35">
      <c r="F6808">
        <v>6805</v>
      </c>
      <c r="G6808">
        <f t="shared" ca="1" si="191"/>
        <v>-1.666448327632053E-2</v>
      </c>
    </row>
    <row r="6809" spans="6:7" x14ac:dyDescent="0.35">
      <c r="F6809">
        <v>6806</v>
      </c>
      <c r="G6809">
        <f t="shared" ca="1" si="191"/>
        <v>7.3602401507660668E-3</v>
      </c>
    </row>
    <row r="6810" spans="6:7" x14ac:dyDescent="0.35">
      <c r="F6810">
        <v>6807</v>
      </c>
      <c r="G6810">
        <f t="shared" ca="1" si="191"/>
        <v>-1.5291382102571003E-2</v>
      </c>
    </row>
    <row r="6811" spans="6:7" x14ac:dyDescent="0.35">
      <c r="F6811">
        <v>6808</v>
      </c>
      <c r="G6811">
        <f t="shared" ca="1" si="191"/>
        <v>-5.2200506528260922E-2</v>
      </c>
    </row>
    <row r="6812" spans="6:7" x14ac:dyDescent="0.35">
      <c r="F6812">
        <v>6809</v>
      </c>
      <c r="G6812">
        <f t="shared" ca="1" si="191"/>
        <v>2.0380093265212815E-2</v>
      </c>
    </row>
    <row r="6813" spans="6:7" x14ac:dyDescent="0.35">
      <c r="F6813">
        <v>6810</v>
      </c>
      <c r="G6813">
        <f t="shared" ca="1" si="191"/>
        <v>4.5330685036934132E-2</v>
      </c>
    </row>
    <row r="6814" spans="6:7" x14ac:dyDescent="0.35">
      <c r="F6814">
        <v>6811</v>
      </c>
      <c r="G6814">
        <f t="shared" ca="1" si="191"/>
        <v>-2.2861819644662707E-2</v>
      </c>
    </row>
    <row r="6815" spans="6:7" x14ac:dyDescent="0.35">
      <c r="F6815">
        <v>6812</v>
      </c>
      <c r="G6815">
        <f t="shared" ca="1" si="191"/>
        <v>-2.3170945898028542E-2</v>
      </c>
    </row>
    <row r="6816" spans="6:7" x14ac:dyDescent="0.35">
      <c r="F6816">
        <v>6813</v>
      </c>
      <c r="G6816">
        <f t="shared" ca="1" si="191"/>
        <v>2.6746965761076033E-2</v>
      </c>
    </row>
    <row r="6817" spans="6:7" x14ac:dyDescent="0.35">
      <c r="F6817">
        <v>6814</v>
      </c>
      <c r="G6817">
        <f t="shared" ca="1" si="191"/>
        <v>-1.0692980492252804E-2</v>
      </c>
    </row>
    <row r="6818" spans="6:7" x14ac:dyDescent="0.35">
      <c r="F6818">
        <v>6815</v>
      </c>
      <c r="G6818">
        <f t="shared" ca="1" si="191"/>
        <v>3.3944777181613497E-2</v>
      </c>
    </row>
    <row r="6819" spans="6:7" x14ac:dyDescent="0.35">
      <c r="F6819">
        <v>6816</v>
      </c>
      <c r="G6819">
        <f t="shared" ca="1" si="191"/>
        <v>-1.28165765804019E-2</v>
      </c>
    </row>
    <row r="6820" spans="6:7" x14ac:dyDescent="0.35">
      <c r="F6820">
        <v>6817</v>
      </c>
      <c r="G6820">
        <f t="shared" ca="1" si="191"/>
        <v>-4.8825512505246964E-2</v>
      </c>
    </row>
    <row r="6821" spans="6:7" x14ac:dyDescent="0.35">
      <c r="F6821">
        <v>6818</v>
      </c>
      <c r="G6821">
        <f t="shared" ca="1" si="191"/>
        <v>2.109602514476409E-2</v>
      </c>
    </row>
    <row r="6822" spans="6:7" x14ac:dyDescent="0.35">
      <c r="F6822">
        <v>6819</v>
      </c>
      <c r="G6822">
        <f t="shared" ca="1" si="191"/>
        <v>2.8184961025656791E-2</v>
      </c>
    </row>
    <row r="6823" spans="6:7" x14ac:dyDescent="0.35">
      <c r="F6823">
        <v>6820</v>
      </c>
      <c r="G6823">
        <f t="shared" ca="1" si="191"/>
        <v>-8.1444342747330617E-3</v>
      </c>
    </row>
    <row r="6824" spans="6:7" x14ac:dyDescent="0.35">
      <c r="F6824">
        <v>6821</v>
      </c>
      <c r="G6824">
        <f t="shared" ca="1" si="191"/>
        <v>-1.5467098538741616E-2</v>
      </c>
    </row>
    <row r="6825" spans="6:7" x14ac:dyDescent="0.35">
      <c r="F6825">
        <v>6822</v>
      </c>
      <c r="G6825">
        <f t="shared" ca="1" si="191"/>
        <v>3.6637947325477089E-3</v>
      </c>
    </row>
    <row r="6826" spans="6:7" x14ac:dyDescent="0.35">
      <c r="F6826">
        <v>6823</v>
      </c>
      <c r="G6826">
        <f t="shared" ca="1" si="191"/>
        <v>-4.0398299698353499E-2</v>
      </c>
    </row>
    <row r="6827" spans="6:7" x14ac:dyDescent="0.35">
      <c r="F6827">
        <v>6824</v>
      </c>
      <c r="G6827">
        <f t="shared" ca="1" si="191"/>
        <v>2.6526567132518726E-2</v>
      </c>
    </row>
    <row r="6828" spans="6:7" x14ac:dyDescent="0.35">
      <c r="F6828">
        <v>6825</v>
      </c>
      <c r="G6828">
        <f t="shared" ca="1" si="191"/>
        <v>9.761513161233833E-3</v>
      </c>
    </row>
    <row r="6829" spans="6:7" x14ac:dyDescent="0.35">
      <c r="F6829">
        <v>6826</v>
      </c>
      <c r="G6829">
        <f t="shared" ca="1" si="191"/>
        <v>4.8641237761645208E-4</v>
      </c>
    </row>
    <row r="6830" spans="6:7" x14ac:dyDescent="0.35">
      <c r="F6830">
        <v>6827</v>
      </c>
      <c r="G6830">
        <f t="shared" ca="1" si="191"/>
        <v>-1.0660387477132948E-2</v>
      </c>
    </row>
    <row r="6831" spans="6:7" x14ac:dyDescent="0.35">
      <c r="F6831">
        <v>6828</v>
      </c>
      <c r="G6831">
        <f t="shared" ca="1" si="191"/>
        <v>4.1868073661572171E-2</v>
      </c>
    </row>
    <row r="6832" spans="6:7" x14ac:dyDescent="0.35">
      <c r="F6832">
        <v>6829</v>
      </c>
      <c r="G6832">
        <f t="shared" ca="1" si="191"/>
        <v>5.9723952684449999E-3</v>
      </c>
    </row>
    <row r="6833" spans="6:7" x14ac:dyDescent="0.35">
      <c r="F6833">
        <v>6830</v>
      </c>
      <c r="G6833">
        <f t="shared" ca="1" si="191"/>
        <v>5.6391437481901827E-3</v>
      </c>
    </row>
    <row r="6834" spans="6:7" x14ac:dyDescent="0.35">
      <c r="F6834">
        <v>6831</v>
      </c>
      <c r="G6834">
        <f t="shared" ca="1" si="191"/>
        <v>3.1992338537421304E-2</v>
      </c>
    </row>
    <row r="6835" spans="6:7" x14ac:dyDescent="0.35">
      <c r="F6835">
        <v>6832</v>
      </c>
      <c r="G6835">
        <f t="shared" ca="1" si="191"/>
        <v>1.9552113265930995E-2</v>
      </c>
    </row>
    <row r="6836" spans="6:7" x14ac:dyDescent="0.35">
      <c r="F6836">
        <v>6833</v>
      </c>
      <c r="G6836">
        <f t="shared" ca="1" si="191"/>
        <v>3.9776187983421772E-2</v>
      </c>
    </row>
    <row r="6837" spans="6:7" x14ac:dyDescent="0.35">
      <c r="F6837">
        <v>6834</v>
      </c>
      <c r="G6837">
        <f t="shared" ca="1" si="191"/>
        <v>-2.6203705088888172E-2</v>
      </c>
    </row>
    <row r="6838" spans="6:7" x14ac:dyDescent="0.35">
      <c r="F6838">
        <v>6835</v>
      </c>
      <c r="G6838">
        <f t="shared" ca="1" si="191"/>
        <v>7.0064686549957313E-3</v>
      </c>
    </row>
    <row r="6839" spans="6:7" x14ac:dyDescent="0.35">
      <c r="F6839">
        <v>6836</v>
      </c>
      <c r="G6839">
        <f t="shared" ca="1" si="191"/>
        <v>-2.4734099061094719E-2</v>
      </c>
    </row>
    <row r="6840" spans="6:7" x14ac:dyDescent="0.35">
      <c r="F6840">
        <v>6837</v>
      </c>
      <c r="G6840">
        <f t="shared" ca="1" si="191"/>
        <v>4.2203625983152318E-2</v>
      </c>
    </row>
    <row r="6841" spans="6:7" x14ac:dyDescent="0.35">
      <c r="F6841">
        <v>6838</v>
      </c>
      <c r="G6841">
        <f t="shared" ca="1" si="191"/>
        <v>3.6829662281381653E-2</v>
      </c>
    </row>
    <row r="6842" spans="6:7" x14ac:dyDescent="0.35">
      <c r="F6842">
        <v>6839</v>
      </c>
      <c r="G6842">
        <f t="shared" ca="1" si="191"/>
        <v>-1.2614463642250988E-2</v>
      </c>
    </row>
    <row r="6843" spans="6:7" x14ac:dyDescent="0.35">
      <c r="F6843">
        <v>6840</v>
      </c>
      <c r="G6843">
        <f t="shared" ca="1" si="191"/>
        <v>4.4310395254095379E-2</v>
      </c>
    </row>
    <row r="6844" spans="6:7" x14ac:dyDescent="0.35">
      <c r="F6844">
        <v>6841</v>
      </c>
      <c r="G6844">
        <f t="shared" ca="1" si="191"/>
        <v>8.0245090759856474E-3</v>
      </c>
    </row>
    <row r="6845" spans="6:7" x14ac:dyDescent="0.35">
      <c r="F6845">
        <v>6842</v>
      </c>
      <c r="G6845">
        <f t="shared" ca="1" si="191"/>
        <v>4.1070233538795443E-2</v>
      </c>
    </row>
    <row r="6846" spans="6:7" x14ac:dyDescent="0.35">
      <c r="F6846">
        <v>6843</v>
      </c>
      <c r="G6846">
        <f t="shared" ca="1" si="191"/>
        <v>4.3172864320870606E-3</v>
      </c>
    </row>
    <row r="6847" spans="6:7" x14ac:dyDescent="0.35">
      <c r="F6847">
        <v>6844</v>
      </c>
      <c r="G6847">
        <f t="shared" ca="1" si="191"/>
        <v>5.8061536170409982E-2</v>
      </c>
    </row>
    <row r="6848" spans="6:7" x14ac:dyDescent="0.35">
      <c r="F6848">
        <v>6845</v>
      </c>
      <c r="G6848">
        <f t="shared" ca="1" si="191"/>
        <v>1.2868681718464215E-2</v>
      </c>
    </row>
    <row r="6849" spans="6:7" x14ac:dyDescent="0.35">
      <c r="F6849">
        <v>6846</v>
      </c>
      <c r="G6849">
        <f t="shared" ca="1" si="191"/>
        <v>2.3562320137070873E-2</v>
      </c>
    </row>
    <row r="6850" spans="6:7" x14ac:dyDescent="0.35">
      <c r="F6850">
        <v>6847</v>
      </c>
      <c r="G6850">
        <f t="shared" ca="1" si="191"/>
        <v>-3.5103869545415944E-2</v>
      </c>
    </row>
    <row r="6851" spans="6:7" x14ac:dyDescent="0.35">
      <c r="F6851">
        <v>6848</v>
      </c>
      <c r="G6851">
        <f t="shared" ca="1" si="191"/>
        <v>-3.5430800471828686E-2</v>
      </c>
    </row>
    <row r="6852" spans="6:7" x14ac:dyDescent="0.35">
      <c r="F6852">
        <v>6849</v>
      </c>
      <c r="G6852">
        <f t="shared" ca="1" si="191"/>
        <v>1.0361003502611123E-2</v>
      </c>
    </row>
    <row r="6853" spans="6:7" x14ac:dyDescent="0.35">
      <c r="F6853">
        <v>6850</v>
      </c>
      <c r="G6853">
        <f t="shared" ref="G6853:G6916" ca="1" si="192">_xlfn.NORM.INV(RAND(),K$6,K$7)</f>
        <v>1.0189659573504673E-2</v>
      </c>
    </row>
    <row r="6854" spans="6:7" x14ac:dyDescent="0.35">
      <c r="F6854">
        <v>6851</v>
      </c>
      <c r="G6854">
        <f t="shared" ca="1" si="192"/>
        <v>-3.7523897961490284E-2</v>
      </c>
    </row>
    <row r="6855" spans="6:7" x14ac:dyDescent="0.35">
      <c r="F6855">
        <v>6852</v>
      </c>
      <c r="G6855">
        <f t="shared" ca="1" si="192"/>
        <v>-3.6957887888650238E-4</v>
      </c>
    </row>
    <row r="6856" spans="6:7" x14ac:dyDescent="0.35">
      <c r="F6856">
        <v>6853</v>
      </c>
      <c r="G6856">
        <f t="shared" ca="1" si="192"/>
        <v>2.2649221549098666E-2</v>
      </c>
    </row>
    <row r="6857" spans="6:7" x14ac:dyDescent="0.35">
      <c r="F6857">
        <v>6854</v>
      </c>
      <c r="G6857">
        <f t="shared" ca="1" si="192"/>
        <v>3.9681831930159901E-2</v>
      </c>
    </row>
    <row r="6858" spans="6:7" x14ac:dyDescent="0.35">
      <c r="F6858">
        <v>6855</v>
      </c>
      <c r="G6858">
        <f t="shared" ca="1" si="192"/>
        <v>6.6925639315832527E-3</v>
      </c>
    </row>
    <row r="6859" spans="6:7" x14ac:dyDescent="0.35">
      <c r="F6859">
        <v>6856</v>
      </c>
      <c r="G6859">
        <f t="shared" ca="1" si="192"/>
        <v>-6.4970544230383374E-3</v>
      </c>
    </row>
    <row r="6860" spans="6:7" x14ac:dyDescent="0.35">
      <c r="F6860">
        <v>6857</v>
      </c>
      <c r="G6860">
        <f t="shared" ca="1" si="192"/>
        <v>-1.5669347643920452E-2</v>
      </c>
    </row>
    <row r="6861" spans="6:7" x14ac:dyDescent="0.35">
      <c r="F6861">
        <v>6858</v>
      </c>
      <c r="G6861">
        <f t="shared" ca="1" si="192"/>
        <v>1.8984991866014028E-2</v>
      </c>
    </row>
    <row r="6862" spans="6:7" x14ac:dyDescent="0.35">
      <c r="F6862">
        <v>6859</v>
      </c>
      <c r="G6862">
        <f t="shared" ca="1" si="192"/>
        <v>2.1471157755213452E-2</v>
      </c>
    </row>
    <row r="6863" spans="6:7" x14ac:dyDescent="0.35">
      <c r="F6863">
        <v>6860</v>
      </c>
      <c r="G6863">
        <f t="shared" ca="1" si="192"/>
        <v>7.5005042616327119E-3</v>
      </c>
    </row>
    <row r="6864" spans="6:7" x14ac:dyDescent="0.35">
      <c r="F6864">
        <v>6861</v>
      </c>
      <c r="G6864">
        <f t="shared" ca="1" si="192"/>
        <v>-4.2302641666249613E-2</v>
      </c>
    </row>
    <row r="6865" spans="6:7" x14ac:dyDescent="0.35">
      <c r="F6865">
        <v>6862</v>
      </c>
      <c r="G6865">
        <f t="shared" ca="1" si="192"/>
        <v>2.634463678255421E-2</v>
      </c>
    </row>
    <row r="6866" spans="6:7" x14ac:dyDescent="0.35">
      <c r="F6866">
        <v>6863</v>
      </c>
      <c r="G6866">
        <f t="shared" ca="1" si="192"/>
        <v>6.5223564296433265E-2</v>
      </c>
    </row>
    <row r="6867" spans="6:7" x14ac:dyDescent="0.35">
      <c r="F6867">
        <v>6864</v>
      </c>
      <c r="G6867">
        <f t="shared" ca="1" si="192"/>
        <v>-3.9642392507993132E-2</v>
      </c>
    </row>
    <row r="6868" spans="6:7" x14ac:dyDescent="0.35">
      <c r="F6868">
        <v>6865</v>
      </c>
      <c r="G6868">
        <f t="shared" ca="1" si="192"/>
        <v>2.204048183352569E-2</v>
      </c>
    </row>
    <row r="6869" spans="6:7" x14ac:dyDescent="0.35">
      <c r="F6869">
        <v>6866</v>
      </c>
      <c r="G6869">
        <f t="shared" ca="1" si="192"/>
        <v>-8.7970973031884815E-3</v>
      </c>
    </row>
    <row r="6870" spans="6:7" x14ac:dyDescent="0.35">
      <c r="F6870">
        <v>6867</v>
      </c>
      <c r="G6870">
        <f t="shared" ca="1" si="192"/>
        <v>4.5396308076579815E-3</v>
      </c>
    </row>
    <row r="6871" spans="6:7" x14ac:dyDescent="0.35">
      <c r="F6871">
        <v>6868</v>
      </c>
      <c r="G6871">
        <f t="shared" ca="1" si="192"/>
        <v>-4.8890233172752623E-2</v>
      </c>
    </row>
    <row r="6872" spans="6:7" x14ac:dyDescent="0.35">
      <c r="F6872">
        <v>6869</v>
      </c>
      <c r="G6872">
        <f t="shared" ca="1" si="192"/>
        <v>2.2232901894540615E-2</v>
      </c>
    </row>
    <row r="6873" spans="6:7" x14ac:dyDescent="0.35">
      <c r="F6873">
        <v>6870</v>
      </c>
      <c r="G6873">
        <f t="shared" ca="1" si="192"/>
        <v>6.8711794753382443E-3</v>
      </c>
    </row>
    <row r="6874" spans="6:7" x14ac:dyDescent="0.35">
      <c r="F6874">
        <v>6871</v>
      </c>
      <c r="G6874">
        <f t="shared" ca="1" si="192"/>
        <v>2.8394683494764282E-2</v>
      </c>
    </row>
    <row r="6875" spans="6:7" x14ac:dyDescent="0.35">
      <c r="F6875">
        <v>6872</v>
      </c>
      <c r="G6875">
        <f t="shared" ca="1" si="192"/>
        <v>-4.4619733042122744E-2</v>
      </c>
    </row>
    <row r="6876" spans="6:7" x14ac:dyDescent="0.35">
      <c r="F6876">
        <v>6873</v>
      </c>
      <c r="G6876">
        <f t="shared" ca="1" si="192"/>
        <v>-1.1270630443137499E-2</v>
      </c>
    </row>
    <row r="6877" spans="6:7" x14ac:dyDescent="0.35">
      <c r="F6877">
        <v>6874</v>
      </c>
      <c r="G6877">
        <f t="shared" ca="1" si="192"/>
        <v>-3.6689233418032612E-3</v>
      </c>
    </row>
    <row r="6878" spans="6:7" x14ac:dyDescent="0.35">
      <c r="F6878">
        <v>6875</v>
      </c>
      <c r="G6878">
        <f t="shared" ca="1" si="192"/>
        <v>-2.4828655057195677E-2</v>
      </c>
    </row>
    <row r="6879" spans="6:7" x14ac:dyDescent="0.35">
      <c r="F6879">
        <v>6876</v>
      </c>
      <c r="G6879">
        <f t="shared" ca="1" si="192"/>
        <v>5.298894920867829E-2</v>
      </c>
    </row>
    <row r="6880" spans="6:7" x14ac:dyDescent="0.35">
      <c r="F6880">
        <v>6877</v>
      </c>
      <c r="G6880">
        <f t="shared" ca="1" si="192"/>
        <v>-1.3245754967227403E-2</v>
      </c>
    </row>
    <row r="6881" spans="6:7" x14ac:dyDescent="0.35">
      <c r="F6881">
        <v>6878</v>
      </c>
      <c r="G6881">
        <f t="shared" ca="1" si="192"/>
        <v>2.1673180175727357E-2</v>
      </c>
    </row>
    <row r="6882" spans="6:7" x14ac:dyDescent="0.35">
      <c r="F6882">
        <v>6879</v>
      </c>
      <c r="G6882">
        <f t="shared" ca="1" si="192"/>
        <v>3.2219243836902951E-2</v>
      </c>
    </row>
    <row r="6883" spans="6:7" x14ac:dyDescent="0.35">
      <c r="F6883">
        <v>6880</v>
      </c>
      <c r="G6883">
        <f t="shared" ca="1" si="192"/>
        <v>6.6633825534502585E-3</v>
      </c>
    </row>
    <row r="6884" spans="6:7" x14ac:dyDescent="0.35">
      <c r="F6884">
        <v>6881</v>
      </c>
      <c r="G6884">
        <f t="shared" ca="1" si="192"/>
        <v>-5.541591666390188E-2</v>
      </c>
    </row>
    <row r="6885" spans="6:7" x14ac:dyDescent="0.35">
      <c r="F6885">
        <v>6882</v>
      </c>
      <c r="G6885">
        <f t="shared" ca="1" si="192"/>
        <v>1.3731663849422118E-2</v>
      </c>
    </row>
    <row r="6886" spans="6:7" x14ac:dyDescent="0.35">
      <c r="F6886">
        <v>6883</v>
      </c>
      <c r="G6886">
        <f t="shared" ca="1" si="192"/>
        <v>1.6891615610189249E-2</v>
      </c>
    </row>
    <row r="6887" spans="6:7" x14ac:dyDescent="0.35">
      <c r="F6887">
        <v>6884</v>
      </c>
      <c r="G6887">
        <f t="shared" ca="1" si="192"/>
        <v>-1.3198897083142543E-2</v>
      </c>
    </row>
    <row r="6888" spans="6:7" x14ac:dyDescent="0.35">
      <c r="F6888">
        <v>6885</v>
      </c>
      <c r="G6888">
        <f t="shared" ca="1" si="192"/>
        <v>2.2825279371381652E-2</v>
      </c>
    </row>
    <row r="6889" spans="6:7" x14ac:dyDescent="0.35">
      <c r="F6889">
        <v>6886</v>
      </c>
      <c r="G6889">
        <f t="shared" ca="1" si="192"/>
        <v>-2.9154606192446888E-2</v>
      </c>
    </row>
    <row r="6890" spans="6:7" x14ac:dyDescent="0.35">
      <c r="F6890">
        <v>6887</v>
      </c>
      <c r="G6890">
        <f t="shared" ca="1" si="192"/>
        <v>-3.1421944087415788E-3</v>
      </c>
    </row>
    <row r="6891" spans="6:7" x14ac:dyDescent="0.35">
      <c r="F6891">
        <v>6888</v>
      </c>
      <c r="G6891">
        <f t="shared" ca="1" si="192"/>
        <v>-5.9229125119479142E-2</v>
      </c>
    </row>
    <row r="6892" spans="6:7" x14ac:dyDescent="0.35">
      <c r="F6892">
        <v>6889</v>
      </c>
      <c r="G6892">
        <f t="shared" ca="1" si="192"/>
        <v>1.9158800512623295E-2</v>
      </c>
    </row>
    <row r="6893" spans="6:7" x14ac:dyDescent="0.35">
      <c r="F6893">
        <v>6890</v>
      </c>
      <c r="G6893">
        <f t="shared" ca="1" si="192"/>
        <v>3.7868785605730598E-3</v>
      </c>
    </row>
    <row r="6894" spans="6:7" x14ac:dyDescent="0.35">
      <c r="F6894">
        <v>6891</v>
      </c>
      <c r="G6894">
        <f t="shared" ca="1" si="192"/>
        <v>5.4452004376748771E-3</v>
      </c>
    </row>
    <row r="6895" spans="6:7" x14ac:dyDescent="0.35">
      <c r="F6895">
        <v>6892</v>
      </c>
      <c r="G6895">
        <f t="shared" ca="1" si="192"/>
        <v>1.7033873049910591E-3</v>
      </c>
    </row>
    <row r="6896" spans="6:7" x14ac:dyDescent="0.35">
      <c r="F6896">
        <v>6893</v>
      </c>
      <c r="G6896">
        <f t="shared" ca="1" si="192"/>
        <v>-2.8681696294433259E-2</v>
      </c>
    </row>
    <row r="6897" spans="6:7" x14ac:dyDescent="0.35">
      <c r="F6897">
        <v>6894</v>
      </c>
      <c r="G6897">
        <f t="shared" ca="1" si="192"/>
        <v>-2.9790426059572848E-2</v>
      </c>
    </row>
    <row r="6898" spans="6:7" x14ac:dyDescent="0.35">
      <c r="F6898">
        <v>6895</v>
      </c>
      <c r="G6898">
        <f t="shared" ca="1" si="192"/>
        <v>-2.6599306171550586E-2</v>
      </c>
    </row>
    <row r="6899" spans="6:7" x14ac:dyDescent="0.35">
      <c r="F6899">
        <v>6896</v>
      </c>
      <c r="G6899">
        <f t="shared" ca="1" si="192"/>
        <v>7.6562839550522602E-3</v>
      </c>
    </row>
    <row r="6900" spans="6:7" x14ac:dyDescent="0.35">
      <c r="F6900">
        <v>6897</v>
      </c>
      <c r="G6900">
        <f t="shared" ca="1" si="192"/>
        <v>-1.0525524919260768E-2</v>
      </c>
    </row>
    <row r="6901" spans="6:7" x14ac:dyDescent="0.35">
      <c r="F6901">
        <v>6898</v>
      </c>
      <c r="G6901">
        <f t="shared" ca="1" si="192"/>
        <v>6.7786089797066866E-3</v>
      </c>
    </row>
    <row r="6902" spans="6:7" x14ac:dyDescent="0.35">
      <c r="F6902">
        <v>6899</v>
      </c>
      <c r="G6902">
        <f t="shared" ca="1" si="192"/>
        <v>1.9020177028538057E-2</v>
      </c>
    </row>
    <row r="6903" spans="6:7" x14ac:dyDescent="0.35">
      <c r="F6903">
        <v>6900</v>
      </c>
      <c r="G6903">
        <f t="shared" ca="1" si="192"/>
        <v>-3.3518760330803633E-3</v>
      </c>
    </row>
    <row r="6904" spans="6:7" x14ac:dyDescent="0.35">
      <c r="F6904">
        <v>6901</v>
      </c>
      <c r="G6904">
        <f t="shared" ca="1" si="192"/>
        <v>-1.4575797813403089E-2</v>
      </c>
    </row>
    <row r="6905" spans="6:7" x14ac:dyDescent="0.35">
      <c r="F6905">
        <v>6902</v>
      </c>
      <c r="G6905">
        <f t="shared" ca="1" si="192"/>
        <v>-1.4534717477450419E-2</v>
      </c>
    </row>
    <row r="6906" spans="6:7" x14ac:dyDescent="0.35">
      <c r="F6906">
        <v>6903</v>
      </c>
      <c r="G6906">
        <f t="shared" ca="1" si="192"/>
        <v>-4.9970679868746922E-3</v>
      </c>
    </row>
    <row r="6907" spans="6:7" x14ac:dyDescent="0.35">
      <c r="F6907">
        <v>6904</v>
      </c>
      <c r="G6907">
        <f t="shared" ca="1" si="192"/>
        <v>-2.7348792062452547E-2</v>
      </c>
    </row>
    <row r="6908" spans="6:7" x14ac:dyDescent="0.35">
      <c r="F6908">
        <v>6905</v>
      </c>
      <c r="G6908">
        <f t="shared" ca="1" si="192"/>
        <v>6.1313796817273301E-3</v>
      </c>
    </row>
    <row r="6909" spans="6:7" x14ac:dyDescent="0.35">
      <c r="F6909">
        <v>6906</v>
      </c>
      <c r="G6909">
        <f t="shared" ca="1" si="192"/>
        <v>-3.3780254573604436E-3</v>
      </c>
    </row>
    <row r="6910" spans="6:7" x14ac:dyDescent="0.35">
      <c r="F6910">
        <v>6907</v>
      </c>
      <c r="G6910">
        <f t="shared" ca="1" si="192"/>
        <v>3.8761930375316913E-3</v>
      </c>
    </row>
    <row r="6911" spans="6:7" x14ac:dyDescent="0.35">
      <c r="F6911">
        <v>6908</v>
      </c>
      <c r="G6911">
        <f t="shared" ca="1" si="192"/>
        <v>3.3996638897084243E-2</v>
      </c>
    </row>
    <row r="6912" spans="6:7" x14ac:dyDescent="0.35">
      <c r="F6912">
        <v>6909</v>
      </c>
      <c r="G6912">
        <f t="shared" ca="1" si="192"/>
        <v>-1.8670792270158307E-2</v>
      </c>
    </row>
    <row r="6913" spans="6:7" x14ac:dyDescent="0.35">
      <c r="F6913">
        <v>6910</v>
      </c>
      <c r="G6913">
        <f t="shared" ca="1" si="192"/>
        <v>-1.4761520845615831E-2</v>
      </c>
    </row>
    <row r="6914" spans="6:7" x14ac:dyDescent="0.35">
      <c r="F6914">
        <v>6911</v>
      </c>
      <c r="G6914">
        <f t="shared" ca="1" si="192"/>
        <v>-4.8522372467903682E-3</v>
      </c>
    </row>
    <row r="6915" spans="6:7" x14ac:dyDescent="0.35">
      <c r="F6915">
        <v>6912</v>
      </c>
      <c r="G6915">
        <f t="shared" ca="1" si="192"/>
        <v>-2.17420818576729E-3</v>
      </c>
    </row>
    <row r="6916" spans="6:7" x14ac:dyDescent="0.35">
      <c r="F6916">
        <v>6913</v>
      </c>
      <c r="G6916">
        <f t="shared" ca="1" si="192"/>
        <v>-3.3836379917693428E-2</v>
      </c>
    </row>
    <row r="6917" spans="6:7" x14ac:dyDescent="0.35">
      <c r="F6917">
        <v>6914</v>
      </c>
      <c r="G6917">
        <f t="shared" ref="G6917:G6980" ca="1" si="193">_xlfn.NORM.INV(RAND(),K$6,K$7)</f>
        <v>-2.3221443594424889E-2</v>
      </c>
    </row>
    <row r="6918" spans="6:7" x14ac:dyDescent="0.35">
      <c r="F6918">
        <v>6915</v>
      </c>
      <c r="G6918">
        <f t="shared" ca="1" si="193"/>
        <v>-4.0544207422532792E-3</v>
      </c>
    </row>
    <row r="6919" spans="6:7" x14ac:dyDescent="0.35">
      <c r="F6919">
        <v>6916</v>
      </c>
      <c r="G6919">
        <f t="shared" ca="1" si="193"/>
        <v>4.1576579445604341E-2</v>
      </c>
    </row>
    <row r="6920" spans="6:7" x14ac:dyDescent="0.35">
      <c r="F6920">
        <v>6917</v>
      </c>
      <c r="G6920">
        <f t="shared" ca="1" si="193"/>
        <v>-2.440379784350092E-2</v>
      </c>
    </row>
    <row r="6921" spans="6:7" x14ac:dyDescent="0.35">
      <c r="F6921">
        <v>6918</v>
      </c>
      <c r="G6921">
        <f t="shared" ca="1" si="193"/>
        <v>2.732983209922649E-2</v>
      </c>
    </row>
    <row r="6922" spans="6:7" x14ac:dyDescent="0.35">
      <c r="F6922">
        <v>6919</v>
      </c>
      <c r="G6922">
        <f t="shared" ca="1" si="193"/>
        <v>1.5928356513443442E-2</v>
      </c>
    </row>
    <row r="6923" spans="6:7" x14ac:dyDescent="0.35">
      <c r="F6923">
        <v>6920</v>
      </c>
      <c r="G6923">
        <f t="shared" ca="1" si="193"/>
        <v>2.9424058748979045E-2</v>
      </c>
    </row>
    <row r="6924" spans="6:7" x14ac:dyDescent="0.35">
      <c r="F6924">
        <v>6921</v>
      </c>
      <c r="G6924">
        <f t="shared" ca="1" si="193"/>
        <v>2.4080493884620378E-2</v>
      </c>
    </row>
    <row r="6925" spans="6:7" x14ac:dyDescent="0.35">
      <c r="F6925">
        <v>6922</v>
      </c>
      <c r="G6925">
        <f t="shared" ca="1" si="193"/>
        <v>-2.0360252560462481E-2</v>
      </c>
    </row>
    <row r="6926" spans="6:7" x14ac:dyDescent="0.35">
      <c r="F6926">
        <v>6923</v>
      </c>
      <c r="G6926">
        <f t="shared" ca="1" si="193"/>
        <v>-8.3407245818190867E-3</v>
      </c>
    </row>
    <row r="6927" spans="6:7" x14ac:dyDescent="0.35">
      <c r="F6927">
        <v>6924</v>
      </c>
      <c r="G6927">
        <f t="shared" ca="1" si="193"/>
        <v>-4.4962268761310875E-2</v>
      </c>
    </row>
    <row r="6928" spans="6:7" x14ac:dyDescent="0.35">
      <c r="F6928">
        <v>6925</v>
      </c>
      <c r="G6928">
        <f t="shared" ca="1" si="193"/>
        <v>-1.0069684540909939E-2</v>
      </c>
    </row>
    <row r="6929" spans="6:7" x14ac:dyDescent="0.35">
      <c r="F6929">
        <v>6926</v>
      </c>
      <c r="G6929">
        <f t="shared" ca="1" si="193"/>
        <v>-1.8306002046927779E-2</v>
      </c>
    </row>
    <row r="6930" spans="6:7" x14ac:dyDescent="0.35">
      <c r="F6930">
        <v>6927</v>
      </c>
      <c r="G6930">
        <f t="shared" ca="1" si="193"/>
        <v>2.884379098807073E-3</v>
      </c>
    </row>
    <row r="6931" spans="6:7" x14ac:dyDescent="0.35">
      <c r="F6931">
        <v>6928</v>
      </c>
      <c r="G6931">
        <f t="shared" ca="1" si="193"/>
        <v>2.0797953791739181E-3</v>
      </c>
    </row>
    <row r="6932" spans="6:7" x14ac:dyDescent="0.35">
      <c r="F6932">
        <v>6929</v>
      </c>
      <c r="G6932">
        <f t="shared" ca="1" si="193"/>
        <v>1.3548543893675082E-2</v>
      </c>
    </row>
    <row r="6933" spans="6:7" x14ac:dyDescent="0.35">
      <c r="F6933">
        <v>6930</v>
      </c>
      <c r="G6933">
        <f t="shared" ca="1" si="193"/>
        <v>-3.3537552500828814E-2</v>
      </c>
    </row>
    <row r="6934" spans="6:7" x14ac:dyDescent="0.35">
      <c r="F6934">
        <v>6931</v>
      </c>
      <c r="G6934">
        <f t="shared" ca="1" si="193"/>
        <v>-1.3199237242981207E-2</v>
      </c>
    </row>
    <row r="6935" spans="6:7" x14ac:dyDescent="0.35">
      <c r="F6935">
        <v>6932</v>
      </c>
      <c r="G6935">
        <f t="shared" ca="1" si="193"/>
        <v>2.2966482766244162E-2</v>
      </c>
    </row>
    <row r="6936" spans="6:7" x14ac:dyDescent="0.35">
      <c r="F6936">
        <v>6933</v>
      </c>
      <c r="G6936">
        <f t="shared" ca="1" si="193"/>
        <v>6.7201200660723381E-2</v>
      </c>
    </row>
    <row r="6937" spans="6:7" x14ac:dyDescent="0.35">
      <c r="F6937">
        <v>6934</v>
      </c>
      <c r="G6937">
        <f t="shared" ca="1" si="193"/>
        <v>3.1591667040495328E-3</v>
      </c>
    </row>
    <row r="6938" spans="6:7" x14ac:dyDescent="0.35">
      <c r="F6938">
        <v>6935</v>
      </c>
      <c r="G6938">
        <f t="shared" ca="1" si="193"/>
        <v>2.8949507336016329E-2</v>
      </c>
    </row>
    <row r="6939" spans="6:7" x14ac:dyDescent="0.35">
      <c r="F6939">
        <v>6936</v>
      </c>
      <c r="G6939">
        <f t="shared" ca="1" si="193"/>
        <v>-5.3776607391843936E-3</v>
      </c>
    </row>
    <row r="6940" spans="6:7" x14ac:dyDescent="0.35">
      <c r="F6940">
        <v>6937</v>
      </c>
      <c r="G6940">
        <f t="shared" ca="1" si="193"/>
        <v>-5.2542030181988879E-2</v>
      </c>
    </row>
    <row r="6941" spans="6:7" x14ac:dyDescent="0.35">
      <c r="F6941">
        <v>6938</v>
      </c>
      <c r="G6941">
        <f t="shared" ca="1" si="193"/>
        <v>6.452049056636397E-4</v>
      </c>
    </row>
    <row r="6942" spans="6:7" x14ac:dyDescent="0.35">
      <c r="F6942">
        <v>6939</v>
      </c>
      <c r="G6942">
        <f t="shared" ca="1" si="193"/>
        <v>-1.8619863444114357E-2</v>
      </c>
    </row>
    <row r="6943" spans="6:7" x14ac:dyDescent="0.35">
      <c r="F6943">
        <v>6940</v>
      </c>
      <c r="G6943">
        <f t="shared" ca="1" si="193"/>
        <v>-2.4754798999953694E-2</v>
      </c>
    </row>
    <row r="6944" spans="6:7" x14ac:dyDescent="0.35">
      <c r="F6944">
        <v>6941</v>
      </c>
      <c r="G6944">
        <f t="shared" ca="1" si="193"/>
        <v>3.0166564455968818E-4</v>
      </c>
    </row>
    <row r="6945" spans="6:7" x14ac:dyDescent="0.35">
      <c r="F6945">
        <v>6942</v>
      </c>
      <c r="G6945">
        <f t="shared" ca="1" si="193"/>
        <v>-9.5746770351349425E-4</v>
      </c>
    </row>
    <row r="6946" spans="6:7" x14ac:dyDescent="0.35">
      <c r="F6946">
        <v>6943</v>
      </c>
      <c r="G6946">
        <f t="shared" ca="1" si="193"/>
        <v>-2.3897411610294576E-2</v>
      </c>
    </row>
    <row r="6947" spans="6:7" x14ac:dyDescent="0.35">
      <c r="F6947">
        <v>6944</v>
      </c>
      <c r="G6947">
        <f t="shared" ca="1" si="193"/>
        <v>2.4303754142667392E-2</v>
      </c>
    </row>
    <row r="6948" spans="6:7" x14ac:dyDescent="0.35">
      <c r="F6948">
        <v>6945</v>
      </c>
      <c r="G6948">
        <f t="shared" ca="1" si="193"/>
        <v>5.4337492951024434E-2</v>
      </c>
    </row>
    <row r="6949" spans="6:7" x14ac:dyDescent="0.35">
      <c r="F6949">
        <v>6946</v>
      </c>
      <c r="G6949">
        <f t="shared" ca="1" si="193"/>
        <v>-1.7209325208898368E-2</v>
      </c>
    </row>
    <row r="6950" spans="6:7" x14ac:dyDescent="0.35">
      <c r="F6950">
        <v>6947</v>
      </c>
      <c r="G6950">
        <f t="shared" ca="1" si="193"/>
        <v>-4.7844178600473561E-2</v>
      </c>
    </row>
    <row r="6951" spans="6:7" x14ac:dyDescent="0.35">
      <c r="F6951">
        <v>6948</v>
      </c>
      <c r="G6951">
        <f t="shared" ca="1" si="193"/>
        <v>-1.1543826907213413E-3</v>
      </c>
    </row>
    <row r="6952" spans="6:7" x14ac:dyDescent="0.35">
      <c r="F6952">
        <v>6949</v>
      </c>
      <c r="G6952">
        <f t="shared" ca="1" si="193"/>
        <v>-1.5695420282484569E-2</v>
      </c>
    </row>
    <row r="6953" spans="6:7" x14ac:dyDescent="0.35">
      <c r="F6953">
        <v>6950</v>
      </c>
      <c r="G6953">
        <f t="shared" ca="1" si="193"/>
        <v>-1.6211854303830844E-2</v>
      </c>
    </row>
    <row r="6954" spans="6:7" x14ac:dyDescent="0.35">
      <c r="F6954">
        <v>6951</v>
      </c>
      <c r="G6954">
        <f t="shared" ca="1" si="193"/>
        <v>-1.1067229839143988E-2</v>
      </c>
    </row>
    <row r="6955" spans="6:7" x14ac:dyDescent="0.35">
      <c r="F6955">
        <v>6952</v>
      </c>
      <c r="G6955">
        <f t="shared" ca="1" si="193"/>
        <v>-1.491284134800162E-2</v>
      </c>
    </row>
    <row r="6956" spans="6:7" x14ac:dyDescent="0.35">
      <c r="F6956">
        <v>6953</v>
      </c>
      <c r="G6956">
        <f t="shared" ca="1" si="193"/>
        <v>1.8533485220640671E-2</v>
      </c>
    </row>
    <row r="6957" spans="6:7" x14ac:dyDescent="0.35">
      <c r="F6957">
        <v>6954</v>
      </c>
      <c r="G6957">
        <f t="shared" ca="1" si="193"/>
        <v>1.802147849337447E-2</v>
      </c>
    </row>
    <row r="6958" spans="6:7" x14ac:dyDescent="0.35">
      <c r="F6958">
        <v>6955</v>
      </c>
      <c r="G6958">
        <f t="shared" ca="1" si="193"/>
        <v>4.5127130542223982E-2</v>
      </c>
    </row>
    <row r="6959" spans="6:7" x14ac:dyDescent="0.35">
      <c r="F6959">
        <v>6956</v>
      </c>
      <c r="G6959">
        <f t="shared" ca="1" si="193"/>
        <v>-2.8086930892500566E-2</v>
      </c>
    </row>
    <row r="6960" spans="6:7" x14ac:dyDescent="0.35">
      <c r="F6960">
        <v>6957</v>
      </c>
      <c r="G6960">
        <f t="shared" ca="1" si="193"/>
        <v>1.2253577175129626E-2</v>
      </c>
    </row>
    <row r="6961" spans="6:7" x14ac:dyDescent="0.35">
      <c r="F6961">
        <v>6958</v>
      </c>
      <c r="G6961">
        <f t="shared" ca="1" si="193"/>
        <v>2.3370060836616167E-2</v>
      </c>
    </row>
    <row r="6962" spans="6:7" x14ac:dyDescent="0.35">
      <c r="F6962">
        <v>6959</v>
      </c>
      <c r="G6962">
        <f t="shared" ca="1" si="193"/>
        <v>4.050980033577449E-3</v>
      </c>
    </row>
    <row r="6963" spans="6:7" x14ac:dyDescent="0.35">
      <c r="F6963">
        <v>6960</v>
      </c>
      <c r="G6963">
        <f t="shared" ca="1" si="193"/>
        <v>-5.4201670751808213E-2</v>
      </c>
    </row>
    <row r="6964" spans="6:7" x14ac:dyDescent="0.35">
      <c r="F6964">
        <v>6961</v>
      </c>
      <c r="G6964">
        <f t="shared" ca="1" si="193"/>
        <v>-1.4205559326738827E-2</v>
      </c>
    </row>
    <row r="6965" spans="6:7" x14ac:dyDescent="0.35">
      <c r="F6965">
        <v>6962</v>
      </c>
      <c r="G6965">
        <f t="shared" ca="1" si="193"/>
        <v>-2.947145923810365E-3</v>
      </c>
    </row>
    <row r="6966" spans="6:7" x14ac:dyDescent="0.35">
      <c r="F6966">
        <v>6963</v>
      </c>
      <c r="G6966">
        <f t="shared" ca="1" si="193"/>
        <v>1.0000129641709156E-4</v>
      </c>
    </row>
    <row r="6967" spans="6:7" x14ac:dyDescent="0.35">
      <c r="F6967">
        <v>6964</v>
      </c>
      <c r="G6967">
        <f t="shared" ca="1" si="193"/>
        <v>5.1621472971495556E-3</v>
      </c>
    </row>
    <row r="6968" spans="6:7" x14ac:dyDescent="0.35">
      <c r="F6968">
        <v>6965</v>
      </c>
      <c r="G6968">
        <f t="shared" ca="1" si="193"/>
        <v>-1.0600140414824996E-2</v>
      </c>
    </row>
    <row r="6969" spans="6:7" x14ac:dyDescent="0.35">
      <c r="F6969">
        <v>6966</v>
      </c>
      <c r="G6969">
        <f t="shared" ca="1" si="193"/>
        <v>6.199589079259619E-3</v>
      </c>
    </row>
    <row r="6970" spans="6:7" x14ac:dyDescent="0.35">
      <c r="F6970">
        <v>6967</v>
      </c>
      <c r="G6970">
        <f t="shared" ca="1" si="193"/>
        <v>2.310320349949093E-2</v>
      </c>
    </row>
    <row r="6971" spans="6:7" x14ac:dyDescent="0.35">
      <c r="F6971">
        <v>6968</v>
      </c>
      <c r="G6971">
        <f t="shared" ca="1" si="193"/>
        <v>-2.4744537357889885E-3</v>
      </c>
    </row>
    <row r="6972" spans="6:7" x14ac:dyDescent="0.35">
      <c r="F6972">
        <v>6969</v>
      </c>
      <c r="G6972">
        <f t="shared" ca="1" si="193"/>
        <v>-2.4940769206887353E-2</v>
      </c>
    </row>
    <row r="6973" spans="6:7" x14ac:dyDescent="0.35">
      <c r="F6973">
        <v>6970</v>
      </c>
      <c r="G6973">
        <f t="shared" ca="1" si="193"/>
        <v>-1.7450028142956101E-2</v>
      </c>
    </row>
    <row r="6974" spans="6:7" x14ac:dyDescent="0.35">
      <c r="F6974">
        <v>6971</v>
      </c>
      <c r="G6974">
        <f t="shared" ca="1" si="193"/>
        <v>-5.7003201369119965E-3</v>
      </c>
    </row>
    <row r="6975" spans="6:7" x14ac:dyDescent="0.35">
      <c r="F6975">
        <v>6972</v>
      </c>
      <c r="G6975">
        <f t="shared" ca="1" si="193"/>
        <v>-2.2463898722366198E-2</v>
      </c>
    </row>
    <row r="6976" spans="6:7" x14ac:dyDescent="0.35">
      <c r="F6976">
        <v>6973</v>
      </c>
      <c r="G6976">
        <f t="shared" ca="1" si="193"/>
        <v>1.5989703447946556E-2</v>
      </c>
    </row>
    <row r="6977" spans="6:7" x14ac:dyDescent="0.35">
      <c r="F6977">
        <v>6974</v>
      </c>
      <c r="G6977">
        <f t="shared" ca="1" si="193"/>
        <v>1.21420594433289E-3</v>
      </c>
    </row>
    <row r="6978" spans="6:7" x14ac:dyDescent="0.35">
      <c r="F6978">
        <v>6975</v>
      </c>
      <c r="G6978">
        <f t="shared" ca="1" si="193"/>
        <v>6.2665663297494737E-4</v>
      </c>
    </row>
    <row r="6979" spans="6:7" x14ac:dyDescent="0.35">
      <c r="F6979">
        <v>6976</v>
      </c>
      <c r="G6979">
        <f t="shared" ca="1" si="193"/>
        <v>-1.1179767100806407E-4</v>
      </c>
    </row>
    <row r="6980" spans="6:7" x14ac:dyDescent="0.35">
      <c r="F6980">
        <v>6977</v>
      </c>
      <c r="G6980">
        <f t="shared" ca="1" si="193"/>
        <v>2.8382471763137507E-2</v>
      </c>
    </row>
    <row r="6981" spans="6:7" x14ac:dyDescent="0.35">
      <c r="F6981">
        <v>6978</v>
      </c>
      <c r="G6981">
        <f t="shared" ref="G6981:G7044" ca="1" si="194">_xlfn.NORM.INV(RAND(),K$6,K$7)</f>
        <v>-2.3463741103495441E-2</v>
      </c>
    </row>
    <row r="6982" spans="6:7" x14ac:dyDescent="0.35">
      <c r="F6982">
        <v>6979</v>
      </c>
      <c r="G6982">
        <f t="shared" ca="1" si="194"/>
        <v>-2.9357152204744764E-2</v>
      </c>
    </row>
    <row r="6983" spans="6:7" x14ac:dyDescent="0.35">
      <c r="F6983">
        <v>6980</v>
      </c>
      <c r="G6983">
        <f t="shared" ca="1" si="194"/>
        <v>2.1786682988180175E-2</v>
      </c>
    </row>
    <row r="6984" spans="6:7" x14ac:dyDescent="0.35">
      <c r="F6984">
        <v>6981</v>
      </c>
      <c r="G6984">
        <f t="shared" ca="1" si="194"/>
        <v>-1.3299189252444114E-2</v>
      </c>
    </row>
    <row r="6985" spans="6:7" x14ac:dyDescent="0.35">
      <c r="F6985">
        <v>6982</v>
      </c>
      <c r="G6985">
        <f t="shared" ca="1" si="194"/>
        <v>-3.0667151938303248E-2</v>
      </c>
    </row>
    <row r="6986" spans="6:7" x14ac:dyDescent="0.35">
      <c r="F6986">
        <v>6983</v>
      </c>
      <c r="G6986">
        <f t="shared" ca="1" si="194"/>
        <v>-1.935333490177269E-4</v>
      </c>
    </row>
    <row r="6987" spans="6:7" x14ac:dyDescent="0.35">
      <c r="F6987">
        <v>6984</v>
      </c>
      <c r="G6987">
        <f t="shared" ca="1" si="194"/>
        <v>-3.9958663406026641E-2</v>
      </c>
    </row>
    <row r="6988" spans="6:7" x14ac:dyDescent="0.35">
      <c r="F6988">
        <v>6985</v>
      </c>
      <c r="G6988">
        <f t="shared" ca="1" si="194"/>
        <v>-2.3949720506167761E-2</v>
      </c>
    </row>
    <row r="6989" spans="6:7" x14ac:dyDescent="0.35">
      <c r="F6989">
        <v>6986</v>
      </c>
      <c r="G6989">
        <f t="shared" ca="1" si="194"/>
        <v>-4.1535501742015722E-2</v>
      </c>
    </row>
    <row r="6990" spans="6:7" x14ac:dyDescent="0.35">
      <c r="F6990">
        <v>6987</v>
      </c>
      <c r="G6990">
        <f t="shared" ca="1" si="194"/>
        <v>-1.933297893302767E-2</v>
      </c>
    </row>
    <row r="6991" spans="6:7" x14ac:dyDescent="0.35">
      <c r="F6991">
        <v>6988</v>
      </c>
      <c r="G6991">
        <f t="shared" ca="1" si="194"/>
        <v>-6.501164685584265E-3</v>
      </c>
    </row>
    <row r="6992" spans="6:7" x14ac:dyDescent="0.35">
      <c r="F6992">
        <v>6989</v>
      </c>
      <c r="G6992">
        <f t="shared" ca="1" si="194"/>
        <v>1.808543446002888E-2</v>
      </c>
    </row>
    <row r="6993" spans="6:7" x14ac:dyDescent="0.35">
      <c r="F6993">
        <v>6990</v>
      </c>
      <c r="G6993">
        <f t="shared" ca="1" si="194"/>
        <v>3.2809926898233255E-2</v>
      </c>
    </row>
    <row r="6994" spans="6:7" x14ac:dyDescent="0.35">
      <c r="F6994">
        <v>6991</v>
      </c>
      <c r="G6994">
        <f t="shared" ca="1" si="194"/>
        <v>-1.6000072739001652E-2</v>
      </c>
    </row>
    <row r="6995" spans="6:7" x14ac:dyDescent="0.35">
      <c r="F6995">
        <v>6992</v>
      </c>
      <c r="G6995">
        <f t="shared" ca="1" si="194"/>
        <v>-2.8022710842381761E-2</v>
      </c>
    </row>
    <row r="6996" spans="6:7" x14ac:dyDescent="0.35">
      <c r="F6996">
        <v>6993</v>
      </c>
      <c r="G6996">
        <f t="shared" ca="1" si="194"/>
        <v>4.2600886443204655E-3</v>
      </c>
    </row>
    <row r="6997" spans="6:7" x14ac:dyDescent="0.35">
      <c r="F6997">
        <v>6994</v>
      </c>
      <c r="G6997">
        <f t="shared" ca="1" si="194"/>
        <v>3.5790022019550866E-2</v>
      </c>
    </row>
    <row r="6998" spans="6:7" x14ac:dyDescent="0.35">
      <c r="F6998">
        <v>6995</v>
      </c>
      <c r="G6998">
        <f t="shared" ca="1" si="194"/>
        <v>5.1887274280272434E-2</v>
      </c>
    </row>
    <row r="6999" spans="6:7" x14ac:dyDescent="0.35">
      <c r="F6999">
        <v>6996</v>
      </c>
      <c r="G6999">
        <f t="shared" ca="1" si="194"/>
        <v>9.031757197380778E-3</v>
      </c>
    </row>
    <row r="7000" spans="6:7" x14ac:dyDescent="0.35">
      <c r="F7000">
        <v>6997</v>
      </c>
      <c r="G7000">
        <f t="shared" ca="1" si="194"/>
        <v>1.2503211212525352E-2</v>
      </c>
    </row>
    <row r="7001" spans="6:7" x14ac:dyDescent="0.35">
      <c r="F7001">
        <v>6998</v>
      </c>
      <c r="G7001">
        <f t="shared" ca="1" si="194"/>
        <v>3.6527406431077934E-3</v>
      </c>
    </row>
    <row r="7002" spans="6:7" x14ac:dyDescent="0.35">
      <c r="F7002">
        <v>6999</v>
      </c>
      <c r="G7002">
        <f t="shared" ca="1" si="194"/>
        <v>-1.8430611301689215E-2</v>
      </c>
    </row>
    <row r="7003" spans="6:7" x14ac:dyDescent="0.35">
      <c r="F7003">
        <v>7000</v>
      </c>
      <c r="G7003">
        <f t="shared" ca="1" si="194"/>
        <v>4.3122917804740857E-3</v>
      </c>
    </row>
    <row r="7004" spans="6:7" x14ac:dyDescent="0.35">
      <c r="F7004">
        <v>7001</v>
      </c>
      <c r="G7004">
        <f t="shared" ca="1" si="194"/>
        <v>1.3700463165108308E-3</v>
      </c>
    </row>
    <row r="7005" spans="6:7" x14ac:dyDescent="0.35">
      <c r="F7005">
        <v>7002</v>
      </c>
      <c r="G7005">
        <f t="shared" ca="1" si="194"/>
        <v>1.8554899278125484E-2</v>
      </c>
    </row>
    <row r="7006" spans="6:7" x14ac:dyDescent="0.35">
      <c r="F7006">
        <v>7003</v>
      </c>
      <c r="G7006">
        <f t="shared" ca="1" si="194"/>
        <v>7.4516105082527687E-4</v>
      </c>
    </row>
    <row r="7007" spans="6:7" x14ac:dyDescent="0.35">
      <c r="F7007">
        <v>7004</v>
      </c>
      <c r="G7007">
        <f t="shared" ca="1" si="194"/>
        <v>1.6340318732576003E-2</v>
      </c>
    </row>
    <row r="7008" spans="6:7" x14ac:dyDescent="0.35">
      <c r="F7008">
        <v>7005</v>
      </c>
      <c r="G7008">
        <f t="shared" ca="1" si="194"/>
        <v>1.1499665404533885E-2</v>
      </c>
    </row>
    <row r="7009" spans="6:7" x14ac:dyDescent="0.35">
      <c r="F7009">
        <v>7006</v>
      </c>
      <c r="G7009">
        <f t="shared" ca="1" si="194"/>
        <v>-1.9489901114991718E-2</v>
      </c>
    </row>
    <row r="7010" spans="6:7" x14ac:dyDescent="0.35">
      <c r="F7010">
        <v>7007</v>
      </c>
      <c r="G7010">
        <f t="shared" ca="1" si="194"/>
        <v>-1.9846368466684174E-2</v>
      </c>
    </row>
    <row r="7011" spans="6:7" x14ac:dyDescent="0.35">
      <c r="F7011">
        <v>7008</v>
      </c>
      <c r="G7011">
        <f t="shared" ca="1" si="194"/>
        <v>3.6547887883897484E-2</v>
      </c>
    </row>
    <row r="7012" spans="6:7" x14ac:dyDescent="0.35">
      <c r="F7012">
        <v>7009</v>
      </c>
      <c r="G7012">
        <f t="shared" ca="1" si="194"/>
        <v>6.8279054077786325E-2</v>
      </c>
    </row>
    <row r="7013" spans="6:7" x14ac:dyDescent="0.35">
      <c r="F7013">
        <v>7010</v>
      </c>
      <c r="G7013">
        <f t="shared" ca="1" si="194"/>
        <v>3.9603745828835503E-2</v>
      </c>
    </row>
    <row r="7014" spans="6:7" x14ac:dyDescent="0.35">
      <c r="F7014">
        <v>7011</v>
      </c>
      <c r="G7014">
        <f t="shared" ca="1" si="194"/>
        <v>-5.0285356330523508E-4</v>
      </c>
    </row>
    <row r="7015" spans="6:7" x14ac:dyDescent="0.35">
      <c r="F7015">
        <v>7012</v>
      </c>
      <c r="G7015">
        <f t="shared" ca="1" si="194"/>
        <v>-2.2422867802505922E-2</v>
      </c>
    </row>
    <row r="7016" spans="6:7" x14ac:dyDescent="0.35">
      <c r="F7016">
        <v>7013</v>
      </c>
      <c r="G7016">
        <f t="shared" ca="1" si="194"/>
        <v>9.6241564305270147E-4</v>
      </c>
    </row>
    <row r="7017" spans="6:7" x14ac:dyDescent="0.35">
      <c r="F7017">
        <v>7014</v>
      </c>
      <c r="G7017">
        <f t="shared" ca="1" si="194"/>
        <v>2.9129824524349607E-2</v>
      </c>
    </row>
    <row r="7018" spans="6:7" x14ac:dyDescent="0.35">
      <c r="F7018">
        <v>7015</v>
      </c>
      <c r="G7018">
        <f t="shared" ca="1" si="194"/>
        <v>3.2466568456782328E-2</v>
      </c>
    </row>
    <row r="7019" spans="6:7" x14ac:dyDescent="0.35">
      <c r="F7019">
        <v>7016</v>
      </c>
      <c r="G7019">
        <f t="shared" ca="1" si="194"/>
        <v>-3.7730855338745893E-3</v>
      </c>
    </row>
    <row r="7020" spans="6:7" x14ac:dyDescent="0.35">
      <c r="F7020">
        <v>7017</v>
      </c>
      <c r="G7020">
        <f t="shared" ca="1" si="194"/>
        <v>-9.1410053348336927E-3</v>
      </c>
    </row>
    <row r="7021" spans="6:7" x14ac:dyDescent="0.35">
      <c r="F7021">
        <v>7018</v>
      </c>
      <c r="G7021">
        <f t="shared" ca="1" si="194"/>
        <v>2.0845202601435922E-2</v>
      </c>
    </row>
    <row r="7022" spans="6:7" x14ac:dyDescent="0.35">
      <c r="F7022">
        <v>7019</v>
      </c>
      <c r="G7022">
        <f t="shared" ca="1" si="194"/>
        <v>-1.355957902459299E-2</v>
      </c>
    </row>
    <row r="7023" spans="6:7" x14ac:dyDescent="0.35">
      <c r="F7023">
        <v>7020</v>
      </c>
      <c r="G7023">
        <f t="shared" ca="1" si="194"/>
        <v>5.1107518056170968E-2</v>
      </c>
    </row>
    <row r="7024" spans="6:7" x14ac:dyDescent="0.35">
      <c r="F7024">
        <v>7021</v>
      </c>
      <c r="G7024">
        <f t="shared" ca="1" si="194"/>
        <v>-2.7959709192770955E-3</v>
      </c>
    </row>
    <row r="7025" spans="6:7" x14ac:dyDescent="0.35">
      <c r="F7025">
        <v>7022</v>
      </c>
      <c r="G7025">
        <f t="shared" ca="1" si="194"/>
        <v>3.2395150493409609E-2</v>
      </c>
    </row>
    <row r="7026" spans="6:7" x14ac:dyDescent="0.35">
      <c r="F7026">
        <v>7023</v>
      </c>
      <c r="G7026">
        <f t="shared" ca="1" si="194"/>
        <v>-1.0020890049316172E-3</v>
      </c>
    </row>
    <row r="7027" spans="6:7" x14ac:dyDescent="0.35">
      <c r="F7027">
        <v>7024</v>
      </c>
      <c r="G7027">
        <f t="shared" ca="1" si="194"/>
        <v>-2.512711630225984E-2</v>
      </c>
    </row>
    <row r="7028" spans="6:7" x14ac:dyDescent="0.35">
      <c r="F7028">
        <v>7025</v>
      </c>
      <c r="G7028">
        <f t="shared" ca="1" si="194"/>
        <v>9.2685104693898488E-3</v>
      </c>
    </row>
    <row r="7029" spans="6:7" x14ac:dyDescent="0.35">
      <c r="F7029">
        <v>7026</v>
      </c>
      <c r="G7029">
        <f t="shared" ca="1" si="194"/>
        <v>8.0771114601901929E-3</v>
      </c>
    </row>
    <row r="7030" spans="6:7" x14ac:dyDescent="0.35">
      <c r="F7030">
        <v>7027</v>
      </c>
      <c r="G7030">
        <f t="shared" ca="1" si="194"/>
        <v>2.9303168788973075E-2</v>
      </c>
    </row>
    <row r="7031" spans="6:7" x14ac:dyDescent="0.35">
      <c r="F7031">
        <v>7028</v>
      </c>
      <c r="G7031">
        <f t="shared" ca="1" si="194"/>
        <v>1.6315074127441179E-4</v>
      </c>
    </row>
    <row r="7032" spans="6:7" x14ac:dyDescent="0.35">
      <c r="F7032">
        <v>7029</v>
      </c>
      <c r="G7032">
        <f t="shared" ca="1" si="194"/>
        <v>3.9702848175908113E-2</v>
      </c>
    </row>
    <row r="7033" spans="6:7" x14ac:dyDescent="0.35">
      <c r="F7033">
        <v>7030</v>
      </c>
      <c r="G7033">
        <f t="shared" ca="1" si="194"/>
        <v>-1.3710708825848643E-2</v>
      </c>
    </row>
    <row r="7034" spans="6:7" x14ac:dyDescent="0.35">
      <c r="F7034">
        <v>7031</v>
      </c>
      <c r="G7034">
        <f t="shared" ca="1" si="194"/>
        <v>-3.7272356442155506E-2</v>
      </c>
    </row>
    <row r="7035" spans="6:7" x14ac:dyDescent="0.35">
      <c r="F7035">
        <v>7032</v>
      </c>
      <c r="G7035">
        <f t="shared" ca="1" si="194"/>
        <v>2.2620823856936506E-2</v>
      </c>
    </row>
    <row r="7036" spans="6:7" x14ac:dyDescent="0.35">
      <c r="F7036">
        <v>7033</v>
      </c>
      <c r="G7036">
        <f t="shared" ca="1" si="194"/>
        <v>8.5178389566495736E-3</v>
      </c>
    </row>
    <row r="7037" spans="6:7" x14ac:dyDescent="0.35">
      <c r="F7037">
        <v>7034</v>
      </c>
      <c r="G7037">
        <f t="shared" ca="1" si="194"/>
        <v>-2.0045477925134576E-2</v>
      </c>
    </row>
    <row r="7038" spans="6:7" x14ac:dyDescent="0.35">
      <c r="F7038">
        <v>7035</v>
      </c>
      <c r="G7038">
        <f t="shared" ca="1" si="194"/>
        <v>2.0900300116841471E-2</v>
      </c>
    </row>
    <row r="7039" spans="6:7" x14ac:dyDescent="0.35">
      <c r="F7039">
        <v>7036</v>
      </c>
      <c r="G7039">
        <f t="shared" ca="1" si="194"/>
        <v>-1.1093415971325541E-2</v>
      </c>
    </row>
    <row r="7040" spans="6:7" x14ac:dyDescent="0.35">
      <c r="F7040">
        <v>7037</v>
      </c>
      <c r="G7040">
        <f t="shared" ca="1" si="194"/>
        <v>-1.7785003768740371E-2</v>
      </c>
    </row>
    <row r="7041" spans="6:7" x14ac:dyDescent="0.35">
      <c r="F7041">
        <v>7038</v>
      </c>
      <c r="G7041">
        <f t="shared" ca="1" si="194"/>
        <v>-2.8909150843202114E-2</v>
      </c>
    </row>
    <row r="7042" spans="6:7" x14ac:dyDescent="0.35">
      <c r="F7042">
        <v>7039</v>
      </c>
      <c r="G7042">
        <f t="shared" ca="1" si="194"/>
        <v>-2.7985621666690847E-2</v>
      </c>
    </row>
    <row r="7043" spans="6:7" x14ac:dyDescent="0.35">
      <c r="F7043">
        <v>7040</v>
      </c>
      <c r="G7043">
        <f t="shared" ca="1" si="194"/>
        <v>4.4271597466940607E-3</v>
      </c>
    </row>
    <row r="7044" spans="6:7" x14ac:dyDescent="0.35">
      <c r="F7044">
        <v>7041</v>
      </c>
      <c r="G7044">
        <f t="shared" ca="1" si="194"/>
        <v>-2.6717605038096438E-3</v>
      </c>
    </row>
    <row r="7045" spans="6:7" x14ac:dyDescent="0.35">
      <c r="F7045">
        <v>7042</v>
      </c>
      <c r="G7045">
        <f t="shared" ref="G7045:G7108" ca="1" si="195">_xlfn.NORM.INV(RAND(),K$6,K$7)</f>
        <v>-3.8698489045910244E-4</v>
      </c>
    </row>
    <row r="7046" spans="6:7" x14ac:dyDescent="0.35">
      <c r="F7046">
        <v>7043</v>
      </c>
      <c r="G7046">
        <f t="shared" ca="1" si="195"/>
        <v>-8.8677352678527364E-3</v>
      </c>
    </row>
    <row r="7047" spans="6:7" x14ac:dyDescent="0.35">
      <c r="F7047">
        <v>7044</v>
      </c>
      <c r="G7047">
        <f t="shared" ca="1" si="195"/>
        <v>2.5585395195093653E-2</v>
      </c>
    </row>
    <row r="7048" spans="6:7" x14ac:dyDescent="0.35">
      <c r="F7048">
        <v>7045</v>
      </c>
      <c r="G7048">
        <f t="shared" ca="1" si="195"/>
        <v>6.1363226609167402E-3</v>
      </c>
    </row>
    <row r="7049" spans="6:7" x14ac:dyDescent="0.35">
      <c r="F7049">
        <v>7046</v>
      </c>
      <c r="G7049">
        <f t="shared" ca="1" si="195"/>
        <v>-4.3741765956160257E-3</v>
      </c>
    </row>
    <row r="7050" spans="6:7" x14ac:dyDescent="0.35">
      <c r="F7050">
        <v>7047</v>
      </c>
      <c r="G7050">
        <f t="shared" ca="1" si="195"/>
        <v>3.8858682911197269E-2</v>
      </c>
    </row>
    <row r="7051" spans="6:7" x14ac:dyDescent="0.35">
      <c r="F7051">
        <v>7048</v>
      </c>
      <c r="G7051">
        <f t="shared" ca="1" si="195"/>
        <v>-6.3647028228732685E-3</v>
      </c>
    </row>
    <row r="7052" spans="6:7" x14ac:dyDescent="0.35">
      <c r="F7052">
        <v>7049</v>
      </c>
      <c r="G7052">
        <f t="shared" ca="1" si="195"/>
        <v>-1.8474008265305507E-2</v>
      </c>
    </row>
    <row r="7053" spans="6:7" x14ac:dyDescent="0.35">
      <c r="F7053">
        <v>7050</v>
      </c>
      <c r="G7053">
        <f t="shared" ca="1" si="195"/>
        <v>2.2503852066925633E-2</v>
      </c>
    </row>
    <row r="7054" spans="6:7" x14ac:dyDescent="0.35">
      <c r="F7054">
        <v>7051</v>
      </c>
      <c r="G7054">
        <f t="shared" ca="1" si="195"/>
        <v>-2.3190695817222856E-2</v>
      </c>
    </row>
    <row r="7055" spans="6:7" x14ac:dyDescent="0.35">
      <c r="F7055">
        <v>7052</v>
      </c>
      <c r="G7055">
        <f t="shared" ca="1" si="195"/>
        <v>-2.51506993437252E-2</v>
      </c>
    </row>
    <row r="7056" spans="6:7" x14ac:dyDescent="0.35">
      <c r="F7056">
        <v>7053</v>
      </c>
      <c r="G7056">
        <f t="shared" ca="1" si="195"/>
        <v>3.9522240075218588E-3</v>
      </c>
    </row>
    <row r="7057" spans="6:7" x14ac:dyDescent="0.35">
      <c r="F7057">
        <v>7054</v>
      </c>
      <c r="G7057">
        <f t="shared" ca="1" si="195"/>
        <v>-3.6405946839339932E-2</v>
      </c>
    </row>
    <row r="7058" spans="6:7" x14ac:dyDescent="0.35">
      <c r="F7058">
        <v>7055</v>
      </c>
      <c r="G7058">
        <f t="shared" ca="1" si="195"/>
        <v>4.9279300572177701E-3</v>
      </c>
    </row>
    <row r="7059" spans="6:7" x14ac:dyDescent="0.35">
      <c r="F7059">
        <v>7056</v>
      </c>
      <c r="G7059">
        <f t="shared" ca="1" si="195"/>
        <v>-3.0231475258740387E-2</v>
      </c>
    </row>
    <row r="7060" spans="6:7" x14ac:dyDescent="0.35">
      <c r="F7060">
        <v>7057</v>
      </c>
      <c r="G7060">
        <f t="shared" ca="1" si="195"/>
        <v>-6.3647869520973399E-2</v>
      </c>
    </row>
    <row r="7061" spans="6:7" x14ac:dyDescent="0.35">
      <c r="F7061">
        <v>7058</v>
      </c>
      <c r="G7061">
        <f t="shared" ca="1" si="195"/>
        <v>-5.6600465067929554E-4</v>
      </c>
    </row>
    <row r="7062" spans="6:7" x14ac:dyDescent="0.35">
      <c r="F7062">
        <v>7059</v>
      </c>
      <c r="G7062">
        <f t="shared" ca="1" si="195"/>
        <v>7.4304285803948903E-3</v>
      </c>
    </row>
    <row r="7063" spans="6:7" x14ac:dyDescent="0.35">
      <c r="F7063">
        <v>7060</v>
      </c>
      <c r="G7063">
        <f t="shared" ca="1" si="195"/>
        <v>-3.7961858140555145E-3</v>
      </c>
    </row>
    <row r="7064" spans="6:7" x14ac:dyDescent="0.35">
      <c r="F7064">
        <v>7061</v>
      </c>
      <c r="G7064">
        <f t="shared" ca="1" si="195"/>
        <v>-5.902009095554224E-2</v>
      </c>
    </row>
    <row r="7065" spans="6:7" x14ac:dyDescent="0.35">
      <c r="F7065">
        <v>7062</v>
      </c>
      <c r="G7065">
        <f t="shared" ca="1" si="195"/>
        <v>2.6952504449688778E-2</v>
      </c>
    </row>
    <row r="7066" spans="6:7" x14ac:dyDescent="0.35">
      <c r="F7066">
        <v>7063</v>
      </c>
      <c r="G7066">
        <f t="shared" ca="1" si="195"/>
        <v>-2.3703831880544236E-2</v>
      </c>
    </row>
    <row r="7067" spans="6:7" x14ac:dyDescent="0.35">
      <c r="F7067">
        <v>7064</v>
      </c>
      <c r="G7067">
        <f t="shared" ca="1" si="195"/>
        <v>-7.0030788240183339E-3</v>
      </c>
    </row>
    <row r="7068" spans="6:7" x14ac:dyDescent="0.35">
      <c r="F7068">
        <v>7065</v>
      </c>
      <c r="G7068">
        <f t="shared" ca="1" si="195"/>
        <v>-2.9460616879458171E-2</v>
      </c>
    </row>
    <row r="7069" spans="6:7" x14ac:dyDescent="0.35">
      <c r="F7069">
        <v>7066</v>
      </c>
      <c r="G7069">
        <f t="shared" ca="1" si="195"/>
        <v>1.1595376431704404E-2</v>
      </c>
    </row>
    <row r="7070" spans="6:7" x14ac:dyDescent="0.35">
      <c r="F7070">
        <v>7067</v>
      </c>
      <c r="G7070">
        <f t="shared" ca="1" si="195"/>
        <v>-1.5607338791587471E-2</v>
      </c>
    </row>
    <row r="7071" spans="6:7" x14ac:dyDescent="0.35">
      <c r="F7071">
        <v>7068</v>
      </c>
      <c r="G7071">
        <f t="shared" ca="1" si="195"/>
        <v>3.6919605464538756E-2</v>
      </c>
    </row>
    <row r="7072" spans="6:7" x14ac:dyDescent="0.35">
      <c r="F7072">
        <v>7069</v>
      </c>
      <c r="G7072">
        <f t="shared" ca="1" si="195"/>
        <v>-4.6051244970486153E-3</v>
      </c>
    </row>
    <row r="7073" spans="6:7" x14ac:dyDescent="0.35">
      <c r="F7073">
        <v>7070</v>
      </c>
      <c r="G7073">
        <f t="shared" ca="1" si="195"/>
        <v>-2.3025176127324494E-3</v>
      </c>
    </row>
    <row r="7074" spans="6:7" x14ac:dyDescent="0.35">
      <c r="F7074">
        <v>7071</v>
      </c>
      <c r="G7074">
        <f t="shared" ca="1" si="195"/>
        <v>3.4420096413544911E-2</v>
      </c>
    </row>
    <row r="7075" spans="6:7" x14ac:dyDescent="0.35">
      <c r="F7075">
        <v>7072</v>
      </c>
      <c r="G7075">
        <f t="shared" ca="1" si="195"/>
        <v>1.0355671863895037E-3</v>
      </c>
    </row>
    <row r="7076" spans="6:7" x14ac:dyDescent="0.35">
      <c r="F7076">
        <v>7073</v>
      </c>
      <c r="G7076">
        <f t="shared" ca="1" si="195"/>
        <v>7.8815720996303299E-3</v>
      </c>
    </row>
    <row r="7077" spans="6:7" x14ac:dyDescent="0.35">
      <c r="F7077">
        <v>7074</v>
      </c>
      <c r="G7077">
        <f t="shared" ca="1" si="195"/>
        <v>1.8726835503589907E-2</v>
      </c>
    </row>
    <row r="7078" spans="6:7" x14ac:dyDescent="0.35">
      <c r="F7078">
        <v>7075</v>
      </c>
      <c r="G7078">
        <f t="shared" ca="1" si="195"/>
        <v>-3.3264405112205077E-3</v>
      </c>
    </row>
    <row r="7079" spans="6:7" x14ac:dyDescent="0.35">
      <c r="F7079">
        <v>7076</v>
      </c>
      <c r="G7079">
        <f t="shared" ca="1" si="195"/>
        <v>2.8255333611623999E-2</v>
      </c>
    </row>
    <row r="7080" spans="6:7" x14ac:dyDescent="0.35">
      <c r="F7080">
        <v>7077</v>
      </c>
      <c r="G7080">
        <f t="shared" ca="1" si="195"/>
        <v>-1.6688996741228732E-2</v>
      </c>
    </row>
    <row r="7081" spans="6:7" x14ac:dyDescent="0.35">
      <c r="F7081">
        <v>7078</v>
      </c>
      <c r="G7081">
        <f t="shared" ca="1" si="195"/>
        <v>4.170152296728899E-2</v>
      </c>
    </row>
    <row r="7082" spans="6:7" x14ac:dyDescent="0.35">
      <c r="F7082">
        <v>7079</v>
      </c>
      <c r="G7082">
        <f t="shared" ca="1" si="195"/>
        <v>-2.6977677867210285E-2</v>
      </c>
    </row>
    <row r="7083" spans="6:7" x14ac:dyDescent="0.35">
      <c r="F7083">
        <v>7080</v>
      </c>
      <c r="G7083">
        <f t="shared" ca="1" si="195"/>
        <v>-1.9711724012106201E-2</v>
      </c>
    </row>
    <row r="7084" spans="6:7" x14ac:dyDescent="0.35">
      <c r="F7084">
        <v>7081</v>
      </c>
      <c r="G7084">
        <f t="shared" ca="1" si="195"/>
        <v>-5.2257747976316299E-2</v>
      </c>
    </row>
    <row r="7085" spans="6:7" x14ac:dyDescent="0.35">
      <c r="F7085">
        <v>7082</v>
      </c>
      <c r="G7085">
        <f t="shared" ca="1" si="195"/>
        <v>1.5643372431694588E-3</v>
      </c>
    </row>
    <row r="7086" spans="6:7" x14ac:dyDescent="0.35">
      <c r="F7086">
        <v>7083</v>
      </c>
      <c r="G7086">
        <f t="shared" ca="1" si="195"/>
        <v>-1.9695444951062142E-2</v>
      </c>
    </row>
    <row r="7087" spans="6:7" x14ac:dyDescent="0.35">
      <c r="F7087">
        <v>7084</v>
      </c>
      <c r="G7087">
        <f t="shared" ca="1" si="195"/>
        <v>3.1139444739995928E-2</v>
      </c>
    </row>
    <row r="7088" spans="6:7" x14ac:dyDescent="0.35">
      <c r="F7088">
        <v>7085</v>
      </c>
      <c r="G7088">
        <f t="shared" ca="1" si="195"/>
        <v>-1.6697064043063703E-2</v>
      </c>
    </row>
    <row r="7089" spans="6:7" x14ac:dyDescent="0.35">
      <c r="F7089">
        <v>7086</v>
      </c>
      <c r="G7089">
        <f t="shared" ca="1" si="195"/>
        <v>-3.3486747222201026E-2</v>
      </c>
    </row>
    <row r="7090" spans="6:7" x14ac:dyDescent="0.35">
      <c r="F7090">
        <v>7087</v>
      </c>
      <c r="G7090">
        <f t="shared" ca="1" si="195"/>
        <v>8.8346423716840535E-3</v>
      </c>
    </row>
    <row r="7091" spans="6:7" x14ac:dyDescent="0.35">
      <c r="F7091">
        <v>7088</v>
      </c>
      <c r="G7091">
        <f t="shared" ca="1" si="195"/>
        <v>2.6854876879919592E-2</v>
      </c>
    </row>
    <row r="7092" spans="6:7" x14ac:dyDescent="0.35">
      <c r="F7092">
        <v>7089</v>
      </c>
      <c r="G7092">
        <f t="shared" ca="1" si="195"/>
        <v>-5.018089723170467E-3</v>
      </c>
    </row>
    <row r="7093" spans="6:7" x14ac:dyDescent="0.35">
      <c r="F7093">
        <v>7090</v>
      </c>
      <c r="G7093">
        <f t="shared" ca="1" si="195"/>
        <v>-3.0354959746552539E-2</v>
      </c>
    </row>
    <row r="7094" spans="6:7" x14ac:dyDescent="0.35">
      <c r="F7094">
        <v>7091</v>
      </c>
      <c r="G7094">
        <f t="shared" ca="1" si="195"/>
        <v>7.8054360217297711E-2</v>
      </c>
    </row>
    <row r="7095" spans="6:7" x14ac:dyDescent="0.35">
      <c r="F7095">
        <v>7092</v>
      </c>
      <c r="G7095">
        <f t="shared" ca="1" si="195"/>
        <v>-7.1465552406451194E-2</v>
      </c>
    </row>
    <row r="7096" spans="6:7" x14ac:dyDescent="0.35">
      <c r="F7096">
        <v>7093</v>
      </c>
      <c r="G7096">
        <f t="shared" ca="1" si="195"/>
        <v>1.0811576821547726E-2</v>
      </c>
    </row>
    <row r="7097" spans="6:7" x14ac:dyDescent="0.35">
      <c r="F7097">
        <v>7094</v>
      </c>
      <c r="G7097">
        <f t="shared" ca="1" si="195"/>
        <v>2.191277525084033E-2</v>
      </c>
    </row>
    <row r="7098" spans="6:7" x14ac:dyDescent="0.35">
      <c r="F7098">
        <v>7095</v>
      </c>
      <c r="G7098">
        <f t="shared" ca="1" si="195"/>
        <v>1.8895045995785016E-2</v>
      </c>
    </row>
    <row r="7099" spans="6:7" x14ac:dyDescent="0.35">
      <c r="F7099">
        <v>7096</v>
      </c>
      <c r="G7099">
        <f t="shared" ca="1" si="195"/>
        <v>-5.6047558294115639E-2</v>
      </c>
    </row>
    <row r="7100" spans="6:7" x14ac:dyDescent="0.35">
      <c r="F7100">
        <v>7097</v>
      </c>
      <c r="G7100">
        <f t="shared" ca="1" si="195"/>
        <v>-4.1072349987300714E-2</v>
      </c>
    </row>
    <row r="7101" spans="6:7" x14ac:dyDescent="0.35">
      <c r="F7101">
        <v>7098</v>
      </c>
      <c r="G7101">
        <f t="shared" ca="1" si="195"/>
        <v>3.0305015361983535E-2</v>
      </c>
    </row>
    <row r="7102" spans="6:7" x14ac:dyDescent="0.35">
      <c r="F7102">
        <v>7099</v>
      </c>
      <c r="G7102">
        <f t="shared" ca="1" si="195"/>
        <v>-1.7538421186866812E-2</v>
      </c>
    </row>
    <row r="7103" spans="6:7" x14ac:dyDescent="0.35">
      <c r="F7103">
        <v>7100</v>
      </c>
      <c r="G7103">
        <f t="shared" ca="1" si="195"/>
        <v>2.2303186157512683E-2</v>
      </c>
    </row>
    <row r="7104" spans="6:7" x14ac:dyDescent="0.35">
      <c r="F7104">
        <v>7101</v>
      </c>
      <c r="G7104">
        <f t="shared" ca="1" si="195"/>
        <v>3.1828672964655053E-2</v>
      </c>
    </row>
    <row r="7105" spans="6:7" x14ac:dyDescent="0.35">
      <c r="F7105">
        <v>7102</v>
      </c>
      <c r="G7105">
        <f t="shared" ca="1" si="195"/>
        <v>-2.8046013772293155E-2</v>
      </c>
    </row>
    <row r="7106" spans="6:7" x14ac:dyDescent="0.35">
      <c r="F7106">
        <v>7103</v>
      </c>
      <c r="G7106">
        <f t="shared" ca="1" si="195"/>
        <v>-3.4538182927731392E-2</v>
      </c>
    </row>
    <row r="7107" spans="6:7" x14ac:dyDescent="0.35">
      <c r="F7107">
        <v>7104</v>
      </c>
      <c r="G7107">
        <f t="shared" ca="1" si="195"/>
        <v>-1.5338334103758091E-2</v>
      </c>
    </row>
    <row r="7108" spans="6:7" x14ac:dyDescent="0.35">
      <c r="F7108">
        <v>7105</v>
      </c>
      <c r="G7108">
        <f t="shared" ca="1" si="195"/>
        <v>-1.1291546937771202E-2</v>
      </c>
    </row>
    <row r="7109" spans="6:7" x14ac:dyDescent="0.35">
      <c r="F7109">
        <v>7106</v>
      </c>
      <c r="G7109">
        <f t="shared" ref="G7109:G7172" ca="1" si="196">_xlfn.NORM.INV(RAND(),K$6,K$7)</f>
        <v>1.4297431774215252E-2</v>
      </c>
    </row>
    <row r="7110" spans="6:7" x14ac:dyDescent="0.35">
      <c r="F7110">
        <v>7107</v>
      </c>
      <c r="G7110">
        <f t="shared" ca="1" si="196"/>
        <v>3.819046825637222E-2</v>
      </c>
    </row>
    <row r="7111" spans="6:7" x14ac:dyDescent="0.35">
      <c r="F7111">
        <v>7108</v>
      </c>
      <c r="G7111">
        <f t="shared" ca="1" si="196"/>
        <v>1.6902865313637654E-2</v>
      </c>
    </row>
    <row r="7112" spans="6:7" x14ac:dyDescent="0.35">
      <c r="F7112">
        <v>7109</v>
      </c>
      <c r="G7112">
        <f t="shared" ca="1" si="196"/>
        <v>-1.850523385654158E-2</v>
      </c>
    </row>
    <row r="7113" spans="6:7" x14ac:dyDescent="0.35">
      <c r="F7113">
        <v>7110</v>
      </c>
      <c r="G7113">
        <f t="shared" ca="1" si="196"/>
        <v>6.2390418398342324E-3</v>
      </c>
    </row>
    <row r="7114" spans="6:7" x14ac:dyDescent="0.35">
      <c r="F7114">
        <v>7111</v>
      </c>
      <c r="G7114">
        <f t="shared" ca="1" si="196"/>
        <v>3.2917132234594672E-2</v>
      </c>
    </row>
    <row r="7115" spans="6:7" x14ac:dyDescent="0.35">
      <c r="F7115">
        <v>7112</v>
      </c>
      <c r="G7115">
        <f t="shared" ca="1" si="196"/>
        <v>1.696332188677567E-2</v>
      </c>
    </row>
    <row r="7116" spans="6:7" x14ac:dyDescent="0.35">
      <c r="F7116">
        <v>7113</v>
      </c>
      <c r="G7116">
        <f t="shared" ca="1" si="196"/>
        <v>-4.5685025115305214E-2</v>
      </c>
    </row>
    <row r="7117" spans="6:7" x14ac:dyDescent="0.35">
      <c r="F7117">
        <v>7114</v>
      </c>
      <c r="G7117">
        <f t="shared" ca="1" si="196"/>
        <v>6.2312040310155664E-2</v>
      </c>
    </row>
    <row r="7118" spans="6:7" x14ac:dyDescent="0.35">
      <c r="F7118">
        <v>7115</v>
      </c>
      <c r="G7118">
        <f t="shared" ca="1" si="196"/>
        <v>-1.1490430041045087E-2</v>
      </c>
    </row>
    <row r="7119" spans="6:7" x14ac:dyDescent="0.35">
      <c r="F7119">
        <v>7116</v>
      </c>
      <c r="G7119">
        <f t="shared" ca="1" si="196"/>
        <v>-2.1862229416390478E-2</v>
      </c>
    </row>
    <row r="7120" spans="6:7" x14ac:dyDescent="0.35">
      <c r="F7120">
        <v>7117</v>
      </c>
      <c r="G7120">
        <f t="shared" ca="1" si="196"/>
        <v>-7.7843992947545324E-3</v>
      </c>
    </row>
    <row r="7121" spans="6:7" x14ac:dyDescent="0.35">
      <c r="F7121">
        <v>7118</v>
      </c>
      <c r="G7121">
        <f t="shared" ca="1" si="196"/>
        <v>3.0652299770780506E-2</v>
      </c>
    </row>
    <row r="7122" spans="6:7" x14ac:dyDescent="0.35">
      <c r="F7122">
        <v>7119</v>
      </c>
      <c r="G7122">
        <f t="shared" ca="1" si="196"/>
        <v>3.3549131874002755E-2</v>
      </c>
    </row>
    <row r="7123" spans="6:7" x14ac:dyDescent="0.35">
      <c r="F7123">
        <v>7120</v>
      </c>
      <c r="G7123">
        <f t="shared" ca="1" si="196"/>
        <v>-6.310267951139043E-3</v>
      </c>
    </row>
    <row r="7124" spans="6:7" x14ac:dyDescent="0.35">
      <c r="F7124">
        <v>7121</v>
      </c>
      <c r="G7124">
        <f t="shared" ca="1" si="196"/>
        <v>-4.4518594424047802E-3</v>
      </c>
    </row>
    <row r="7125" spans="6:7" x14ac:dyDescent="0.35">
      <c r="F7125">
        <v>7122</v>
      </c>
      <c r="G7125">
        <f t="shared" ca="1" si="196"/>
        <v>5.0097851466113362E-2</v>
      </c>
    </row>
    <row r="7126" spans="6:7" x14ac:dyDescent="0.35">
      <c r="F7126">
        <v>7123</v>
      </c>
      <c r="G7126">
        <f t="shared" ca="1" si="196"/>
        <v>5.8295826279403475E-2</v>
      </c>
    </row>
    <row r="7127" spans="6:7" x14ac:dyDescent="0.35">
      <c r="F7127">
        <v>7124</v>
      </c>
      <c r="G7127">
        <f t="shared" ca="1" si="196"/>
        <v>2.831682604199897E-2</v>
      </c>
    </row>
    <row r="7128" spans="6:7" x14ac:dyDescent="0.35">
      <c r="F7128">
        <v>7125</v>
      </c>
      <c r="G7128">
        <f t="shared" ca="1" si="196"/>
        <v>2.6465446332948301E-2</v>
      </c>
    </row>
    <row r="7129" spans="6:7" x14ac:dyDescent="0.35">
      <c r="F7129">
        <v>7126</v>
      </c>
      <c r="G7129">
        <f t="shared" ca="1" si="196"/>
        <v>-4.0796260948783875E-3</v>
      </c>
    </row>
    <row r="7130" spans="6:7" x14ac:dyDescent="0.35">
      <c r="F7130">
        <v>7127</v>
      </c>
      <c r="G7130">
        <f t="shared" ca="1" si="196"/>
        <v>4.67801286614715E-2</v>
      </c>
    </row>
    <row r="7131" spans="6:7" x14ac:dyDescent="0.35">
      <c r="F7131">
        <v>7128</v>
      </c>
      <c r="G7131">
        <f t="shared" ca="1" si="196"/>
        <v>-1.6480866095701541E-2</v>
      </c>
    </row>
    <row r="7132" spans="6:7" x14ac:dyDescent="0.35">
      <c r="F7132">
        <v>7129</v>
      </c>
      <c r="G7132">
        <f t="shared" ca="1" si="196"/>
        <v>3.6463995395471051E-2</v>
      </c>
    </row>
    <row r="7133" spans="6:7" x14ac:dyDescent="0.35">
      <c r="F7133">
        <v>7130</v>
      </c>
      <c r="G7133">
        <f t="shared" ca="1" si="196"/>
        <v>4.5352097341683502E-2</v>
      </c>
    </row>
    <row r="7134" spans="6:7" x14ac:dyDescent="0.35">
      <c r="F7134">
        <v>7131</v>
      </c>
      <c r="G7134">
        <f t="shared" ca="1" si="196"/>
        <v>-2.6051643091346485E-2</v>
      </c>
    </row>
    <row r="7135" spans="6:7" x14ac:dyDescent="0.35">
      <c r="F7135">
        <v>7132</v>
      </c>
      <c r="G7135">
        <f t="shared" ca="1" si="196"/>
        <v>-6.3415041155330653E-3</v>
      </c>
    </row>
    <row r="7136" spans="6:7" x14ac:dyDescent="0.35">
      <c r="F7136">
        <v>7133</v>
      </c>
      <c r="G7136">
        <f t="shared" ca="1" si="196"/>
        <v>1.0984290335384455E-2</v>
      </c>
    </row>
    <row r="7137" spans="6:7" x14ac:dyDescent="0.35">
      <c r="F7137">
        <v>7134</v>
      </c>
      <c r="G7137">
        <f t="shared" ca="1" si="196"/>
        <v>1.9867610915671373E-2</v>
      </c>
    </row>
    <row r="7138" spans="6:7" x14ac:dyDescent="0.35">
      <c r="F7138">
        <v>7135</v>
      </c>
      <c r="G7138">
        <f t="shared" ca="1" si="196"/>
        <v>-9.1603576395380745E-3</v>
      </c>
    </row>
    <row r="7139" spans="6:7" x14ac:dyDescent="0.35">
      <c r="F7139">
        <v>7136</v>
      </c>
      <c r="G7139">
        <f t="shared" ca="1" si="196"/>
        <v>6.5959308828942402E-3</v>
      </c>
    </row>
    <row r="7140" spans="6:7" x14ac:dyDescent="0.35">
      <c r="F7140">
        <v>7137</v>
      </c>
      <c r="G7140">
        <f t="shared" ca="1" si="196"/>
        <v>-2.0432560643742409E-2</v>
      </c>
    </row>
    <row r="7141" spans="6:7" x14ac:dyDescent="0.35">
      <c r="F7141">
        <v>7138</v>
      </c>
      <c r="G7141">
        <f t="shared" ca="1" si="196"/>
        <v>-1.2693735665913201E-2</v>
      </c>
    </row>
    <row r="7142" spans="6:7" x14ac:dyDescent="0.35">
      <c r="F7142">
        <v>7139</v>
      </c>
      <c r="G7142">
        <f t="shared" ca="1" si="196"/>
        <v>-1.3339249043256436E-2</v>
      </c>
    </row>
    <row r="7143" spans="6:7" x14ac:dyDescent="0.35">
      <c r="F7143">
        <v>7140</v>
      </c>
      <c r="G7143">
        <f t="shared" ca="1" si="196"/>
        <v>8.5327889162440489E-3</v>
      </c>
    </row>
    <row r="7144" spans="6:7" x14ac:dyDescent="0.35">
      <c r="F7144">
        <v>7141</v>
      </c>
      <c r="G7144">
        <f t="shared" ca="1" si="196"/>
        <v>1.9911386298120625E-2</v>
      </c>
    </row>
    <row r="7145" spans="6:7" x14ac:dyDescent="0.35">
      <c r="F7145">
        <v>7142</v>
      </c>
      <c r="G7145">
        <f t="shared" ca="1" si="196"/>
        <v>5.8861267534422466E-2</v>
      </c>
    </row>
    <row r="7146" spans="6:7" x14ac:dyDescent="0.35">
      <c r="F7146">
        <v>7143</v>
      </c>
      <c r="G7146">
        <f t="shared" ca="1" si="196"/>
        <v>-6.6055912576299461E-3</v>
      </c>
    </row>
    <row r="7147" spans="6:7" x14ac:dyDescent="0.35">
      <c r="F7147">
        <v>7144</v>
      </c>
      <c r="G7147">
        <f t="shared" ca="1" si="196"/>
        <v>-3.7399732583976483E-2</v>
      </c>
    </row>
    <row r="7148" spans="6:7" x14ac:dyDescent="0.35">
      <c r="F7148">
        <v>7145</v>
      </c>
      <c r="G7148">
        <f t="shared" ca="1" si="196"/>
        <v>-1.4174353946013912E-2</v>
      </c>
    </row>
    <row r="7149" spans="6:7" x14ac:dyDescent="0.35">
      <c r="F7149">
        <v>7146</v>
      </c>
      <c r="G7149">
        <f t="shared" ca="1" si="196"/>
        <v>-5.7589133597989783E-2</v>
      </c>
    </row>
    <row r="7150" spans="6:7" x14ac:dyDescent="0.35">
      <c r="F7150">
        <v>7147</v>
      </c>
      <c r="G7150">
        <f t="shared" ca="1" si="196"/>
        <v>5.5501733967048567E-3</v>
      </c>
    </row>
    <row r="7151" spans="6:7" x14ac:dyDescent="0.35">
      <c r="F7151">
        <v>7148</v>
      </c>
      <c r="G7151">
        <f t="shared" ca="1" si="196"/>
        <v>1.6626123807018878E-2</v>
      </c>
    </row>
    <row r="7152" spans="6:7" x14ac:dyDescent="0.35">
      <c r="F7152">
        <v>7149</v>
      </c>
      <c r="G7152">
        <f t="shared" ca="1" si="196"/>
        <v>2.8404374165333375E-2</v>
      </c>
    </row>
    <row r="7153" spans="6:7" x14ac:dyDescent="0.35">
      <c r="F7153">
        <v>7150</v>
      </c>
      <c r="G7153">
        <f t="shared" ca="1" si="196"/>
        <v>1.3256458433546073E-2</v>
      </c>
    </row>
    <row r="7154" spans="6:7" x14ac:dyDescent="0.35">
      <c r="F7154">
        <v>7151</v>
      </c>
      <c r="G7154">
        <f t="shared" ca="1" si="196"/>
        <v>-8.4443582153230566E-4</v>
      </c>
    </row>
    <row r="7155" spans="6:7" x14ac:dyDescent="0.35">
      <c r="F7155">
        <v>7152</v>
      </c>
      <c r="G7155">
        <f t="shared" ca="1" si="196"/>
        <v>2.0686398138174855E-2</v>
      </c>
    </row>
    <row r="7156" spans="6:7" x14ac:dyDescent="0.35">
      <c r="F7156">
        <v>7153</v>
      </c>
      <c r="G7156">
        <f t="shared" ca="1" si="196"/>
        <v>1.5792238241381467E-2</v>
      </c>
    </row>
    <row r="7157" spans="6:7" x14ac:dyDescent="0.35">
      <c r="F7157">
        <v>7154</v>
      </c>
      <c r="G7157">
        <f t="shared" ca="1" si="196"/>
        <v>4.6085177453990121E-2</v>
      </c>
    </row>
    <row r="7158" spans="6:7" x14ac:dyDescent="0.35">
      <c r="F7158">
        <v>7155</v>
      </c>
      <c r="G7158">
        <f t="shared" ca="1" si="196"/>
        <v>3.3859410158552173E-3</v>
      </c>
    </row>
    <row r="7159" spans="6:7" x14ac:dyDescent="0.35">
      <c r="F7159">
        <v>7156</v>
      </c>
      <c r="G7159">
        <f t="shared" ca="1" si="196"/>
        <v>4.1098804992001558E-3</v>
      </c>
    </row>
    <row r="7160" spans="6:7" x14ac:dyDescent="0.35">
      <c r="F7160">
        <v>7157</v>
      </c>
      <c r="G7160">
        <f t="shared" ca="1" si="196"/>
        <v>-7.2075555266374932E-3</v>
      </c>
    </row>
    <row r="7161" spans="6:7" x14ac:dyDescent="0.35">
      <c r="F7161">
        <v>7158</v>
      </c>
      <c r="G7161">
        <f t="shared" ca="1" si="196"/>
        <v>-8.8591156702847867E-3</v>
      </c>
    </row>
    <row r="7162" spans="6:7" x14ac:dyDescent="0.35">
      <c r="F7162">
        <v>7159</v>
      </c>
      <c r="G7162">
        <f t="shared" ca="1" si="196"/>
        <v>2.5284967194714493E-2</v>
      </c>
    </row>
    <row r="7163" spans="6:7" x14ac:dyDescent="0.35">
      <c r="F7163">
        <v>7160</v>
      </c>
      <c r="G7163">
        <f t="shared" ca="1" si="196"/>
        <v>-1.4093753637447259E-2</v>
      </c>
    </row>
    <row r="7164" spans="6:7" x14ac:dyDescent="0.35">
      <c r="F7164">
        <v>7161</v>
      </c>
      <c r="G7164">
        <f t="shared" ca="1" si="196"/>
        <v>4.7460156426983049E-2</v>
      </c>
    </row>
    <row r="7165" spans="6:7" x14ac:dyDescent="0.35">
      <c r="F7165">
        <v>7162</v>
      </c>
      <c r="G7165">
        <f t="shared" ca="1" si="196"/>
        <v>3.0091503315005244E-3</v>
      </c>
    </row>
    <row r="7166" spans="6:7" x14ac:dyDescent="0.35">
      <c r="F7166">
        <v>7163</v>
      </c>
      <c r="G7166">
        <f t="shared" ca="1" si="196"/>
        <v>-1.0825676713910834E-2</v>
      </c>
    </row>
    <row r="7167" spans="6:7" x14ac:dyDescent="0.35">
      <c r="F7167">
        <v>7164</v>
      </c>
      <c r="G7167">
        <f t="shared" ca="1" si="196"/>
        <v>-5.0875401736693152E-2</v>
      </c>
    </row>
    <row r="7168" spans="6:7" x14ac:dyDescent="0.35">
      <c r="F7168">
        <v>7165</v>
      </c>
      <c r="G7168">
        <f t="shared" ca="1" si="196"/>
        <v>-2.0656624501607313E-2</v>
      </c>
    </row>
    <row r="7169" spans="6:7" x14ac:dyDescent="0.35">
      <c r="F7169">
        <v>7166</v>
      </c>
      <c r="G7169">
        <f t="shared" ca="1" si="196"/>
        <v>-1.793504917084502E-2</v>
      </c>
    </row>
    <row r="7170" spans="6:7" x14ac:dyDescent="0.35">
      <c r="F7170">
        <v>7167</v>
      </c>
      <c r="G7170">
        <f t="shared" ca="1" si="196"/>
        <v>-8.7189417477233147E-3</v>
      </c>
    </row>
    <row r="7171" spans="6:7" x14ac:dyDescent="0.35">
      <c r="F7171">
        <v>7168</v>
      </c>
      <c r="G7171">
        <f t="shared" ca="1" si="196"/>
        <v>4.3000945152468599E-2</v>
      </c>
    </row>
    <row r="7172" spans="6:7" x14ac:dyDescent="0.35">
      <c r="F7172">
        <v>7169</v>
      </c>
      <c r="G7172">
        <f t="shared" ca="1" si="196"/>
        <v>-3.6716236575575566E-2</v>
      </c>
    </row>
    <row r="7173" spans="6:7" x14ac:dyDescent="0.35">
      <c r="F7173">
        <v>7170</v>
      </c>
      <c r="G7173">
        <f t="shared" ref="G7173:G7236" ca="1" si="197">_xlfn.NORM.INV(RAND(),K$6,K$7)</f>
        <v>-6.4989553731638165E-3</v>
      </c>
    </row>
    <row r="7174" spans="6:7" x14ac:dyDescent="0.35">
      <c r="F7174">
        <v>7171</v>
      </c>
      <c r="G7174">
        <f t="shared" ca="1" si="197"/>
        <v>-1.4554533898824044E-2</v>
      </c>
    </row>
    <row r="7175" spans="6:7" x14ac:dyDescent="0.35">
      <c r="F7175">
        <v>7172</v>
      </c>
      <c r="G7175">
        <f t="shared" ca="1" si="197"/>
        <v>-2.1605946116392962E-2</v>
      </c>
    </row>
    <row r="7176" spans="6:7" x14ac:dyDescent="0.35">
      <c r="F7176">
        <v>7173</v>
      </c>
      <c r="G7176">
        <f t="shared" ca="1" si="197"/>
        <v>-3.0465117814138425E-3</v>
      </c>
    </row>
    <row r="7177" spans="6:7" x14ac:dyDescent="0.35">
      <c r="F7177">
        <v>7174</v>
      </c>
      <c r="G7177">
        <f t="shared" ca="1" si="197"/>
        <v>4.5145987382700141E-2</v>
      </c>
    </row>
    <row r="7178" spans="6:7" x14ac:dyDescent="0.35">
      <c r="F7178">
        <v>7175</v>
      </c>
      <c r="G7178">
        <f t="shared" ca="1" si="197"/>
        <v>-6.1659807252282886E-2</v>
      </c>
    </row>
    <row r="7179" spans="6:7" x14ac:dyDescent="0.35">
      <c r="F7179">
        <v>7176</v>
      </c>
      <c r="G7179">
        <f t="shared" ca="1" si="197"/>
        <v>-3.3201042069317656E-2</v>
      </c>
    </row>
    <row r="7180" spans="6:7" x14ac:dyDescent="0.35">
      <c r="F7180">
        <v>7177</v>
      </c>
      <c r="G7180">
        <f t="shared" ca="1" si="197"/>
        <v>2.5833920073903185E-2</v>
      </c>
    </row>
    <row r="7181" spans="6:7" x14ac:dyDescent="0.35">
      <c r="F7181">
        <v>7178</v>
      </c>
      <c r="G7181">
        <f t="shared" ca="1" si="197"/>
        <v>-2.3591539533356305E-2</v>
      </c>
    </row>
    <row r="7182" spans="6:7" x14ac:dyDescent="0.35">
      <c r="F7182">
        <v>7179</v>
      </c>
      <c r="G7182">
        <f t="shared" ca="1" si="197"/>
        <v>-2.7598610345063307E-2</v>
      </c>
    </row>
    <row r="7183" spans="6:7" x14ac:dyDescent="0.35">
      <c r="F7183">
        <v>7180</v>
      </c>
      <c r="G7183">
        <f t="shared" ca="1" si="197"/>
        <v>1.7282235799078942E-2</v>
      </c>
    </row>
    <row r="7184" spans="6:7" x14ac:dyDescent="0.35">
      <c r="F7184">
        <v>7181</v>
      </c>
      <c r="G7184">
        <f t="shared" ca="1" si="197"/>
        <v>3.1983609635017167E-2</v>
      </c>
    </row>
    <row r="7185" spans="6:7" x14ac:dyDescent="0.35">
      <c r="F7185">
        <v>7182</v>
      </c>
      <c r="G7185">
        <f t="shared" ca="1" si="197"/>
        <v>-8.506957488594518E-3</v>
      </c>
    </row>
    <row r="7186" spans="6:7" x14ac:dyDescent="0.35">
      <c r="F7186">
        <v>7183</v>
      </c>
      <c r="G7186">
        <f t="shared" ca="1" si="197"/>
        <v>-4.9498540593090015E-2</v>
      </c>
    </row>
    <row r="7187" spans="6:7" x14ac:dyDescent="0.35">
      <c r="F7187">
        <v>7184</v>
      </c>
      <c r="G7187">
        <f t="shared" ca="1" si="197"/>
        <v>-3.3740853007815021E-2</v>
      </c>
    </row>
    <row r="7188" spans="6:7" x14ac:dyDescent="0.35">
      <c r="F7188">
        <v>7185</v>
      </c>
      <c r="G7188">
        <f t="shared" ca="1" si="197"/>
        <v>1.5215601279240694E-2</v>
      </c>
    </row>
    <row r="7189" spans="6:7" x14ac:dyDescent="0.35">
      <c r="F7189">
        <v>7186</v>
      </c>
      <c r="G7189">
        <f t="shared" ca="1" si="197"/>
        <v>4.9724402481587536E-4</v>
      </c>
    </row>
    <row r="7190" spans="6:7" x14ac:dyDescent="0.35">
      <c r="F7190">
        <v>7187</v>
      </c>
      <c r="G7190">
        <f t="shared" ca="1" si="197"/>
        <v>7.4597174396578703E-3</v>
      </c>
    </row>
    <row r="7191" spans="6:7" x14ac:dyDescent="0.35">
      <c r="F7191">
        <v>7188</v>
      </c>
      <c r="G7191">
        <f t="shared" ca="1" si="197"/>
        <v>-7.9912030451776399E-3</v>
      </c>
    </row>
    <row r="7192" spans="6:7" x14ac:dyDescent="0.35">
      <c r="F7192">
        <v>7189</v>
      </c>
      <c r="G7192">
        <f t="shared" ca="1" si="197"/>
        <v>-4.0214445347290052E-2</v>
      </c>
    </row>
    <row r="7193" spans="6:7" x14ac:dyDescent="0.35">
      <c r="F7193">
        <v>7190</v>
      </c>
      <c r="G7193">
        <f t="shared" ca="1" si="197"/>
        <v>-4.171871490594637E-2</v>
      </c>
    </row>
    <row r="7194" spans="6:7" x14ac:dyDescent="0.35">
      <c r="F7194">
        <v>7191</v>
      </c>
      <c r="G7194">
        <f t="shared" ca="1" si="197"/>
        <v>9.0198480407307508E-3</v>
      </c>
    </row>
    <row r="7195" spans="6:7" x14ac:dyDescent="0.35">
      <c r="F7195">
        <v>7192</v>
      </c>
      <c r="G7195">
        <f t="shared" ca="1" si="197"/>
        <v>3.7018079868390338E-3</v>
      </c>
    </row>
    <row r="7196" spans="6:7" x14ac:dyDescent="0.35">
      <c r="F7196">
        <v>7193</v>
      </c>
      <c r="G7196">
        <f t="shared" ca="1" si="197"/>
        <v>-1.9010105623797111E-2</v>
      </c>
    </row>
    <row r="7197" spans="6:7" x14ac:dyDescent="0.35">
      <c r="F7197">
        <v>7194</v>
      </c>
      <c r="G7197">
        <f t="shared" ca="1" si="197"/>
        <v>2.9718832098243921E-3</v>
      </c>
    </row>
    <row r="7198" spans="6:7" x14ac:dyDescent="0.35">
      <c r="F7198">
        <v>7195</v>
      </c>
      <c r="G7198">
        <f t="shared" ca="1" si="197"/>
        <v>2.770789927668103E-2</v>
      </c>
    </row>
    <row r="7199" spans="6:7" x14ac:dyDescent="0.35">
      <c r="F7199">
        <v>7196</v>
      </c>
      <c r="G7199">
        <f t="shared" ca="1" si="197"/>
        <v>3.0229426723361527E-2</v>
      </c>
    </row>
    <row r="7200" spans="6:7" x14ac:dyDescent="0.35">
      <c r="F7200">
        <v>7197</v>
      </c>
      <c r="G7200">
        <f t="shared" ca="1" si="197"/>
        <v>2.5374175359141497E-2</v>
      </c>
    </row>
    <row r="7201" spans="6:7" x14ac:dyDescent="0.35">
      <c r="F7201">
        <v>7198</v>
      </c>
      <c r="G7201">
        <f t="shared" ca="1" si="197"/>
        <v>2.3589073261017723E-2</v>
      </c>
    </row>
    <row r="7202" spans="6:7" x14ac:dyDescent="0.35">
      <c r="F7202">
        <v>7199</v>
      </c>
      <c r="G7202">
        <f t="shared" ca="1" si="197"/>
        <v>2.8078202357959721E-2</v>
      </c>
    </row>
    <row r="7203" spans="6:7" x14ac:dyDescent="0.35">
      <c r="F7203">
        <v>7200</v>
      </c>
      <c r="G7203">
        <f t="shared" ca="1" si="197"/>
        <v>-1.5271826707899911E-2</v>
      </c>
    </row>
    <row r="7204" spans="6:7" x14ac:dyDescent="0.35">
      <c r="F7204">
        <v>7201</v>
      </c>
      <c r="G7204">
        <f t="shared" ca="1" si="197"/>
        <v>3.0653590331501553E-2</v>
      </c>
    </row>
    <row r="7205" spans="6:7" x14ac:dyDescent="0.35">
      <c r="F7205">
        <v>7202</v>
      </c>
      <c r="G7205">
        <f t="shared" ca="1" si="197"/>
        <v>-1.9226476132427742E-2</v>
      </c>
    </row>
    <row r="7206" spans="6:7" x14ac:dyDescent="0.35">
      <c r="F7206">
        <v>7203</v>
      </c>
      <c r="G7206">
        <f t="shared" ca="1" si="197"/>
        <v>1.9044436246331783E-2</v>
      </c>
    </row>
    <row r="7207" spans="6:7" x14ac:dyDescent="0.35">
      <c r="F7207">
        <v>7204</v>
      </c>
      <c r="G7207">
        <f t="shared" ca="1" si="197"/>
        <v>-5.4037904880489679E-3</v>
      </c>
    </row>
    <row r="7208" spans="6:7" x14ac:dyDescent="0.35">
      <c r="F7208">
        <v>7205</v>
      </c>
      <c r="G7208">
        <f t="shared" ca="1" si="197"/>
        <v>-3.0505363898370049E-2</v>
      </c>
    </row>
    <row r="7209" spans="6:7" x14ac:dyDescent="0.35">
      <c r="F7209">
        <v>7206</v>
      </c>
      <c r="G7209">
        <f t="shared" ca="1" si="197"/>
        <v>-1.6992726568017272E-2</v>
      </c>
    </row>
    <row r="7210" spans="6:7" x14ac:dyDescent="0.35">
      <c r="F7210">
        <v>7207</v>
      </c>
      <c r="G7210">
        <f t="shared" ca="1" si="197"/>
        <v>1.0447035662043939E-2</v>
      </c>
    </row>
    <row r="7211" spans="6:7" x14ac:dyDescent="0.35">
      <c r="F7211">
        <v>7208</v>
      </c>
      <c r="G7211">
        <f t="shared" ca="1" si="197"/>
        <v>2.3269424208011858E-2</v>
      </c>
    </row>
    <row r="7212" spans="6:7" x14ac:dyDescent="0.35">
      <c r="F7212">
        <v>7209</v>
      </c>
      <c r="G7212">
        <f t="shared" ca="1" si="197"/>
        <v>4.5146264003213768E-2</v>
      </c>
    </row>
    <row r="7213" spans="6:7" x14ac:dyDescent="0.35">
      <c r="F7213">
        <v>7210</v>
      </c>
      <c r="G7213">
        <f t="shared" ca="1" si="197"/>
        <v>6.3712127938091523E-3</v>
      </c>
    </row>
    <row r="7214" spans="6:7" x14ac:dyDescent="0.35">
      <c r="F7214">
        <v>7211</v>
      </c>
      <c r="G7214">
        <f t="shared" ca="1" si="197"/>
        <v>2.0804677935200844E-2</v>
      </c>
    </row>
    <row r="7215" spans="6:7" x14ac:dyDescent="0.35">
      <c r="F7215">
        <v>7212</v>
      </c>
      <c r="G7215">
        <f t="shared" ca="1" si="197"/>
        <v>3.4847396243470391E-3</v>
      </c>
    </row>
    <row r="7216" spans="6:7" x14ac:dyDescent="0.35">
      <c r="F7216">
        <v>7213</v>
      </c>
      <c r="G7216">
        <f t="shared" ca="1" si="197"/>
        <v>-4.3607906572199736E-3</v>
      </c>
    </row>
    <row r="7217" spans="6:7" x14ac:dyDescent="0.35">
      <c r="F7217">
        <v>7214</v>
      </c>
      <c r="G7217">
        <f t="shared" ca="1" si="197"/>
        <v>-1.0036872302521246E-2</v>
      </c>
    </row>
    <row r="7218" spans="6:7" x14ac:dyDescent="0.35">
      <c r="F7218">
        <v>7215</v>
      </c>
      <c r="G7218">
        <f t="shared" ca="1" si="197"/>
        <v>-4.7890274716189812E-2</v>
      </c>
    </row>
    <row r="7219" spans="6:7" x14ac:dyDescent="0.35">
      <c r="F7219">
        <v>7216</v>
      </c>
      <c r="G7219">
        <f t="shared" ca="1" si="197"/>
        <v>-1.4939913848970726E-4</v>
      </c>
    </row>
    <row r="7220" spans="6:7" x14ac:dyDescent="0.35">
      <c r="F7220">
        <v>7217</v>
      </c>
      <c r="G7220">
        <f t="shared" ca="1" si="197"/>
        <v>-1.484983447078763E-2</v>
      </c>
    </row>
    <row r="7221" spans="6:7" x14ac:dyDescent="0.35">
      <c r="F7221">
        <v>7218</v>
      </c>
      <c r="G7221">
        <f t="shared" ca="1" si="197"/>
        <v>-2.1523982373066596E-2</v>
      </c>
    </row>
    <row r="7222" spans="6:7" x14ac:dyDescent="0.35">
      <c r="F7222">
        <v>7219</v>
      </c>
      <c r="G7222">
        <f t="shared" ca="1" si="197"/>
        <v>-1.6314852078302855E-2</v>
      </c>
    </row>
    <row r="7223" spans="6:7" x14ac:dyDescent="0.35">
      <c r="F7223">
        <v>7220</v>
      </c>
      <c r="G7223">
        <f t="shared" ca="1" si="197"/>
        <v>5.0954182460099265E-2</v>
      </c>
    </row>
    <row r="7224" spans="6:7" x14ac:dyDescent="0.35">
      <c r="F7224">
        <v>7221</v>
      </c>
      <c r="G7224">
        <f t="shared" ca="1" si="197"/>
        <v>2.4194985403489837E-2</v>
      </c>
    </row>
    <row r="7225" spans="6:7" x14ac:dyDescent="0.35">
      <c r="F7225">
        <v>7222</v>
      </c>
      <c r="G7225">
        <f t="shared" ca="1" si="197"/>
        <v>-6.6702092196941537E-2</v>
      </c>
    </row>
    <row r="7226" spans="6:7" x14ac:dyDescent="0.35">
      <c r="F7226">
        <v>7223</v>
      </c>
      <c r="G7226">
        <f t="shared" ca="1" si="197"/>
        <v>-4.2292653563192562E-2</v>
      </c>
    </row>
    <row r="7227" spans="6:7" x14ac:dyDescent="0.35">
      <c r="F7227">
        <v>7224</v>
      </c>
      <c r="G7227">
        <f t="shared" ca="1" si="197"/>
        <v>-5.6989011634307599E-2</v>
      </c>
    </row>
    <row r="7228" spans="6:7" x14ac:dyDescent="0.35">
      <c r="F7228">
        <v>7225</v>
      </c>
      <c r="G7228">
        <f t="shared" ca="1" si="197"/>
        <v>3.1011196831188456E-2</v>
      </c>
    </row>
    <row r="7229" spans="6:7" x14ac:dyDescent="0.35">
      <c r="F7229">
        <v>7226</v>
      </c>
      <c r="G7229">
        <f t="shared" ca="1" si="197"/>
        <v>-1.1136146144236294E-2</v>
      </c>
    </row>
    <row r="7230" spans="6:7" x14ac:dyDescent="0.35">
      <c r="F7230">
        <v>7227</v>
      </c>
      <c r="G7230">
        <f t="shared" ca="1" si="197"/>
        <v>-2.5109478544979687E-2</v>
      </c>
    </row>
    <row r="7231" spans="6:7" x14ac:dyDescent="0.35">
      <c r="F7231">
        <v>7228</v>
      </c>
      <c r="G7231">
        <f t="shared" ca="1" si="197"/>
        <v>1.4837643319313545E-2</v>
      </c>
    </row>
    <row r="7232" spans="6:7" x14ac:dyDescent="0.35">
      <c r="F7232">
        <v>7229</v>
      </c>
      <c r="G7232">
        <f t="shared" ca="1" si="197"/>
        <v>5.8112272214610461E-2</v>
      </c>
    </row>
    <row r="7233" spans="6:7" x14ac:dyDescent="0.35">
      <c r="F7233">
        <v>7230</v>
      </c>
      <c r="G7233">
        <f t="shared" ca="1" si="197"/>
        <v>-5.4704203112952057E-2</v>
      </c>
    </row>
    <row r="7234" spans="6:7" x14ac:dyDescent="0.35">
      <c r="F7234">
        <v>7231</v>
      </c>
      <c r="G7234">
        <f t="shared" ca="1" si="197"/>
        <v>-1.4435513080933153E-2</v>
      </c>
    </row>
    <row r="7235" spans="6:7" x14ac:dyDescent="0.35">
      <c r="F7235">
        <v>7232</v>
      </c>
      <c r="G7235">
        <f t="shared" ca="1" si="197"/>
        <v>5.2178334921209608E-2</v>
      </c>
    </row>
    <row r="7236" spans="6:7" x14ac:dyDescent="0.35">
      <c r="F7236">
        <v>7233</v>
      </c>
      <c r="G7236">
        <f t="shared" ca="1" si="197"/>
        <v>-3.5293697137773007E-2</v>
      </c>
    </row>
    <row r="7237" spans="6:7" x14ac:dyDescent="0.35">
      <c r="F7237">
        <v>7234</v>
      </c>
      <c r="G7237">
        <f t="shared" ref="G7237:G7300" ca="1" si="198">_xlfn.NORM.INV(RAND(),K$6,K$7)</f>
        <v>3.4987480675571937E-3</v>
      </c>
    </row>
    <row r="7238" spans="6:7" x14ac:dyDescent="0.35">
      <c r="F7238">
        <v>7235</v>
      </c>
      <c r="G7238">
        <f t="shared" ca="1" si="198"/>
        <v>-2.8275559284180553E-2</v>
      </c>
    </row>
    <row r="7239" spans="6:7" x14ac:dyDescent="0.35">
      <c r="F7239">
        <v>7236</v>
      </c>
      <c r="G7239">
        <f t="shared" ca="1" si="198"/>
        <v>-6.8792973987940598E-2</v>
      </c>
    </row>
    <row r="7240" spans="6:7" x14ac:dyDescent="0.35">
      <c r="F7240">
        <v>7237</v>
      </c>
      <c r="G7240">
        <f t="shared" ca="1" si="198"/>
        <v>-2.0801436960310591E-2</v>
      </c>
    </row>
    <row r="7241" spans="6:7" x14ac:dyDescent="0.35">
      <c r="F7241">
        <v>7238</v>
      </c>
      <c r="G7241">
        <f t="shared" ca="1" si="198"/>
        <v>8.9570261773623614E-4</v>
      </c>
    </row>
    <row r="7242" spans="6:7" x14ac:dyDescent="0.35">
      <c r="F7242">
        <v>7239</v>
      </c>
      <c r="G7242">
        <f t="shared" ca="1" si="198"/>
        <v>-1.0237373133869887E-2</v>
      </c>
    </row>
    <row r="7243" spans="6:7" x14ac:dyDescent="0.35">
      <c r="F7243">
        <v>7240</v>
      </c>
      <c r="G7243">
        <f t="shared" ca="1" si="198"/>
        <v>-2.2674278571211586E-3</v>
      </c>
    </row>
    <row r="7244" spans="6:7" x14ac:dyDescent="0.35">
      <c r="F7244">
        <v>7241</v>
      </c>
      <c r="G7244">
        <f t="shared" ca="1" si="198"/>
        <v>8.6512501396998804E-4</v>
      </c>
    </row>
    <row r="7245" spans="6:7" x14ac:dyDescent="0.35">
      <c r="F7245">
        <v>7242</v>
      </c>
      <c r="G7245">
        <f t="shared" ca="1" si="198"/>
        <v>-4.2113758658637784E-2</v>
      </c>
    </row>
    <row r="7246" spans="6:7" x14ac:dyDescent="0.35">
      <c r="F7246">
        <v>7243</v>
      </c>
      <c r="G7246">
        <f t="shared" ca="1" si="198"/>
        <v>-1.3452793216879227E-2</v>
      </c>
    </row>
    <row r="7247" spans="6:7" x14ac:dyDescent="0.35">
      <c r="F7247">
        <v>7244</v>
      </c>
      <c r="G7247">
        <f t="shared" ca="1" si="198"/>
        <v>-1.9120103959048559E-2</v>
      </c>
    </row>
    <row r="7248" spans="6:7" x14ac:dyDescent="0.35">
      <c r="F7248">
        <v>7245</v>
      </c>
      <c r="G7248">
        <f t="shared" ca="1" si="198"/>
        <v>6.089778610041764E-4</v>
      </c>
    </row>
    <row r="7249" spans="6:7" x14ac:dyDescent="0.35">
      <c r="F7249">
        <v>7246</v>
      </c>
      <c r="G7249">
        <f t="shared" ca="1" si="198"/>
        <v>2.7689165392968566E-2</v>
      </c>
    </row>
    <row r="7250" spans="6:7" x14ac:dyDescent="0.35">
      <c r="F7250">
        <v>7247</v>
      </c>
      <c r="G7250">
        <f t="shared" ca="1" si="198"/>
        <v>-1.1527636097385404E-2</v>
      </c>
    </row>
    <row r="7251" spans="6:7" x14ac:dyDescent="0.35">
      <c r="F7251">
        <v>7248</v>
      </c>
      <c r="G7251">
        <f t="shared" ca="1" si="198"/>
        <v>2.3148269357588227E-3</v>
      </c>
    </row>
    <row r="7252" spans="6:7" x14ac:dyDescent="0.35">
      <c r="F7252">
        <v>7249</v>
      </c>
      <c r="G7252">
        <f t="shared" ca="1" si="198"/>
        <v>-1.7993694711006321E-2</v>
      </c>
    </row>
    <row r="7253" spans="6:7" x14ac:dyDescent="0.35">
      <c r="F7253">
        <v>7250</v>
      </c>
      <c r="G7253">
        <f t="shared" ca="1" si="198"/>
        <v>-9.387228928491316E-3</v>
      </c>
    </row>
    <row r="7254" spans="6:7" x14ac:dyDescent="0.35">
      <c r="F7254">
        <v>7251</v>
      </c>
      <c r="G7254">
        <f t="shared" ca="1" si="198"/>
        <v>-1.3677351424970816E-2</v>
      </c>
    </row>
    <row r="7255" spans="6:7" x14ac:dyDescent="0.35">
      <c r="F7255">
        <v>7252</v>
      </c>
      <c r="G7255">
        <f t="shared" ca="1" si="198"/>
        <v>-5.5518339703318313E-2</v>
      </c>
    </row>
    <row r="7256" spans="6:7" x14ac:dyDescent="0.35">
      <c r="F7256">
        <v>7253</v>
      </c>
      <c r="G7256">
        <f t="shared" ca="1" si="198"/>
        <v>3.9426529421107019E-2</v>
      </c>
    </row>
    <row r="7257" spans="6:7" x14ac:dyDescent="0.35">
      <c r="F7257">
        <v>7254</v>
      </c>
      <c r="G7257">
        <f t="shared" ca="1" si="198"/>
        <v>-1.6672791426453223E-2</v>
      </c>
    </row>
    <row r="7258" spans="6:7" x14ac:dyDescent="0.35">
      <c r="F7258">
        <v>7255</v>
      </c>
      <c r="G7258">
        <f t="shared" ca="1" si="198"/>
        <v>2.9135522495706886E-2</v>
      </c>
    </row>
    <row r="7259" spans="6:7" x14ac:dyDescent="0.35">
      <c r="F7259">
        <v>7256</v>
      </c>
      <c r="G7259">
        <f t="shared" ca="1" si="198"/>
        <v>1.1239345724211126E-2</v>
      </c>
    </row>
    <row r="7260" spans="6:7" x14ac:dyDescent="0.35">
      <c r="F7260">
        <v>7257</v>
      </c>
      <c r="G7260">
        <f t="shared" ca="1" si="198"/>
        <v>9.2542088308089961E-3</v>
      </c>
    </row>
    <row r="7261" spans="6:7" x14ac:dyDescent="0.35">
      <c r="F7261">
        <v>7258</v>
      </c>
      <c r="G7261">
        <f t="shared" ca="1" si="198"/>
        <v>1.8107586425686354E-3</v>
      </c>
    </row>
    <row r="7262" spans="6:7" x14ac:dyDescent="0.35">
      <c r="F7262">
        <v>7259</v>
      </c>
      <c r="G7262">
        <f t="shared" ca="1" si="198"/>
        <v>1.815816798905457E-2</v>
      </c>
    </row>
    <row r="7263" spans="6:7" x14ac:dyDescent="0.35">
      <c r="F7263">
        <v>7260</v>
      </c>
      <c r="G7263">
        <f t="shared" ca="1" si="198"/>
        <v>-1.4725048239593935E-3</v>
      </c>
    </row>
    <row r="7264" spans="6:7" x14ac:dyDescent="0.35">
      <c r="F7264">
        <v>7261</v>
      </c>
      <c r="G7264">
        <f t="shared" ca="1" si="198"/>
        <v>2.2461965881417092E-2</v>
      </c>
    </row>
    <row r="7265" spans="6:7" x14ac:dyDescent="0.35">
      <c r="F7265">
        <v>7262</v>
      </c>
      <c r="G7265">
        <f t="shared" ca="1" si="198"/>
        <v>3.45882776809271E-2</v>
      </c>
    </row>
    <row r="7266" spans="6:7" x14ac:dyDescent="0.35">
      <c r="F7266">
        <v>7263</v>
      </c>
      <c r="G7266">
        <f t="shared" ca="1" si="198"/>
        <v>3.5623781101200507E-2</v>
      </c>
    </row>
    <row r="7267" spans="6:7" x14ac:dyDescent="0.35">
      <c r="F7267">
        <v>7264</v>
      </c>
      <c r="G7267">
        <f t="shared" ca="1" si="198"/>
        <v>1.3122439267802242E-2</v>
      </c>
    </row>
    <row r="7268" spans="6:7" x14ac:dyDescent="0.35">
      <c r="F7268">
        <v>7265</v>
      </c>
      <c r="G7268">
        <f t="shared" ca="1" si="198"/>
        <v>-1.5314863226880075E-2</v>
      </c>
    </row>
    <row r="7269" spans="6:7" x14ac:dyDescent="0.35">
      <c r="F7269">
        <v>7266</v>
      </c>
      <c r="G7269">
        <f t="shared" ca="1" si="198"/>
        <v>-1.8575128767696826E-2</v>
      </c>
    </row>
    <row r="7270" spans="6:7" x14ac:dyDescent="0.35">
      <c r="F7270">
        <v>7267</v>
      </c>
      <c r="G7270">
        <f t="shared" ca="1" si="198"/>
        <v>-1.935596826350448E-2</v>
      </c>
    </row>
    <row r="7271" spans="6:7" x14ac:dyDescent="0.35">
      <c r="F7271">
        <v>7268</v>
      </c>
      <c r="G7271">
        <f t="shared" ca="1" si="198"/>
        <v>2.5433575284676997E-2</v>
      </c>
    </row>
    <row r="7272" spans="6:7" x14ac:dyDescent="0.35">
      <c r="F7272">
        <v>7269</v>
      </c>
      <c r="G7272">
        <f t="shared" ca="1" si="198"/>
        <v>-1.0113907769241861E-2</v>
      </c>
    </row>
    <row r="7273" spans="6:7" x14ac:dyDescent="0.35">
      <c r="F7273">
        <v>7270</v>
      </c>
      <c r="G7273">
        <f t="shared" ca="1" si="198"/>
        <v>-3.0647105922522375E-2</v>
      </c>
    </row>
    <row r="7274" spans="6:7" x14ac:dyDescent="0.35">
      <c r="F7274">
        <v>7271</v>
      </c>
      <c r="G7274">
        <f t="shared" ca="1" si="198"/>
        <v>2.6077576845415614E-2</v>
      </c>
    </row>
    <row r="7275" spans="6:7" x14ac:dyDescent="0.35">
      <c r="F7275">
        <v>7272</v>
      </c>
      <c r="G7275">
        <f t="shared" ca="1" si="198"/>
        <v>-2.268628618592524E-2</v>
      </c>
    </row>
    <row r="7276" spans="6:7" x14ac:dyDescent="0.35">
      <c r="F7276">
        <v>7273</v>
      </c>
      <c r="G7276">
        <f t="shared" ca="1" si="198"/>
        <v>-1.2295597665646241E-2</v>
      </c>
    </row>
    <row r="7277" spans="6:7" x14ac:dyDescent="0.35">
      <c r="F7277">
        <v>7274</v>
      </c>
      <c r="G7277">
        <f t="shared" ca="1" si="198"/>
        <v>-2.7586778449089491E-2</v>
      </c>
    </row>
    <row r="7278" spans="6:7" x14ac:dyDescent="0.35">
      <c r="F7278">
        <v>7275</v>
      </c>
      <c r="G7278">
        <f t="shared" ca="1" si="198"/>
        <v>-1.5170797003245196E-2</v>
      </c>
    </row>
    <row r="7279" spans="6:7" x14ac:dyDescent="0.35">
      <c r="F7279">
        <v>7276</v>
      </c>
      <c r="G7279">
        <f t="shared" ca="1" si="198"/>
        <v>-3.2600605851366239E-2</v>
      </c>
    </row>
    <row r="7280" spans="6:7" x14ac:dyDescent="0.35">
      <c r="F7280">
        <v>7277</v>
      </c>
      <c r="G7280">
        <f t="shared" ca="1" si="198"/>
        <v>1.1838437170600681E-2</v>
      </c>
    </row>
    <row r="7281" spans="6:7" x14ac:dyDescent="0.35">
      <c r="F7281">
        <v>7278</v>
      </c>
      <c r="G7281">
        <f t="shared" ca="1" si="198"/>
        <v>6.0069626786508207E-3</v>
      </c>
    </row>
    <row r="7282" spans="6:7" x14ac:dyDescent="0.35">
      <c r="F7282">
        <v>7279</v>
      </c>
      <c r="G7282">
        <f t="shared" ca="1" si="198"/>
        <v>-7.414549617582809E-3</v>
      </c>
    </row>
    <row r="7283" spans="6:7" x14ac:dyDescent="0.35">
      <c r="F7283">
        <v>7280</v>
      </c>
      <c r="G7283">
        <f t="shared" ca="1" si="198"/>
        <v>3.9517949934197313E-2</v>
      </c>
    </row>
    <row r="7284" spans="6:7" x14ac:dyDescent="0.35">
      <c r="F7284">
        <v>7281</v>
      </c>
      <c r="G7284">
        <f t="shared" ca="1" si="198"/>
        <v>-4.1658062331963487E-2</v>
      </c>
    </row>
    <row r="7285" spans="6:7" x14ac:dyDescent="0.35">
      <c r="F7285">
        <v>7282</v>
      </c>
      <c r="G7285">
        <f t="shared" ca="1" si="198"/>
        <v>8.1011826342785136E-3</v>
      </c>
    </row>
    <row r="7286" spans="6:7" x14ac:dyDescent="0.35">
      <c r="F7286">
        <v>7283</v>
      </c>
      <c r="G7286">
        <f t="shared" ca="1" si="198"/>
        <v>-5.0992189173697959E-2</v>
      </c>
    </row>
    <row r="7287" spans="6:7" x14ac:dyDescent="0.35">
      <c r="F7287">
        <v>7284</v>
      </c>
      <c r="G7287">
        <f t="shared" ca="1" si="198"/>
        <v>5.0855190781584859E-3</v>
      </c>
    </row>
    <row r="7288" spans="6:7" x14ac:dyDescent="0.35">
      <c r="F7288">
        <v>7285</v>
      </c>
      <c r="G7288">
        <f t="shared" ca="1" si="198"/>
        <v>-6.6012243292635411E-3</v>
      </c>
    </row>
    <row r="7289" spans="6:7" x14ac:dyDescent="0.35">
      <c r="F7289">
        <v>7286</v>
      </c>
      <c r="G7289">
        <f t="shared" ca="1" si="198"/>
        <v>3.2009779944863904E-2</v>
      </c>
    </row>
    <row r="7290" spans="6:7" x14ac:dyDescent="0.35">
      <c r="F7290">
        <v>7287</v>
      </c>
      <c r="G7290">
        <f t="shared" ca="1" si="198"/>
        <v>-1.0998683377553586E-3</v>
      </c>
    </row>
    <row r="7291" spans="6:7" x14ac:dyDescent="0.35">
      <c r="F7291">
        <v>7288</v>
      </c>
      <c r="G7291">
        <f t="shared" ca="1" si="198"/>
        <v>-1.1234025737785851E-2</v>
      </c>
    </row>
    <row r="7292" spans="6:7" x14ac:dyDescent="0.35">
      <c r="F7292">
        <v>7289</v>
      </c>
      <c r="G7292">
        <f t="shared" ca="1" si="198"/>
        <v>4.2374128593855982E-2</v>
      </c>
    </row>
    <row r="7293" spans="6:7" x14ac:dyDescent="0.35">
      <c r="F7293">
        <v>7290</v>
      </c>
      <c r="G7293">
        <f t="shared" ca="1" si="198"/>
        <v>-9.3383841676447799E-3</v>
      </c>
    </row>
    <row r="7294" spans="6:7" x14ac:dyDescent="0.35">
      <c r="F7294">
        <v>7291</v>
      </c>
      <c r="G7294">
        <f t="shared" ca="1" si="198"/>
        <v>3.07717055475571E-2</v>
      </c>
    </row>
    <row r="7295" spans="6:7" x14ac:dyDescent="0.35">
      <c r="F7295">
        <v>7292</v>
      </c>
      <c r="G7295">
        <f t="shared" ca="1" si="198"/>
        <v>3.330752890716334E-2</v>
      </c>
    </row>
    <row r="7296" spans="6:7" x14ac:dyDescent="0.35">
      <c r="F7296">
        <v>7293</v>
      </c>
      <c r="G7296">
        <f t="shared" ca="1" si="198"/>
        <v>-4.9411206403169157E-2</v>
      </c>
    </row>
    <row r="7297" spans="6:7" x14ac:dyDescent="0.35">
      <c r="F7297">
        <v>7294</v>
      </c>
      <c r="G7297">
        <f t="shared" ca="1" si="198"/>
        <v>7.428124298248265E-3</v>
      </c>
    </row>
    <row r="7298" spans="6:7" x14ac:dyDescent="0.35">
      <c r="F7298">
        <v>7295</v>
      </c>
      <c r="G7298">
        <f t="shared" ca="1" si="198"/>
        <v>-1.6691703753934174E-2</v>
      </c>
    </row>
    <row r="7299" spans="6:7" x14ac:dyDescent="0.35">
      <c r="F7299">
        <v>7296</v>
      </c>
      <c r="G7299">
        <f t="shared" ca="1" si="198"/>
        <v>3.2227169425853172E-2</v>
      </c>
    </row>
    <row r="7300" spans="6:7" x14ac:dyDescent="0.35">
      <c r="F7300">
        <v>7297</v>
      </c>
      <c r="G7300">
        <f t="shared" ca="1" si="198"/>
        <v>1.5895685511165502E-2</v>
      </c>
    </row>
    <row r="7301" spans="6:7" x14ac:dyDescent="0.35">
      <c r="F7301">
        <v>7298</v>
      </c>
      <c r="G7301">
        <f t="shared" ref="G7301:G7364" ca="1" si="199">_xlfn.NORM.INV(RAND(),K$6,K$7)</f>
        <v>1.2581950775701926E-4</v>
      </c>
    </row>
    <row r="7302" spans="6:7" x14ac:dyDescent="0.35">
      <c r="F7302">
        <v>7299</v>
      </c>
      <c r="G7302">
        <f t="shared" ca="1" si="199"/>
        <v>1.743528095326613E-2</v>
      </c>
    </row>
    <row r="7303" spans="6:7" x14ac:dyDescent="0.35">
      <c r="F7303">
        <v>7300</v>
      </c>
      <c r="G7303">
        <f t="shared" ca="1" si="199"/>
        <v>-2.9322271925091827E-2</v>
      </c>
    </row>
    <row r="7304" spans="6:7" x14ac:dyDescent="0.35">
      <c r="F7304">
        <v>7301</v>
      </c>
      <c r="G7304">
        <f t="shared" ca="1" si="199"/>
        <v>9.60067557459535E-3</v>
      </c>
    </row>
    <row r="7305" spans="6:7" x14ac:dyDescent="0.35">
      <c r="F7305">
        <v>7302</v>
      </c>
      <c r="G7305">
        <f t="shared" ca="1" si="199"/>
        <v>4.0484172995479233E-2</v>
      </c>
    </row>
    <row r="7306" spans="6:7" x14ac:dyDescent="0.35">
      <c r="F7306">
        <v>7303</v>
      </c>
      <c r="G7306">
        <f t="shared" ca="1" si="199"/>
        <v>-1.4853331138419618E-3</v>
      </c>
    </row>
    <row r="7307" spans="6:7" x14ac:dyDescent="0.35">
      <c r="F7307">
        <v>7304</v>
      </c>
      <c r="G7307">
        <f t="shared" ca="1" si="199"/>
        <v>-1.8545007385716132E-3</v>
      </c>
    </row>
    <row r="7308" spans="6:7" x14ac:dyDescent="0.35">
      <c r="F7308">
        <v>7305</v>
      </c>
      <c r="G7308">
        <f t="shared" ca="1" si="199"/>
        <v>-1.4197995959135408E-2</v>
      </c>
    </row>
    <row r="7309" spans="6:7" x14ac:dyDescent="0.35">
      <c r="F7309">
        <v>7306</v>
      </c>
      <c r="G7309">
        <f t="shared" ca="1" si="199"/>
        <v>4.7271851641926968E-3</v>
      </c>
    </row>
    <row r="7310" spans="6:7" x14ac:dyDescent="0.35">
      <c r="F7310">
        <v>7307</v>
      </c>
      <c r="G7310">
        <f t="shared" ca="1" si="199"/>
        <v>-1.3145981177499034E-2</v>
      </c>
    </row>
    <row r="7311" spans="6:7" x14ac:dyDescent="0.35">
      <c r="F7311">
        <v>7308</v>
      </c>
      <c r="G7311">
        <f t="shared" ca="1" si="199"/>
        <v>7.3610960110801925E-3</v>
      </c>
    </row>
    <row r="7312" spans="6:7" x14ac:dyDescent="0.35">
      <c r="F7312">
        <v>7309</v>
      </c>
      <c r="G7312">
        <f t="shared" ca="1" si="199"/>
        <v>1.1493270094557136E-2</v>
      </c>
    </row>
    <row r="7313" spans="6:7" x14ac:dyDescent="0.35">
      <c r="F7313">
        <v>7310</v>
      </c>
      <c r="G7313">
        <f t="shared" ca="1" si="199"/>
        <v>2.4025340988821524E-2</v>
      </c>
    </row>
    <row r="7314" spans="6:7" x14ac:dyDescent="0.35">
      <c r="F7314">
        <v>7311</v>
      </c>
      <c r="G7314">
        <f t="shared" ca="1" si="199"/>
        <v>-2.3585638516152811E-2</v>
      </c>
    </row>
    <row r="7315" spans="6:7" x14ac:dyDescent="0.35">
      <c r="F7315">
        <v>7312</v>
      </c>
      <c r="G7315">
        <f t="shared" ca="1" si="199"/>
        <v>5.0931853295643988E-2</v>
      </c>
    </row>
    <row r="7316" spans="6:7" x14ac:dyDescent="0.35">
      <c r="F7316">
        <v>7313</v>
      </c>
      <c r="G7316">
        <f t="shared" ca="1" si="199"/>
        <v>-3.6215411402936498E-3</v>
      </c>
    </row>
    <row r="7317" spans="6:7" x14ac:dyDescent="0.35">
      <c r="F7317">
        <v>7314</v>
      </c>
      <c r="G7317">
        <f t="shared" ca="1" si="199"/>
        <v>3.3997984595820957E-2</v>
      </c>
    </row>
    <row r="7318" spans="6:7" x14ac:dyDescent="0.35">
      <c r="F7318">
        <v>7315</v>
      </c>
      <c r="G7318">
        <f t="shared" ca="1" si="199"/>
        <v>-2.3542877509715107E-2</v>
      </c>
    </row>
    <row r="7319" spans="6:7" x14ac:dyDescent="0.35">
      <c r="F7319">
        <v>7316</v>
      </c>
      <c r="G7319">
        <f t="shared" ca="1" si="199"/>
        <v>4.097716349319591E-3</v>
      </c>
    </row>
    <row r="7320" spans="6:7" x14ac:dyDescent="0.35">
      <c r="F7320">
        <v>7317</v>
      </c>
      <c r="G7320">
        <f t="shared" ca="1" si="199"/>
        <v>3.5310955161018372E-3</v>
      </c>
    </row>
    <row r="7321" spans="6:7" x14ac:dyDescent="0.35">
      <c r="F7321">
        <v>7318</v>
      </c>
      <c r="G7321">
        <f t="shared" ca="1" si="199"/>
        <v>-1.0252087040335573E-2</v>
      </c>
    </row>
    <row r="7322" spans="6:7" x14ac:dyDescent="0.35">
      <c r="F7322">
        <v>7319</v>
      </c>
      <c r="G7322">
        <f t="shared" ca="1" si="199"/>
        <v>2.3266762525494481E-3</v>
      </c>
    </row>
    <row r="7323" spans="6:7" x14ac:dyDescent="0.35">
      <c r="F7323">
        <v>7320</v>
      </c>
      <c r="G7323">
        <f t="shared" ca="1" si="199"/>
        <v>-2.7973731568410525E-2</v>
      </c>
    </row>
    <row r="7324" spans="6:7" x14ac:dyDescent="0.35">
      <c r="F7324">
        <v>7321</v>
      </c>
      <c r="G7324">
        <f t="shared" ca="1" si="199"/>
        <v>2.6671837593641043E-2</v>
      </c>
    </row>
    <row r="7325" spans="6:7" x14ac:dyDescent="0.35">
      <c r="F7325">
        <v>7322</v>
      </c>
      <c r="G7325">
        <f t="shared" ca="1" si="199"/>
        <v>-4.1104915321527671E-2</v>
      </c>
    </row>
    <row r="7326" spans="6:7" x14ac:dyDescent="0.35">
      <c r="F7326">
        <v>7323</v>
      </c>
      <c r="G7326">
        <f t="shared" ca="1" si="199"/>
        <v>1.2362000933040474E-2</v>
      </c>
    </row>
    <row r="7327" spans="6:7" x14ac:dyDescent="0.35">
      <c r="F7327">
        <v>7324</v>
      </c>
      <c r="G7327">
        <f t="shared" ca="1" si="199"/>
        <v>-3.1182257928602793E-2</v>
      </c>
    </row>
    <row r="7328" spans="6:7" x14ac:dyDescent="0.35">
      <c r="F7328">
        <v>7325</v>
      </c>
      <c r="G7328">
        <f t="shared" ca="1" si="199"/>
        <v>1.8884091007250296E-2</v>
      </c>
    </row>
    <row r="7329" spans="6:7" x14ac:dyDescent="0.35">
      <c r="F7329">
        <v>7326</v>
      </c>
      <c r="G7329">
        <f t="shared" ca="1" si="199"/>
        <v>-3.9588867806036121E-3</v>
      </c>
    </row>
    <row r="7330" spans="6:7" x14ac:dyDescent="0.35">
      <c r="F7330">
        <v>7327</v>
      </c>
      <c r="G7330">
        <f t="shared" ca="1" si="199"/>
        <v>1.02873646589389E-3</v>
      </c>
    </row>
    <row r="7331" spans="6:7" x14ac:dyDescent="0.35">
      <c r="F7331">
        <v>7328</v>
      </c>
      <c r="G7331">
        <f t="shared" ca="1" si="199"/>
        <v>-2.853050226983346E-2</v>
      </c>
    </row>
    <row r="7332" spans="6:7" x14ac:dyDescent="0.35">
      <c r="F7332">
        <v>7329</v>
      </c>
      <c r="G7332">
        <f t="shared" ca="1" si="199"/>
        <v>-2.3875554589611301E-2</v>
      </c>
    </row>
    <row r="7333" spans="6:7" x14ac:dyDescent="0.35">
      <c r="F7333">
        <v>7330</v>
      </c>
      <c r="G7333">
        <f t="shared" ca="1" si="199"/>
        <v>1.267936760244707E-2</v>
      </c>
    </row>
    <row r="7334" spans="6:7" x14ac:dyDescent="0.35">
      <c r="F7334">
        <v>7331</v>
      </c>
      <c r="G7334">
        <f t="shared" ca="1" si="199"/>
        <v>-3.5516566363235511E-2</v>
      </c>
    </row>
    <row r="7335" spans="6:7" x14ac:dyDescent="0.35">
      <c r="F7335">
        <v>7332</v>
      </c>
      <c r="G7335">
        <f t="shared" ca="1" si="199"/>
        <v>5.5014469612128379E-2</v>
      </c>
    </row>
    <row r="7336" spans="6:7" x14ac:dyDescent="0.35">
      <c r="F7336">
        <v>7333</v>
      </c>
      <c r="G7336">
        <f t="shared" ca="1" si="199"/>
        <v>-3.2366921574563404E-2</v>
      </c>
    </row>
    <row r="7337" spans="6:7" x14ac:dyDescent="0.35">
      <c r="F7337">
        <v>7334</v>
      </c>
      <c r="G7337">
        <f t="shared" ca="1" si="199"/>
        <v>-3.5716830366462067E-2</v>
      </c>
    </row>
    <row r="7338" spans="6:7" x14ac:dyDescent="0.35">
      <c r="F7338">
        <v>7335</v>
      </c>
      <c r="G7338">
        <f t="shared" ca="1" si="199"/>
        <v>-7.876593299238567E-2</v>
      </c>
    </row>
    <row r="7339" spans="6:7" x14ac:dyDescent="0.35">
      <c r="F7339">
        <v>7336</v>
      </c>
      <c r="G7339">
        <f t="shared" ca="1" si="199"/>
        <v>4.2428560526689051E-2</v>
      </c>
    </row>
    <row r="7340" spans="6:7" x14ac:dyDescent="0.35">
      <c r="F7340">
        <v>7337</v>
      </c>
      <c r="G7340">
        <f t="shared" ca="1" si="199"/>
        <v>-1.4501315765285731E-2</v>
      </c>
    </row>
    <row r="7341" spans="6:7" x14ac:dyDescent="0.35">
      <c r="F7341">
        <v>7338</v>
      </c>
      <c r="G7341">
        <f t="shared" ca="1" si="199"/>
        <v>-1.6906435452676248E-2</v>
      </c>
    </row>
    <row r="7342" spans="6:7" x14ac:dyDescent="0.35">
      <c r="F7342">
        <v>7339</v>
      </c>
      <c r="G7342">
        <f t="shared" ca="1" si="199"/>
        <v>1.3187484760917512E-2</v>
      </c>
    </row>
    <row r="7343" spans="6:7" x14ac:dyDescent="0.35">
      <c r="F7343">
        <v>7340</v>
      </c>
      <c r="G7343">
        <f t="shared" ca="1" si="199"/>
        <v>5.3651186492151323E-2</v>
      </c>
    </row>
    <row r="7344" spans="6:7" x14ac:dyDescent="0.35">
      <c r="F7344">
        <v>7341</v>
      </c>
      <c r="G7344">
        <f t="shared" ca="1" si="199"/>
        <v>1.2193950525891348E-2</v>
      </c>
    </row>
    <row r="7345" spans="6:7" x14ac:dyDescent="0.35">
      <c r="F7345">
        <v>7342</v>
      </c>
      <c r="G7345">
        <f t="shared" ca="1" si="199"/>
        <v>-3.3834288089177961E-2</v>
      </c>
    </row>
    <row r="7346" spans="6:7" x14ac:dyDescent="0.35">
      <c r="F7346">
        <v>7343</v>
      </c>
      <c r="G7346">
        <f t="shared" ca="1" si="199"/>
        <v>-9.1413326340608718E-3</v>
      </c>
    </row>
    <row r="7347" spans="6:7" x14ac:dyDescent="0.35">
      <c r="F7347">
        <v>7344</v>
      </c>
      <c r="G7347">
        <f t="shared" ca="1" si="199"/>
        <v>-2.8974303434188109E-2</v>
      </c>
    </row>
    <row r="7348" spans="6:7" x14ac:dyDescent="0.35">
      <c r="F7348">
        <v>7345</v>
      </c>
      <c r="G7348">
        <f t="shared" ca="1" si="199"/>
        <v>1.739093672868865E-2</v>
      </c>
    </row>
    <row r="7349" spans="6:7" x14ac:dyDescent="0.35">
      <c r="F7349">
        <v>7346</v>
      </c>
      <c r="G7349">
        <f t="shared" ca="1" si="199"/>
        <v>1.8112652754785248E-2</v>
      </c>
    </row>
    <row r="7350" spans="6:7" x14ac:dyDescent="0.35">
      <c r="F7350">
        <v>7347</v>
      </c>
      <c r="G7350">
        <f t="shared" ca="1" si="199"/>
        <v>-1.066624727552035E-2</v>
      </c>
    </row>
    <row r="7351" spans="6:7" x14ac:dyDescent="0.35">
      <c r="F7351">
        <v>7348</v>
      </c>
      <c r="G7351">
        <f t="shared" ca="1" si="199"/>
        <v>1.3387255328819911E-2</v>
      </c>
    </row>
    <row r="7352" spans="6:7" x14ac:dyDescent="0.35">
      <c r="F7352">
        <v>7349</v>
      </c>
      <c r="G7352">
        <f t="shared" ca="1" si="199"/>
        <v>1.8841458542506017E-3</v>
      </c>
    </row>
    <row r="7353" spans="6:7" x14ac:dyDescent="0.35">
      <c r="F7353">
        <v>7350</v>
      </c>
      <c r="G7353">
        <f t="shared" ca="1" si="199"/>
        <v>-8.0060286986131223E-3</v>
      </c>
    </row>
    <row r="7354" spans="6:7" x14ac:dyDescent="0.35">
      <c r="F7354">
        <v>7351</v>
      </c>
      <c r="G7354">
        <f t="shared" ca="1" si="199"/>
        <v>-3.5924633042339043E-3</v>
      </c>
    </row>
    <row r="7355" spans="6:7" x14ac:dyDescent="0.35">
      <c r="F7355">
        <v>7352</v>
      </c>
      <c r="G7355">
        <f t="shared" ca="1" si="199"/>
        <v>3.9272002196963182E-2</v>
      </c>
    </row>
    <row r="7356" spans="6:7" x14ac:dyDescent="0.35">
      <c r="F7356">
        <v>7353</v>
      </c>
      <c r="G7356">
        <f t="shared" ca="1" si="199"/>
        <v>-2.0376013585640326E-3</v>
      </c>
    </row>
    <row r="7357" spans="6:7" x14ac:dyDescent="0.35">
      <c r="F7357">
        <v>7354</v>
      </c>
      <c r="G7357">
        <f t="shared" ca="1" si="199"/>
        <v>7.366125678656135E-3</v>
      </c>
    </row>
    <row r="7358" spans="6:7" x14ac:dyDescent="0.35">
      <c r="F7358">
        <v>7355</v>
      </c>
      <c r="G7358">
        <f t="shared" ca="1" si="199"/>
        <v>-3.6778023085559395E-3</v>
      </c>
    </row>
    <row r="7359" spans="6:7" x14ac:dyDescent="0.35">
      <c r="F7359">
        <v>7356</v>
      </c>
      <c r="G7359">
        <f t="shared" ca="1" si="199"/>
        <v>-1.528447768051161E-2</v>
      </c>
    </row>
    <row r="7360" spans="6:7" x14ac:dyDescent="0.35">
      <c r="F7360">
        <v>7357</v>
      </c>
      <c r="G7360">
        <f t="shared" ca="1" si="199"/>
        <v>-1.4352818833914167E-2</v>
      </c>
    </row>
    <row r="7361" spans="6:7" x14ac:dyDescent="0.35">
      <c r="F7361">
        <v>7358</v>
      </c>
      <c r="G7361">
        <f t="shared" ca="1" si="199"/>
        <v>-2.4328931878837633E-2</v>
      </c>
    </row>
    <row r="7362" spans="6:7" x14ac:dyDescent="0.35">
      <c r="F7362">
        <v>7359</v>
      </c>
      <c r="G7362">
        <f t="shared" ca="1" si="199"/>
        <v>7.1335242429371353E-3</v>
      </c>
    </row>
    <row r="7363" spans="6:7" x14ac:dyDescent="0.35">
      <c r="F7363">
        <v>7360</v>
      </c>
      <c r="G7363">
        <f t="shared" ca="1" si="199"/>
        <v>-1.7952059390483638E-2</v>
      </c>
    </row>
    <row r="7364" spans="6:7" x14ac:dyDescent="0.35">
      <c r="F7364">
        <v>7361</v>
      </c>
      <c r="G7364">
        <f t="shared" ca="1" si="199"/>
        <v>-4.7477246140331351E-2</v>
      </c>
    </row>
    <row r="7365" spans="6:7" x14ac:dyDescent="0.35">
      <c r="F7365">
        <v>7362</v>
      </c>
      <c r="G7365">
        <f t="shared" ref="G7365:G7428" ca="1" si="200">_xlfn.NORM.INV(RAND(),K$6,K$7)</f>
        <v>-5.0706038097808846E-2</v>
      </c>
    </row>
    <row r="7366" spans="6:7" x14ac:dyDescent="0.35">
      <c r="F7366">
        <v>7363</v>
      </c>
      <c r="G7366">
        <f t="shared" ca="1" si="200"/>
        <v>-1.1014854103683615E-2</v>
      </c>
    </row>
    <row r="7367" spans="6:7" x14ac:dyDescent="0.35">
      <c r="F7367">
        <v>7364</v>
      </c>
      <c r="G7367">
        <f t="shared" ca="1" si="200"/>
        <v>3.7822620379451714E-2</v>
      </c>
    </row>
    <row r="7368" spans="6:7" x14ac:dyDescent="0.35">
      <c r="F7368">
        <v>7365</v>
      </c>
      <c r="G7368">
        <f t="shared" ca="1" si="200"/>
        <v>-2.8643131908114332E-2</v>
      </c>
    </row>
    <row r="7369" spans="6:7" x14ac:dyDescent="0.35">
      <c r="F7369">
        <v>7366</v>
      </c>
      <c r="G7369">
        <f t="shared" ca="1" si="200"/>
        <v>1.8417812792117343E-2</v>
      </c>
    </row>
    <row r="7370" spans="6:7" x14ac:dyDescent="0.35">
      <c r="F7370">
        <v>7367</v>
      </c>
      <c r="G7370">
        <f t="shared" ca="1" si="200"/>
        <v>-5.2233874420107906E-2</v>
      </c>
    </row>
    <row r="7371" spans="6:7" x14ac:dyDescent="0.35">
      <c r="F7371">
        <v>7368</v>
      </c>
      <c r="G7371">
        <f t="shared" ca="1" si="200"/>
        <v>3.0190823825768695E-2</v>
      </c>
    </row>
    <row r="7372" spans="6:7" x14ac:dyDescent="0.35">
      <c r="F7372">
        <v>7369</v>
      </c>
      <c r="G7372">
        <f t="shared" ca="1" si="200"/>
        <v>-3.9972493823127168E-2</v>
      </c>
    </row>
    <row r="7373" spans="6:7" x14ac:dyDescent="0.35">
      <c r="F7373">
        <v>7370</v>
      </c>
      <c r="G7373">
        <f t="shared" ca="1" si="200"/>
        <v>3.4923534307395379E-2</v>
      </c>
    </row>
    <row r="7374" spans="6:7" x14ac:dyDescent="0.35">
      <c r="F7374">
        <v>7371</v>
      </c>
      <c r="G7374">
        <f t="shared" ca="1" si="200"/>
        <v>8.0378720501330728E-3</v>
      </c>
    </row>
    <row r="7375" spans="6:7" x14ac:dyDescent="0.35">
      <c r="F7375">
        <v>7372</v>
      </c>
      <c r="G7375">
        <f t="shared" ca="1" si="200"/>
        <v>1.9702399898375286E-2</v>
      </c>
    </row>
    <row r="7376" spans="6:7" x14ac:dyDescent="0.35">
      <c r="F7376">
        <v>7373</v>
      </c>
      <c r="G7376">
        <f t="shared" ca="1" si="200"/>
        <v>-4.7999657414638762E-2</v>
      </c>
    </row>
    <row r="7377" spans="6:7" x14ac:dyDescent="0.35">
      <c r="F7377">
        <v>7374</v>
      </c>
      <c r="G7377">
        <f t="shared" ca="1" si="200"/>
        <v>-2.1300458579529731E-3</v>
      </c>
    </row>
    <row r="7378" spans="6:7" x14ac:dyDescent="0.35">
      <c r="F7378">
        <v>7375</v>
      </c>
      <c r="G7378">
        <f t="shared" ca="1" si="200"/>
        <v>-6.3969790744351687E-3</v>
      </c>
    </row>
    <row r="7379" spans="6:7" x14ac:dyDescent="0.35">
      <c r="F7379">
        <v>7376</v>
      </c>
      <c r="G7379">
        <f t="shared" ca="1" si="200"/>
        <v>9.6538648226851998E-4</v>
      </c>
    </row>
    <row r="7380" spans="6:7" x14ac:dyDescent="0.35">
      <c r="F7380">
        <v>7377</v>
      </c>
      <c r="G7380">
        <f t="shared" ca="1" si="200"/>
        <v>-1.9331329165088835E-3</v>
      </c>
    </row>
    <row r="7381" spans="6:7" x14ac:dyDescent="0.35">
      <c r="F7381">
        <v>7378</v>
      </c>
      <c r="G7381">
        <f t="shared" ca="1" si="200"/>
        <v>4.5169307733184255E-2</v>
      </c>
    </row>
    <row r="7382" spans="6:7" x14ac:dyDescent="0.35">
      <c r="F7382">
        <v>7379</v>
      </c>
      <c r="G7382">
        <f t="shared" ca="1" si="200"/>
        <v>-2.4430600061847683E-2</v>
      </c>
    </row>
    <row r="7383" spans="6:7" x14ac:dyDescent="0.35">
      <c r="F7383">
        <v>7380</v>
      </c>
      <c r="G7383">
        <f t="shared" ca="1" si="200"/>
        <v>4.3011070971421704E-3</v>
      </c>
    </row>
    <row r="7384" spans="6:7" x14ac:dyDescent="0.35">
      <c r="F7384">
        <v>7381</v>
      </c>
      <c r="G7384">
        <f t="shared" ca="1" si="200"/>
        <v>-1.4293053654978342E-2</v>
      </c>
    </row>
    <row r="7385" spans="6:7" x14ac:dyDescent="0.35">
      <c r="F7385">
        <v>7382</v>
      </c>
      <c r="G7385">
        <f t="shared" ca="1" si="200"/>
        <v>4.1703922375877681E-2</v>
      </c>
    </row>
    <row r="7386" spans="6:7" x14ac:dyDescent="0.35">
      <c r="F7386">
        <v>7383</v>
      </c>
      <c r="G7386">
        <f t="shared" ca="1" si="200"/>
        <v>1.8969466691951032E-2</v>
      </c>
    </row>
    <row r="7387" spans="6:7" x14ac:dyDescent="0.35">
      <c r="F7387">
        <v>7384</v>
      </c>
      <c r="G7387">
        <f t="shared" ca="1" si="200"/>
        <v>2.0658286855165124E-2</v>
      </c>
    </row>
    <row r="7388" spans="6:7" x14ac:dyDescent="0.35">
      <c r="F7388">
        <v>7385</v>
      </c>
      <c r="G7388">
        <f t="shared" ca="1" si="200"/>
        <v>-1.6142951051905868E-2</v>
      </c>
    </row>
    <row r="7389" spans="6:7" x14ac:dyDescent="0.35">
      <c r="F7389">
        <v>7386</v>
      </c>
      <c r="G7389">
        <f t="shared" ca="1" si="200"/>
        <v>2.9876727017080103E-2</v>
      </c>
    </row>
    <row r="7390" spans="6:7" x14ac:dyDescent="0.35">
      <c r="F7390">
        <v>7387</v>
      </c>
      <c r="G7390">
        <f t="shared" ca="1" si="200"/>
        <v>-6.7067892424102025E-3</v>
      </c>
    </row>
    <row r="7391" spans="6:7" x14ac:dyDescent="0.35">
      <c r="F7391">
        <v>7388</v>
      </c>
      <c r="G7391">
        <f t="shared" ca="1" si="200"/>
        <v>1.8128170472296861E-3</v>
      </c>
    </row>
    <row r="7392" spans="6:7" x14ac:dyDescent="0.35">
      <c r="F7392">
        <v>7389</v>
      </c>
      <c r="G7392">
        <f t="shared" ca="1" si="200"/>
        <v>2.2030252153667908E-2</v>
      </c>
    </row>
    <row r="7393" spans="6:7" x14ac:dyDescent="0.35">
      <c r="F7393">
        <v>7390</v>
      </c>
      <c r="G7393">
        <f t="shared" ca="1" si="200"/>
        <v>-3.68234456449558E-2</v>
      </c>
    </row>
    <row r="7394" spans="6:7" x14ac:dyDescent="0.35">
      <c r="F7394">
        <v>7391</v>
      </c>
      <c r="G7394">
        <f t="shared" ca="1" si="200"/>
        <v>3.1359003426793555E-2</v>
      </c>
    </row>
    <row r="7395" spans="6:7" x14ac:dyDescent="0.35">
      <c r="F7395">
        <v>7392</v>
      </c>
      <c r="G7395">
        <f t="shared" ca="1" si="200"/>
        <v>-3.0661874925402236E-2</v>
      </c>
    </row>
    <row r="7396" spans="6:7" x14ac:dyDescent="0.35">
      <c r="F7396">
        <v>7393</v>
      </c>
      <c r="G7396">
        <f t="shared" ca="1" si="200"/>
        <v>2.3702064928712709E-2</v>
      </c>
    </row>
    <row r="7397" spans="6:7" x14ac:dyDescent="0.35">
      <c r="F7397">
        <v>7394</v>
      </c>
      <c r="G7397">
        <f t="shared" ca="1" si="200"/>
        <v>-5.507843318027777E-3</v>
      </c>
    </row>
    <row r="7398" spans="6:7" x14ac:dyDescent="0.35">
      <c r="F7398">
        <v>7395</v>
      </c>
      <c r="G7398">
        <f t="shared" ca="1" si="200"/>
        <v>-1.9578952620175293E-2</v>
      </c>
    </row>
    <row r="7399" spans="6:7" x14ac:dyDescent="0.35">
      <c r="F7399">
        <v>7396</v>
      </c>
      <c r="G7399">
        <f t="shared" ca="1" si="200"/>
        <v>-5.5415801911032549E-2</v>
      </c>
    </row>
    <row r="7400" spans="6:7" x14ac:dyDescent="0.35">
      <c r="F7400">
        <v>7397</v>
      </c>
      <c r="G7400">
        <f t="shared" ca="1" si="200"/>
        <v>-1.7884046575170055E-2</v>
      </c>
    </row>
    <row r="7401" spans="6:7" x14ac:dyDescent="0.35">
      <c r="F7401">
        <v>7398</v>
      </c>
      <c r="G7401">
        <f t="shared" ca="1" si="200"/>
        <v>4.121055949092238E-2</v>
      </c>
    </row>
    <row r="7402" spans="6:7" x14ac:dyDescent="0.35">
      <c r="F7402">
        <v>7399</v>
      </c>
      <c r="G7402">
        <f t="shared" ca="1" si="200"/>
        <v>-8.3304938232768175E-2</v>
      </c>
    </row>
    <row r="7403" spans="6:7" x14ac:dyDescent="0.35">
      <c r="F7403">
        <v>7400</v>
      </c>
      <c r="G7403">
        <f t="shared" ca="1" si="200"/>
        <v>-1.2052838388448867E-2</v>
      </c>
    </row>
    <row r="7404" spans="6:7" x14ac:dyDescent="0.35">
      <c r="F7404">
        <v>7401</v>
      </c>
      <c r="G7404">
        <f t="shared" ca="1" si="200"/>
        <v>-3.4164431694490245E-2</v>
      </c>
    </row>
    <row r="7405" spans="6:7" x14ac:dyDescent="0.35">
      <c r="F7405">
        <v>7402</v>
      </c>
      <c r="G7405">
        <f t="shared" ca="1" si="200"/>
        <v>-3.2805208409787623E-2</v>
      </c>
    </row>
    <row r="7406" spans="6:7" x14ac:dyDescent="0.35">
      <c r="F7406">
        <v>7403</v>
      </c>
      <c r="G7406">
        <f t="shared" ca="1" si="200"/>
        <v>-4.4663861036212414E-2</v>
      </c>
    </row>
    <row r="7407" spans="6:7" x14ac:dyDescent="0.35">
      <c r="F7407">
        <v>7404</v>
      </c>
      <c r="G7407">
        <f t="shared" ca="1" si="200"/>
        <v>-1.7326495392904311E-2</v>
      </c>
    </row>
    <row r="7408" spans="6:7" x14ac:dyDescent="0.35">
      <c r="F7408">
        <v>7405</v>
      </c>
      <c r="G7408">
        <f t="shared" ca="1" si="200"/>
        <v>5.9625086375948762E-3</v>
      </c>
    </row>
    <row r="7409" spans="6:7" x14ac:dyDescent="0.35">
      <c r="F7409">
        <v>7406</v>
      </c>
      <c r="G7409">
        <f t="shared" ca="1" si="200"/>
        <v>1.8927702809912617E-2</v>
      </c>
    </row>
    <row r="7410" spans="6:7" x14ac:dyDescent="0.35">
      <c r="F7410">
        <v>7407</v>
      </c>
      <c r="G7410">
        <f t="shared" ca="1" si="200"/>
        <v>-9.4744739771535232E-4</v>
      </c>
    </row>
    <row r="7411" spans="6:7" x14ac:dyDescent="0.35">
      <c r="F7411">
        <v>7408</v>
      </c>
      <c r="G7411">
        <f t="shared" ca="1" si="200"/>
        <v>1.0129962127244541E-2</v>
      </c>
    </row>
    <row r="7412" spans="6:7" x14ac:dyDescent="0.35">
      <c r="F7412">
        <v>7409</v>
      </c>
      <c r="G7412">
        <f t="shared" ca="1" si="200"/>
        <v>-2.7438928402586132E-2</v>
      </c>
    </row>
    <row r="7413" spans="6:7" x14ac:dyDescent="0.35">
      <c r="F7413">
        <v>7410</v>
      </c>
      <c r="G7413">
        <f t="shared" ca="1" si="200"/>
        <v>4.3999165409279374E-2</v>
      </c>
    </row>
    <row r="7414" spans="6:7" x14ac:dyDescent="0.35">
      <c r="F7414">
        <v>7411</v>
      </c>
      <c r="G7414">
        <f t="shared" ca="1" si="200"/>
        <v>8.6075224993374128E-3</v>
      </c>
    </row>
    <row r="7415" spans="6:7" x14ac:dyDescent="0.35">
      <c r="F7415">
        <v>7412</v>
      </c>
      <c r="G7415">
        <f t="shared" ca="1" si="200"/>
        <v>8.342762430301482E-3</v>
      </c>
    </row>
    <row r="7416" spans="6:7" x14ac:dyDescent="0.35">
      <c r="F7416">
        <v>7413</v>
      </c>
      <c r="G7416">
        <f t="shared" ca="1" si="200"/>
        <v>2.8927444703335657E-2</v>
      </c>
    </row>
    <row r="7417" spans="6:7" x14ac:dyDescent="0.35">
      <c r="F7417">
        <v>7414</v>
      </c>
      <c r="G7417">
        <f t="shared" ca="1" si="200"/>
        <v>2.0453461207728136E-2</v>
      </c>
    </row>
    <row r="7418" spans="6:7" x14ac:dyDescent="0.35">
      <c r="F7418">
        <v>7415</v>
      </c>
      <c r="G7418">
        <f t="shared" ca="1" si="200"/>
        <v>-7.4819084259831262E-3</v>
      </c>
    </row>
    <row r="7419" spans="6:7" x14ac:dyDescent="0.35">
      <c r="F7419">
        <v>7416</v>
      </c>
      <c r="G7419">
        <f t="shared" ca="1" si="200"/>
        <v>3.8060325698137894E-2</v>
      </c>
    </row>
    <row r="7420" spans="6:7" x14ac:dyDescent="0.35">
      <c r="F7420">
        <v>7417</v>
      </c>
      <c r="G7420">
        <f t="shared" ca="1" si="200"/>
        <v>-3.1331759805726909E-5</v>
      </c>
    </row>
    <row r="7421" spans="6:7" x14ac:dyDescent="0.35">
      <c r="F7421">
        <v>7418</v>
      </c>
      <c r="G7421">
        <f t="shared" ca="1" si="200"/>
        <v>-4.5586214010760247E-2</v>
      </c>
    </row>
    <row r="7422" spans="6:7" x14ac:dyDescent="0.35">
      <c r="F7422">
        <v>7419</v>
      </c>
      <c r="G7422">
        <f t="shared" ca="1" si="200"/>
        <v>1.8622498925309434E-2</v>
      </c>
    </row>
    <row r="7423" spans="6:7" x14ac:dyDescent="0.35">
      <c r="F7423">
        <v>7420</v>
      </c>
      <c r="G7423">
        <f t="shared" ca="1" si="200"/>
        <v>1.9840942016498577E-2</v>
      </c>
    </row>
    <row r="7424" spans="6:7" x14ac:dyDescent="0.35">
      <c r="F7424">
        <v>7421</v>
      </c>
      <c r="G7424">
        <f t="shared" ca="1" si="200"/>
        <v>2.785791741470308E-3</v>
      </c>
    </row>
    <row r="7425" spans="6:7" x14ac:dyDescent="0.35">
      <c r="F7425">
        <v>7422</v>
      </c>
      <c r="G7425">
        <f t="shared" ca="1" si="200"/>
        <v>3.4479848056624494E-3</v>
      </c>
    </row>
    <row r="7426" spans="6:7" x14ac:dyDescent="0.35">
      <c r="F7426">
        <v>7423</v>
      </c>
      <c r="G7426">
        <f t="shared" ca="1" si="200"/>
        <v>-6.9591669171308688E-3</v>
      </c>
    </row>
    <row r="7427" spans="6:7" x14ac:dyDescent="0.35">
      <c r="F7427">
        <v>7424</v>
      </c>
      <c r="G7427">
        <f t="shared" ca="1" si="200"/>
        <v>-1.3428089296420089E-2</v>
      </c>
    </row>
    <row r="7428" spans="6:7" x14ac:dyDescent="0.35">
      <c r="F7428">
        <v>7425</v>
      </c>
      <c r="G7428">
        <f t="shared" ca="1" si="200"/>
        <v>1.8234451825572092E-2</v>
      </c>
    </row>
    <row r="7429" spans="6:7" x14ac:dyDescent="0.35">
      <c r="F7429">
        <v>7426</v>
      </c>
      <c r="G7429">
        <f t="shared" ref="G7429:G7492" ca="1" si="201">_xlfn.NORM.INV(RAND(),K$6,K$7)</f>
        <v>1.2091185892645913E-2</v>
      </c>
    </row>
    <row r="7430" spans="6:7" x14ac:dyDescent="0.35">
      <c r="F7430">
        <v>7427</v>
      </c>
      <c r="G7430">
        <f t="shared" ca="1" si="201"/>
        <v>-1.9698442029153815E-2</v>
      </c>
    </row>
    <row r="7431" spans="6:7" x14ac:dyDescent="0.35">
      <c r="F7431">
        <v>7428</v>
      </c>
      <c r="G7431">
        <f t="shared" ca="1" si="201"/>
        <v>2.1901993296203015E-2</v>
      </c>
    </row>
    <row r="7432" spans="6:7" x14ac:dyDescent="0.35">
      <c r="F7432">
        <v>7429</v>
      </c>
      <c r="G7432">
        <f t="shared" ca="1" si="201"/>
        <v>4.409614290231139E-2</v>
      </c>
    </row>
    <row r="7433" spans="6:7" x14ac:dyDescent="0.35">
      <c r="F7433">
        <v>7430</v>
      </c>
      <c r="G7433">
        <f t="shared" ca="1" si="201"/>
        <v>1.6212422971240075E-2</v>
      </c>
    </row>
    <row r="7434" spans="6:7" x14ac:dyDescent="0.35">
      <c r="F7434">
        <v>7431</v>
      </c>
      <c r="G7434">
        <f t="shared" ca="1" si="201"/>
        <v>-1.9245393372647177E-4</v>
      </c>
    </row>
    <row r="7435" spans="6:7" x14ac:dyDescent="0.35">
      <c r="F7435">
        <v>7432</v>
      </c>
      <c r="G7435">
        <f t="shared" ca="1" si="201"/>
        <v>-2.2173700692125885E-2</v>
      </c>
    </row>
    <row r="7436" spans="6:7" x14ac:dyDescent="0.35">
      <c r="F7436">
        <v>7433</v>
      </c>
      <c r="G7436">
        <f t="shared" ca="1" si="201"/>
        <v>-2.4387704013870026E-2</v>
      </c>
    </row>
    <row r="7437" spans="6:7" x14ac:dyDescent="0.35">
      <c r="F7437">
        <v>7434</v>
      </c>
      <c r="G7437">
        <f t="shared" ca="1" si="201"/>
        <v>-1.142946842835961E-2</v>
      </c>
    </row>
    <row r="7438" spans="6:7" x14ac:dyDescent="0.35">
      <c r="F7438">
        <v>7435</v>
      </c>
      <c r="G7438">
        <f t="shared" ca="1" si="201"/>
        <v>-3.7219741265051835E-2</v>
      </c>
    </row>
    <row r="7439" spans="6:7" x14ac:dyDescent="0.35">
      <c r="F7439">
        <v>7436</v>
      </c>
      <c r="G7439">
        <f t="shared" ca="1" si="201"/>
        <v>-1.2877869456125899E-2</v>
      </c>
    </row>
    <row r="7440" spans="6:7" x14ac:dyDescent="0.35">
      <c r="F7440">
        <v>7437</v>
      </c>
      <c r="G7440">
        <f t="shared" ca="1" si="201"/>
        <v>-3.0285760918394682E-3</v>
      </c>
    </row>
    <row r="7441" spans="6:7" x14ac:dyDescent="0.35">
      <c r="F7441">
        <v>7438</v>
      </c>
      <c r="G7441">
        <f t="shared" ca="1" si="201"/>
        <v>-9.0460479790910892E-3</v>
      </c>
    </row>
    <row r="7442" spans="6:7" x14ac:dyDescent="0.35">
      <c r="F7442">
        <v>7439</v>
      </c>
      <c r="G7442">
        <f t="shared" ca="1" si="201"/>
        <v>-6.1133308514276408E-4</v>
      </c>
    </row>
    <row r="7443" spans="6:7" x14ac:dyDescent="0.35">
      <c r="F7443">
        <v>7440</v>
      </c>
      <c r="G7443">
        <f t="shared" ca="1" si="201"/>
        <v>6.3921969974337856E-2</v>
      </c>
    </row>
    <row r="7444" spans="6:7" x14ac:dyDescent="0.35">
      <c r="F7444">
        <v>7441</v>
      </c>
      <c r="G7444">
        <f t="shared" ca="1" si="201"/>
        <v>1.0372689212492252E-2</v>
      </c>
    </row>
    <row r="7445" spans="6:7" x14ac:dyDescent="0.35">
      <c r="F7445">
        <v>7442</v>
      </c>
      <c r="G7445">
        <f t="shared" ca="1" si="201"/>
        <v>1.3044490894053663E-2</v>
      </c>
    </row>
    <row r="7446" spans="6:7" x14ac:dyDescent="0.35">
      <c r="F7446">
        <v>7443</v>
      </c>
      <c r="G7446">
        <f t="shared" ca="1" si="201"/>
        <v>-3.8554466021229902E-2</v>
      </c>
    </row>
    <row r="7447" spans="6:7" x14ac:dyDescent="0.35">
      <c r="F7447">
        <v>7444</v>
      </c>
      <c r="G7447">
        <f t="shared" ca="1" si="201"/>
        <v>-1.7863599052294742E-4</v>
      </c>
    </row>
    <row r="7448" spans="6:7" x14ac:dyDescent="0.35">
      <c r="F7448">
        <v>7445</v>
      </c>
      <c r="G7448">
        <f t="shared" ca="1" si="201"/>
        <v>1.3310887432805681E-2</v>
      </c>
    </row>
    <row r="7449" spans="6:7" x14ac:dyDescent="0.35">
      <c r="F7449">
        <v>7446</v>
      </c>
      <c r="G7449">
        <f t="shared" ca="1" si="201"/>
        <v>4.0827953212436617E-2</v>
      </c>
    </row>
    <row r="7450" spans="6:7" x14ac:dyDescent="0.35">
      <c r="F7450">
        <v>7447</v>
      </c>
      <c r="G7450">
        <f t="shared" ca="1" si="201"/>
        <v>-4.9115512209222875E-3</v>
      </c>
    </row>
    <row r="7451" spans="6:7" x14ac:dyDescent="0.35">
      <c r="F7451">
        <v>7448</v>
      </c>
      <c r="G7451">
        <f t="shared" ca="1" si="201"/>
        <v>1.1931079338741574E-2</v>
      </c>
    </row>
    <row r="7452" spans="6:7" x14ac:dyDescent="0.35">
      <c r="F7452">
        <v>7449</v>
      </c>
      <c r="G7452">
        <f t="shared" ca="1" si="201"/>
        <v>-4.8172705762983478E-3</v>
      </c>
    </row>
    <row r="7453" spans="6:7" x14ac:dyDescent="0.35">
      <c r="F7453">
        <v>7450</v>
      </c>
      <c r="G7453">
        <f t="shared" ca="1" si="201"/>
        <v>2.5436076495428867E-3</v>
      </c>
    </row>
    <row r="7454" spans="6:7" x14ac:dyDescent="0.35">
      <c r="F7454">
        <v>7451</v>
      </c>
      <c r="G7454">
        <f t="shared" ca="1" si="201"/>
        <v>-1.5508051205014625E-3</v>
      </c>
    </row>
    <row r="7455" spans="6:7" x14ac:dyDescent="0.35">
      <c r="F7455">
        <v>7452</v>
      </c>
      <c r="G7455">
        <f t="shared" ca="1" si="201"/>
        <v>3.447220750423062E-2</v>
      </c>
    </row>
    <row r="7456" spans="6:7" x14ac:dyDescent="0.35">
      <c r="F7456">
        <v>7453</v>
      </c>
      <c r="G7456">
        <f t="shared" ca="1" si="201"/>
        <v>1.3783800767492112E-2</v>
      </c>
    </row>
    <row r="7457" spans="6:7" x14ac:dyDescent="0.35">
      <c r="F7457">
        <v>7454</v>
      </c>
      <c r="G7457">
        <f t="shared" ca="1" si="201"/>
        <v>-2.0768045008362913E-2</v>
      </c>
    </row>
    <row r="7458" spans="6:7" x14ac:dyDescent="0.35">
      <c r="F7458">
        <v>7455</v>
      </c>
      <c r="G7458">
        <f t="shared" ca="1" si="201"/>
        <v>3.8088435827565896E-3</v>
      </c>
    </row>
    <row r="7459" spans="6:7" x14ac:dyDescent="0.35">
      <c r="F7459">
        <v>7456</v>
      </c>
      <c r="G7459">
        <f t="shared" ca="1" si="201"/>
        <v>2.2481308790471232E-2</v>
      </c>
    </row>
    <row r="7460" spans="6:7" x14ac:dyDescent="0.35">
      <c r="F7460">
        <v>7457</v>
      </c>
      <c r="G7460">
        <f t="shared" ca="1" si="201"/>
        <v>-3.7516215526397806E-2</v>
      </c>
    </row>
    <row r="7461" spans="6:7" x14ac:dyDescent="0.35">
      <c r="F7461">
        <v>7458</v>
      </c>
      <c r="G7461">
        <f t="shared" ca="1" si="201"/>
        <v>-1.1501935167038391E-2</v>
      </c>
    </row>
    <row r="7462" spans="6:7" x14ac:dyDescent="0.35">
      <c r="F7462">
        <v>7459</v>
      </c>
      <c r="G7462">
        <f t="shared" ca="1" si="201"/>
        <v>1.1694425609380226E-2</v>
      </c>
    </row>
    <row r="7463" spans="6:7" x14ac:dyDescent="0.35">
      <c r="F7463">
        <v>7460</v>
      </c>
      <c r="G7463">
        <f t="shared" ca="1" si="201"/>
        <v>-1.6137033753465695E-2</v>
      </c>
    </row>
    <row r="7464" spans="6:7" x14ac:dyDescent="0.35">
      <c r="F7464">
        <v>7461</v>
      </c>
      <c r="G7464">
        <f t="shared" ca="1" si="201"/>
        <v>6.0464027763615827E-2</v>
      </c>
    </row>
    <row r="7465" spans="6:7" x14ac:dyDescent="0.35">
      <c r="F7465">
        <v>7462</v>
      </c>
      <c r="G7465">
        <f t="shared" ca="1" si="201"/>
        <v>4.960380410252864E-2</v>
      </c>
    </row>
    <row r="7466" spans="6:7" x14ac:dyDescent="0.35">
      <c r="F7466">
        <v>7463</v>
      </c>
      <c r="G7466">
        <f t="shared" ca="1" si="201"/>
        <v>-2.7230002186994638E-2</v>
      </c>
    </row>
    <row r="7467" spans="6:7" x14ac:dyDescent="0.35">
      <c r="F7467">
        <v>7464</v>
      </c>
      <c r="G7467">
        <f t="shared" ca="1" si="201"/>
        <v>4.2533877890039033E-2</v>
      </c>
    </row>
    <row r="7468" spans="6:7" x14ac:dyDescent="0.35">
      <c r="F7468">
        <v>7465</v>
      </c>
      <c r="G7468">
        <f t="shared" ca="1" si="201"/>
        <v>4.0263638928859383E-2</v>
      </c>
    </row>
    <row r="7469" spans="6:7" x14ac:dyDescent="0.35">
      <c r="F7469">
        <v>7466</v>
      </c>
      <c r="G7469">
        <f t="shared" ca="1" si="201"/>
        <v>-3.9465776088235668E-3</v>
      </c>
    </row>
    <row r="7470" spans="6:7" x14ac:dyDescent="0.35">
      <c r="F7470">
        <v>7467</v>
      </c>
      <c r="G7470">
        <f t="shared" ca="1" si="201"/>
        <v>-9.4166742279130911E-3</v>
      </c>
    </row>
    <row r="7471" spans="6:7" x14ac:dyDescent="0.35">
      <c r="F7471">
        <v>7468</v>
      </c>
      <c r="G7471">
        <f t="shared" ca="1" si="201"/>
        <v>-1.8877269705063027E-2</v>
      </c>
    </row>
    <row r="7472" spans="6:7" x14ac:dyDescent="0.35">
      <c r="F7472">
        <v>7469</v>
      </c>
      <c r="G7472">
        <f t="shared" ca="1" si="201"/>
        <v>-3.6032409631345637E-2</v>
      </c>
    </row>
    <row r="7473" spans="6:7" x14ac:dyDescent="0.35">
      <c r="F7473">
        <v>7470</v>
      </c>
      <c r="G7473">
        <f t="shared" ca="1" si="201"/>
        <v>3.7571787823664507E-2</v>
      </c>
    </row>
    <row r="7474" spans="6:7" x14ac:dyDescent="0.35">
      <c r="F7474">
        <v>7471</v>
      </c>
      <c r="G7474">
        <f t="shared" ca="1" si="201"/>
        <v>2.096056456894092E-2</v>
      </c>
    </row>
    <row r="7475" spans="6:7" x14ac:dyDescent="0.35">
      <c r="F7475">
        <v>7472</v>
      </c>
      <c r="G7475">
        <f t="shared" ca="1" si="201"/>
        <v>2.0516153800228715E-2</v>
      </c>
    </row>
    <row r="7476" spans="6:7" x14ac:dyDescent="0.35">
      <c r="F7476">
        <v>7473</v>
      </c>
      <c r="G7476">
        <f t="shared" ca="1" si="201"/>
        <v>5.2398892745261251E-3</v>
      </c>
    </row>
    <row r="7477" spans="6:7" x14ac:dyDescent="0.35">
      <c r="F7477">
        <v>7474</v>
      </c>
      <c r="G7477">
        <f t="shared" ca="1" si="201"/>
        <v>6.7637772303037035E-3</v>
      </c>
    </row>
    <row r="7478" spans="6:7" x14ac:dyDescent="0.35">
      <c r="F7478">
        <v>7475</v>
      </c>
      <c r="G7478">
        <f t="shared" ca="1" si="201"/>
        <v>5.8566727738448105E-4</v>
      </c>
    </row>
    <row r="7479" spans="6:7" x14ac:dyDescent="0.35">
      <c r="F7479">
        <v>7476</v>
      </c>
      <c r="G7479">
        <f t="shared" ca="1" si="201"/>
        <v>4.9548456686114477E-3</v>
      </c>
    </row>
    <row r="7480" spans="6:7" x14ac:dyDescent="0.35">
      <c r="F7480">
        <v>7477</v>
      </c>
      <c r="G7480">
        <f t="shared" ca="1" si="201"/>
        <v>1.924349987980244E-2</v>
      </c>
    </row>
    <row r="7481" spans="6:7" x14ac:dyDescent="0.35">
      <c r="F7481">
        <v>7478</v>
      </c>
      <c r="G7481">
        <f t="shared" ca="1" si="201"/>
        <v>6.4248620194161969E-3</v>
      </c>
    </row>
    <row r="7482" spans="6:7" x14ac:dyDescent="0.35">
      <c r="F7482">
        <v>7479</v>
      </c>
      <c r="G7482">
        <f t="shared" ca="1" si="201"/>
        <v>-4.021603387388531E-2</v>
      </c>
    </row>
    <row r="7483" spans="6:7" x14ac:dyDescent="0.35">
      <c r="F7483">
        <v>7480</v>
      </c>
      <c r="G7483">
        <f t="shared" ca="1" si="201"/>
        <v>4.5842347555652037E-3</v>
      </c>
    </row>
    <row r="7484" spans="6:7" x14ac:dyDescent="0.35">
      <c r="F7484">
        <v>7481</v>
      </c>
      <c r="G7484">
        <f t="shared" ca="1" si="201"/>
        <v>-3.2547214216845886E-2</v>
      </c>
    </row>
    <row r="7485" spans="6:7" x14ac:dyDescent="0.35">
      <c r="F7485">
        <v>7482</v>
      </c>
      <c r="G7485">
        <f t="shared" ca="1" si="201"/>
        <v>-4.1711304289272423E-2</v>
      </c>
    </row>
    <row r="7486" spans="6:7" x14ac:dyDescent="0.35">
      <c r="F7486">
        <v>7483</v>
      </c>
      <c r="G7486">
        <f t="shared" ca="1" si="201"/>
        <v>-2.3221809758036539E-2</v>
      </c>
    </row>
    <row r="7487" spans="6:7" x14ac:dyDescent="0.35">
      <c r="F7487">
        <v>7484</v>
      </c>
      <c r="G7487">
        <f t="shared" ca="1" si="201"/>
        <v>-1.6014418017374694E-2</v>
      </c>
    </row>
    <row r="7488" spans="6:7" x14ac:dyDescent="0.35">
      <c r="F7488">
        <v>7485</v>
      </c>
      <c r="G7488">
        <f t="shared" ca="1" si="201"/>
        <v>2.176575418210995E-2</v>
      </c>
    </row>
    <row r="7489" spans="6:7" x14ac:dyDescent="0.35">
      <c r="F7489">
        <v>7486</v>
      </c>
      <c r="G7489">
        <f t="shared" ca="1" si="201"/>
        <v>8.0346995885036687E-3</v>
      </c>
    </row>
    <row r="7490" spans="6:7" x14ac:dyDescent="0.35">
      <c r="F7490">
        <v>7487</v>
      </c>
      <c r="G7490">
        <f t="shared" ca="1" si="201"/>
        <v>1.4158372504451134E-2</v>
      </c>
    </row>
    <row r="7491" spans="6:7" x14ac:dyDescent="0.35">
      <c r="F7491">
        <v>7488</v>
      </c>
      <c r="G7491">
        <f t="shared" ca="1" si="201"/>
        <v>-4.2910442140430591E-2</v>
      </c>
    </row>
    <row r="7492" spans="6:7" x14ac:dyDescent="0.35">
      <c r="F7492">
        <v>7489</v>
      </c>
      <c r="G7492">
        <f t="shared" ca="1" si="201"/>
        <v>3.6998701677564548E-2</v>
      </c>
    </row>
    <row r="7493" spans="6:7" x14ac:dyDescent="0.35">
      <c r="F7493">
        <v>7490</v>
      </c>
      <c r="G7493">
        <f t="shared" ref="G7493:G7556" ca="1" si="202">_xlfn.NORM.INV(RAND(),K$6,K$7)</f>
        <v>2.0725051477940359E-2</v>
      </c>
    </row>
    <row r="7494" spans="6:7" x14ac:dyDescent="0.35">
      <c r="F7494">
        <v>7491</v>
      </c>
      <c r="G7494">
        <f t="shared" ca="1" si="202"/>
        <v>-2.1842763133199074E-2</v>
      </c>
    </row>
    <row r="7495" spans="6:7" x14ac:dyDescent="0.35">
      <c r="F7495">
        <v>7492</v>
      </c>
      <c r="G7495">
        <f t="shared" ca="1" si="202"/>
        <v>2.9560716263460917E-2</v>
      </c>
    </row>
    <row r="7496" spans="6:7" x14ac:dyDescent="0.35">
      <c r="F7496">
        <v>7493</v>
      </c>
      <c r="G7496">
        <f t="shared" ca="1" si="202"/>
        <v>-3.08037541391817E-2</v>
      </c>
    </row>
    <row r="7497" spans="6:7" x14ac:dyDescent="0.35">
      <c r="F7497">
        <v>7494</v>
      </c>
      <c r="G7497">
        <f t="shared" ca="1" si="202"/>
        <v>-2.879024356913628E-2</v>
      </c>
    </row>
    <row r="7498" spans="6:7" x14ac:dyDescent="0.35">
      <c r="F7498">
        <v>7495</v>
      </c>
      <c r="G7498">
        <f t="shared" ca="1" si="202"/>
        <v>-2.9059329432244031E-3</v>
      </c>
    </row>
    <row r="7499" spans="6:7" x14ac:dyDescent="0.35">
      <c r="F7499">
        <v>7496</v>
      </c>
      <c r="G7499">
        <f t="shared" ca="1" si="202"/>
        <v>-2.2404135373322136E-2</v>
      </c>
    </row>
    <row r="7500" spans="6:7" x14ac:dyDescent="0.35">
      <c r="F7500">
        <v>7497</v>
      </c>
      <c r="G7500">
        <f t="shared" ca="1" si="202"/>
        <v>2.4202903433060387E-2</v>
      </c>
    </row>
    <row r="7501" spans="6:7" x14ac:dyDescent="0.35">
      <c r="F7501">
        <v>7498</v>
      </c>
      <c r="G7501">
        <f t="shared" ca="1" si="202"/>
        <v>-2.7076914318660992E-3</v>
      </c>
    </row>
    <row r="7502" spans="6:7" x14ac:dyDescent="0.35">
      <c r="F7502">
        <v>7499</v>
      </c>
      <c r="G7502">
        <f t="shared" ca="1" si="202"/>
        <v>7.6682663648109948E-3</v>
      </c>
    </row>
    <row r="7503" spans="6:7" x14ac:dyDescent="0.35">
      <c r="F7503">
        <v>7500</v>
      </c>
      <c r="G7503">
        <f t="shared" ca="1" si="202"/>
        <v>1.8796245184235668E-2</v>
      </c>
    </row>
    <row r="7504" spans="6:7" x14ac:dyDescent="0.35">
      <c r="F7504">
        <v>7501</v>
      </c>
      <c r="G7504">
        <f t="shared" ca="1" si="202"/>
        <v>5.825900396468172E-2</v>
      </c>
    </row>
    <row r="7505" spans="6:7" x14ac:dyDescent="0.35">
      <c r="F7505">
        <v>7502</v>
      </c>
      <c r="G7505">
        <f t="shared" ca="1" si="202"/>
        <v>-1.1445438295225483E-2</v>
      </c>
    </row>
    <row r="7506" spans="6:7" x14ac:dyDescent="0.35">
      <c r="F7506">
        <v>7503</v>
      </c>
      <c r="G7506">
        <f t="shared" ca="1" si="202"/>
        <v>1.9880485610590274E-3</v>
      </c>
    </row>
    <row r="7507" spans="6:7" x14ac:dyDescent="0.35">
      <c r="F7507">
        <v>7504</v>
      </c>
      <c r="G7507">
        <f t="shared" ca="1" si="202"/>
        <v>9.0939807239641107E-3</v>
      </c>
    </row>
    <row r="7508" spans="6:7" x14ac:dyDescent="0.35">
      <c r="F7508">
        <v>7505</v>
      </c>
      <c r="G7508">
        <f t="shared" ca="1" si="202"/>
        <v>-5.6189923927387191E-2</v>
      </c>
    </row>
    <row r="7509" spans="6:7" x14ac:dyDescent="0.35">
      <c r="F7509">
        <v>7506</v>
      </c>
      <c r="G7509">
        <f t="shared" ca="1" si="202"/>
        <v>2.6408578008943685E-2</v>
      </c>
    </row>
    <row r="7510" spans="6:7" x14ac:dyDescent="0.35">
      <c r="F7510">
        <v>7507</v>
      </c>
      <c r="G7510">
        <f t="shared" ca="1" si="202"/>
        <v>-3.5225801717260495E-2</v>
      </c>
    </row>
    <row r="7511" spans="6:7" x14ac:dyDescent="0.35">
      <c r="F7511">
        <v>7508</v>
      </c>
      <c r="G7511">
        <f t="shared" ca="1" si="202"/>
        <v>-1.9758394898229063E-5</v>
      </c>
    </row>
    <row r="7512" spans="6:7" x14ac:dyDescent="0.35">
      <c r="F7512">
        <v>7509</v>
      </c>
      <c r="G7512">
        <f t="shared" ca="1" si="202"/>
        <v>-6.2373430170854457E-4</v>
      </c>
    </row>
    <row r="7513" spans="6:7" x14ac:dyDescent="0.35">
      <c r="F7513">
        <v>7510</v>
      </c>
      <c r="G7513">
        <f t="shared" ca="1" si="202"/>
        <v>2.0000797845887391E-4</v>
      </c>
    </row>
    <row r="7514" spans="6:7" x14ac:dyDescent="0.35">
      <c r="F7514">
        <v>7511</v>
      </c>
      <c r="G7514">
        <f t="shared" ca="1" si="202"/>
        <v>3.8544513982469077E-3</v>
      </c>
    </row>
    <row r="7515" spans="6:7" x14ac:dyDescent="0.35">
      <c r="F7515">
        <v>7512</v>
      </c>
      <c r="G7515">
        <f t="shared" ca="1" si="202"/>
        <v>-6.8416086034913687E-3</v>
      </c>
    </row>
    <row r="7516" spans="6:7" x14ac:dyDescent="0.35">
      <c r="F7516">
        <v>7513</v>
      </c>
      <c r="G7516">
        <f t="shared" ca="1" si="202"/>
        <v>1.3600499981246086E-2</v>
      </c>
    </row>
    <row r="7517" spans="6:7" x14ac:dyDescent="0.35">
      <c r="F7517">
        <v>7514</v>
      </c>
      <c r="G7517">
        <f t="shared" ca="1" si="202"/>
        <v>1.3204603162341646E-2</v>
      </c>
    </row>
    <row r="7518" spans="6:7" x14ac:dyDescent="0.35">
      <c r="F7518">
        <v>7515</v>
      </c>
      <c r="G7518">
        <f t="shared" ca="1" si="202"/>
        <v>-1.3280227433722964E-2</v>
      </c>
    </row>
    <row r="7519" spans="6:7" x14ac:dyDescent="0.35">
      <c r="F7519">
        <v>7516</v>
      </c>
      <c r="G7519">
        <f t="shared" ca="1" si="202"/>
        <v>-1.5909712836921195E-2</v>
      </c>
    </row>
    <row r="7520" spans="6:7" x14ac:dyDescent="0.35">
      <c r="F7520">
        <v>7517</v>
      </c>
      <c r="G7520">
        <f t="shared" ca="1" si="202"/>
        <v>-1.6578962175187069E-2</v>
      </c>
    </row>
    <row r="7521" spans="6:7" x14ac:dyDescent="0.35">
      <c r="F7521">
        <v>7518</v>
      </c>
      <c r="G7521">
        <f t="shared" ca="1" si="202"/>
        <v>-8.0774184950188743E-3</v>
      </c>
    </row>
    <row r="7522" spans="6:7" x14ac:dyDescent="0.35">
      <c r="F7522">
        <v>7519</v>
      </c>
      <c r="G7522">
        <f t="shared" ca="1" si="202"/>
        <v>-4.457887795569275E-2</v>
      </c>
    </row>
    <row r="7523" spans="6:7" x14ac:dyDescent="0.35">
      <c r="F7523">
        <v>7520</v>
      </c>
      <c r="G7523">
        <f t="shared" ca="1" si="202"/>
        <v>2.5438440679052658E-2</v>
      </c>
    </row>
    <row r="7524" spans="6:7" x14ac:dyDescent="0.35">
      <c r="F7524">
        <v>7521</v>
      </c>
      <c r="G7524">
        <f t="shared" ca="1" si="202"/>
        <v>-1.7118002460455185E-2</v>
      </c>
    </row>
    <row r="7525" spans="6:7" x14ac:dyDescent="0.35">
      <c r="F7525">
        <v>7522</v>
      </c>
      <c r="G7525">
        <f t="shared" ca="1" si="202"/>
        <v>-4.0179140320973764E-2</v>
      </c>
    </row>
    <row r="7526" spans="6:7" x14ac:dyDescent="0.35">
      <c r="F7526">
        <v>7523</v>
      </c>
      <c r="G7526">
        <f t="shared" ca="1" si="202"/>
        <v>1.1761948910311647E-2</v>
      </c>
    </row>
    <row r="7527" spans="6:7" x14ac:dyDescent="0.35">
      <c r="F7527">
        <v>7524</v>
      </c>
      <c r="G7527">
        <f t="shared" ca="1" si="202"/>
        <v>1.4819927926615938E-3</v>
      </c>
    </row>
    <row r="7528" spans="6:7" x14ac:dyDescent="0.35">
      <c r="F7528">
        <v>7525</v>
      </c>
      <c r="G7528">
        <f t="shared" ca="1" si="202"/>
        <v>-1.6156403438822818E-2</v>
      </c>
    </row>
    <row r="7529" spans="6:7" x14ac:dyDescent="0.35">
      <c r="F7529">
        <v>7526</v>
      </c>
      <c r="G7529">
        <f t="shared" ca="1" si="202"/>
        <v>-1.9098564627171116E-2</v>
      </c>
    </row>
    <row r="7530" spans="6:7" x14ac:dyDescent="0.35">
      <c r="F7530">
        <v>7527</v>
      </c>
      <c r="G7530">
        <f t="shared" ca="1" si="202"/>
        <v>-1.4682301378046124E-2</v>
      </c>
    </row>
    <row r="7531" spans="6:7" x14ac:dyDescent="0.35">
      <c r="F7531">
        <v>7528</v>
      </c>
      <c r="G7531">
        <f t="shared" ca="1" si="202"/>
        <v>-5.3005606483322821E-3</v>
      </c>
    </row>
    <row r="7532" spans="6:7" x14ac:dyDescent="0.35">
      <c r="F7532">
        <v>7529</v>
      </c>
      <c r="G7532">
        <f t="shared" ca="1" si="202"/>
        <v>2.2540435896719595E-3</v>
      </c>
    </row>
    <row r="7533" spans="6:7" x14ac:dyDescent="0.35">
      <c r="F7533">
        <v>7530</v>
      </c>
      <c r="G7533">
        <f t="shared" ca="1" si="202"/>
        <v>1.8075382592000266E-2</v>
      </c>
    </row>
    <row r="7534" spans="6:7" x14ac:dyDescent="0.35">
      <c r="F7534">
        <v>7531</v>
      </c>
      <c r="G7534">
        <f t="shared" ca="1" si="202"/>
        <v>5.3802284847564413E-2</v>
      </c>
    </row>
    <row r="7535" spans="6:7" x14ac:dyDescent="0.35">
      <c r="F7535">
        <v>7532</v>
      </c>
      <c r="G7535">
        <f t="shared" ca="1" si="202"/>
        <v>-1.0146774664900595E-2</v>
      </c>
    </row>
    <row r="7536" spans="6:7" x14ac:dyDescent="0.35">
      <c r="F7536">
        <v>7533</v>
      </c>
      <c r="G7536">
        <f t="shared" ca="1" si="202"/>
        <v>1.8455579972412289E-2</v>
      </c>
    </row>
    <row r="7537" spans="6:7" x14ac:dyDescent="0.35">
      <c r="F7537">
        <v>7534</v>
      </c>
      <c r="G7537">
        <f t="shared" ca="1" si="202"/>
        <v>-4.3372177080854574E-3</v>
      </c>
    </row>
    <row r="7538" spans="6:7" x14ac:dyDescent="0.35">
      <c r="F7538">
        <v>7535</v>
      </c>
      <c r="G7538">
        <f t="shared" ca="1" si="202"/>
        <v>-4.992178860651092E-2</v>
      </c>
    </row>
    <row r="7539" spans="6:7" x14ac:dyDescent="0.35">
      <c r="F7539">
        <v>7536</v>
      </c>
      <c r="G7539">
        <f t="shared" ca="1" si="202"/>
        <v>-2.8771319093117375E-2</v>
      </c>
    </row>
    <row r="7540" spans="6:7" x14ac:dyDescent="0.35">
      <c r="F7540">
        <v>7537</v>
      </c>
      <c r="G7540">
        <f t="shared" ca="1" si="202"/>
        <v>-2.1395205278498712E-3</v>
      </c>
    </row>
    <row r="7541" spans="6:7" x14ac:dyDescent="0.35">
      <c r="F7541">
        <v>7538</v>
      </c>
      <c r="G7541">
        <f t="shared" ca="1" si="202"/>
        <v>-2.8000111500397832E-2</v>
      </c>
    </row>
    <row r="7542" spans="6:7" x14ac:dyDescent="0.35">
      <c r="F7542">
        <v>7539</v>
      </c>
      <c r="G7542">
        <f t="shared" ca="1" si="202"/>
        <v>3.1957363164297536E-2</v>
      </c>
    </row>
    <row r="7543" spans="6:7" x14ac:dyDescent="0.35">
      <c r="F7543">
        <v>7540</v>
      </c>
      <c r="G7543">
        <f t="shared" ca="1" si="202"/>
        <v>1.4105805682154639E-2</v>
      </c>
    </row>
    <row r="7544" spans="6:7" x14ac:dyDescent="0.35">
      <c r="F7544">
        <v>7541</v>
      </c>
      <c r="G7544">
        <f t="shared" ca="1" si="202"/>
        <v>-8.1898773120494071E-3</v>
      </c>
    </row>
    <row r="7545" spans="6:7" x14ac:dyDescent="0.35">
      <c r="F7545">
        <v>7542</v>
      </c>
      <c r="G7545">
        <f t="shared" ca="1" si="202"/>
        <v>-1.4824318460846853E-2</v>
      </c>
    </row>
    <row r="7546" spans="6:7" x14ac:dyDescent="0.35">
      <c r="F7546">
        <v>7543</v>
      </c>
      <c r="G7546">
        <f t="shared" ca="1" si="202"/>
        <v>4.3401614135626265E-2</v>
      </c>
    </row>
    <row r="7547" spans="6:7" x14ac:dyDescent="0.35">
      <c r="F7547">
        <v>7544</v>
      </c>
      <c r="G7547">
        <f t="shared" ca="1" si="202"/>
        <v>-3.3806137001781483E-3</v>
      </c>
    </row>
    <row r="7548" spans="6:7" x14ac:dyDescent="0.35">
      <c r="F7548">
        <v>7545</v>
      </c>
      <c r="G7548">
        <f t="shared" ca="1" si="202"/>
        <v>3.9051475196725451E-2</v>
      </c>
    </row>
    <row r="7549" spans="6:7" x14ac:dyDescent="0.35">
      <c r="F7549">
        <v>7546</v>
      </c>
      <c r="G7549">
        <f t="shared" ca="1" si="202"/>
        <v>-3.0982795308411148E-2</v>
      </c>
    </row>
    <row r="7550" spans="6:7" x14ac:dyDescent="0.35">
      <c r="F7550">
        <v>7547</v>
      </c>
      <c r="G7550">
        <f t="shared" ca="1" si="202"/>
        <v>8.8882122908413956E-3</v>
      </c>
    </row>
    <row r="7551" spans="6:7" x14ac:dyDescent="0.35">
      <c r="F7551">
        <v>7548</v>
      </c>
      <c r="G7551">
        <f t="shared" ca="1" si="202"/>
        <v>-1.1429220570997487E-2</v>
      </c>
    </row>
    <row r="7552" spans="6:7" x14ac:dyDescent="0.35">
      <c r="F7552">
        <v>7549</v>
      </c>
      <c r="G7552">
        <f t="shared" ca="1" si="202"/>
        <v>3.6744105174900739E-2</v>
      </c>
    </row>
    <row r="7553" spans="6:7" x14ac:dyDescent="0.35">
      <c r="F7553">
        <v>7550</v>
      </c>
      <c r="G7553">
        <f t="shared" ca="1" si="202"/>
        <v>2.1544681689383741E-2</v>
      </c>
    </row>
    <row r="7554" spans="6:7" x14ac:dyDescent="0.35">
      <c r="F7554">
        <v>7551</v>
      </c>
      <c r="G7554">
        <f t="shared" ca="1" si="202"/>
        <v>-1.0284633890262733E-2</v>
      </c>
    </row>
    <row r="7555" spans="6:7" x14ac:dyDescent="0.35">
      <c r="F7555">
        <v>7552</v>
      </c>
      <c r="G7555">
        <f t="shared" ca="1" si="202"/>
        <v>6.7340818439725206E-3</v>
      </c>
    </row>
    <row r="7556" spans="6:7" x14ac:dyDescent="0.35">
      <c r="F7556">
        <v>7553</v>
      </c>
      <c r="G7556">
        <f t="shared" ca="1" si="202"/>
        <v>-4.0671568427086656E-2</v>
      </c>
    </row>
    <row r="7557" spans="6:7" x14ac:dyDescent="0.35">
      <c r="F7557">
        <v>7554</v>
      </c>
      <c r="G7557">
        <f t="shared" ref="G7557:G7620" ca="1" si="203">_xlfn.NORM.INV(RAND(),K$6,K$7)</f>
        <v>-1.9371516999018921E-2</v>
      </c>
    </row>
    <row r="7558" spans="6:7" x14ac:dyDescent="0.35">
      <c r="F7558">
        <v>7555</v>
      </c>
      <c r="G7558">
        <f t="shared" ca="1" si="203"/>
        <v>6.399079494507251E-2</v>
      </c>
    </row>
    <row r="7559" spans="6:7" x14ac:dyDescent="0.35">
      <c r="F7559">
        <v>7556</v>
      </c>
      <c r="G7559">
        <f t="shared" ca="1" si="203"/>
        <v>8.5228088259356027E-3</v>
      </c>
    </row>
    <row r="7560" spans="6:7" x14ac:dyDescent="0.35">
      <c r="F7560">
        <v>7557</v>
      </c>
      <c r="G7560">
        <f t="shared" ca="1" si="203"/>
        <v>4.3614335354206238E-2</v>
      </c>
    </row>
    <row r="7561" spans="6:7" x14ac:dyDescent="0.35">
      <c r="F7561">
        <v>7558</v>
      </c>
      <c r="G7561">
        <f t="shared" ca="1" si="203"/>
        <v>4.5681498687723338E-2</v>
      </c>
    </row>
    <row r="7562" spans="6:7" x14ac:dyDescent="0.35">
      <c r="F7562">
        <v>7559</v>
      </c>
      <c r="G7562">
        <f t="shared" ca="1" si="203"/>
        <v>-5.8733487155567879E-2</v>
      </c>
    </row>
    <row r="7563" spans="6:7" x14ac:dyDescent="0.35">
      <c r="F7563">
        <v>7560</v>
      </c>
      <c r="G7563">
        <f t="shared" ca="1" si="203"/>
        <v>-5.8138985873689819E-2</v>
      </c>
    </row>
    <row r="7564" spans="6:7" x14ac:dyDescent="0.35">
      <c r="F7564">
        <v>7561</v>
      </c>
      <c r="G7564">
        <f t="shared" ca="1" si="203"/>
        <v>3.560573435759145E-2</v>
      </c>
    </row>
    <row r="7565" spans="6:7" x14ac:dyDescent="0.35">
      <c r="F7565">
        <v>7562</v>
      </c>
      <c r="G7565">
        <f t="shared" ca="1" si="203"/>
        <v>1.3008920448275545E-2</v>
      </c>
    </row>
    <row r="7566" spans="6:7" x14ac:dyDescent="0.35">
      <c r="F7566">
        <v>7563</v>
      </c>
      <c r="G7566">
        <f t="shared" ca="1" si="203"/>
        <v>-1.5056609312885487E-2</v>
      </c>
    </row>
    <row r="7567" spans="6:7" x14ac:dyDescent="0.35">
      <c r="F7567">
        <v>7564</v>
      </c>
      <c r="G7567">
        <f t="shared" ca="1" si="203"/>
        <v>1.390835091709111E-2</v>
      </c>
    </row>
    <row r="7568" spans="6:7" x14ac:dyDescent="0.35">
      <c r="F7568">
        <v>7565</v>
      </c>
      <c r="G7568">
        <f t="shared" ca="1" si="203"/>
        <v>-1.4295677553871577E-2</v>
      </c>
    </row>
    <row r="7569" spans="6:7" x14ac:dyDescent="0.35">
      <c r="F7569">
        <v>7566</v>
      </c>
      <c r="G7569">
        <f t="shared" ca="1" si="203"/>
        <v>-3.760962646581217E-3</v>
      </c>
    </row>
    <row r="7570" spans="6:7" x14ac:dyDescent="0.35">
      <c r="F7570">
        <v>7567</v>
      </c>
      <c r="G7570">
        <f t="shared" ca="1" si="203"/>
        <v>2.7947361248256159E-2</v>
      </c>
    </row>
    <row r="7571" spans="6:7" x14ac:dyDescent="0.35">
      <c r="F7571">
        <v>7568</v>
      </c>
      <c r="G7571">
        <f t="shared" ca="1" si="203"/>
        <v>-9.9156500436394495E-3</v>
      </c>
    </row>
    <row r="7572" spans="6:7" x14ac:dyDescent="0.35">
      <c r="F7572">
        <v>7569</v>
      </c>
      <c r="G7572">
        <f t="shared" ca="1" si="203"/>
        <v>-2.2660324008173246E-2</v>
      </c>
    </row>
    <row r="7573" spans="6:7" x14ac:dyDescent="0.35">
      <c r="F7573">
        <v>7570</v>
      </c>
      <c r="G7573">
        <f t="shared" ca="1" si="203"/>
        <v>-1.0637351777337071E-2</v>
      </c>
    </row>
    <row r="7574" spans="6:7" x14ac:dyDescent="0.35">
      <c r="F7574">
        <v>7571</v>
      </c>
      <c r="G7574">
        <f t="shared" ca="1" si="203"/>
        <v>-5.2453062324165092E-2</v>
      </c>
    </row>
    <row r="7575" spans="6:7" x14ac:dyDescent="0.35">
      <c r="F7575">
        <v>7572</v>
      </c>
      <c r="G7575">
        <f t="shared" ca="1" si="203"/>
        <v>1.4878180945432976E-2</v>
      </c>
    </row>
    <row r="7576" spans="6:7" x14ac:dyDescent="0.35">
      <c r="F7576">
        <v>7573</v>
      </c>
      <c r="G7576">
        <f t="shared" ca="1" si="203"/>
        <v>2.9278247246608685E-2</v>
      </c>
    </row>
    <row r="7577" spans="6:7" x14ac:dyDescent="0.35">
      <c r="F7577">
        <v>7574</v>
      </c>
      <c r="G7577">
        <f t="shared" ca="1" si="203"/>
        <v>7.6184921318381777E-3</v>
      </c>
    </row>
    <row r="7578" spans="6:7" x14ac:dyDescent="0.35">
      <c r="F7578">
        <v>7575</v>
      </c>
      <c r="G7578">
        <f t="shared" ca="1" si="203"/>
        <v>-8.0468269905979353E-3</v>
      </c>
    </row>
    <row r="7579" spans="6:7" x14ac:dyDescent="0.35">
      <c r="F7579">
        <v>7576</v>
      </c>
      <c r="G7579">
        <f t="shared" ca="1" si="203"/>
        <v>1.7322159630950879E-2</v>
      </c>
    </row>
    <row r="7580" spans="6:7" x14ac:dyDescent="0.35">
      <c r="F7580">
        <v>7577</v>
      </c>
      <c r="G7580">
        <f t="shared" ca="1" si="203"/>
        <v>-2.4223278653669422E-2</v>
      </c>
    </row>
    <row r="7581" spans="6:7" x14ac:dyDescent="0.35">
      <c r="F7581">
        <v>7578</v>
      </c>
      <c r="G7581">
        <f t="shared" ca="1" si="203"/>
        <v>-7.6391614855798023E-3</v>
      </c>
    </row>
    <row r="7582" spans="6:7" x14ac:dyDescent="0.35">
      <c r="F7582">
        <v>7579</v>
      </c>
      <c r="G7582">
        <f t="shared" ca="1" si="203"/>
        <v>-1.5531912354999618E-2</v>
      </c>
    </row>
    <row r="7583" spans="6:7" x14ac:dyDescent="0.35">
      <c r="F7583">
        <v>7580</v>
      </c>
      <c r="G7583">
        <f t="shared" ca="1" si="203"/>
        <v>-3.4484481065068094E-2</v>
      </c>
    </row>
    <row r="7584" spans="6:7" x14ac:dyDescent="0.35">
      <c r="F7584">
        <v>7581</v>
      </c>
      <c r="G7584">
        <f t="shared" ca="1" si="203"/>
        <v>-1.4473050797229405E-2</v>
      </c>
    </row>
    <row r="7585" spans="6:7" x14ac:dyDescent="0.35">
      <c r="F7585">
        <v>7582</v>
      </c>
      <c r="G7585">
        <f t="shared" ca="1" si="203"/>
        <v>2.9847770911054984E-2</v>
      </c>
    </row>
    <row r="7586" spans="6:7" x14ac:dyDescent="0.35">
      <c r="F7586">
        <v>7583</v>
      </c>
      <c r="G7586">
        <f t="shared" ca="1" si="203"/>
        <v>6.3246695246742854E-2</v>
      </c>
    </row>
    <row r="7587" spans="6:7" x14ac:dyDescent="0.35">
      <c r="F7587">
        <v>7584</v>
      </c>
      <c r="G7587">
        <f t="shared" ca="1" si="203"/>
        <v>-2.9240944416669912E-2</v>
      </c>
    </row>
    <row r="7588" spans="6:7" x14ac:dyDescent="0.35">
      <c r="F7588">
        <v>7585</v>
      </c>
      <c r="G7588">
        <f t="shared" ca="1" si="203"/>
        <v>-9.1592651961804952E-3</v>
      </c>
    </row>
    <row r="7589" spans="6:7" x14ac:dyDescent="0.35">
      <c r="F7589">
        <v>7586</v>
      </c>
      <c r="G7589">
        <f t="shared" ca="1" si="203"/>
        <v>-2.5130729238948466E-2</v>
      </c>
    </row>
    <row r="7590" spans="6:7" x14ac:dyDescent="0.35">
      <c r="F7590">
        <v>7587</v>
      </c>
      <c r="G7590">
        <f t="shared" ca="1" si="203"/>
        <v>7.7926292611468946E-3</v>
      </c>
    </row>
    <row r="7591" spans="6:7" x14ac:dyDescent="0.35">
      <c r="F7591">
        <v>7588</v>
      </c>
      <c r="G7591">
        <f t="shared" ca="1" si="203"/>
        <v>3.6773246195980741E-2</v>
      </c>
    </row>
    <row r="7592" spans="6:7" x14ac:dyDescent="0.35">
      <c r="F7592">
        <v>7589</v>
      </c>
      <c r="G7592">
        <f t="shared" ca="1" si="203"/>
        <v>-1.5170295122915706E-2</v>
      </c>
    </row>
    <row r="7593" spans="6:7" x14ac:dyDescent="0.35">
      <c r="F7593">
        <v>7590</v>
      </c>
      <c r="G7593">
        <f t="shared" ca="1" si="203"/>
        <v>2.2599969065219817E-2</v>
      </c>
    </row>
    <row r="7594" spans="6:7" x14ac:dyDescent="0.35">
      <c r="F7594">
        <v>7591</v>
      </c>
      <c r="G7594">
        <f t="shared" ca="1" si="203"/>
        <v>9.8517031701814001E-3</v>
      </c>
    </row>
    <row r="7595" spans="6:7" x14ac:dyDescent="0.35">
      <c r="F7595">
        <v>7592</v>
      </c>
      <c r="G7595">
        <f t="shared" ca="1" si="203"/>
        <v>-1.719395834039187E-2</v>
      </c>
    </row>
    <row r="7596" spans="6:7" x14ac:dyDescent="0.35">
      <c r="F7596">
        <v>7593</v>
      </c>
      <c r="G7596">
        <f t="shared" ca="1" si="203"/>
        <v>-5.9566634405333364E-2</v>
      </c>
    </row>
    <row r="7597" spans="6:7" x14ac:dyDescent="0.35">
      <c r="F7597">
        <v>7594</v>
      </c>
      <c r="G7597">
        <f t="shared" ca="1" si="203"/>
        <v>1.3602422988549741E-2</v>
      </c>
    </row>
    <row r="7598" spans="6:7" x14ac:dyDescent="0.35">
      <c r="F7598">
        <v>7595</v>
      </c>
      <c r="G7598">
        <f t="shared" ca="1" si="203"/>
        <v>2.9758994084218993E-2</v>
      </c>
    </row>
    <row r="7599" spans="6:7" x14ac:dyDescent="0.35">
      <c r="F7599">
        <v>7596</v>
      </c>
      <c r="G7599">
        <f t="shared" ca="1" si="203"/>
        <v>9.1832768509035219E-3</v>
      </c>
    </row>
    <row r="7600" spans="6:7" x14ac:dyDescent="0.35">
      <c r="F7600">
        <v>7597</v>
      </c>
      <c r="G7600">
        <f t="shared" ca="1" si="203"/>
        <v>6.5971800137703991E-3</v>
      </c>
    </row>
    <row r="7601" spans="6:7" x14ac:dyDescent="0.35">
      <c r="F7601">
        <v>7598</v>
      </c>
      <c r="G7601">
        <f t="shared" ca="1" si="203"/>
        <v>1.2079233356710338E-2</v>
      </c>
    </row>
    <row r="7602" spans="6:7" x14ac:dyDescent="0.35">
      <c r="F7602">
        <v>7599</v>
      </c>
      <c r="G7602">
        <f t="shared" ca="1" si="203"/>
        <v>-1.4445528250271709E-2</v>
      </c>
    </row>
    <row r="7603" spans="6:7" x14ac:dyDescent="0.35">
      <c r="F7603">
        <v>7600</v>
      </c>
      <c r="G7603">
        <f t="shared" ca="1" si="203"/>
        <v>-1.2989554241510768E-2</v>
      </c>
    </row>
    <row r="7604" spans="6:7" x14ac:dyDescent="0.35">
      <c r="F7604">
        <v>7601</v>
      </c>
      <c r="G7604">
        <f t="shared" ca="1" si="203"/>
        <v>2.4493437665430502E-2</v>
      </c>
    </row>
    <row r="7605" spans="6:7" x14ac:dyDescent="0.35">
      <c r="F7605">
        <v>7602</v>
      </c>
      <c r="G7605">
        <f t="shared" ca="1" si="203"/>
        <v>3.1433835671151704E-2</v>
      </c>
    </row>
    <row r="7606" spans="6:7" x14ac:dyDescent="0.35">
      <c r="F7606">
        <v>7603</v>
      </c>
      <c r="G7606">
        <f t="shared" ca="1" si="203"/>
        <v>-1.6078188073654733E-3</v>
      </c>
    </row>
    <row r="7607" spans="6:7" x14ac:dyDescent="0.35">
      <c r="F7607">
        <v>7604</v>
      </c>
      <c r="G7607">
        <f t="shared" ca="1" si="203"/>
        <v>-1.3906435884068154E-2</v>
      </c>
    </row>
    <row r="7608" spans="6:7" x14ac:dyDescent="0.35">
      <c r="F7608">
        <v>7605</v>
      </c>
      <c r="G7608">
        <f t="shared" ca="1" si="203"/>
        <v>-3.2443215694733268E-2</v>
      </c>
    </row>
    <row r="7609" spans="6:7" x14ac:dyDescent="0.35">
      <c r="F7609">
        <v>7606</v>
      </c>
      <c r="G7609">
        <f t="shared" ca="1" si="203"/>
        <v>2.9308865328314126E-2</v>
      </c>
    </row>
    <row r="7610" spans="6:7" x14ac:dyDescent="0.35">
      <c r="F7610">
        <v>7607</v>
      </c>
      <c r="G7610">
        <f t="shared" ca="1" si="203"/>
        <v>1.9986402805206496E-2</v>
      </c>
    </row>
    <row r="7611" spans="6:7" x14ac:dyDescent="0.35">
      <c r="F7611">
        <v>7608</v>
      </c>
      <c r="G7611">
        <f t="shared" ca="1" si="203"/>
        <v>-1.3607211416358211E-2</v>
      </c>
    </row>
    <row r="7612" spans="6:7" x14ac:dyDescent="0.35">
      <c r="F7612">
        <v>7609</v>
      </c>
      <c r="G7612">
        <f t="shared" ca="1" si="203"/>
        <v>-9.4642415912265417E-3</v>
      </c>
    </row>
    <row r="7613" spans="6:7" x14ac:dyDescent="0.35">
      <c r="F7613">
        <v>7610</v>
      </c>
      <c r="G7613">
        <f t="shared" ca="1" si="203"/>
        <v>-4.016810300035728E-2</v>
      </c>
    </row>
    <row r="7614" spans="6:7" x14ac:dyDescent="0.35">
      <c r="F7614">
        <v>7611</v>
      </c>
      <c r="G7614">
        <f t="shared" ca="1" si="203"/>
        <v>9.9719441447120999E-3</v>
      </c>
    </row>
    <row r="7615" spans="6:7" x14ac:dyDescent="0.35">
      <c r="F7615">
        <v>7612</v>
      </c>
      <c r="G7615">
        <f t="shared" ca="1" si="203"/>
        <v>-1.0507362838278501E-2</v>
      </c>
    </row>
    <row r="7616" spans="6:7" x14ac:dyDescent="0.35">
      <c r="F7616">
        <v>7613</v>
      </c>
      <c r="G7616">
        <f t="shared" ca="1" si="203"/>
        <v>9.4207399996505195E-3</v>
      </c>
    </row>
    <row r="7617" spans="6:7" x14ac:dyDescent="0.35">
      <c r="F7617">
        <v>7614</v>
      </c>
      <c r="G7617">
        <f t="shared" ca="1" si="203"/>
        <v>-1.3718854933140949E-2</v>
      </c>
    </row>
    <row r="7618" spans="6:7" x14ac:dyDescent="0.35">
      <c r="F7618">
        <v>7615</v>
      </c>
      <c r="G7618">
        <f t="shared" ca="1" si="203"/>
        <v>4.0008669632499647E-2</v>
      </c>
    </row>
    <row r="7619" spans="6:7" x14ac:dyDescent="0.35">
      <c r="F7619">
        <v>7616</v>
      </c>
      <c r="G7619">
        <f t="shared" ca="1" si="203"/>
        <v>1.0661097228633277E-2</v>
      </c>
    </row>
    <row r="7620" spans="6:7" x14ac:dyDescent="0.35">
      <c r="F7620">
        <v>7617</v>
      </c>
      <c r="G7620">
        <f t="shared" ca="1" si="203"/>
        <v>1.7139706183740652E-2</v>
      </c>
    </row>
    <row r="7621" spans="6:7" x14ac:dyDescent="0.35">
      <c r="F7621">
        <v>7618</v>
      </c>
      <c r="G7621">
        <f t="shared" ref="G7621:G7684" ca="1" si="204">_xlfn.NORM.INV(RAND(),K$6,K$7)</f>
        <v>1.5627052243826597E-2</v>
      </c>
    </row>
    <row r="7622" spans="6:7" x14ac:dyDescent="0.35">
      <c r="F7622">
        <v>7619</v>
      </c>
      <c r="G7622">
        <f t="shared" ca="1" si="204"/>
        <v>-1.1449987504570779E-2</v>
      </c>
    </row>
    <row r="7623" spans="6:7" x14ac:dyDescent="0.35">
      <c r="F7623">
        <v>7620</v>
      </c>
      <c r="G7623">
        <f t="shared" ca="1" si="204"/>
        <v>-7.920820305978165E-3</v>
      </c>
    </row>
    <row r="7624" spans="6:7" x14ac:dyDescent="0.35">
      <c r="F7624">
        <v>7621</v>
      </c>
      <c r="G7624">
        <f t="shared" ca="1" si="204"/>
        <v>7.4501583312963481E-3</v>
      </c>
    </row>
    <row r="7625" spans="6:7" x14ac:dyDescent="0.35">
      <c r="F7625">
        <v>7622</v>
      </c>
      <c r="G7625">
        <f t="shared" ca="1" si="204"/>
        <v>1.7808467932814324E-2</v>
      </c>
    </row>
    <row r="7626" spans="6:7" x14ac:dyDescent="0.35">
      <c r="F7626">
        <v>7623</v>
      </c>
      <c r="G7626">
        <f t="shared" ca="1" si="204"/>
        <v>-2.3901906991526538E-2</v>
      </c>
    </row>
    <row r="7627" spans="6:7" x14ac:dyDescent="0.35">
      <c r="F7627">
        <v>7624</v>
      </c>
      <c r="G7627">
        <f t="shared" ca="1" si="204"/>
        <v>-6.0079703090375379E-2</v>
      </c>
    </row>
    <row r="7628" spans="6:7" x14ac:dyDescent="0.35">
      <c r="F7628">
        <v>7625</v>
      </c>
      <c r="G7628">
        <f t="shared" ca="1" si="204"/>
        <v>6.6651792824465057E-3</v>
      </c>
    </row>
    <row r="7629" spans="6:7" x14ac:dyDescent="0.35">
      <c r="F7629">
        <v>7626</v>
      </c>
      <c r="G7629">
        <f t="shared" ca="1" si="204"/>
        <v>-1.7197943485364311E-2</v>
      </c>
    </row>
    <row r="7630" spans="6:7" x14ac:dyDescent="0.35">
      <c r="F7630">
        <v>7627</v>
      </c>
      <c r="G7630">
        <f t="shared" ca="1" si="204"/>
        <v>-1.6187224210741646E-2</v>
      </c>
    </row>
    <row r="7631" spans="6:7" x14ac:dyDescent="0.35">
      <c r="F7631">
        <v>7628</v>
      </c>
      <c r="G7631">
        <f t="shared" ca="1" si="204"/>
        <v>-4.6307389094974637E-2</v>
      </c>
    </row>
    <row r="7632" spans="6:7" x14ac:dyDescent="0.35">
      <c r="F7632">
        <v>7629</v>
      </c>
      <c r="G7632">
        <f t="shared" ca="1" si="204"/>
        <v>-8.6755786656266833E-4</v>
      </c>
    </row>
    <row r="7633" spans="6:7" x14ac:dyDescent="0.35">
      <c r="F7633">
        <v>7630</v>
      </c>
      <c r="G7633">
        <f t="shared" ca="1" si="204"/>
        <v>6.9500148645163691E-3</v>
      </c>
    </row>
    <row r="7634" spans="6:7" x14ac:dyDescent="0.35">
      <c r="F7634">
        <v>7631</v>
      </c>
      <c r="G7634">
        <f t="shared" ca="1" si="204"/>
        <v>-4.0537165329548104E-2</v>
      </c>
    </row>
    <row r="7635" spans="6:7" x14ac:dyDescent="0.35">
      <c r="F7635">
        <v>7632</v>
      </c>
      <c r="G7635">
        <f t="shared" ca="1" si="204"/>
        <v>2.6397891601226643E-3</v>
      </c>
    </row>
    <row r="7636" spans="6:7" x14ac:dyDescent="0.35">
      <c r="F7636">
        <v>7633</v>
      </c>
      <c r="G7636">
        <f t="shared" ca="1" si="204"/>
        <v>-2.2384882371693704E-3</v>
      </c>
    </row>
    <row r="7637" spans="6:7" x14ac:dyDescent="0.35">
      <c r="F7637">
        <v>7634</v>
      </c>
      <c r="G7637">
        <f t="shared" ca="1" si="204"/>
        <v>5.1244978163455086E-2</v>
      </c>
    </row>
    <row r="7638" spans="6:7" x14ac:dyDescent="0.35">
      <c r="F7638">
        <v>7635</v>
      </c>
      <c r="G7638">
        <f t="shared" ca="1" si="204"/>
        <v>2.1672886890082815E-2</v>
      </c>
    </row>
    <row r="7639" spans="6:7" x14ac:dyDescent="0.35">
      <c r="F7639">
        <v>7636</v>
      </c>
      <c r="G7639">
        <f t="shared" ca="1" si="204"/>
        <v>-6.2648692647840329E-2</v>
      </c>
    </row>
    <row r="7640" spans="6:7" x14ac:dyDescent="0.35">
      <c r="F7640">
        <v>7637</v>
      </c>
      <c r="G7640">
        <f t="shared" ca="1" si="204"/>
        <v>4.0540533105932232E-2</v>
      </c>
    </row>
    <row r="7641" spans="6:7" x14ac:dyDescent="0.35">
      <c r="F7641">
        <v>7638</v>
      </c>
      <c r="G7641">
        <f t="shared" ca="1" si="204"/>
        <v>-2.5755062497478956E-2</v>
      </c>
    </row>
    <row r="7642" spans="6:7" x14ac:dyDescent="0.35">
      <c r="F7642">
        <v>7639</v>
      </c>
      <c r="G7642">
        <f t="shared" ca="1" si="204"/>
        <v>3.9148768186178526E-3</v>
      </c>
    </row>
    <row r="7643" spans="6:7" x14ac:dyDescent="0.35">
      <c r="F7643">
        <v>7640</v>
      </c>
      <c r="G7643">
        <f t="shared" ca="1" si="204"/>
        <v>2.0096361847487185E-2</v>
      </c>
    </row>
    <row r="7644" spans="6:7" x14ac:dyDescent="0.35">
      <c r="F7644">
        <v>7641</v>
      </c>
      <c r="G7644">
        <f t="shared" ca="1" si="204"/>
        <v>-5.25616606265883E-3</v>
      </c>
    </row>
    <row r="7645" spans="6:7" x14ac:dyDescent="0.35">
      <c r="F7645">
        <v>7642</v>
      </c>
      <c r="G7645">
        <f t="shared" ca="1" si="204"/>
        <v>3.840694565104262E-2</v>
      </c>
    </row>
    <row r="7646" spans="6:7" x14ac:dyDescent="0.35">
      <c r="F7646">
        <v>7643</v>
      </c>
      <c r="G7646">
        <f t="shared" ca="1" si="204"/>
        <v>7.4806566643530548E-3</v>
      </c>
    </row>
    <row r="7647" spans="6:7" x14ac:dyDescent="0.35">
      <c r="F7647">
        <v>7644</v>
      </c>
      <c r="G7647">
        <f t="shared" ca="1" si="204"/>
        <v>9.7393034908840655E-3</v>
      </c>
    </row>
    <row r="7648" spans="6:7" x14ac:dyDescent="0.35">
      <c r="F7648">
        <v>7645</v>
      </c>
      <c r="G7648">
        <f t="shared" ca="1" si="204"/>
        <v>-8.338248934031553E-3</v>
      </c>
    </row>
    <row r="7649" spans="6:7" x14ac:dyDescent="0.35">
      <c r="F7649">
        <v>7646</v>
      </c>
      <c r="G7649">
        <f t="shared" ca="1" si="204"/>
        <v>-1.8539551639518818E-2</v>
      </c>
    </row>
    <row r="7650" spans="6:7" x14ac:dyDescent="0.35">
      <c r="F7650">
        <v>7647</v>
      </c>
      <c r="G7650">
        <f t="shared" ca="1" si="204"/>
        <v>2.4603738465192242E-2</v>
      </c>
    </row>
    <row r="7651" spans="6:7" x14ac:dyDescent="0.35">
      <c r="F7651">
        <v>7648</v>
      </c>
      <c r="G7651">
        <f t="shared" ca="1" si="204"/>
        <v>3.1495747178079722E-2</v>
      </c>
    </row>
    <row r="7652" spans="6:7" x14ac:dyDescent="0.35">
      <c r="F7652">
        <v>7649</v>
      </c>
      <c r="G7652">
        <f t="shared" ca="1" si="204"/>
        <v>3.7232404980337731E-2</v>
      </c>
    </row>
    <row r="7653" spans="6:7" x14ac:dyDescent="0.35">
      <c r="F7653">
        <v>7650</v>
      </c>
      <c r="G7653">
        <f t="shared" ca="1" si="204"/>
        <v>-2.415633395479818E-2</v>
      </c>
    </row>
    <row r="7654" spans="6:7" x14ac:dyDescent="0.35">
      <c r="F7654">
        <v>7651</v>
      </c>
      <c r="G7654">
        <f t="shared" ca="1" si="204"/>
        <v>6.4923567778866764E-2</v>
      </c>
    </row>
    <row r="7655" spans="6:7" x14ac:dyDescent="0.35">
      <c r="F7655">
        <v>7652</v>
      </c>
      <c r="G7655">
        <f t="shared" ca="1" si="204"/>
        <v>-3.037105240120393E-2</v>
      </c>
    </row>
    <row r="7656" spans="6:7" x14ac:dyDescent="0.35">
      <c r="F7656">
        <v>7653</v>
      </c>
      <c r="G7656">
        <f t="shared" ca="1" si="204"/>
        <v>-4.8224721671972018E-3</v>
      </c>
    </row>
    <row r="7657" spans="6:7" x14ac:dyDescent="0.35">
      <c r="F7657">
        <v>7654</v>
      </c>
      <c r="G7657">
        <f t="shared" ca="1" si="204"/>
        <v>-2.9309684718230342E-2</v>
      </c>
    </row>
    <row r="7658" spans="6:7" x14ac:dyDescent="0.35">
      <c r="F7658">
        <v>7655</v>
      </c>
      <c r="G7658">
        <f t="shared" ca="1" si="204"/>
        <v>3.492625494012766E-2</v>
      </c>
    </row>
    <row r="7659" spans="6:7" x14ac:dyDescent="0.35">
      <c r="F7659">
        <v>7656</v>
      </c>
      <c r="G7659">
        <f t="shared" ca="1" si="204"/>
        <v>-6.0093488205163852E-3</v>
      </c>
    </row>
    <row r="7660" spans="6:7" x14ac:dyDescent="0.35">
      <c r="F7660">
        <v>7657</v>
      </c>
      <c r="G7660">
        <f t="shared" ca="1" si="204"/>
        <v>2.9892280973037696E-2</v>
      </c>
    </row>
    <row r="7661" spans="6:7" x14ac:dyDescent="0.35">
      <c r="F7661">
        <v>7658</v>
      </c>
      <c r="G7661">
        <f t="shared" ca="1" si="204"/>
        <v>3.7316442644818031E-2</v>
      </c>
    </row>
    <row r="7662" spans="6:7" x14ac:dyDescent="0.35">
      <c r="F7662">
        <v>7659</v>
      </c>
      <c r="G7662">
        <f t="shared" ca="1" si="204"/>
        <v>1.6029235613287968E-2</v>
      </c>
    </row>
    <row r="7663" spans="6:7" x14ac:dyDescent="0.35">
      <c r="F7663">
        <v>7660</v>
      </c>
      <c r="G7663">
        <f t="shared" ca="1" si="204"/>
        <v>-2.328023699868971E-2</v>
      </c>
    </row>
    <row r="7664" spans="6:7" x14ac:dyDescent="0.35">
      <c r="F7664">
        <v>7661</v>
      </c>
      <c r="G7664">
        <f t="shared" ca="1" si="204"/>
        <v>-1.121029314702305E-2</v>
      </c>
    </row>
    <row r="7665" spans="6:7" x14ac:dyDescent="0.35">
      <c r="F7665">
        <v>7662</v>
      </c>
      <c r="G7665">
        <f t="shared" ca="1" si="204"/>
        <v>-1.6271609921277439E-2</v>
      </c>
    </row>
    <row r="7666" spans="6:7" x14ac:dyDescent="0.35">
      <c r="F7666">
        <v>7663</v>
      </c>
      <c r="G7666">
        <f t="shared" ca="1" si="204"/>
        <v>-7.0616655724769165E-3</v>
      </c>
    </row>
    <row r="7667" spans="6:7" x14ac:dyDescent="0.35">
      <c r="F7667">
        <v>7664</v>
      </c>
      <c r="G7667">
        <f t="shared" ca="1" si="204"/>
        <v>-1.1744051071000962E-2</v>
      </c>
    </row>
    <row r="7668" spans="6:7" x14ac:dyDescent="0.35">
      <c r="F7668">
        <v>7665</v>
      </c>
      <c r="G7668">
        <f t="shared" ca="1" si="204"/>
        <v>-2.9394997948332797E-2</v>
      </c>
    </row>
    <row r="7669" spans="6:7" x14ac:dyDescent="0.35">
      <c r="F7669">
        <v>7666</v>
      </c>
      <c r="G7669">
        <f t="shared" ca="1" si="204"/>
        <v>1.2688920169439719E-2</v>
      </c>
    </row>
    <row r="7670" spans="6:7" x14ac:dyDescent="0.35">
      <c r="F7670">
        <v>7667</v>
      </c>
      <c r="G7670">
        <f t="shared" ca="1" si="204"/>
        <v>3.5800967312725113E-2</v>
      </c>
    </row>
    <row r="7671" spans="6:7" x14ac:dyDescent="0.35">
      <c r="F7671">
        <v>7668</v>
      </c>
      <c r="G7671">
        <f t="shared" ca="1" si="204"/>
        <v>1.0683160809086972E-2</v>
      </c>
    </row>
    <row r="7672" spans="6:7" x14ac:dyDescent="0.35">
      <c r="F7672">
        <v>7669</v>
      </c>
      <c r="G7672">
        <f t="shared" ca="1" si="204"/>
        <v>-1.6391779856085035E-2</v>
      </c>
    </row>
    <row r="7673" spans="6:7" x14ac:dyDescent="0.35">
      <c r="F7673">
        <v>7670</v>
      </c>
      <c r="G7673">
        <f t="shared" ca="1" si="204"/>
        <v>-1.3594530817814596E-2</v>
      </c>
    </row>
    <row r="7674" spans="6:7" x14ac:dyDescent="0.35">
      <c r="F7674">
        <v>7671</v>
      </c>
      <c r="G7674">
        <f t="shared" ca="1" si="204"/>
        <v>1.57713724056683E-2</v>
      </c>
    </row>
    <row r="7675" spans="6:7" x14ac:dyDescent="0.35">
      <c r="F7675">
        <v>7672</v>
      </c>
      <c r="G7675">
        <f t="shared" ca="1" si="204"/>
        <v>2.125999582173653E-2</v>
      </c>
    </row>
    <row r="7676" spans="6:7" x14ac:dyDescent="0.35">
      <c r="F7676">
        <v>7673</v>
      </c>
      <c r="G7676">
        <f t="shared" ca="1" si="204"/>
        <v>-7.5684743971491691E-2</v>
      </c>
    </row>
    <row r="7677" spans="6:7" x14ac:dyDescent="0.35">
      <c r="F7677">
        <v>7674</v>
      </c>
      <c r="G7677">
        <f t="shared" ca="1" si="204"/>
        <v>1.2082894069074479E-2</v>
      </c>
    </row>
    <row r="7678" spans="6:7" x14ac:dyDescent="0.35">
      <c r="F7678">
        <v>7675</v>
      </c>
      <c r="G7678">
        <f t="shared" ca="1" si="204"/>
        <v>-3.8805133604968352E-2</v>
      </c>
    </row>
    <row r="7679" spans="6:7" x14ac:dyDescent="0.35">
      <c r="F7679">
        <v>7676</v>
      </c>
      <c r="G7679">
        <f t="shared" ca="1" si="204"/>
        <v>-1.9680470513755863E-2</v>
      </c>
    </row>
    <row r="7680" spans="6:7" x14ac:dyDescent="0.35">
      <c r="F7680">
        <v>7677</v>
      </c>
      <c r="G7680">
        <f t="shared" ca="1" si="204"/>
        <v>3.6884759498939158E-4</v>
      </c>
    </row>
    <row r="7681" spans="6:7" x14ac:dyDescent="0.35">
      <c r="F7681">
        <v>7678</v>
      </c>
      <c r="G7681">
        <f t="shared" ca="1" si="204"/>
        <v>1.3581419055282293E-2</v>
      </c>
    </row>
    <row r="7682" spans="6:7" x14ac:dyDescent="0.35">
      <c r="F7682">
        <v>7679</v>
      </c>
      <c r="G7682">
        <f t="shared" ca="1" si="204"/>
        <v>-6.1209104903062004E-3</v>
      </c>
    </row>
    <row r="7683" spans="6:7" x14ac:dyDescent="0.35">
      <c r="F7683">
        <v>7680</v>
      </c>
      <c r="G7683">
        <f t="shared" ca="1" si="204"/>
        <v>-7.0654579619980774E-3</v>
      </c>
    </row>
    <row r="7684" spans="6:7" x14ac:dyDescent="0.35">
      <c r="F7684">
        <v>7681</v>
      </c>
      <c r="G7684">
        <f t="shared" ca="1" si="204"/>
        <v>1.2082088141310751E-2</v>
      </c>
    </row>
    <row r="7685" spans="6:7" x14ac:dyDescent="0.35">
      <c r="F7685">
        <v>7682</v>
      </c>
      <c r="G7685">
        <f t="shared" ref="G7685:G7748" ca="1" si="205">_xlfn.NORM.INV(RAND(),K$6,K$7)</f>
        <v>-6.053794137334072E-4</v>
      </c>
    </row>
    <row r="7686" spans="6:7" x14ac:dyDescent="0.35">
      <c r="F7686">
        <v>7683</v>
      </c>
      <c r="G7686">
        <f t="shared" ca="1" si="205"/>
        <v>4.1305595582535309E-3</v>
      </c>
    </row>
    <row r="7687" spans="6:7" x14ac:dyDescent="0.35">
      <c r="F7687">
        <v>7684</v>
      </c>
      <c r="G7687">
        <f t="shared" ca="1" si="205"/>
        <v>-2.062169459425774E-2</v>
      </c>
    </row>
    <row r="7688" spans="6:7" x14ac:dyDescent="0.35">
      <c r="F7688">
        <v>7685</v>
      </c>
      <c r="G7688">
        <f t="shared" ca="1" si="205"/>
        <v>-1.5335746758009795E-2</v>
      </c>
    </row>
    <row r="7689" spans="6:7" x14ac:dyDescent="0.35">
      <c r="F7689">
        <v>7686</v>
      </c>
      <c r="G7689">
        <f t="shared" ca="1" si="205"/>
        <v>-1.3612272414574706E-2</v>
      </c>
    </row>
    <row r="7690" spans="6:7" x14ac:dyDescent="0.35">
      <c r="F7690">
        <v>7687</v>
      </c>
      <c r="G7690">
        <f t="shared" ca="1" si="205"/>
        <v>1.0662708690763224E-2</v>
      </c>
    </row>
    <row r="7691" spans="6:7" x14ac:dyDescent="0.35">
      <c r="F7691">
        <v>7688</v>
      </c>
      <c r="G7691">
        <f t="shared" ca="1" si="205"/>
        <v>3.5352157648835467E-2</v>
      </c>
    </row>
    <row r="7692" spans="6:7" x14ac:dyDescent="0.35">
      <c r="F7692">
        <v>7689</v>
      </c>
      <c r="G7692">
        <f t="shared" ca="1" si="205"/>
        <v>-4.7807175214273002E-2</v>
      </c>
    </row>
    <row r="7693" spans="6:7" x14ac:dyDescent="0.35">
      <c r="F7693">
        <v>7690</v>
      </c>
      <c r="G7693">
        <f t="shared" ca="1" si="205"/>
        <v>2.5386153994069852E-2</v>
      </c>
    </row>
    <row r="7694" spans="6:7" x14ac:dyDescent="0.35">
      <c r="F7694">
        <v>7691</v>
      </c>
      <c r="G7694">
        <f t="shared" ca="1" si="205"/>
        <v>1.6479724606275586E-2</v>
      </c>
    </row>
    <row r="7695" spans="6:7" x14ac:dyDescent="0.35">
      <c r="F7695">
        <v>7692</v>
      </c>
      <c r="G7695">
        <f t="shared" ca="1" si="205"/>
        <v>-2.1882142067066429E-2</v>
      </c>
    </row>
    <row r="7696" spans="6:7" x14ac:dyDescent="0.35">
      <c r="F7696">
        <v>7693</v>
      </c>
      <c r="G7696">
        <f t="shared" ca="1" si="205"/>
        <v>2.1161186839121111E-2</v>
      </c>
    </row>
    <row r="7697" spans="6:7" x14ac:dyDescent="0.35">
      <c r="F7697">
        <v>7694</v>
      </c>
      <c r="G7697">
        <f t="shared" ca="1" si="205"/>
        <v>4.6713150986016118E-3</v>
      </c>
    </row>
    <row r="7698" spans="6:7" x14ac:dyDescent="0.35">
      <c r="F7698">
        <v>7695</v>
      </c>
      <c r="G7698">
        <f t="shared" ca="1" si="205"/>
        <v>1.7248830204339437E-2</v>
      </c>
    </row>
    <row r="7699" spans="6:7" x14ac:dyDescent="0.35">
      <c r="F7699">
        <v>7696</v>
      </c>
      <c r="G7699">
        <f t="shared" ca="1" si="205"/>
        <v>2.4827640164004971E-2</v>
      </c>
    </row>
    <row r="7700" spans="6:7" x14ac:dyDescent="0.35">
      <c r="F7700">
        <v>7697</v>
      </c>
      <c r="G7700">
        <f t="shared" ca="1" si="205"/>
        <v>-4.0259344707278925E-2</v>
      </c>
    </row>
    <row r="7701" spans="6:7" x14ac:dyDescent="0.35">
      <c r="F7701">
        <v>7698</v>
      </c>
      <c r="G7701">
        <f t="shared" ca="1" si="205"/>
        <v>-2.6226541136067948E-2</v>
      </c>
    </row>
    <row r="7702" spans="6:7" x14ac:dyDescent="0.35">
      <c r="F7702">
        <v>7699</v>
      </c>
      <c r="G7702">
        <f t="shared" ca="1" si="205"/>
        <v>-4.9052113117619214E-2</v>
      </c>
    </row>
    <row r="7703" spans="6:7" x14ac:dyDescent="0.35">
      <c r="F7703">
        <v>7700</v>
      </c>
      <c r="G7703">
        <f t="shared" ca="1" si="205"/>
        <v>1.9781676615286767E-2</v>
      </c>
    </row>
    <row r="7704" spans="6:7" x14ac:dyDescent="0.35">
      <c r="F7704">
        <v>7701</v>
      </c>
      <c r="G7704">
        <f t="shared" ca="1" si="205"/>
        <v>-1.1153041573620712E-3</v>
      </c>
    </row>
    <row r="7705" spans="6:7" x14ac:dyDescent="0.35">
      <c r="F7705">
        <v>7702</v>
      </c>
      <c r="G7705">
        <f t="shared" ca="1" si="205"/>
        <v>1.8070763117684439E-2</v>
      </c>
    </row>
    <row r="7706" spans="6:7" x14ac:dyDescent="0.35">
      <c r="F7706">
        <v>7703</v>
      </c>
      <c r="G7706">
        <f t="shared" ca="1" si="205"/>
        <v>3.8213804991430698E-2</v>
      </c>
    </row>
    <row r="7707" spans="6:7" x14ac:dyDescent="0.35">
      <c r="F7707">
        <v>7704</v>
      </c>
      <c r="G7707">
        <f t="shared" ca="1" si="205"/>
        <v>4.460316025954756E-2</v>
      </c>
    </row>
    <row r="7708" spans="6:7" x14ac:dyDescent="0.35">
      <c r="F7708">
        <v>7705</v>
      </c>
      <c r="G7708">
        <f t="shared" ca="1" si="205"/>
        <v>5.7200238006962709E-4</v>
      </c>
    </row>
    <row r="7709" spans="6:7" x14ac:dyDescent="0.35">
      <c r="F7709">
        <v>7706</v>
      </c>
      <c r="G7709">
        <f t="shared" ca="1" si="205"/>
        <v>2.0966492053789556E-2</v>
      </c>
    </row>
    <row r="7710" spans="6:7" x14ac:dyDescent="0.35">
      <c r="F7710">
        <v>7707</v>
      </c>
      <c r="G7710">
        <f t="shared" ca="1" si="205"/>
        <v>-2.1776228148394559E-2</v>
      </c>
    </row>
    <row r="7711" spans="6:7" x14ac:dyDescent="0.35">
      <c r="F7711">
        <v>7708</v>
      </c>
      <c r="G7711">
        <f t="shared" ca="1" si="205"/>
        <v>-2.4189210380492238E-2</v>
      </c>
    </row>
    <row r="7712" spans="6:7" x14ac:dyDescent="0.35">
      <c r="F7712">
        <v>7709</v>
      </c>
      <c r="G7712">
        <f t="shared" ca="1" si="205"/>
        <v>3.6349019657074086E-2</v>
      </c>
    </row>
    <row r="7713" spans="6:7" x14ac:dyDescent="0.35">
      <c r="F7713">
        <v>7710</v>
      </c>
      <c r="G7713">
        <f t="shared" ca="1" si="205"/>
        <v>-1.864900082990743E-2</v>
      </c>
    </row>
    <row r="7714" spans="6:7" x14ac:dyDescent="0.35">
      <c r="F7714">
        <v>7711</v>
      </c>
      <c r="G7714">
        <f t="shared" ca="1" si="205"/>
        <v>2.019432731088034E-2</v>
      </c>
    </row>
    <row r="7715" spans="6:7" x14ac:dyDescent="0.35">
      <c r="F7715">
        <v>7712</v>
      </c>
      <c r="G7715">
        <f t="shared" ca="1" si="205"/>
        <v>-4.8522479297919877E-2</v>
      </c>
    </row>
    <row r="7716" spans="6:7" x14ac:dyDescent="0.35">
      <c r="F7716">
        <v>7713</v>
      </c>
      <c r="G7716">
        <f t="shared" ca="1" si="205"/>
        <v>-6.5678691896744017E-3</v>
      </c>
    </row>
    <row r="7717" spans="6:7" x14ac:dyDescent="0.35">
      <c r="F7717">
        <v>7714</v>
      </c>
      <c r="G7717">
        <f t="shared" ca="1" si="205"/>
        <v>1.9102254366670388E-2</v>
      </c>
    </row>
    <row r="7718" spans="6:7" x14ac:dyDescent="0.35">
      <c r="F7718">
        <v>7715</v>
      </c>
      <c r="G7718">
        <f t="shared" ca="1" si="205"/>
        <v>-1.7015054053347169E-2</v>
      </c>
    </row>
    <row r="7719" spans="6:7" x14ac:dyDescent="0.35">
      <c r="F7719">
        <v>7716</v>
      </c>
      <c r="G7719">
        <f t="shared" ca="1" si="205"/>
        <v>-1.3630244532395875E-2</v>
      </c>
    </row>
    <row r="7720" spans="6:7" x14ac:dyDescent="0.35">
      <c r="F7720">
        <v>7717</v>
      </c>
      <c r="G7720">
        <f t="shared" ca="1" si="205"/>
        <v>2.6118936742652352E-2</v>
      </c>
    </row>
    <row r="7721" spans="6:7" x14ac:dyDescent="0.35">
      <c r="F7721">
        <v>7718</v>
      </c>
      <c r="G7721">
        <f t="shared" ca="1" si="205"/>
        <v>-1.9426668845278942E-2</v>
      </c>
    </row>
    <row r="7722" spans="6:7" x14ac:dyDescent="0.35">
      <c r="F7722">
        <v>7719</v>
      </c>
      <c r="G7722">
        <f t="shared" ca="1" si="205"/>
        <v>2.1124336150752134E-3</v>
      </c>
    </row>
    <row r="7723" spans="6:7" x14ac:dyDescent="0.35">
      <c r="F7723">
        <v>7720</v>
      </c>
      <c r="G7723">
        <f t="shared" ca="1" si="205"/>
        <v>-1.8741701841016818E-2</v>
      </c>
    </row>
    <row r="7724" spans="6:7" x14ac:dyDescent="0.35">
      <c r="F7724">
        <v>7721</v>
      </c>
      <c r="G7724">
        <f t="shared" ca="1" si="205"/>
        <v>-6.5874047763098374E-3</v>
      </c>
    </row>
    <row r="7725" spans="6:7" x14ac:dyDescent="0.35">
      <c r="F7725">
        <v>7722</v>
      </c>
      <c r="G7725">
        <f t="shared" ca="1" si="205"/>
        <v>-1.4650586566276939E-2</v>
      </c>
    </row>
    <row r="7726" spans="6:7" x14ac:dyDescent="0.35">
      <c r="F7726">
        <v>7723</v>
      </c>
      <c r="G7726">
        <f t="shared" ca="1" si="205"/>
        <v>7.3302810373684815E-2</v>
      </c>
    </row>
    <row r="7727" spans="6:7" x14ac:dyDescent="0.35">
      <c r="F7727">
        <v>7724</v>
      </c>
      <c r="G7727">
        <f t="shared" ca="1" si="205"/>
        <v>1.8760192784464402E-2</v>
      </c>
    </row>
    <row r="7728" spans="6:7" x14ac:dyDescent="0.35">
      <c r="F7728">
        <v>7725</v>
      </c>
      <c r="G7728">
        <f t="shared" ca="1" si="205"/>
        <v>-2.8027935445358127E-3</v>
      </c>
    </row>
    <row r="7729" spans="6:7" x14ac:dyDescent="0.35">
      <c r="F7729">
        <v>7726</v>
      </c>
      <c r="G7729">
        <f t="shared" ca="1" si="205"/>
        <v>-3.5726779618185309E-2</v>
      </c>
    </row>
    <row r="7730" spans="6:7" x14ac:dyDescent="0.35">
      <c r="F7730">
        <v>7727</v>
      </c>
      <c r="G7730">
        <f t="shared" ca="1" si="205"/>
        <v>3.9010734572616376E-2</v>
      </c>
    </row>
    <row r="7731" spans="6:7" x14ac:dyDescent="0.35">
      <c r="F7731">
        <v>7728</v>
      </c>
      <c r="G7731">
        <f t="shared" ca="1" si="205"/>
        <v>3.2483437125776025E-2</v>
      </c>
    </row>
    <row r="7732" spans="6:7" x14ac:dyDescent="0.35">
      <c r="F7732">
        <v>7729</v>
      </c>
      <c r="G7732">
        <f t="shared" ca="1" si="205"/>
        <v>2.1821815372865733E-2</v>
      </c>
    </row>
    <row r="7733" spans="6:7" x14ac:dyDescent="0.35">
      <c r="F7733">
        <v>7730</v>
      </c>
      <c r="G7733">
        <f t="shared" ca="1" si="205"/>
        <v>2.138437469049451E-2</v>
      </c>
    </row>
    <row r="7734" spans="6:7" x14ac:dyDescent="0.35">
      <c r="F7734">
        <v>7731</v>
      </c>
      <c r="G7734">
        <f t="shared" ca="1" si="205"/>
        <v>3.3040417332467729E-2</v>
      </c>
    </row>
    <row r="7735" spans="6:7" x14ac:dyDescent="0.35">
      <c r="F7735">
        <v>7732</v>
      </c>
      <c r="G7735">
        <f t="shared" ca="1" si="205"/>
        <v>-4.0506461579634348E-2</v>
      </c>
    </row>
    <row r="7736" spans="6:7" x14ac:dyDescent="0.35">
      <c r="F7736">
        <v>7733</v>
      </c>
      <c r="G7736">
        <f t="shared" ca="1" si="205"/>
        <v>-4.0351560862333588E-2</v>
      </c>
    </row>
    <row r="7737" spans="6:7" x14ac:dyDescent="0.35">
      <c r="F7737">
        <v>7734</v>
      </c>
      <c r="G7737">
        <f t="shared" ca="1" si="205"/>
        <v>2.6740682179327215E-2</v>
      </c>
    </row>
    <row r="7738" spans="6:7" x14ac:dyDescent="0.35">
      <c r="F7738">
        <v>7735</v>
      </c>
      <c r="G7738">
        <f t="shared" ca="1" si="205"/>
        <v>-4.4242668542256856E-2</v>
      </c>
    </row>
    <row r="7739" spans="6:7" x14ac:dyDescent="0.35">
      <c r="F7739">
        <v>7736</v>
      </c>
      <c r="G7739">
        <f t="shared" ca="1" si="205"/>
        <v>-1.9077620413994044E-2</v>
      </c>
    </row>
    <row r="7740" spans="6:7" x14ac:dyDescent="0.35">
      <c r="F7740">
        <v>7737</v>
      </c>
      <c r="G7740">
        <f t="shared" ca="1" si="205"/>
        <v>-2.56291167067948E-2</v>
      </c>
    </row>
    <row r="7741" spans="6:7" x14ac:dyDescent="0.35">
      <c r="F7741">
        <v>7738</v>
      </c>
      <c r="G7741">
        <f t="shared" ca="1" si="205"/>
        <v>5.398833040823438E-3</v>
      </c>
    </row>
    <row r="7742" spans="6:7" x14ac:dyDescent="0.35">
      <c r="F7742">
        <v>7739</v>
      </c>
      <c r="G7742">
        <f t="shared" ca="1" si="205"/>
        <v>1.2386688554234053E-2</v>
      </c>
    </row>
    <row r="7743" spans="6:7" x14ac:dyDescent="0.35">
      <c r="F7743">
        <v>7740</v>
      </c>
      <c r="G7743">
        <f t="shared" ca="1" si="205"/>
        <v>2.9903010755240215E-2</v>
      </c>
    </row>
    <row r="7744" spans="6:7" x14ac:dyDescent="0.35">
      <c r="F7744">
        <v>7741</v>
      </c>
      <c r="G7744">
        <f t="shared" ca="1" si="205"/>
        <v>-9.6308711087040571E-3</v>
      </c>
    </row>
    <row r="7745" spans="6:7" x14ac:dyDescent="0.35">
      <c r="F7745">
        <v>7742</v>
      </c>
      <c r="G7745">
        <f t="shared" ca="1" si="205"/>
        <v>-7.0705562913844708E-3</v>
      </c>
    </row>
    <row r="7746" spans="6:7" x14ac:dyDescent="0.35">
      <c r="F7746">
        <v>7743</v>
      </c>
      <c r="G7746">
        <f t="shared" ca="1" si="205"/>
        <v>3.6318111693486567E-2</v>
      </c>
    </row>
    <row r="7747" spans="6:7" x14ac:dyDescent="0.35">
      <c r="F7747">
        <v>7744</v>
      </c>
      <c r="G7747">
        <f t="shared" ca="1" si="205"/>
        <v>-2.079124123597027E-2</v>
      </c>
    </row>
    <row r="7748" spans="6:7" x14ac:dyDescent="0.35">
      <c r="F7748">
        <v>7745</v>
      </c>
      <c r="G7748">
        <f t="shared" ca="1" si="205"/>
        <v>3.4969375701955657E-2</v>
      </c>
    </row>
    <row r="7749" spans="6:7" x14ac:dyDescent="0.35">
      <c r="F7749">
        <v>7746</v>
      </c>
      <c r="G7749">
        <f t="shared" ref="G7749:G7812" ca="1" si="206">_xlfn.NORM.INV(RAND(),K$6,K$7)</f>
        <v>-3.3079271105201759E-3</v>
      </c>
    </row>
    <row r="7750" spans="6:7" x14ac:dyDescent="0.35">
      <c r="F7750">
        <v>7747</v>
      </c>
      <c r="G7750">
        <f t="shared" ca="1" si="206"/>
        <v>7.9907127761435319E-3</v>
      </c>
    </row>
    <row r="7751" spans="6:7" x14ac:dyDescent="0.35">
      <c r="F7751">
        <v>7748</v>
      </c>
      <c r="G7751">
        <f t="shared" ca="1" si="206"/>
        <v>-2.5888560624270796E-3</v>
      </c>
    </row>
    <row r="7752" spans="6:7" x14ac:dyDescent="0.35">
      <c r="F7752">
        <v>7749</v>
      </c>
      <c r="G7752">
        <f t="shared" ca="1" si="206"/>
        <v>1.681454042459846E-2</v>
      </c>
    </row>
    <row r="7753" spans="6:7" x14ac:dyDescent="0.35">
      <c r="F7753">
        <v>7750</v>
      </c>
      <c r="G7753">
        <f t="shared" ca="1" si="206"/>
        <v>3.4383772396686232E-2</v>
      </c>
    </row>
    <row r="7754" spans="6:7" x14ac:dyDescent="0.35">
      <c r="F7754">
        <v>7751</v>
      </c>
      <c r="G7754">
        <f t="shared" ca="1" si="206"/>
        <v>-1.6328191467009107E-2</v>
      </c>
    </row>
    <row r="7755" spans="6:7" x14ac:dyDescent="0.35">
      <c r="F7755">
        <v>7752</v>
      </c>
      <c r="G7755">
        <f t="shared" ca="1" si="206"/>
        <v>-1.5404389020457907E-2</v>
      </c>
    </row>
    <row r="7756" spans="6:7" x14ac:dyDescent="0.35">
      <c r="F7756">
        <v>7753</v>
      </c>
      <c r="G7756">
        <f t="shared" ca="1" si="206"/>
        <v>-7.6445288769772489E-5</v>
      </c>
    </row>
    <row r="7757" spans="6:7" x14ac:dyDescent="0.35">
      <c r="F7757">
        <v>7754</v>
      </c>
      <c r="G7757">
        <f t="shared" ca="1" si="206"/>
        <v>6.5343846436095254E-2</v>
      </c>
    </row>
    <row r="7758" spans="6:7" x14ac:dyDescent="0.35">
      <c r="F7758">
        <v>7755</v>
      </c>
      <c r="G7758">
        <f t="shared" ca="1" si="206"/>
        <v>-2.7830798248936386E-3</v>
      </c>
    </row>
    <row r="7759" spans="6:7" x14ac:dyDescent="0.35">
      <c r="F7759">
        <v>7756</v>
      </c>
      <c r="G7759">
        <f t="shared" ca="1" si="206"/>
        <v>-4.5292166315502305E-3</v>
      </c>
    </row>
    <row r="7760" spans="6:7" x14ac:dyDescent="0.35">
      <c r="F7760">
        <v>7757</v>
      </c>
      <c r="G7760">
        <f t="shared" ca="1" si="206"/>
        <v>1.8902488700320168E-2</v>
      </c>
    </row>
    <row r="7761" spans="6:7" x14ac:dyDescent="0.35">
      <c r="F7761">
        <v>7758</v>
      </c>
      <c r="G7761">
        <f t="shared" ca="1" si="206"/>
        <v>-5.7421605974263459E-3</v>
      </c>
    </row>
    <row r="7762" spans="6:7" x14ac:dyDescent="0.35">
      <c r="F7762">
        <v>7759</v>
      </c>
      <c r="G7762">
        <f t="shared" ca="1" si="206"/>
        <v>7.2540311925707868E-2</v>
      </c>
    </row>
    <row r="7763" spans="6:7" x14ac:dyDescent="0.35">
      <c r="F7763">
        <v>7760</v>
      </c>
      <c r="G7763">
        <f t="shared" ca="1" si="206"/>
        <v>5.2598364278982276E-2</v>
      </c>
    </row>
    <row r="7764" spans="6:7" x14ac:dyDescent="0.35">
      <c r="F7764">
        <v>7761</v>
      </c>
      <c r="G7764">
        <f t="shared" ca="1" si="206"/>
        <v>-1.3202492869480444E-2</v>
      </c>
    </row>
    <row r="7765" spans="6:7" x14ac:dyDescent="0.35">
      <c r="F7765">
        <v>7762</v>
      </c>
      <c r="G7765">
        <f t="shared" ca="1" si="206"/>
        <v>1.0489803317635497E-2</v>
      </c>
    </row>
    <row r="7766" spans="6:7" x14ac:dyDescent="0.35">
      <c r="F7766">
        <v>7763</v>
      </c>
      <c r="G7766">
        <f t="shared" ca="1" si="206"/>
        <v>2.630232969754541E-2</v>
      </c>
    </row>
    <row r="7767" spans="6:7" x14ac:dyDescent="0.35">
      <c r="F7767">
        <v>7764</v>
      </c>
      <c r="G7767">
        <f t="shared" ca="1" si="206"/>
        <v>-3.3587018311086229E-2</v>
      </c>
    </row>
    <row r="7768" spans="6:7" x14ac:dyDescent="0.35">
      <c r="F7768">
        <v>7765</v>
      </c>
      <c r="G7768">
        <f t="shared" ca="1" si="206"/>
        <v>-1.4291157049806043E-2</v>
      </c>
    </row>
    <row r="7769" spans="6:7" x14ac:dyDescent="0.35">
      <c r="F7769">
        <v>7766</v>
      </c>
      <c r="G7769">
        <f t="shared" ca="1" si="206"/>
        <v>1.2089954843268065E-2</v>
      </c>
    </row>
    <row r="7770" spans="6:7" x14ac:dyDescent="0.35">
      <c r="F7770">
        <v>7767</v>
      </c>
      <c r="G7770">
        <f t="shared" ca="1" si="206"/>
        <v>1.5469389456002638E-2</v>
      </c>
    </row>
    <row r="7771" spans="6:7" x14ac:dyDescent="0.35">
      <c r="F7771">
        <v>7768</v>
      </c>
      <c r="G7771">
        <f t="shared" ca="1" si="206"/>
        <v>1.9655405438486442E-2</v>
      </c>
    </row>
    <row r="7772" spans="6:7" x14ac:dyDescent="0.35">
      <c r="F7772">
        <v>7769</v>
      </c>
      <c r="G7772">
        <f t="shared" ca="1" si="206"/>
        <v>-2.0792791740624521E-2</v>
      </c>
    </row>
    <row r="7773" spans="6:7" x14ac:dyDescent="0.35">
      <c r="F7773">
        <v>7770</v>
      </c>
      <c r="G7773">
        <f t="shared" ca="1" si="206"/>
        <v>-4.820834365523171E-2</v>
      </c>
    </row>
    <row r="7774" spans="6:7" x14ac:dyDescent="0.35">
      <c r="F7774">
        <v>7771</v>
      </c>
      <c r="G7774">
        <f t="shared" ca="1" si="206"/>
        <v>1.6496180018281865E-2</v>
      </c>
    </row>
    <row r="7775" spans="6:7" x14ac:dyDescent="0.35">
      <c r="F7775">
        <v>7772</v>
      </c>
      <c r="G7775">
        <f t="shared" ca="1" si="206"/>
        <v>2.3308937887082052E-2</v>
      </c>
    </row>
    <row r="7776" spans="6:7" x14ac:dyDescent="0.35">
      <c r="F7776">
        <v>7773</v>
      </c>
      <c r="G7776">
        <f t="shared" ca="1" si="206"/>
        <v>-2.1908875751004697E-2</v>
      </c>
    </row>
    <row r="7777" spans="6:7" x14ac:dyDescent="0.35">
      <c r="F7777">
        <v>7774</v>
      </c>
      <c r="G7777">
        <f t="shared" ca="1" si="206"/>
        <v>3.3115096781536887E-2</v>
      </c>
    </row>
    <row r="7778" spans="6:7" x14ac:dyDescent="0.35">
      <c r="F7778">
        <v>7775</v>
      </c>
      <c r="G7778">
        <f t="shared" ca="1" si="206"/>
        <v>1.5472131296172129E-2</v>
      </c>
    </row>
    <row r="7779" spans="6:7" x14ac:dyDescent="0.35">
      <c r="F7779">
        <v>7776</v>
      </c>
      <c r="G7779">
        <f t="shared" ca="1" si="206"/>
        <v>7.1933043558534992E-4</v>
      </c>
    </row>
    <row r="7780" spans="6:7" x14ac:dyDescent="0.35">
      <c r="F7780">
        <v>7777</v>
      </c>
      <c r="G7780">
        <f t="shared" ca="1" si="206"/>
        <v>-1.3485867203384187E-2</v>
      </c>
    </row>
    <row r="7781" spans="6:7" x14ac:dyDescent="0.35">
      <c r="F7781">
        <v>7778</v>
      </c>
      <c r="G7781">
        <f t="shared" ca="1" si="206"/>
        <v>3.1809265854743918E-3</v>
      </c>
    </row>
    <row r="7782" spans="6:7" x14ac:dyDescent="0.35">
      <c r="F7782">
        <v>7779</v>
      </c>
      <c r="G7782">
        <f t="shared" ca="1" si="206"/>
        <v>3.7001584480408418E-2</v>
      </c>
    </row>
    <row r="7783" spans="6:7" x14ac:dyDescent="0.35">
      <c r="F7783">
        <v>7780</v>
      </c>
      <c r="G7783">
        <f t="shared" ca="1" si="206"/>
        <v>2.8281033924546443E-2</v>
      </c>
    </row>
    <row r="7784" spans="6:7" x14ac:dyDescent="0.35">
      <c r="F7784">
        <v>7781</v>
      </c>
      <c r="G7784">
        <f t="shared" ca="1" si="206"/>
        <v>-3.6722874027990328E-2</v>
      </c>
    </row>
    <row r="7785" spans="6:7" x14ac:dyDescent="0.35">
      <c r="F7785">
        <v>7782</v>
      </c>
      <c r="G7785">
        <f t="shared" ca="1" si="206"/>
        <v>-1.0802402336040948E-2</v>
      </c>
    </row>
    <row r="7786" spans="6:7" x14ac:dyDescent="0.35">
      <c r="F7786">
        <v>7783</v>
      </c>
      <c r="G7786">
        <f t="shared" ca="1" si="206"/>
        <v>3.0492654075617225E-2</v>
      </c>
    </row>
    <row r="7787" spans="6:7" x14ac:dyDescent="0.35">
      <c r="F7787">
        <v>7784</v>
      </c>
      <c r="G7787">
        <f t="shared" ca="1" si="206"/>
        <v>1.5015338534894418E-2</v>
      </c>
    </row>
    <row r="7788" spans="6:7" x14ac:dyDescent="0.35">
      <c r="F7788">
        <v>7785</v>
      </c>
      <c r="G7788">
        <f t="shared" ca="1" si="206"/>
        <v>-2.498477165883118E-2</v>
      </c>
    </row>
    <row r="7789" spans="6:7" x14ac:dyDescent="0.35">
      <c r="F7789">
        <v>7786</v>
      </c>
      <c r="G7789">
        <f t="shared" ca="1" si="206"/>
        <v>-1.1166156073100855E-2</v>
      </c>
    </row>
    <row r="7790" spans="6:7" x14ac:dyDescent="0.35">
      <c r="F7790">
        <v>7787</v>
      </c>
      <c r="G7790">
        <f t="shared" ca="1" si="206"/>
        <v>-1.6224307580817998E-2</v>
      </c>
    </row>
    <row r="7791" spans="6:7" x14ac:dyDescent="0.35">
      <c r="F7791">
        <v>7788</v>
      </c>
      <c r="G7791">
        <f t="shared" ca="1" si="206"/>
        <v>2.3788381723457496E-2</v>
      </c>
    </row>
    <row r="7792" spans="6:7" x14ac:dyDescent="0.35">
      <c r="F7792">
        <v>7789</v>
      </c>
      <c r="G7792">
        <f t="shared" ca="1" si="206"/>
        <v>-6.4655094639937544E-3</v>
      </c>
    </row>
    <row r="7793" spans="6:7" x14ac:dyDescent="0.35">
      <c r="F7793">
        <v>7790</v>
      </c>
      <c r="G7793">
        <f t="shared" ca="1" si="206"/>
        <v>-7.3542797251193101E-2</v>
      </c>
    </row>
    <row r="7794" spans="6:7" x14ac:dyDescent="0.35">
      <c r="F7794">
        <v>7791</v>
      </c>
      <c r="G7794">
        <f t="shared" ca="1" si="206"/>
        <v>1.6988386588886632E-2</v>
      </c>
    </row>
    <row r="7795" spans="6:7" x14ac:dyDescent="0.35">
      <c r="F7795">
        <v>7792</v>
      </c>
      <c r="G7795">
        <f t="shared" ca="1" si="206"/>
        <v>4.877357905039309E-2</v>
      </c>
    </row>
    <row r="7796" spans="6:7" x14ac:dyDescent="0.35">
      <c r="F7796">
        <v>7793</v>
      </c>
      <c r="G7796">
        <f t="shared" ca="1" si="206"/>
        <v>-4.2726660618080864E-2</v>
      </c>
    </row>
    <row r="7797" spans="6:7" x14ac:dyDescent="0.35">
      <c r="F7797">
        <v>7794</v>
      </c>
      <c r="G7797">
        <f t="shared" ca="1" si="206"/>
        <v>1.865275289832027E-2</v>
      </c>
    </row>
    <row r="7798" spans="6:7" x14ac:dyDescent="0.35">
      <c r="F7798">
        <v>7795</v>
      </c>
      <c r="G7798">
        <f t="shared" ca="1" si="206"/>
        <v>5.6724622596586775E-2</v>
      </c>
    </row>
    <row r="7799" spans="6:7" x14ac:dyDescent="0.35">
      <c r="F7799">
        <v>7796</v>
      </c>
      <c r="G7799">
        <f t="shared" ca="1" si="206"/>
        <v>-4.0606336462530611E-2</v>
      </c>
    </row>
    <row r="7800" spans="6:7" x14ac:dyDescent="0.35">
      <c r="F7800">
        <v>7797</v>
      </c>
      <c r="G7800">
        <f t="shared" ca="1" si="206"/>
        <v>-1.7213038001560852E-2</v>
      </c>
    </row>
    <row r="7801" spans="6:7" x14ac:dyDescent="0.35">
      <c r="F7801">
        <v>7798</v>
      </c>
      <c r="G7801">
        <f t="shared" ca="1" si="206"/>
        <v>-2.9315502802436322E-2</v>
      </c>
    </row>
    <row r="7802" spans="6:7" x14ac:dyDescent="0.35">
      <c r="F7802">
        <v>7799</v>
      </c>
      <c r="G7802">
        <f t="shared" ca="1" si="206"/>
        <v>4.1418020405757081E-2</v>
      </c>
    </row>
    <row r="7803" spans="6:7" x14ac:dyDescent="0.35">
      <c r="F7803">
        <v>7800</v>
      </c>
      <c r="G7803">
        <f t="shared" ca="1" si="206"/>
        <v>-2.2768890664171267E-2</v>
      </c>
    </row>
    <row r="7804" spans="6:7" x14ac:dyDescent="0.35">
      <c r="F7804">
        <v>7801</v>
      </c>
      <c r="G7804">
        <f t="shared" ca="1" si="206"/>
        <v>1.4344964679629266E-2</v>
      </c>
    </row>
    <row r="7805" spans="6:7" x14ac:dyDescent="0.35">
      <c r="F7805">
        <v>7802</v>
      </c>
      <c r="G7805">
        <f t="shared" ca="1" si="206"/>
        <v>4.7409988642603117E-2</v>
      </c>
    </row>
    <row r="7806" spans="6:7" x14ac:dyDescent="0.35">
      <c r="F7806">
        <v>7803</v>
      </c>
      <c r="G7806">
        <f t="shared" ca="1" si="206"/>
        <v>2.1095508199083287E-2</v>
      </c>
    </row>
    <row r="7807" spans="6:7" x14ac:dyDescent="0.35">
      <c r="F7807">
        <v>7804</v>
      </c>
      <c r="G7807">
        <f t="shared" ca="1" si="206"/>
        <v>4.1596962923105954E-2</v>
      </c>
    </row>
    <row r="7808" spans="6:7" x14ac:dyDescent="0.35">
      <c r="F7808">
        <v>7805</v>
      </c>
      <c r="G7808">
        <f t="shared" ca="1" si="206"/>
        <v>3.9005279177608864E-3</v>
      </c>
    </row>
    <row r="7809" spans="6:7" x14ac:dyDescent="0.35">
      <c r="F7809">
        <v>7806</v>
      </c>
      <c r="G7809">
        <f t="shared" ca="1" si="206"/>
        <v>3.2657577655424125E-2</v>
      </c>
    </row>
    <row r="7810" spans="6:7" x14ac:dyDescent="0.35">
      <c r="F7810">
        <v>7807</v>
      </c>
      <c r="G7810">
        <f t="shared" ca="1" si="206"/>
        <v>-1.8575433603461738E-2</v>
      </c>
    </row>
    <row r="7811" spans="6:7" x14ac:dyDescent="0.35">
      <c r="F7811">
        <v>7808</v>
      </c>
      <c r="G7811">
        <f t="shared" ca="1" si="206"/>
        <v>2.826374676373853E-2</v>
      </c>
    </row>
    <row r="7812" spans="6:7" x14ac:dyDescent="0.35">
      <c r="F7812">
        <v>7809</v>
      </c>
      <c r="G7812">
        <f t="shared" ca="1" si="206"/>
        <v>1.4795612654237759E-2</v>
      </c>
    </row>
    <row r="7813" spans="6:7" x14ac:dyDescent="0.35">
      <c r="F7813">
        <v>7810</v>
      </c>
      <c r="G7813">
        <f t="shared" ref="G7813:G7876" ca="1" si="207">_xlfn.NORM.INV(RAND(),K$6,K$7)</f>
        <v>-3.0299126110286744E-2</v>
      </c>
    </row>
    <row r="7814" spans="6:7" x14ac:dyDescent="0.35">
      <c r="F7814">
        <v>7811</v>
      </c>
      <c r="G7814">
        <f t="shared" ca="1" si="207"/>
        <v>-4.5686462527301262E-2</v>
      </c>
    </row>
    <row r="7815" spans="6:7" x14ac:dyDescent="0.35">
      <c r="F7815">
        <v>7812</v>
      </c>
      <c r="G7815">
        <f t="shared" ca="1" si="207"/>
        <v>6.5100787390607231E-3</v>
      </c>
    </row>
    <row r="7816" spans="6:7" x14ac:dyDescent="0.35">
      <c r="F7816">
        <v>7813</v>
      </c>
      <c r="G7816">
        <f t="shared" ca="1" si="207"/>
        <v>8.8556224669890451E-3</v>
      </c>
    </row>
    <row r="7817" spans="6:7" x14ac:dyDescent="0.35">
      <c r="F7817">
        <v>7814</v>
      </c>
      <c r="G7817">
        <f t="shared" ca="1" si="207"/>
        <v>3.5804467377420603E-3</v>
      </c>
    </row>
    <row r="7818" spans="6:7" x14ac:dyDescent="0.35">
      <c r="F7818">
        <v>7815</v>
      </c>
      <c r="G7818">
        <f t="shared" ca="1" si="207"/>
        <v>1.9210750963974649E-2</v>
      </c>
    </row>
    <row r="7819" spans="6:7" x14ac:dyDescent="0.35">
      <c r="F7819">
        <v>7816</v>
      </c>
      <c r="G7819">
        <f t="shared" ca="1" si="207"/>
        <v>5.513063980791838E-2</v>
      </c>
    </row>
    <row r="7820" spans="6:7" x14ac:dyDescent="0.35">
      <c r="F7820">
        <v>7817</v>
      </c>
      <c r="G7820">
        <f t="shared" ca="1" si="207"/>
        <v>-1.829427415138728E-2</v>
      </c>
    </row>
    <row r="7821" spans="6:7" x14ac:dyDescent="0.35">
      <c r="F7821">
        <v>7818</v>
      </c>
      <c r="G7821">
        <f t="shared" ca="1" si="207"/>
        <v>7.5282038918811685E-3</v>
      </c>
    </row>
    <row r="7822" spans="6:7" x14ac:dyDescent="0.35">
      <c r="F7822">
        <v>7819</v>
      </c>
      <c r="G7822">
        <f t="shared" ca="1" si="207"/>
        <v>-1.9438195809035941E-2</v>
      </c>
    </row>
    <row r="7823" spans="6:7" x14ac:dyDescent="0.35">
      <c r="F7823">
        <v>7820</v>
      </c>
      <c r="G7823">
        <f t="shared" ca="1" si="207"/>
        <v>-4.284350500272021E-2</v>
      </c>
    </row>
    <row r="7824" spans="6:7" x14ac:dyDescent="0.35">
      <c r="F7824">
        <v>7821</v>
      </c>
      <c r="G7824">
        <f t="shared" ca="1" si="207"/>
        <v>-1.883010411853529E-2</v>
      </c>
    </row>
    <row r="7825" spans="6:7" x14ac:dyDescent="0.35">
      <c r="F7825">
        <v>7822</v>
      </c>
      <c r="G7825">
        <f t="shared" ca="1" si="207"/>
        <v>-1.8486982037719122E-2</v>
      </c>
    </row>
    <row r="7826" spans="6:7" x14ac:dyDescent="0.35">
      <c r="F7826">
        <v>7823</v>
      </c>
      <c r="G7826">
        <f t="shared" ca="1" si="207"/>
        <v>-5.756937029779214E-3</v>
      </c>
    </row>
    <row r="7827" spans="6:7" x14ac:dyDescent="0.35">
      <c r="F7827">
        <v>7824</v>
      </c>
      <c r="G7827">
        <f t="shared" ca="1" si="207"/>
        <v>2.1680854171115808E-2</v>
      </c>
    </row>
    <row r="7828" spans="6:7" x14ac:dyDescent="0.35">
      <c r="F7828">
        <v>7825</v>
      </c>
      <c r="G7828">
        <f t="shared" ca="1" si="207"/>
        <v>1.9883775468286648E-2</v>
      </c>
    </row>
    <row r="7829" spans="6:7" x14ac:dyDescent="0.35">
      <c r="F7829">
        <v>7826</v>
      </c>
      <c r="G7829">
        <f t="shared" ca="1" si="207"/>
        <v>-1.0927682928160503E-2</v>
      </c>
    </row>
    <row r="7830" spans="6:7" x14ac:dyDescent="0.35">
      <c r="F7830">
        <v>7827</v>
      </c>
      <c r="G7830">
        <f t="shared" ca="1" si="207"/>
        <v>1.3643357499904371E-2</v>
      </c>
    </row>
    <row r="7831" spans="6:7" x14ac:dyDescent="0.35">
      <c r="F7831">
        <v>7828</v>
      </c>
      <c r="G7831">
        <f t="shared" ca="1" si="207"/>
        <v>-7.8527332740644523E-3</v>
      </c>
    </row>
    <row r="7832" spans="6:7" x14ac:dyDescent="0.35">
      <c r="F7832">
        <v>7829</v>
      </c>
      <c r="G7832">
        <f t="shared" ca="1" si="207"/>
        <v>2.8402226951340582E-2</v>
      </c>
    </row>
    <row r="7833" spans="6:7" x14ac:dyDescent="0.35">
      <c r="F7833">
        <v>7830</v>
      </c>
      <c r="G7833">
        <f t="shared" ca="1" si="207"/>
        <v>-1.6568681288432079E-2</v>
      </c>
    </row>
    <row r="7834" spans="6:7" x14ac:dyDescent="0.35">
      <c r="F7834">
        <v>7831</v>
      </c>
      <c r="G7834">
        <f t="shared" ca="1" si="207"/>
        <v>-3.6116068545889946E-2</v>
      </c>
    </row>
    <row r="7835" spans="6:7" x14ac:dyDescent="0.35">
      <c r="F7835">
        <v>7832</v>
      </c>
      <c r="G7835">
        <f t="shared" ca="1" si="207"/>
        <v>-3.6266329446933889E-3</v>
      </c>
    </row>
    <row r="7836" spans="6:7" x14ac:dyDescent="0.35">
      <c r="F7836">
        <v>7833</v>
      </c>
      <c r="G7836">
        <f t="shared" ca="1" si="207"/>
        <v>1.7254375554320429E-2</v>
      </c>
    </row>
    <row r="7837" spans="6:7" x14ac:dyDescent="0.35">
      <c r="F7837">
        <v>7834</v>
      </c>
      <c r="G7837">
        <f t="shared" ca="1" si="207"/>
        <v>9.6190891931156668E-4</v>
      </c>
    </row>
    <row r="7838" spans="6:7" x14ac:dyDescent="0.35">
      <c r="F7838">
        <v>7835</v>
      </c>
      <c r="G7838">
        <f t="shared" ca="1" si="207"/>
        <v>9.4050923387913946E-3</v>
      </c>
    </row>
    <row r="7839" spans="6:7" x14ac:dyDescent="0.35">
      <c r="F7839">
        <v>7836</v>
      </c>
      <c r="G7839">
        <f t="shared" ca="1" si="207"/>
        <v>-2.8267970812715759E-2</v>
      </c>
    </row>
    <row r="7840" spans="6:7" x14ac:dyDescent="0.35">
      <c r="F7840">
        <v>7837</v>
      </c>
      <c r="G7840">
        <f t="shared" ca="1" si="207"/>
        <v>1.2105808690970629E-3</v>
      </c>
    </row>
    <row r="7841" spans="6:7" x14ac:dyDescent="0.35">
      <c r="F7841">
        <v>7838</v>
      </c>
      <c r="G7841">
        <f t="shared" ca="1" si="207"/>
        <v>-3.191370753294074E-2</v>
      </c>
    </row>
    <row r="7842" spans="6:7" x14ac:dyDescent="0.35">
      <c r="F7842">
        <v>7839</v>
      </c>
      <c r="G7842">
        <f t="shared" ca="1" si="207"/>
        <v>2.2862152263022417E-2</v>
      </c>
    </row>
    <row r="7843" spans="6:7" x14ac:dyDescent="0.35">
      <c r="F7843">
        <v>7840</v>
      </c>
      <c r="G7843">
        <f t="shared" ca="1" si="207"/>
        <v>-6.1819989270942025E-2</v>
      </c>
    </row>
    <row r="7844" spans="6:7" x14ac:dyDescent="0.35">
      <c r="F7844">
        <v>7841</v>
      </c>
      <c r="G7844">
        <f t="shared" ca="1" si="207"/>
        <v>-8.4590206112000552E-3</v>
      </c>
    </row>
    <row r="7845" spans="6:7" x14ac:dyDescent="0.35">
      <c r="F7845">
        <v>7842</v>
      </c>
      <c r="G7845">
        <f t="shared" ca="1" si="207"/>
        <v>3.3909657660044529E-2</v>
      </c>
    </row>
    <row r="7846" spans="6:7" x14ac:dyDescent="0.35">
      <c r="F7846">
        <v>7843</v>
      </c>
      <c r="G7846">
        <f t="shared" ca="1" si="207"/>
        <v>-5.041889507434287E-2</v>
      </c>
    </row>
    <row r="7847" spans="6:7" x14ac:dyDescent="0.35">
      <c r="F7847">
        <v>7844</v>
      </c>
      <c r="G7847">
        <f t="shared" ca="1" si="207"/>
        <v>-7.2093223758739004E-3</v>
      </c>
    </row>
    <row r="7848" spans="6:7" x14ac:dyDescent="0.35">
      <c r="F7848">
        <v>7845</v>
      </c>
      <c r="G7848">
        <f t="shared" ca="1" si="207"/>
        <v>1.4705969235487355E-2</v>
      </c>
    </row>
    <row r="7849" spans="6:7" x14ac:dyDescent="0.35">
      <c r="F7849">
        <v>7846</v>
      </c>
      <c r="G7849">
        <f t="shared" ca="1" si="207"/>
        <v>1.7121710601411343E-2</v>
      </c>
    </row>
    <row r="7850" spans="6:7" x14ac:dyDescent="0.35">
      <c r="F7850">
        <v>7847</v>
      </c>
      <c r="G7850">
        <f t="shared" ca="1" si="207"/>
        <v>7.216895395642753E-3</v>
      </c>
    </row>
    <row r="7851" spans="6:7" x14ac:dyDescent="0.35">
      <c r="F7851">
        <v>7848</v>
      </c>
      <c r="G7851">
        <f t="shared" ca="1" si="207"/>
        <v>-1.0247406468629075E-2</v>
      </c>
    </row>
    <row r="7852" spans="6:7" x14ac:dyDescent="0.35">
      <c r="F7852">
        <v>7849</v>
      </c>
      <c r="G7852">
        <f t="shared" ca="1" si="207"/>
        <v>1.4063681496313932E-2</v>
      </c>
    </row>
    <row r="7853" spans="6:7" x14ac:dyDescent="0.35">
      <c r="F7853">
        <v>7850</v>
      </c>
      <c r="G7853">
        <f t="shared" ca="1" si="207"/>
        <v>-2.7510522643614414E-2</v>
      </c>
    </row>
    <row r="7854" spans="6:7" x14ac:dyDescent="0.35">
      <c r="F7854">
        <v>7851</v>
      </c>
      <c r="G7854">
        <f t="shared" ca="1" si="207"/>
        <v>1.0116507972246678E-2</v>
      </c>
    </row>
    <row r="7855" spans="6:7" x14ac:dyDescent="0.35">
      <c r="F7855">
        <v>7852</v>
      </c>
      <c r="G7855">
        <f t="shared" ca="1" si="207"/>
        <v>6.5322170455729384E-2</v>
      </c>
    </row>
    <row r="7856" spans="6:7" x14ac:dyDescent="0.35">
      <c r="F7856">
        <v>7853</v>
      </c>
      <c r="G7856">
        <f t="shared" ca="1" si="207"/>
        <v>-2.0403381105216077E-2</v>
      </c>
    </row>
    <row r="7857" spans="6:7" x14ac:dyDescent="0.35">
      <c r="F7857">
        <v>7854</v>
      </c>
      <c r="G7857">
        <f t="shared" ca="1" si="207"/>
        <v>4.3627345434591132E-2</v>
      </c>
    </row>
    <row r="7858" spans="6:7" x14ac:dyDescent="0.35">
      <c r="F7858">
        <v>7855</v>
      </c>
      <c r="G7858">
        <f t="shared" ca="1" si="207"/>
        <v>2.09181225241655E-2</v>
      </c>
    </row>
    <row r="7859" spans="6:7" x14ac:dyDescent="0.35">
      <c r="F7859">
        <v>7856</v>
      </c>
      <c r="G7859">
        <f t="shared" ca="1" si="207"/>
        <v>1.7516094191538611E-2</v>
      </c>
    </row>
    <row r="7860" spans="6:7" x14ac:dyDescent="0.35">
      <c r="F7860">
        <v>7857</v>
      </c>
      <c r="G7860">
        <f t="shared" ca="1" si="207"/>
        <v>-6.0630356071242036E-2</v>
      </c>
    </row>
    <row r="7861" spans="6:7" x14ac:dyDescent="0.35">
      <c r="F7861">
        <v>7858</v>
      </c>
      <c r="G7861">
        <f t="shared" ca="1" si="207"/>
        <v>6.2191439378003468E-3</v>
      </c>
    </row>
    <row r="7862" spans="6:7" x14ac:dyDescent="0.35">
      <c r="F7862">
        <v>7859</v>
      </c>
      <c r="G7862">
        <f t="shared" ca="1" si="207"/>
        <v>1.235750973232585E-2</v>
      </c>
    </row>
    <row r="7863" spans="6:7" x14ac:dyDescent="0.35">
      <c r="F7863">
        <v>7860</v>
      </c>
      <c r="G7863">
        <f t="shared" ca="1" si="207"/>
        <v>8.1049089699523805E-2</v>
      </c>
    </row>
    <row r="7864" spans="6:7" x14ac:dyDescent="0.35">
      <c r="F7864">
        <v>7861</v>
      </c>
      <c r="G7864">
        <f t="shared" ca="1" si="207"/>
        <v>2.5048801128444556E-2</v>
      </c>
    </row>
    <row r="7865" spans="6:7" x14ac:dyDescent="0.35">
      <c r="F7865">
        <v>7862</v>
      </c>
      <c r="G7865">
        <f t="shared" ca="1" si="207"/>
        <v>2.0599324115947552E-2</v>
      </c>
    </row>
    <row r="7866" spans="6:7" x14ac:dyDescent="0.35">
      <c r="F7866">
        <v>7863</v>
      </c>
      <c r="G7866">
        <f t="shared" ca="1" si="207"/>
        <v>2.6677878708169112E-2</v>
      </c>
    </row>
    <row r="7867" spans="6:7" x14ac:dyDescent="0.35">
      <c r="F7867">
        <v>7864</v>
      </c>
      <c r="G7867">
        <f t="shared" ca="1" si="207"/>
        <v>-3.3330954066329986E-2</v>
      </c>
    </row>
    <row r="7868" spans="6:7" x14ac:dyDescent="0.35">
      <c r="F7868">
        <v>7865</v>
      </c>
      <c r="G7868">
        <f t="shared" ca="1" si="207"/>
        <v>-4.7024021200477882E-3</v>
      </c>
    </row>
    <row r="7869" spans="6:7" x14ac:dyDescent="0.35">
      <c r="F7869">
        <v>7866</v>
      </c>
      <c r="G7869">
        <f t="shared" ca="1" si="207"/>
        <v>3.7109663951042961E-2</v>
      </c>
    </row>
    <row r="7870" spans="6:7" x14ac:dyDescent="0.35">
      <c r="F7870">
        <v>7867</v>
      </c>
      <c r="G7870">
        <f t="shared" ca="1" si="207"/>
        <v>2.6556819477244902E-2</v>
      </c>
    </row>
    <row r="7871" spans="6:7" x14ac:dyDescent="0.35">
      <c r="F7871">
        <v>7868</v>
      </c>
      <c r="G7871">
        <f t="shared" ca="1" si="207"/>
        <v>-2.2055500302950049E-2</v>
      </c>
    </row>
    <row r="7872" spans="6:7" x14ac:dyDescent="0.35">
      <c r="F7872">
        <v>7869</v>
      </c>
      <c r="G7872">
        <f t="shared" ca="1" si="207"/>
        <v>-7.7804517055541571E-4</v>
      </c>
    </row>
    <row r="7873" spans="6:7" x14ac:dyDescent="0.35">
      <c r="F7873">
        <v>7870</v>
      </c>
      <c r="G7873">
        <f t="shared" ca="1" si="207"/>
        <v>9.8864709006417362E-4</v>
      </c>
    </row>
    <row r="7874" spans="6:7" x14ac:dyDescent="0.35">
      <c r="F7874">
        <v>7871</v>
      </c>
      <c r="G7874">
        <f t="shared" ca="1" si="207"/>
        <v>8.5548054484582432E-3</v>
      </c>
    </row>
    <row r="7875" spans="6:7" x14ac:dyDescent="0.35">
      <c r="F7875">
        <v>7872</v>
      </c>
      <c r="G7875">
        <f t="shared" ca="1" si="207"/>
        <v>-1.0858898880033781E-2</v>
      </c>
    </row>
    <row r="7876" spans="6:7" x14ac:dyDescent="0.35">
      <c r="F7876">
        <v>7873</v>
      </c>
      <c r="G7876">
        <f t="shared" ca="1" si="207"/>
        <v>-6.024247871785187E-2</v>
      </c>
    </row>
    <row r="7877" spans="6:7" x14ac:dyDescent="0.35">
      <c r="F7877">
        <v>7874</v>
      </c>
      <c r="G7877">
        <f t="shared" ref="G7877:G7940" ca="1" si="208">_xlfn.NORM.INV(RAND(),K$6,K$7)</f>
        <v>-3.6352565815718642E-2</v>
      </c>
    </row>
    <row r="7878" spans="6:7" x14ac:dyDescent="0.35">
      <c r="F7878">
        <v>7875</v>
      </c>
      <c r="G7878">
        <f t="shared" ca="1" si="208"/>
        <v>-7.7787951658156093E-3</v>
      </c>
    </row>
    <row r="7879" spans="6:7" x14ac:dyDescent="0.35">
      <c r="F7879">
        <v>7876</v>
      </c>
      <c r="G7879">
        <f t="shared" ca="1" si="208"/>
        <v>-4.6188422166250846E-2</v>
      </c>
    </row>
    <row r="7880" spans="6:7" x14ac:dyDescent="0.35">
      <c r="F7880">
        <v>7877</v>
      </c>
      <c r="G7880">
        <f t="shared" ca="1" si="208"/>
        <v>2.2092143610731283E-2</v>
      </c>
    </row>
    <row r="7881" spans="6:7" x14ac:dyDescent="0.35">
      <c r="F7881">
        <v>7878</v>
      </c>
      <c r="G7881">
        <f t="shared" ca="1" si="208"/>
        <v>-1.807074307846538E-2</v>
      </c>
    </row>
    <row r="7882" spans="6:7" x14ac:dyDescent="0.35">
      <c r="F7882">
        <v>7879</v>
      </c>
      <c r="G7882">
        <f t="shared" ca="1" si="208"/>
        <v>4.1144991164308357E-2</v>
      </c>
    </row>
    <row r="7883" spans="6:7" x14ac:dyDescent="0.35">
      <c r="F7883">
        <v>7880</v>
      </c>
      <c r="G7883">
        <f t="shared" ca="1" si="208"/>
        <v>6.4622645622162663E-3</v>
      </c>
    </row>
    <row r="7884" spans="6:7" x14ac:dyDescent="0.35">
      <c r="F7884">
        <v>7881</v>
      </c>
      <c r="G7884">
        <f t="shared" ca="1" si="208"/>
        <v>2.046195496061607E-2</v>
      </c>
    </row>
    <row r="7885" spans="6:7" x14ac:dyDescent="0.35">
      <c r="F7885">
        <v>7882</v>
      </c>
      <c r="G7885">
        <f t="shared" ca="1" si="208"/>
        <v>-4.5196712206473236E-3</v>
      </c>
    </row>
    <row r="7886" spans="6:7" x14ac:dyDescent="0.35">
      <c r="F7886">
        <v>7883</v>
      </c>
      <c r="G7886">
        <f t="shared" ca="1" si="208"/>
        <v>-2.3945042282377864E-2</v>
      </c>
    </row>
    <row r="7887" spans="6:7" x14ac:dyDescent="0.35">
      <c r="F7887">
        <v>7884</v>
      </c>
      <c r="G7887">
        <f t="shared" ca="1" si="208"/>
        <v>2.8896900873744698E-2</v>
      </c>
    </row>
    <row r="7888" spans="6:7" x14ac:dyDescent="0.35">
      <c r="F7888">
        <v>7885</v>
      </c>
      <c r="G7888">
        <f t="shared" ca="1" si="208"/>
        <v>-2.4875094348092413E-2</v>
      </c>
    </row>
    <row r="7889" spans="6:7" x14ac:dyDescent="0.35">
      <c r="F7889">
        <v>7886</v>
      </c>
      <c r="G7889">
        <f t="shared" ca="1" si="208"/>
        <v>3.3610283394126542E-2</v>
      </c>
    </row>
    <row r="7890" spans="6:7" x14ac:dyDescent="0.35">
      <c r="F7890">
        <v>7887</v>
      </c>
      <c r="G7890">
        <f t="shared" ca="1" si="208"/>
        <v>-6.9238401006074791E-4</v>
      </c>
    </row>
    <row r="7891" spans="6:7" x14ac:dyDescent="0.35">
      <c r="F7891">
        <v>7888</v>
      </c>
      <c r="G7891">
        <f t="shared" ca="1" si="208"/>
        <v>7.2683154724116584E-4</v>
      </c>
    </row>
    <row r="7892" spans="6:7" x14ac:dyDescent="0.35">
      <c r="F7892">
        <v>7889</v>
      </c>
      <c r="G7892">
        <f t="shared" ca="1" si="208"/>
        <v>-5.2522423502873658E-3</v>
      </c>
    </row>
    <row r="7893" spans="6:7" x14ac:dyDescent="0.35">
      <c r="F7893">
        <v>7890</v>
      </c>
      <c r="G7893">
        <f t="shared" ca="1" si="208"/>
        <v>1.0806886137740156E-3</v>
      </c>
    </row>
    <row r="7894" spans="6:7" x14ac:dyDescent="0.35">
      <c r="F7894">
        <v>7891</v>
      </c>
      <c r="G7894">
        <f t="shared" ca="1" si="208"/>
        <v>1.674147798388533E-3</v>
      </c>
    </row>
    <row r="7895" spans="6:7" x14ac:dyDescent="0.35">
      <c r="F7895">
        <v>7892</v>
      </c>
      <c r="G7895">
        <f t="shared" ca="1" si="208"/>
        <v>3.1291446529098661E-2</v>
      </c>
    </row>
    <row r="7896" spans="6:7" x14ac:dyDescent="0.35">
      <c r="F7896">
        <v>7893</v>
      </c>
      <c r="G7896">
        <f t="shared" ca="1" si="208"/>
        <v>6.1429802011457495E-3</v>
      </c>
    </row>
    <row r="7897" spans="6:7" x14ac:dyDescent="0.35">
      <c r="F7897">
        <v>7894</v>
      </c>
      <c r="G7897">
        <f t="shared" ca="1" si="208"/>
        <v>3.843386667770065E-2</v>
      </c>
    </row>
    <row r="7898" spans="6:7" x14ac:dyDescent="0.35">
      <c r="F7898">
        <v>7895</v>
      </c>
      <c r="G7898">
        <f t="shared" ca="1" si="208"/>
        <v>-4.8596398838375292E-2</v>
      </c>
    </row>
    <row r="7899" spans="6:7" x14ac:dyDescent="0.35">
      <c r="F7899">
        <v>7896</v>
      </c>
      <c r="G7899">
        <f t="shared" ca="1" si="208"/>
        <v>-3.2134489098525419E-2</v>
      </c>
    </row>
    <row r="7900" spans="6:7" x14ac:dyDescent="0.35">
      <c r="F7900">
        <v>7897</v>
      </c>
      <c r="G7900">
        <f t="shared" ca="1" si="208"/>
        <v>-1.9787269845615994E-2</v>
      </c>
    </row>
    <row r="7901" spans="6:7" x14ac:dyDescent="0.35">
      <c r="F7901">
        <v>7898</v>
      </c>
      <c r="G7901">
        <f t="shared" ca="1" si="208"/>
        <v>9.6510079510223491E-3</v>
      </c>
    </row>
    <row r="7902" spans="6:7" x14ac:dyDescent="0.35">
      <c r="F7902">
        <v>7899</v>
      </c>
      <c r="G7902">
        <f t="shared" ca="1" si="208"/>
        <v>1.3934813566627062E-2</v>
      </c>
    </row>
    <row r="7903" spans="6:7" x14ac:dyDescent="0.35">
      <c r="F7903">
        <v>7900</v>
      </c>
      <c r="G7903">
        <f t="shared" ca="1" si="208"/>
        <v>7.1557206599651129E-3</v>
      </c>
    </row>
    <row r="7904" spans="6:7" x14ac:dyDescent="0.35">
      <c r="F7904">
        <v>7901</v>
      </c>
      <c r="G7904">
        <f t="shared" ca="1" si="208"/>
        <v>2.7080804170534125E-3</v>
      </c>
    </row>
    <row r="7905" spans="6:7" x14ac:dyDescent="0.35">
      <c r="F7905">
        <v>7902</v>
      </c>
      <c r="G7905">
        <f t="shared" ca="1" si="208"/>
        <v>-6.7935573743644262E-5</v>
      </c>
    </row>
    <row r="7906" spans="6:7" x14ac:dyDescent="0.35">
      <c r="F7906">
        <v>7903</v>
      </c>
      <c r="G7906">
        <f t="shared" ca="1" si="208"/>
        <v>-2.3361203632233551E-2</v>
      </c>
    </row>
    <row r="7907" spans="6:7" x14ac:dyDescent="0.35">
      <c r="F7907">
        <v>7904</v>
      </c>
      <c r="G7907">
        <f t="shared" ca="1" si="208"/>
        <v>3.103493227329451E-3</v>
      </c>
    </row>
    <row r="7908" spans="6:7" x14ac:dyDescent="0.35">
      <c r="F7908">
        <v>7905</v>
      </c>
      <c r="G7908">
        <f t="shared" ca="1" si="208"/>
        <v>2.7530167530077608E-3</v>
      </c>
    </row>
    <row r="7909" spans="6:7" x14ac:dyDescent="0.35">
      <c r="F7909">
        <v>7906</v>
      </c>
      <c r="G7909">
        <f t="shared" ca="1" si="208"/>
        <v>2.1083411874191695E-2</v>
      </c>
    </row>
    <row r="7910" spans="6:7" x14ac:dyDescent="0.35">
      <c r="F7910">
        <v>7907</v>
      </c>
      <c r="G7910">
        <f t="shared" ca="1" si="208"/>
        <v>-5.5449772193036052E-3</v>
      </c>
    </row>
    <row r="7911" spans="6:7" x14ac:dyDescent="0.35">
      <c r="F7911">
        <v>7908</v>
      </c>
      <c r="G7911">
        <f t="shared" ca="1" si="208"/>
        <v>4.1169852341578867E-3</v>
      </c>
    </row>
    <row r="7912" spans="6:7" x14ac:dyDescent="0.35">
      <c r="F7912">
        <v>7909</v>
      </c>
      <c r="G7912">
        <f t="shared" ca="1" si="208"/>
        <v>-5.7897238129317179E-2</v>
      </c>
    </row>
    <row r="7913" spans="6:7" x14ac:dyDescent="0.35">
      <c r="F7913">
        <v>7910</v>
      </c>
      <c r="G7913">
        <f t="shared" ca="1" si="208"/>
        <v>2.4912610330834643E-2</v>
      </c>
    </row>
    <row r="7914" spans="6:7" x14ac:dyDescent="0.35">
      <c r="F7914">
        <v>7911</v>
      </c>
      <c r="G7914">
        <f t="shared" ca="1" si="208"/>
        <v>4.4339981869720409E-3</v>
      </c>
    </row>
    <row r="7915" spans="6:7" x14ac:dyDescent="0.35">
      <c r="F7915">
        <v>7912</v>
      </c>
      <c r="G7915">
        <f t="shared" ca="1" si="208"/>
        <v>3.5819902644961425E-2</v>
      </c>
    </row>
    <row r="7916" spans="6:7" x14ac:dyDescent="0.35">
      <c r="F7916">
        <v>7913</v>
      </c>
      <c r="G7916">
        <f t="shared" ca="1" si="208"/>
        <v>-3.9908397493613808E-2</v>
      </c>
    </row>
    <row r="7917" spans="6:7" x14ac:dyDescent="0.35">
      <c r="F7917">
        <v>7914</v>
      </c>
      <c r="G7917">
        <f t="shared" ca="1" si="208"/>
        <v>-1.870154134555254E-2</v>
      </c>
    </row>
    <row r="7918" spans="6:7" x14ac:dyDescent="0.35">
      <c r="F7918">
        <v>7915</v>
      </c>
      <c r="G7918">
        <f t="shared" ca="1" si="208"/>
        <v>-1.1235711650297842E-2</v>
      </c>
    </row>
    <row r="7919" spans="6:7" x14ac:dyDescent="0.35">
      <c r="F7919">
        <v>7916</v>
      </c>
      <c r="G7919">
        <f t="shared" ca="1" si="208"/>
        <v>1.5411556659588238E-2</v>
      </c>
    </row>
    <row r="7920" spans="6:7" x14ac:dyDescent="0.35">
      <c r="F7920">
        <v>7917</v>
      </c>
      <c r="G7920">
        <f t="shared" ca="1" si="208"/>
        <v>1.1016486108180972E-2</v>
      </c>
    </row>
    <row r="7921" spans="6:7" x14ac:dyDescent="0.35">
      <c r="F7921">
        <v>7918</v>
      </c>
      <c r="G7921">
        <f t="shared" ca="1" si="208"/>
        <v>-1.9448848490067949E-2</v>
      </c>
    </row>
    <row r="7922" spans="6:7" x14ac:dyDescent="0.35">
      <c r="F7922">
        <v>7919</v>
      </c>
      <c r="G7922">
        <f t="shared" ca="1" si="208"/>
        <v>2.8362363512278383E-3</v>
      </c>
    </row>
    <row r="7923" spans="6:7" x14ac:dyDescent="0.35">
      <c r="F7923">
        <v>7920</v>
      </c>
      <c r="G7923">
        <f t="shared" ca="1" si="208"/>
        <v>-9.1440237406450256E-3</v>
      </c>
    </row>
    <row r="7924" spans="6:7" x14ac:dyDescent="0.35">
      <c r="F7924">
        <v>7921</v>
      </c>
      <c r="G7924">
        <f t="shared" ca="1" si="208"/>
        <v>-1.2527673493349724E-2</v>
      </c>
    </row>
    <row r="7925" spans="6:7" x14ac:dyDescent="0.35">
      <c r="F7925">
        <v>7922</v>
      </c>
      <c r="G7925">
        <f t="shared" ca="1" si="208"/>
        <v>-2.820981632101819E-2</v>
      </c>
    </row>
    <row r="7926" spans="6:7" x14ac:dyDescent="0.35">
      <c r="F7926">
        <v>7923</v>
      </c>
      <c r="G7926">
        <f t="shared" ca="1" si="208"/>
        <v>2.476699817093542E-2</v>
      </c>
    </row>
    <row r="7927" spans="6:7" x14ac:dyDescent="0.35">
      <c r="F7927">
        <v>7924</v>
      </c>
      <c r="G7927">
        <f t="shared" ca="1" si="208"/>
        <v>-2.7607343184607717E-2</v>
      </c>
    </row>
    <row r="7928" spans="6:7" x14ac:dyDescent="0.35">
      <c r="F7928">
        <v>7925</v>
      </c>
      <c r="G7928">
        <f t="shared" ca="1" si="208"/>
        <v>-3.9246092595728831E-3</v>
      </c>
    </row>
    <row r="7929" spans="6:7" x14ac:dyDescent="0.35">
      <c r="F7929">
        <v>7926</v>
      </c>
      <c r="G7929">
        <f t="shared" ca="1" si="208"/>
        <v>1.5087008780636972E-2</v>
      </c>
    </row>
    <row r="7930" spans="6:7" x14ac:dyDescent="0.35">
      <c r="F7930">
        <v>7927</v>
      </c>
      <c r="G7930">
        <f t="shared" ca="1" si="208"/>
        <v>4.9496432549038872E-3</v>
      </c>
    </row>
    <row r="7931" spans="6:7" x14ac:dyDescent="0.35">
      <c r="F7931">
        <v>7928</v>
      </c>
      <c r="G7931">
        <f t="shared" ca="1" si="208"/>
        <v>-2.6602783305967794E-2</v>
      </c>
    </row>
    <row r="7932" spans="6:7" x14ac:dyDescent="0.35">
      <c r="F7932">
        <v>7929</v>
      </c>
      <c r="G7932">
        <f t="shared" ca="1" si="208"/>
        <v>-1.7113818891665047E-2</v>
      </c>
    </row>
    <row r="7933" spans="6:7" x14ac:dyDescent="0.35">
      <c r="F7933">
        <v>7930</v>
      </c>
      <c r="G7933">
        <f t="shared" ca="1" si="208"/>
        <v>-7.7327333063710625E-3</v>
      </c>
    </row>
    <row r="7934" spans="6:7" x14ac:dyDescent="0.35">
      <c r="F7934">
        <v>7931</v>
      </c>
      <c r="G7934">
        <f t="shared" ca="1" si="208"/>
        <v>-1.5599458316076023E-2</v>
      </c>
    </row>
    <row r="7935" spans="6:7" x14ac:dyDescent="0.35">
      <c r="F7935">
        <v>7932</v>
      </c>
      <c r="G7935">
        <f t="shared" ca="1" si="208"/>
        <v>-1.2254976473284319E-2</v>
      </c>
    </row>
    <row r="7936" spans="6:7" x14ac:dyDescent="0.35">
      <c r="F7936">
        <v>7933</v>
      </c>
      <c r="G7936">
        <f t="shared" ca="1" si="208"/>
        <v>2.9588487010274438E-2</v>
      </c>
    </row>
    <row r="7937" spans="6:7" x14ac:dyDescent="0.35">
      <c r="F7937">
        <v>7934</v>
      </c>
      <c r="G7937">
        <f t="shared" ca="1" si="208"/>
        <v>3.8901346201472134E-2</v>
      </c>
    </row>
    <row r="7938" spans="6:7" x14ac:dyDescent="0.35">
      <c r="F7938">
        <v>7935</v>
      </c>
      <c r="G7938">
        <f t="shared" ca="1" si="208"/>
        <v>2.4216493542987629E-2</v>
      </c>
    </row>
    <row r="7939" spans="6:7" x14ac:dyDescent="0.35">
      <c r="F7939">
        <v>7936</v>
      </c>
      <c r="G7939">
        <f t="shared" ca="1" si="208"/>
        <v>-3.1528641770674111E-2</v>
      </c>
    </row>
    <row r="7940" spans="6:7" x14ac:dyDescent="0.35">
      <c r="F7940">
        <v>7937</v>
      </c>
      <c r="G7940">
        <f t="shared" ca="1" si="208"/>
        <v>4.6330965160777927E-2</v>
      </c>
    </row>
    <row r="7941" spans="6:7" x14ac:dyDescent="0.35">
      <c r="F7941">
        <v>7938</v>
      </c>
      <c r="G7941">
        <f t="shared" ref="G7941:G8004" ca="1" si="209">_xlfn.NORM.INV(RAND(),K$6,K$7)</f>
        <v>2.8858697687002492E-2</v>
      </c>
    </row>
    <row r="7942" spans="6:7" x14ac:dyDescent="0.35">
      <c r="F7942">
        <v>7939</v>
      </c>
      <c r="G7942">
        <f t="shared" ca="1" si="209"/>
        <v>3.2159901405131926E-2</v>
      </c>
    </row>
    <row r="7943" spans="6:7" x14ac:dyDescent="0.35">
      <c r="F7943">
        <v>7940</v>
      </c>
      <c r="G7943">
        <f t="shared" ca="1" si="209"/>
        <v>4.0806289676801659E-2</v>
      </c>
    </row>
    <row r="7944" spans="6:7" x14ac:dyDescent="0.35">
      <c r="F7944">
        <v>7941</v>
      </c>
      <c r="G7944">
        <f t="shared" ca="1" si="209"/>
        <v>4.0013218910177097E-2</v>
      </c>
    </row>
    <row r="7945" spans="6:7" x14ac:dyDescent="0.35">
      <c r="F7945">
        <v>7942</v>
      </c>
      <c r="G7945">
        <f t="shared" ca="1" si="209"/>
        <v>-5.4505033181088047E-3</v>
      </c>
    </row>
    <row r="7946" spans="6:7" x14ac:dyDescent="0.35">
      <c r="F7946">
        <v>7943</v>
      </c>
      <c r="G7946">
        <f t="shared" ca="1" si="209"/>
        <v>1.6147307313049176E-2</v>
      </c>
    </row>
    <row r="7947" spans="6:7" x14ac:dyDescent="0.35">
      <c r="F7947">
        <v>7944</v>
      </c>
      <c r="G7947">
        <f t="shared" ca="1" si="209"/>
        <v>2.004598828609843E-2</v>
      </c>
    </row>
    <row r="7948" spans="6:7" x14ac:dyDescent="0.35">
      <c r="F7948">
        <v>7945</v>
      </c>
      <c r="G7948">
        <f t="shared" ca="1" si="209"/>
        <v>4.8424833466021923E-2</v>
      </c>
    </row>
    <row r="7949" spans="6:7" x14ac:dyDescent="0.35">
      <c r="F7949">
        <v>7946</v>
      </c>
      <c r="G7949">
        <f t="shared" ca="1" si="209"/>
        <v>-1.3623997327793305E-2</v>
      </c>
    </row>
    <row r="7950" spans="6:7" x14ac:dyDescent="0.35">
      <c r="F7950">
        <v>7947</v>
      </c>
      <c r="G7950">
        <f t="shared" ca="1" si="209"/>
        <v>2.3856519758107604E-2</v>
      </c>
    </row>
    <row r="7951" spans="6:7" x14ac:dyDescent="0.35">
      <c r="F7951">
        <v>7948</v>
      </c>
      <c r="G7951">
        <f t="shared" ca="1" si="209"/>
        <v>-2.9970438097483027E-2</v>
      </c>
    </row>
    <row r="7952" spans="6:7" x14ac:dyDescent="0.35">
      <c r="F7952">
        <v>7949</v>
      </c>
      <c r="G7952">
        <f t="shared" ca="1" si="209"/>
        <v>1.3523415372347882E-2</v>
      </c>
    </row>
    <row r="7953" spans="6:7" x14ac:dyDescent="0.35">
      <c r="F7953">
        <v>7950</v>
      </c>
      <c r="G7953">
        <f t="shared" ca="1" si="209"/>
        <v>-5.629409850897911E-2</v>
      </c>
    </row>
    <row r="7954" spans="6:7" x14ac:dyDescent="0.35">
      <c r="F7954">
        <v>7951</v>
      </c>
      <c r="G7954">
        <f t="shared" ca="1" si="209"/>
        <v>-2.0630568214216303E-2</v>
      </c>
    </row>
    <row r="7955" spans="6:7" x14ac:dyDescent="0.35">
      <c r="F7955">
        <v>7952</v>
      </c>
      <c r="G7955">
        <f t="shared" ca="1" si="209"/>
        <v>-3.4212202976550969E-2</v>
      </c>
    </row>
    <row r="7956" spans="6:7" x14ac:dyDescent="0.35">
      <c r="F7956">
        <v>7953</v>
      </c>
      <c r="G7956">
        <f t="shared" ca="1" si="209"/>
        <v>-1.8211099439067097E-2</v>
      </c>
    </row>
    <row r="7957" spans="6:7" x14ac:dyDescent="0.35">
      <c r="F7957">
        <v>7954</v>
      </c>
      <c r="G7957">
        <f t="shared" ca="1" si="209"/>
        <v>1.8867786702807889E-2</v>
      </c>
    </row>
    <row r="7958" spans="6:7" x14ac:dyDescent="0.35">
      <c r="F7958">
        <v>7955</v>
      </c>
      <c r="G7958">
        <f t="shared" ca="1" si="209"/>
        <v>1.3702287348070746E-2</v>
      </c>
    </row>
    <row r="7959" spans="6:7" x14ac:dyDescent="0.35">
      <c r="F7959">
        <v>7956</v>
      </c>
      <c r="G7959">
        <f t="shared" ca="1" si="209"/>
        <v>6.1956325295169506E-3</v>
      </c>
    </row>
    <row r="7960" spans="6:7" x14ac:dyDescent="0.35">
      <c r="F7960">
        <v>7957</v>
      </c>
      <c r="G7960">
        <f t="shared" ca="1" si="209"/>
        <v>1.2792421786863512E-2</v>
      </c>
    </row>
    <row r="7961" spans="6:7" x14ac:dyDescent="0.35">
      <c r="F7961">
        <v>7958</v>
      </c>
      <c r="G7961">
        <f t="shared" ca="1" si="209"/>
        <v>3.4230979357641076E-3</v>
      </c>
    </row>
    <row r="7962" spans="6:7" x14ac:dyDescent="0.35">
      <c r="F7962">
        <v>7959</v>
      </c>
      <c r="G7962">
        <f t="shared" ca="1" si="209"/>
        <v>3.0526197652105867E-2</v>
      </c>
    </row>
    <row r="7963" spans="6:7" x14ac:dyDescent="0.35">
      <c r="F7963">
        <v>7960</v>
      </c>
      <c r="G7963">
        <f t="shared" ca="1" si="209"/>
        <v>-3.0410916128044207E-2</v>
      </c>
    </row>
    <row r="7964" spans="6:7" x14ac:dyDescent="0.35">
      <c r="F7964">
        <v>7961</v>
      </c>
      <c r="G7964">
        <f t="shared" ca="1" si="209"/>
        <v>2.8078076247690348E-2</v>
      </c>
    </row>
    <row r="7965" spans="6:7" x14ac:dyDescent="0.35">
      <c r="F7965">
        <v>7962</v>
      </c>
      <c r="G7965">
        <f t="shared" ca="1" si="209"/>
        <v>2.5904644935409851E-2</v>
      </c>
    </row>
    <row r="7966" spans="6:7" x14ac:dyDescent="0.35">
      <c r="F7966">
        <v>7963</v>
      </c>
      <c r="G7966">
        <f t="shared" ca="1" si="209"/>
        <v>1.1070316150071393E-2</v>
      </c>
    </row>
    <row r="7967" spans="6:7" x14ac:dyDescent="0.35">
      <c r="F7967">
        <v>7964</v>
      </c>
      <c r="G7967">
        <f t="shared" ca="1" si="209"/>
        <v>4.0387255881182329E-3</v>
      </c>
    </row>
    <row r="7968" spans="6:7" x14ac:dyDescent="0.35">
      <c r="F7968">
        <v>7965</v>
      </c>
      <c r="G7968">
        <f t="shared" ca="1" si="209"/>
        <v>4.0378670072721529E-2</v>
      </c>
    </row>
    <row r="7969" spans="6:7" x14ac:dyDescent="0.35">
      <c r="F7969">
        <v>7966</v>
      </c>
      <c r="G7969">
        <f t="shared" ca="1" si="209"/>
        <v>3.2613667974910471E-2</v>
      </c>
    </row>
    <row r="7970" spans="6:7" x14ac:dyDescent="0.35">
      <c r="F7970">
        <v>7967</v>
      </c>
      <c r="G7970">
        <f t="shared" ca="1" si="209"/>
        <v>-2.5670823969995961E-2</v>
      </c>
    </row>
    <row r="7971" spans="6:7" x14ac:dyDescent="0.35">
      <c r="F7971">
        <v>7968</v>
      </c>
      <c r="G7971">
        <f t="shared" ca="1" si="209"/>
        <v>-1.2411400596465385E-2</v>
      </c>
    </row>
    <row r="7972" spans="6:7" x14ac:dyDescent="0.35">
      <c r="F7972">
        <v>7969</v>
      </c>
      <c r="G7972">
        <f t="shared" ca="1" si="209"/>
        <v>2.890841123437109E-2</v>
      </c>
    </row>
    <row r="7973" spans="6:7" x14ac:dyDescent="0.35">
      <c r="F7973">
        <v>7970</v>
      </c>
      <c r="G7973">
        <f t="shared" ca="1" si="209"/>
        <v>1.7573363597318946E-2</v>
      </c>
    </row>
    <row r="7974" spans="6:7" x14ac:dyDescent="0.35">
      <c r="F7974">
        <v>7971</v>
      </c>
      <c r="G7974">
        <f t="shared" ca="1" si="209"/>
        <v>-2.26744492922876E-2</v>
      </c>
    </row>
    <row r="7975" spans="6:7" x14ac:dyDescent="0.35">
      <c r="F7975">
        <v>7972</v>
      </c>
      <c r="G7975">
        <f t="shared" ca="1" si="209"/>
        <v>-3.2464325219973875E-2</v>
      </c>
    </row>
    <row r="7976" spans="6:7" x14ac:dyDescent="0.35">
      <c r="F7976">
        <v>7973</v>
      </c>
      <c r="G7976">
        <f t="shared" ca="1" si="209"/>
        <v>-1.7919286491603421E-2</v>
      </c>
    </row>
    <row r="7977" spans="6:7" x14ac:dyDescent="0.35">
      <c r="F7977">
        <v>7974</v>
      </c>
      <c r="G7977">
        <f t="shared" ca="1" si="209"/>
        <v>-4.6025566832172612E-2</v>
      </c>
    </row>
    <row r="7978" spans="6:7" x14ac:dyDescent="0.35">
      <c r="F7978">
        <v>7975</v>
      </c>
      <c r="G7978">
        <f t="shared" ca="1" si="209"/>
        <v>-4.8669388166890634E-2</v>
      </c>
    </row>
    <row r="7979" spans="6:7" x14ac:dyDescent="0.35">
      <c r="F7979">
        <v>7976</v>
      </c>
      <c r="G7979">
        <f t="shared" ca="1" si="209"/>
        <v>1.1354906831546966E-2</v>
      </c>
    </row>
    <row r="7980" spans="6:7" x14ac:dyDescent="0.35">
      <c r="F7980">
        <v>7977</v>
      </c>
      <c r="G7980">
        <f t="shared" ca="1" si="209"/>
        <v>-1.9813975053796423E-2</v>
      </c>
    </row>
    <row r="7981" spans="6:7" x14ac:dyDescent="0.35">
      <c r="F7981">
        <v>7978</v>
      </c>
      <c r="G7981">
        <f t="shared" ca="1" si="209"/>
        <v>3.561204171480703E-2</v>
      </c>
    </row>
    <row r="7982" spans="6:7" x14ac:dyDescent="0.35">
      <c r="F7982">
        <v>7979</v>
      </c>
      <c r="G7982">
        <f t="shared" ca="1" si="209"/>
        <v>-2.8632676821263052E-3</v>
      </c>
    </row>
    <row r="7983" spans="6:7" x14ac:dyDescent="0.35">
      <c r="F7983">
        <v>7980</v>
      </c>
      <c r="G7983">
        <f t="shared" ca="1" si="209"/>
        <v>2.635757566509813E-2</v>
      </c>
    </row>
    <row r="7984" spans="6:7" x14ac:dyDescent="0.35">
      <c r="F7984">
        <v>7981</v>
      </c>
      <c r="G7984">
        <f t="shared" ca="1" si="209"/>
        <v>3.1297515776004835E-2</v>
      </c>
    </row>
    <row r="7985" spans="6:7" x14ac:dyDescent="0.35">
      <c r="F7985">
        <v>7982</v>
      </c>
      <c r="G7985">
        <f t="shared" ca="1" si="209"/>
        <v>2.5181894465222159E-2</v>
      </c>
    </row>
    <row r="7986" spans="6:7" x14ac:dyDescent="0.35">
      <c r="F7986">
        <v>7983</v>
      </c>
      <c r="G7986">
        <f t="shared" ca="1" si="209"/>
        <v>3.7399802081669688E-2</v>
      </c>
    </row>
    <row r="7987" spans="6:7" x14ac:dyDescent="0.35">
      <c r="F7987">
        <v>7984</v>
      </c>
      <c r="G7987">
        <f t="shared" ca="1" si="209"/>
        <v>-1.0074025493540222E-3</v>
      </c>
    </row>
    <row r="7988" spans="6:7" x14ac:dyDescent="0.35">
      <c r="F7988">
        <v>7985</v>
      </c>
      <c r="G7988">
        <f t="shared" ca="1" si="209"/>
        <v>-5.8195101273359048E-3</v>
      </c>
    </row>
    <row r="7989" spans="6:7" x14ac:dyDescent="0.35">
      <c r="F7989">
        <v>7986</v>
      </c>
      <c r="G7989">
        <f t="shared" ca="1" si="209"/>
        <v>-1.0188311450586086E-2</v>
      </c>
    </row>
    <row r="7990" spans="6:7" x14ac:dyDescent="0.35">
      <c r="F7990">
        <v>7987</v>
      </c>
      <c r="G7990">
        <f t="shared" ca="1" si="209"/>
        <v>1.2245467057895561E-2</v>
      </c>
    </row>
    <row r="7991" spans="6:7" x14ac:dyDescent="0.35">
      <c r="F7991">
        <v>7988</v>
      </c>
      <c r="G7991">
        <f t="shared" ca="1" si="209"/>
        <v>2.5951599992613289E-2</v>
      </c>
    </row>
    <row r="7992" spans="6:7" x14ac:dyDescent="0.35">
      <c r="F7992">
        <v>7989</v>
      </c>
      <c r="G7992">
        <f t="shared" ca="1" si="209"/>
        <v>1.0157671788419326E-2</v>
      </c>
    </row>
    <row r="7993" spans="6:7" x14ac:dyDescent="0.35">
      <c r="F7993">
        <v>7990</v>
      </c>
      <c r="G7993">
        <f t="shared" ca="1" si="209"/>
        <v>-1.1893411112230551E-2</v>
      </c>
    </row>
    <row r="7994" spans="6:7" x14ac:dyDescent="0.35">
      <c r="F7994">
        <v>7991</v>
      </c>
      <c r="G7994">
        <f t="shared" ca="1" si="209"/>
        <v>-9.0049168628510892E-3</v>
      </c>
    </row>
    <row r="7995" spans="6:7" x14ac:dyDescent="0.35">
      <c r="F7995">
        <v>7992</v>
      </c>
      <c r="G7995">
        <f t="shared" ca="1" si="209"/>
        <v>3.2644262447772507E-2</v>
      </c>
    </row>
    <row r="7996" spans="6:7" x14ac:dyDescent="0.35">
      <c r="F7996">
        <v>7993</v>
      </c>
      <c r="G7996">
        <f t="shared" ca="1" si="209"/>
        <v>-6.5776810622567745E-3</v>
      </c>
    </row>
    <row r="7997" spans="6:7" x14ac:dyDescent="0.35">
      <c r="F7997">
        <v>7994</v>
      </c>
      <c r="G7997">
        <f t="shared" ca="1" si="209"/>
        <v>-1.1416996019132809E-2</v>
      </c>
    </row>
    <row r="7998" spans="6:7" x14ac:dyDescent="0.35">
      <c r="F7998">
        <v>7995</v>
      </c>
      <c r="G7998">
        <f t="shared" ca="1" si="209"/>
        <v>-2.4633193151743761E-2</v>
      </c>
    </row>
    <row r="7999" spans="6:7" x14ac:dyDescent="0.35">
      <c r="F7999">
        <v>7996</v>
      </c>
      <c r="G7999">
        <f t="shared" ca="1" si="209"/>
        <v>1.1282349656633224E-2</v>
      </c>
    </row>
    <row r="8000" spans="6:7" x14ac:dyDescent="0.35">
      <c r="F8000">
        <v>7997</v>
      </c>
      <c r="G8000">
        <f t="shared" ca="1" si="209"/>
        <v>-4.5027893982409868E-2</v>
      </c>
    </row>
    <row r="8001" spans="6:7" x14ac:dyDescent="0.35">
      <c r="F8001">
        <v>7998</v>
      </c>
      <c r="G8001">
        <f t="shared" ca="1" si="209"/>
        <v>3.5521004625039078E-2</v>
      </c>
    </row>
    <row r="8002" spans="6:7" x14ac:dyDescent="0.35">
      <c r="F8002">
        <v>7999</v>
      </c>
      <c r="G8002">
        <f t="shared" ca="1" si="209"/>
        <v>5.799356326052392E-3</v>
      </c>
    </row>
    <row r="8003" spans="6:7" x14ac:dyDescent="0.35">
      <c r="F8003">
        <v>8000</v>
      </c>
      <c r="G8003">
        <f t="shared" ca="1" si="209"/>
        <v>-4.1994730489019569E-2</v>
      </c>
    </row>
    <row r="8004" spans="6:7" x14ac:dyDescent="0.35">
      <c r="F8004">
        <v>8001</v>
      </c>
      <c r="G8004">
        <f t="shared" ca="1" si="209"/>
        <v>-4.4072566540053801E-2</v>
      </c>
    </row>
    <row r="8005" spans="6:7" x14ac:dyDescent="0.35">
      <c r="F8005">
        <v>8002</v>
      </c>
      <c r="G8005">
        <f t="shared" ref="G8005:G8068" ca="1" si="210">_xlfn.NORM.INV(RAND(),K$6,K$7)</f>
        <v>5.3400534799174122E-3</v>
      </c>
    </row>
    <row r="8006" spans="6:7" x14ac:dyDescent="0.35">
      <c r="F8006">
        <v>8003</v>
      </c>
      <c r="G8006">
        <f t="shared" ca="1" si="210"/>
        <v>2.8714799853096815E-2</v>
      </c>
    </row>
    <row r="8007" spans="6:7" x14ac:dyDescent="0.35">
      <c r="F8007">
        <v>8004</v>
      </c>
      <c r="G8007">
        <f t="shared" ca="1" si="210"/>
        <v>-4.0336875550168634E-2</v>
      </c>
    </row>
    <row r="8008" spans="6:7" x14ac:dyDescent="0.35">
      <c r="F8008">
        <v>8005</v>
      </c>
      <c r="G8008">
        <f t="shared" ca="1" si="210"/>
        <v>-5.1906211644955527E-2</v>
      </c>
    </row>
    <row r="8009" spans="6:7" x14ac:dyDescent="0.35">
      <c r="F8009">
        <v>8006</v>
      </c>
      <c r="G8009">
        <f t="shared" ca="1" si="210"/>
        <v>2.366325213888246E-2</v>
      </c>
    </row>
    <row r="8010" spans="6:7" x14ac:dyDescent="0.35">
      <c r="F8010">
        <v>8007</v>
      </c>
      <c r="G8010">
        <f t="shared" ca="1" si="210"/>
        <v>2.3908348326518062E-2</v>
      </c>
    </row>
    <row r="8011" spans="6:7" x14ac:dyDescent="0.35">
      <c r="F8011">
        <v>8008</v>
      </c>
      <c r="G8011">
        <f t="shared" ca="1" si="210"/>
        <v>9.4005744869660752E-3</v>
      </c>
    </row>
    <row r="8012" spans="6:7" x14ac:dyDescent="0.35">
      <c r="F8012">
        <v>8009</v>
      </c>
      <c r="G8012">
        <f t="shared" ca="1" si="210"/>
        <v>-7.7720227604025725E-3</v>
      </c>
    </row>
    <row r="8013" spans="6:7" x14ac:dyDescent="0.35">
      <c r="F8013">
        <v>8010</v>
      </c>
      <c r="G8013">
        <f t="shared" ca="1" si="210"/>
        <v>1.7542805679607133E-2</v>
      </c>
    </row>
    <row r="8014" spans="6:7" x14ac:dyDescent="0.35">
      <c r="F8014">
        <v>8011</v>
      </c>
      <c r="G8014">
        <f t="shared" ca="1" si="210"/>
        <v>3.8367645206787496E-3</v>
      </c>
    </row>
    <row r="8015" spans="6:7" x14ac:dyDescent="0.35">
      <c r="F8015">
        <v>8012</v>
      </c>
      <c r="G8015">
        <f t="shared" ca="1" si="210"/>
        <v>2.9179597789914864E-2</v>
      </c>
    </row>
    <row r="8016" spans="6:7" x14ac:dyDescent="0.35">
      <c r="F8016">
        <v>8013</v>
      </c>
      <c r="G8016">
        <f t="shared" ca="1" si="210"/>
        <v>2.5596010916080908E-2</v>
      </c>
    </row>
    <row r="8017" spans="6:7" x14ac:dyDescent="0.35">
      <c r="F8017">
        <v>8014</v>
      </c>
      <c r="G8017">
        <f t="shared" ca="1" si="210"/>
        <v>2.2740552860779226E-2</v>
      </c>
    </row>
    <row r="8018" spans="6:7" x14ac:dyDescent="0.35">
      <c r="F8018">
        <v>8015</v>
      </c>
      <c r="G8018">
        <f t="shared" ca="1" si="210"/>
        <v>5.8205865723512532E-3</v>
      </c>
    </row>
    <row r="8019" spans="6:7" x14ac:dyDescent="0.35">
      <c r="F8019">
        <v>8016</v>
      </c>
      <c r="G8019">
        <f t="shared" ca="1" si="210"/>
        <v>2.6926708147288355E-3</v>
      </c>
    </row>
    <row r="8020" spans="6:7" x14ac:dyDescent="0.35">
      <c r="F8020">
        <v>8017</v>
      </c>
      <c r="G8020">
        <f t="shared" ca="1" si="210"/>
        <v>-1.5208715783962361E-2</v>
      </c>
    </row>
    <row r="8021" spans="6:7" x14ac:dyDescent="0.35">
      <c r="F8021">
        <v>8018</v>
      </c>
      <c r="G8021">
        <f t="shared" ca="1" si="210"/>
        <v>1.0371939859912045E-2</v>
      </c>
    </row>
    <row r="8022" spans="6:7" x14ac:dyDescent="0.35">
      <c r="F8022">
        <v>8019</v>
      </c>
      <c r="G8022">
        <f t="shared" ca="1" si="210"/>
        <v>7.4331637982334381E-3</v>
      </c>
    </row>
    <row r="8023" spans="6:7" x14ac:dyDescent="0.35">
      <c r="F8023">
        <v>8020</v>
      </c>
      <c r="G8023">
        <f t="shared" ca="1" si="210"/>
        <v>-6.8618009609285775E-3</v>
      </c>
    </row>
    <row r="8024" spans="6:7" x14ac:dyDescent="0.35">
      <c r="F8024">
        <v>8021</v>
      </c>
      <c r="G8024">
        <f t="shared" ca="1" si="210"/>
        <v>3.2027282298492499E-2</v>
      </c>
    </row>
    <row r="8025" spans="6:7" x14ac:dyDescent="0.35">
      <c r="F8025">
        <v>8022</v>
      </c>
      <c r="G8025">
        <f t="shared" ca="1" si="210"/>
        <v>1.7531160480950558E-2</v>
      </c>
    </row>
    <row r="8026" spans="6:7" x14ac:dyDescent="0.35">
      <c r="F8026">
        <v>8023</v>
      </c>
      <c r="G8026">
        <f t="shared" ca="1" si="210"/>
        <v>3.4833768330034383E-2</v>
      </c>
    </row>
    <row r="8027" spans="6:7" x14ac:dyDescent="0.35">
      <c r="F8027">
        <v>8024</v>
      </c>
      <c r="G8027">
        <f t="shared" ca="1" si="210"/>
        <v>-7.576636142715458E-2</v>
      </c>
    </row>
    <row r="8028" spans="6:7" x14ac:dyDescent="0.35">
      <c r="F8028">
        <v>8025</v>
      </c>
      <c r="G8028">
        <f t="shared" ca="1" si="210"/>
        <v>3.5139032109635635E-2</v>
      </c>
    </row>
    <row r="8029" spans="6:7" x14ac:dyDescent="0.35">
      <c r="F8029">
        <v>8026</v>
      </c>
      <c r="G8029">
        <f t="shared" ca="1" si="210"/>
        <v>5.9190966634800259E-2</v>
      </c>
    </row>
    <row r="8030" spans="6:7" x14ac:dyDescent="0.35">
      <c r="F8030">
        <v>8027</v>
      </c>
      <c r="G8030">
        <f t="shared" ca="1" si="210"/>
        <v>8.3238285439449795E-3</v>
      </c>
    </row>
    <row r="8031" spans="6:7" x14ac:dyDescent="0.35">
      <c r="F8031">
        <v>8028</v>
      </c>
      <c r="G8031">
        <f t="shared" ca="1" si="210"/>
        <v>1.2729022056932994E-2</v>
      </c>
    </row>
    <row r="8032" spans="6:7" x14ac:dyDescent="0.35">
      <c r="F8032">
        <v>8029</v>
      </c>
      <c r="G8032">
        <f t="shared" ca="1" si="210"/>
        <v>1.7464141183592633E-2</v>
      </c>
    </row>
    <row r="8033" spans="6:7" x14ac:dyDescent="0.35">
      <c r="F8033">
        <v>8030</v>
      </c>
      <c r="G8033">
        <f t="shared" ca="1" si="210"/>
        <v>-4.0194022952962094E-2</v>
      </c>
    </row>
    <row r="8034" spans="6:7" x14ac:dyDescent="0.35">
      <c r="F8034">
        <v>8031</v>
      </c>
      <c r="G8034">
        <f t="shared" ca="1" si="210"/>
        <v>3.47256332941056E-2</v>
      </c>
    </row>
    <row r="8035" spans="6:7" x14ac:dyDescent="0.35">
      <c r="F8035">
        <v>8032</v>
      </c>
      <c r="G8035">
        <f t="shared" ca="1" si="210"/>
        <v>3.157516336212203E-2</v>
      </c>
    </row>
    <row r="8036" spans="6:7" x14ac:dyDescent="0.35">
      <c r="F8036">
        <v>8033</v>
      </c>
      <c r="G8036">
        <f t="shared" ca="1" si="210"/>
        <v>-1.112547083954629E-2</v>
      </c>
    </row>
    <row r="8037" spans="6:7" x14ac:dyDescent="0.35">
      <c r="F8037">
        <v>8034</v>
      </c>
      <c r="G8037">
        <f t="shared" ca="1" si="210"/>
        <v>6.0488537562319457E-2</v>
      </c>
    </row>
    <row r="8038" spans="6:7" x14ac:dyDescent="0.35">
      <c r="F8038">
        <v>8035</v>
      </c>
      <c r="G8038">
        <f t="shared" ca="1" si="210"/>
        <v>2.9712879242248243E-2</v>
      </c>
    </row>
    <row r="8039" spans="6:7" x14ac:dyDescent="0.35">
      <c r="F8039">
        <v>8036</v>
      </c>
      <c r="G8039">
        <f t="shared" ca="1" si="210"/>
        <v>5.3065890927736913E-2</v>
      </c>
    </row>
    <row r="8040" spans="6:7" x14ac:dyDescent="0.35">
      <c r="F8040">
        <v>8037</v>
      </c>
      <c r="G8040">
        <f t="shared" ca="1" si="210"/>
        <v>1.3585737776938287E-2</v>
      </c>
    </row>
    <row r="8041" spans="6:7" x14ac:dyDescent="0.35">
      <c r="F8041">
        <v>8038</v>
      </c>
      <c r="G8041">
        <f t="shared" ca="1" si="210"/>
        <v>4.2422002283958635E-2</v>
      </c>
    </row>
    <row r="8042" spans="6:7" x14ac:dyDescent="0.35">
      <c r="F8042">
        <v>8039</v>
      </c>
      <c r="G8042">
        <f t="shared" ca="1" si="210"/>
        <v>-5.5778461702975998E-2</v>
      </c>
    </row>
    <row r="8043" spans="6:7" x14ac:dyDescent="0.35">
      <c r="F8043">
        <v>8040</v>
      </c>
      <c r="G8043">
        <f t="shared" ca="1" si="210"/>
        <v>-1.2809449052923524E-2</v>
      </c>
    </row>
    <row r="8044" spans="6:7" x14ac:dyDescent="0.35">
      <c r="F8044">
        <v>8041</v>
      </c>
      <c r="G8044">
        <f t="shared" ca="1" si="210"/>
        <v>3.9177427831473578E-2</v>
      </c>
    </row>
    <row r="8045" spans="6:7" x14ac:dyDescent="0.35">
      <c r="F8045">
        <v>8042</v>
      </c>
      <c r="G8045">
        <f t="shared" ca="1" si="210"/>
        <v>1.2084706701654461E-2</v>
      </c>
    </row>
    <row r="8046" spans="6:7" x14ac:dyDescent="0.35">
      <c r="F8046">
        <v>8043</v>
      </c>
      <c r="G8046">
        <f t="shared" ca="1" si="210"/>
        <v>-1.2373934926896389E-2</v>
      </c>
    </row>
    <row r="8047" spans="6:7" x14ac:dyDescent="0.35">
      <c r="F8047">
        <v>8044</v>
      </c>
      <c r="G8047">
        <f t="shared" ca="1" si="210"/>
        <v>4.7181769662908588E-2</v>
      </c>
    </row>
    <row r="8048" spans="6:7" x14ac:dyDescent="0.35">
      <c r="F8048">
        <v>8045</v>
      </c>
      <c r="G8048">
        <f t="shared" ca="1" si="210"/>
        <v>2.63930594284147E-2</v>
      </c>
    </row>
    <row r="8049" spans="6:7" x14ac:dyDescent="0.35">
      <c r="F8049">
        <v>8046</v>
      </c>
      <c r="G8049">
        <f t="shared" ca="1" si="210"/>
        <v>-7.8422315743436513E-2</v>
      </c>
    </row>
    <row r="8050" spans="6:7" x14ac:dyDescent="0.35">
      <c r="F8050">
        <v>8047</v>
      </c>
      <c r="G8050">
        <f t="shared" ca="1" si="210"/>
        <v>-3.4876857006089508E-2</v>
      </c>
    </row>
    <row r="8051" spans="6:7" x14ac:dyDescent="0.35">
      <c r="F8051">
        <v>8048</v>
      </c>
      <c r="G8051">
        <f t="shared" ca="1" si="210"/>
        <v>1.4751644210585502E-2</v>
      </c>
    </row>
    <row r="8052" spans="6:7" x14ac:dyDescent="0.35">
      <c r="F8052">
        <v>8049</v>
      </c>
      <c r="G8052">
        <f t="shared" ca="1" si="210"/>
        <v>1.5670563115427139E-2</v>
      </c>
    </row>
    <row r="8053" spans="6:7" x14ac:dyDescent="0.35">
      <c r="F8053">
        <v>8050</v>
      </c>
      <c r="G8053">
        <f t="shared" ca="1" si="210"/>
        <v>4.2978129627014833E-2</v>
      </c>
    </row>
    <row r="8054" spans="6:7" x14ac:dyDescent="0.35">
      <c r="F8054">
        <v>8051</v>
      </c>
      <c r="G8054">
        <f t="shared" ca="1" si="210"/>
        <v>-1.2373073792477562E-3</v>
      </c>
    </row>
    <row r="8055" spans="6:7" x14ac:dyDescent="0.35">
      <c r="F8055">
        <v>8052</v>
      </c>
      <c r="G8055">
        <f t="shared" ca="1" si="210"/>
        <v>1.896609868984634E-2</v>
      </c>
    </row>
    <row r="8056" spans="6:7" x14ac:dyDescent="0.35">
      <c r="F8056">
        <v>8053</v>
      </c>
      <c r="G8056">
        <f t="shared" ca="1" si="210"/>
        <v>-5.6414239083434612E-4</v>
      </c>
    </row>
    <row r="8057" spans="6:7" x14ac:dyDescent="0.35">
      <c r="F8057">
        <v>8054</v>
      </c>
      <c r="G8057">
        <f t="shared" ca="1" si="210"/>
        <v>4.0519050342622973E-2</v>
      </c>
    </row>
    <row r="8058" spans="6:7" x14ac:dyDescent="0.35">
      <c r="F8058">
        <v>8055</v>
      </c>
      <c r="G8058">
        <f t="shared" ca="1" si="210"/>
        <v>1.0945002947453422E-2</v>
      </c>
    </row>
    <row r="8059" spans="6:7" x14ac:dyDescent="0.35">
      <c r="F8059">
        <v>8056</v>
      </c>
      <c r="G8059">
        <f t="shared" ca="1" si="210"/>
        <v>-3.5930843606655244E-2</v>
      </c>
    </row>
    <row r="8060" spans="6:7" x14ac:dyDescent="0.35">
      <c r="F8060">
        <v>8057</v>
      </c>
      <c r="G8060">
        <f t="shared" ca="1" si="210"/>
        <v>3.4921786508447857E-2</v>
      </c>
    </row>
    <row r="8061" spans="6:7" x14ac:dyDescent="0.35">
      <c r="F8061">
        <v>8058</v>
      </c>
      <c r="G8061">
        <f t="shared" ca="1" si="210"/>
        <v>1.7272371806277782E-2</v>
      </c>
    </row>
    <row r="8062" spans="6:7" x14ac:dyDescent="0.35">
      <c r="F8062">
        <v>8059</v>
      </c>
      <c r="G8062">
        <f t="shared" ca="1" si="210"/>
        <v>5.6087478908014757E-2</v>
      </c>
    </row>
    <row r="8063" spans="6:7" x14ac:dyDescent="0.35">
      <c r="F8063">
        <v>8060</v>
      </c>
      <c r="G8063">
        <f t="shared" ca="1" si="210"/>
        <v>-3.3316897596261309E-2</v>
      </c>
    </row>
    <row r="8064" spans="6:7" x14ac:dyDescent="0.35">
      <c r="F8064">
        <v>8061</v>
      </c>
      <c r="G8064">
        <f t="shared" ca="1" si="210"/>
        <v>-2.1895417774364073E-2</v>
      </c>
    </row>
    <row r="8065" spans="6:7" x14ac:dyDescent="0.35">
      <c r="F8065">
        <v>8062</v>
      </c>
      <c r="G8065">
        <f t="shared" ca="1" si="210"/>
        <v>-3.8953584820784704E-2</v>
      </c>
    </row>
    <row r="8066" spans="6:7" x14ac:dyDescent="0.35">
      <c r="F8066">
        <v>8063</v>
      </c>
      <c r="G8066">
        <f t="shared" ca="1" si="210"/>
        <v>3.6661607574137771E-2</v>
      </c>
    </row>
    <row r="8067" spans="6:7" x14ac:dyDescent="0.35">
      <c r="F8067">
        <v>8064</v>
      </c>
      <c r="G8067">
        <f t="shared" ca="1" si="210"/>
        <v>2.0035999449218984E-2</v>
      </c>
    </row>
    <row r="8068" spans="6:7" x14ac:dyDescent="0.35">
      <c r="F8068">
        <v>8065</v>
      </c>
      <c r="G8068">
        <f t="shared" ca="1" si="210"/>
        <v>-1.6527967664796785E-2</v>
      </c>
    </row>
    <row r="8069" spans="6:7" x14ac:dyDescent="0.35">
      <c r="F8069">
        <v>8066</v>
      </c>
      <c r="G8069">
        <f t="shared" ref="G8069:G8132" ca="1" si="211">_xlfn.NORM.INV(RAND(),K$6,K$7)</f>
        <v>3.6343920756467252E-2</v>
      </c>
    </row>
    <row r="8070" spans="6:7" x14ac:dyDescent="0.35">
      <c r="F8070">
        <v>8067</v>
      </c>
      <c r="G8070">
        <f t="shared" ca="1" si="211"/>
        <v>-2.9653730384233818E-2</v>
      </c>
    </row>
    <row r="8071" spans="6:7" x14ac:dyDescent="0.35">
      <c r="F8071">
        <v>8068</v>
      </c>
      <c r="G8071">
        <f t="shared" ca="1" si="211"/>
        <v>1.0169920667049729E-3</v>
      </c>
    </row>
    <row r="8072" spans="6:7" x14ac:dyDescent="0.35">
      <c r="F8072">
        <v>8069</v>
      </c>
      <c r="G8072">
        <f t="shared" ca="1" si="211"/>
        <v>-2.1907821246121822E-2</v>
      </c>
    </row>
    <row r="8073" spans="6:7" x14ac:dyDescent="0.35">
      <c r="F8073">
        <v>8070</v>
      </c>
      <c r="G8073">
        <f t="shared" ca="1" si="211"/>
        <v>-1.2330452511965139E-2</v>
      </c>
    </row>
    <row r="8074" spans="6:7" x14ac:dyDescent="0.35">
      <c r="F8074">
        <v>8071</v>
      </c>
      <c r="G8074">
        <f t="shared" ca="1" si="211"/>
        <v>-1.4235123232991208E-3</v>
      </c>
    </row>
    <row r="8075" spans="6:7" x14ac:dyDescent="0.35">
      <c r="F8075">
        <v>8072</v>
      </c>
      <c r="G8075">
        <f t="shared" ca="1" si="211"/>
        <v>1.7156027287908004E-2</v>
      </c>
    </row>
    <row r="8076" spans="6:7" x14ac:dyDescent="0.35">
      <c r="F8076">
        <v>8073</v>
      </c>
      <c r="G8076">
        <f t="shared" ca="1" si="211"/>
        <v>-9.5311714687938403E-3</v>
      </c>
    </row>
    <row r="8077" spans="6:7" x14ac:dyDescent="0.35">
      <c r="F8077">
        <v>8074</v>
      </c>
      <c r="G8077">
        <f t="shared" ca="1" si="211"/>
        <v>-8.2544514073320027E-3</v>
      </c>
    </row>
    <row r="8078" spans="6:7" x14ac:dyDescent="0.35">
      <c r="F8078">
        <v>8075</v>
      </c>
      <c r="G8078">
        <f t="shared" ca="1" si="211"/>
        <v>-2.3287219872842341E-2</v>
      </c>
    </row>
    <row r="8079" spans="6:7" x14ac:dyDescent="0.35">
      <c r="F8079">
        <v>8076</v>
      </c>
      <c r="G8079">
        <f t="shared" ca="1" si="211"/>
        <v>1.3008164736545633E-2</v>
      </c>
    </row>
    <row r="8080" spans="6:7" x14ac:dyDescent="0.35">
      <c r="F8080">
        <v>8077</v>
      </c>
      <c r="G8080">
        <f t="shared" ca="1" si="211"/>
        <v>-2.998691482317908E-2</v>
      </c>
    </row>
    <row r="8081" spans="6:7" x14ac:dyDescent="0.35">
      <c r="F8081">
        <v>8078</v>
      </c>
      <c r="G8081">
        <f t="shared" ca="1" si="211"/>
        <v>-6.2513835956121517E-3</v>
      </c>
    </row>
    <row r="8082" spans="6:7" x14ac:dyDescent="0.35">
      <c r="F8082">
        <v>8079</v>
      </c>
      <c r="G8082">
        <f t="shared" ca="1" si="211"/>
        <v>-1.659898559325218E-2</v>
      </c>
    </row>
    <row r="8083" spans="6:7" x14ac:dyDescent="0.35">
      <c r="F8083">
        <v>8080</v>
      </c>
      <c r="G8083">
        <f t="shared" ca="1" si="211"/>
        <v>-1.4139116100275863E-3</v>
      </c>
    </row>
    <row r="8084" spans="6:7" x14ac:dyDescent="0.35">
      <c r="F8084">
        <v>8081</v>
      </c>
      <c r="G8084">
        <f t="shared" ca="1" si="211"/>
        <v>3.4969845483887783E-2</v>
      </c>
    </row>
    <row r="8085" spans="6:7" x14ac:dyDescent="0.35">
      <c r="F8085">
        <v>8082</v>
      </c>
      <c r="G8085">
        <f t="shared" ca="1" si="211"/>
        <v>-1.6664779812994993E-3</v>
      </c>
    </row>
    <row r="8086" spans="6:7" x14ac:dyDescent="0.35">
      <c r="F8086">
        <v>8083</v>
      </c>
      <c r="G8086">
        <f t="shared" ca="1" si="211"/>
        <v>-1.120399646000776E-2</v>
      </c>
    </row>
    <row r="8087" spans="6:7" x14ac:dyDescent="0.35">
      <c r="F8087">
        <v>8084</v>
      </c>
      <c r="G8087">
        <f t="shared" ca="1" si="211"/>
        <v>5.4240790177418487E-2</v>
      </c>
    </row>
    <row r="8088" spans="6:7" x14ac:dyDescent="0.35">
      <c r="F8088">
        <v>8085</v>
      </c>
      <c r="G8088">
        <f t="shared" ca="1" si="211"/>
        <v>3.9559906555426856E-2</v>
      </c>
    </row>
    <row r="8089" spans="6:7" x14ac:dyDescent="0.35">
      <c r="F8089">
        <v>8086</v>
      </c>
      <c r="G8089">
        <f t="shared" ca="1" si="211"/>
        <v>2.4566272020483008E-2</v>
      </c>
    </row>
    <row r="8090" spans="6:7" x14ac:dyDescent="0.35">
      <c r="F8090">
        <v>8087</v>
      </c>
      <c r="G8090">
        <f t="shared" ca="1" si="211"/>
        <v>3.7515598866698287E-2</v>
      </c>
    </row>
    <row r="8091" spans="6:7" x14ac:dyDescent="0.35">
      <c r="F8091">
        <v>8088</v>
      </c>
      <c r="G8091">
        <f t="shared" ca="1" si="211"/>
        <v>-4.0630989789648436E-2</v>
      </c>
    </row>
    <row r="8092" spans="6:7" x14ac:dyDescent="0.35">
      <c r="F8092">
        <v>8089</v>
      </c>
      <c r="G8092">
        <f t="shared" ca="1" si="211"/>
        <v>-2.1266570300319386E-2</v>
      </c>
    </row>
    <row r="8093" spans="6:7" x14ac:dyDescent="0.35">
      <c r="F8093">
        <v>8090</v>
      </c>
      <c r="G8093">
        <f t="shared" ca="1" si="211"/>
        <v>-1.8260563085690712E-2</v>
      </c>
    </row>
    <row r="8094" spans="6:7" x14ac:dyDescent="0.35">
      <c r="F8094">
        <v>8091</v>
      </c>
      <c r="G8094">
        <f t="shared" ca="1" si="211"/>
        <v>1.021877644051747E-2</v>
      </c>
    </row>
    <row r="8095" spans="6:7" x14ac:dyDescent="0.35">
      <c r="F8095">
        <v>8092</v>
      </c>
      <c r="G8095">
        <f t="shared" ca="1" si="211"/>
        <v>8.5333954495430825E-2</v>
      </c>
    </row>
    <row r="8096" spans="6:7" x14ac:dyDescent="0.35">
      <c r="F8096">
        <v>8093</v>
      </c>
      <c r="G8096">
        <f t="shared" ca="1" si="211"/>
        <v>-8.5795513702580724E-4</v>
      </c>
    </row>
    <row r="8097" spans="6:7" x14ac:dyDescent="0.35">
      <c r="F8097">
        <v>8094</v>
      </c>
      <c r="G8097">
        <f t="shared" ca="1" si="211"/>
        <v>-2.0177550626267068E-2</v>
      </c>
    </row>
    <row r="8098" spans="6:7" x14ac:dyDescent="0.35">
      <c r="F8098">
        <v>8095</v>
      </c>
      <c r="G8098">
        <f t="shared" ca="1" si="211"/>
        <v>-9.0340205792105183E-3</v>
      </c>
    </row>
    <row r="8099" spans="6:7" x14ac:dyDescent="0.35">
      <c r="F8099">
        <v>8096</v>
      </c>
      <c r="G8099">
        <f t="shared" ca="1" si="211"/>
        <v>6.0916009618502782E-3</v>
      </c>
    </row>
    <row r="8100" spans="6:7" x14ac:dyDescent="0.35">
      <c r="F8100">
        <v>8097</v>
      </c>
      <c r="G8100">
        <f t="shared" ca="1" si="211"/>
        <v>-6.0779623619712793E-2</v>
      </c>
    </row>
    <row r="8101" spans="6:7" x14ac:dyDescent="0.35">
      <c r="F8101">
        <v>8098</v>
      </c>
      <c r="G8101">
        <f t="shared" ca="1" si="211"/>
        <v>-1.7970831545394885E-2</v>
      </c>
    </row>
    <row r="8102" spans="6:7" x14ac:dyDescent="0.35">
      <c r="F8102">
        <v>8099</v>
      </c>
      <c r="G8102">
        <f t="shared" ca="1" si="211"/>
        <v>-2.5407825284660098E-3</v>
      </c>
    </row>
    <row r="8103" spans="6:7" x14ac:dyDescent="0.35">
      <c r="F8103">
        <v>8100</v>
      </c>
      <c r="G8103">
        <f t="shared" ca="1" si="211"/>
        <v>1.9934540147163716E-2</v>
      </c>
    </row>
    <row r="8104" spans="6:7" x14ac:dyDescent="0.35">
      <c r="F8104">
        <v>8101</v>
      </c>
      <c r="G8104">
        <f t="shared" ca="1" si="211"/>
        <v>7.3899233384668417E-2</v>
      </c>
    </row>
    <row r="8105" spans="6:7" x14ac:dyDescent="0.35">
      <c r="F8105">
        <v>8102</v>
      </c>
      <c r="G8105">
        <f t="shared" ca="1" si="211"/>
        <v>-3.1533525913807536E-2</v>
      </c>
    </row>
    <row r="8106" spans="6:7" x14ac:dyDescent="0.35">
      <c r="F8106">
        <v>8103</v>
      </c>
      <c r="G8106">
        <f t="shared" ca="1" si="211"/>
        <v>-7.0899499480481215E-2</v>
      </c>
    </row>
    <row r="8107" spans="6:7" x14ac:dyDescent="0.35">
      <c r="F8107">
        <v>8104</v>
      </c>
      <c r="G8107">
        <f t="shared" ca="1" si="211"/>
        <v>1.3868397058860445E-2</v>
      </c>
    </row>
    <row r="8108" spans="6:7" x14ac:dyDescent="0.35">
      <c r="F8108">
        <v>8105</v>
      </c>
      <c r="G8108">
        <f t="shared" ca="1" si="211"/>
        <v>-2.7092386567537509E-4</v>
      </c>
    </row>
    <row r="8109" spans="6:7" x14ac:dyDescent="0.35">
      <c r="F8109">
        <v>8106</v>
      </c>
      <c r="G8109">
        <f t="shared" ca="1" si="211"/>
        <v>-2.8609323241298435E-2</v>
      </c>
    </row>
    <row r="8110" spans="6:7" x14ac:dyDescent="0.35">
      <c r="F8110">
        <v>8107</v>
      </c>
      <c r="G8110">
        <f t="shared" ca="1" si="211"/>
        <v>3.0360971117475093E-2</v>
      </c>
    </row>
    <row r="8111" spans="6:7" x14ac:dyDescent="0.35">
      <c r="F8111">
        <v>8108</v>
      </c>
      <c r="G8111">
        <f t="shared" ca="1" si="211"/>
        <v>-2.2380441750612785E-2</v>
      </c>
    </row>
    <row r="8112" spans="6:7" x14ac:dyDescent="0.35">
      <c r="F8112">
        <v>8109</v>
      </c>
      <c r="G8112">
        <f t="shared" ca="1" si="211"/>
        <v>-7.0822855539441065E-2</v>
      </c>
    </row>
    <row r="8113" spans="6:7" x14ac:dyDescent="0.35">
      <c r="F8113">
        <v>8110</v>
      </c>
      <c r="G8113">
        <f t="shared" ca="1" si="211"/>
        <v>3.8736997920483518E-2</v>
      </c>
    </row>
    <row r="8114" spans="6:7" x14ac:dyDescent="0.35">
      <c r="F8114">
        <v>8111</v>
      </c>
      <c r="G8114">
        <f t="shared" ca="1" si="211"/>
        <v>-3.4224128400971422E-2</v>
      </c>
    </row>
    <row r="8115" spans="6:7" x14ac:dyDescent="0.35">
      <c r="F8115">
        <v>8112</v>
      </c>
      <c r="G8115">
        <f t="shared" ca="1" si="211"/>
        <v>-7.444648430380606E-3</v>
      </c>
    </row>
    <row r="8116" spans="6:7" x14ac:dyDescent="0.35">
      <c r="F8116">
        <v>8113</v>
      </c>
      <c r="G8116">
        <f t="shared" ca="1" si="211"/>
        <v>-1.3196828925645958E-2</v>
      </c>
    </row>
    <row r="8117" spans="6:7" x14ac:dyDescent="0.35">
      <c r="F8117">
        <v>8114</v>
      </c>
      <c r="G8117">
        <f t="shared" ca="1" si="211"/>
        <v>-4.9591129042084897E-4</v>
      </c>
    </row>
    <row r="8118" spans="6:7" x14ac:dyDescent="0.35">
      <c r="F8118">
        <v>8115</v>
      </c>
      <c r="G8118">
        <f t="shared" ca="1" si="211"/>
        <v>-6.9344098988969274E-2</v>
      </c>
    </row>
    <row r="8119" spans="6:7" x14ac:dyDescent="0.35">
      <c r="F8119">
        <v>8116</v>
      </c>
      <c r="G8119">
        <f t="shared" ca="1" si="211"/>
        <v>-9.5167956170943771E-3</v>
      </c>
    </row>
    <row r="8120" spans="6:7" x14ac:dyDescent="0.35">
      <c r="F8120">
        <v>8117</v>
      </c>
      <c r="G8120">
        <f t="shared" ca="1" si="211"/>
        <v>-3.7434714603371333E-2</v>
      </c>
    </row>
    <row r="8121" spans="6:7" x14ac:dyDescent="0.35">
      <c r="F8121">
        <v>8118</v>
      </c>
      <c r="G8121">
        <f t="shared" ca="1" si="211"/>
        <v>5.1195494016385519E-2</v>
      </c>
    </row>
    <row r="8122" spans="6:7" x14ac:dyDescent="0.35">
      <c r="F8122">
        <v>8119</v>
      </c>
      <c r="G8122">
        <f t="shared" ca="1" si="211"/>
        <v>-1.1624274120109414E-2</v>
      </c>
    </row>
    <row r="8123" spans="6:7" x14ac:dyDescent="0.35">
      <c r="F8123">
        <v>8120</v>
      </c>
      <c r="G8123">
        <f t="shared" ca="1" si="211"/>
        <v>1.8028280745749449E-2</v>
      </c>
    </row>
    <row r="8124" spans="6:7" x14ac:dyDescent="0.35">
      <c r="F8124">
        <v>8121</v>
      </c>
      <c r="G8124">
        <f t="shared" ca="1" si="211"/>
        <v>-1.1235419573743672E-2</v>
      </c>
    </row>
    <row r="8125" spans="6:7" x14ac:dyDescent="0.35">
      <c r="F8125">
        <v>8122</v>
      </c>
      <c r="G8125">
        <f t="shared" ca="1" si="211"/>
        <v>1.8151403333735036E-2</v>
      </c>
    </row>
    <row r="8126" spans="6:7" x14ac:dyDescent="0.35">
      <c r="F8126">
        <v>8123</v>
      </c>
      <c r="G8126">
        <f t="shared" ca="1" si="211"/>
        <v>-1.5566650322553898E-2</v>
      </c>
    </row>
    <row r="8127" spans="6:7" x14ac:dyDescent="0.35">
      <c r="F8127">
        <v>8124</v>
      </c>
      <c r="G8127">
        <f t="shared" ca="1" si="211"/>
        <v>4.837648618526944E-3</v>
      </c>
    </row>
    <row r="8128" spans="6:7" x14ac:dyDescent="0.35">
      <c r="F8128">
        <v>8125</v>
      </c>
      <c r="G8128">
        <f t="shared" ca="1" si="211"/>
        <v>2.9799412637417366E-2</v>
      </c>
    </row>
    <row r="8129" spans="6:7" x14ac:dyDescent="0.35">
      <c r="F8129">
        <v>8126</v>
      </c>
      <c r="G8129">
        <f t="shared" ca="1" si="211"/>
        <v>-5.9233474527175941E-3</v>
      </c>
    </row>
    <row r="8130" spans="6:7" x14ac:dyDescent="0.35">
      <c r="F8130">
        <v>8127</v>
      </c>
      <c r="G8130">
        <f t="shared" ca="1" si="211"/>
        <v>-1.6046806280452951E-3</v>
      </c>
    </row>
    <row r="8131" spans="6:7" x14ac:dyDescent="0.35">
      <c r="F8131">
        <v>8128</v>
      </c>
      <c r="G8131">
        <f t="shared" ca="1" si="211"/>
        <v>-3.0656786043365854E-2</v>
      </c>
    </row>
    <row r="8132" spans="6:7" x14ac:dyDescent="0.35">
      <c r="F8132">
        <v>8129</v>
      </c>
      <c r="G8132">
        <f t="shared" ca="1" si="211"/>
        <v>4.812083274466069E-2</v>
      </c>
    </row>
    <row r="8133" spans="6:7" x14ac:dyDescent="0.35">
      <c r="F8133">
        <v>8130</v>
      </c>
      <c r="G8133">
        <f t="shared" ref="G8133:G8196" ca="1" si="212">_xlfn.NORM.INV(RAND(),K$6,K$7)</f>
        <v>3.3327601377938783E-2</v>
      </c>
    </row>
    <row r="8134" spans="6:7" x14ac:dyDescent="0.35">
      <c r="F8134">
        <v>8131</v>
      </c>
      <c r="G8134">
        <f t="shared" ca="1" si="212"/>
        <v>8.6575884020381605E-3</v>
      </c>
    </row>
    <row r="8135" spans="6:7" x14ac:dyDescent="0.35">
      <c r="F8135">
        <v>8132</v>
      </c>
      <c r="G8135">
        <f t="shared" ca="1" si="212"/>
        <v>-3.3566377785245939E-2</v>
      </c>
    </row>
    <row r="8136" spans="6:7" x14ac:dyDescent="0.35">
      <c r="F8136">
        <v>8133</v>
      </c>
      <c r="G8136">
        <f t="shared" ca="1" si="212"/>
        <v>-2.4249003140024296E-2</v>
      </c>
    </row>
    <row r="8137" spans="6:7" x14ac:dyDescent="0.35">
      <c r="F8137">
        <v>8134</v>
      </c>
      <c r="G8137">
        <f t="shared" ca="1" si="212"/>
        <v>3.6929723159929088E-2</v>
      </c>
    </row>
    <row r="8138" spans="6:7" x14ac:dyDescent="0.35">
      <c r="F8138">
        <v>8135</v>
      </c>
      <c r="G8138">
        <f t="shared" ca="1" si="212"/>
        <v>2.8320706017019873E-2</v>
      </c>
    </row>
    <row r="8139" spans="6:7" x14ac:dyDescent="0.35">
      <c r="F8139">
        <v>8136</v>
      </c>
      <c r="G8139">
        <f t="shared" ca="1" si="212"/>
        <v>-5.2380232393344399E-3</v>
      </c>
    </row>
    <row r="8140" spans="6:7" x14ac:dyDescent="0.35">
      <c r="F8140">
        <v>8137</v>
      </c>
      <c r="G8140">
        <f t="shared" ca="1" si="212"/>
        <v>-1.7689619673747277E-2</v>
      </c>
    </row>
    <row r="8141" spans="6:7" x14ac:dyDescent="0.35">
      <c r="F8141">
        <v>8138</v>
      </c>
      <c r="G8141">
        <f t="shared" ca="1" si="212"/>
        <v>0.10250692361120484</v>
      </c>
    </row>
    <row r="8142" spans="6:7" x14ac:dyDescent="0.35">
      <c r="F8142">
        <v>8139</v>
      </c>
      <c r="G8142">
        <f t="shared" ca="1" si="212"/>
        <v>-3.1844170075660427E-2</v>
      </c>
    </row>
    <row r="8143" spans="6:7" x14ac:dyDescent="0.35">
      <c r="F8143">
        <v>8140</v>
      </c>
      <c r="G8143">
        <f t="shared" ca="1" si="212"/>
        <v>-2.5065798406852326E-2</v>
      </c>
    </row>
    <row r="8144" spans="6:7" x14ac:dyDescent="0.35">
      <c r="F8144">
        <v>8141</v>
      </c>
      <c r="G8144">
        <f t="shared" ca="1" si="212"/>
        <v>1.0448951000772694E-2</v>
      </c>
    </row>
    <row r="8145" spans="6:7" x14ac:dyDescent="0.35">
      <c r="F8145">
        <v>8142</v>
      </c>
      <c r="G8145">
        <f t="shared" ca="1" si="212"/>
        <v>2.1208353573486435E-3</v>
      </c>
    </row>
    <row r="8146" spans="6:7" x14ac:dyDescent="0.35">
      <c r="F8146">
        <v>8143</v>
      </c>
      <c r="G8146">
        <f t="shared" ca="1" si="212"/>
        <v>-1.9710500029055056E-2</v>
      </c>
    </row>
    <row r="8147" spans="6:7" x14ac:dyDescent="0.35">
      <c r="F8147">
        <v>8144</v>
      </c>
      <c r="G8147">
        <f t="shared" ca="1" si="212"/>
        <v>3.1874230999560514E-2</v>
      </c>
    </row>
    <row r="8148" spans="6:7" x14ac:dyDescent="0.35">
      <c r="F8148">
        <v>8145</v>
      </c>
      <c r="G8148">
        <f t="shared" ca="1" si="212"/>
        <v>1.7740122731923384E-2</v>
      </c>
    </row>
    <row r="8149" spans="6:7" x14ac:dyDescent="0.35">
      <c r="F8149">
        <v>8146</v>
      </c>
      <c r="G8149">
        <f t="shared" ca="1" si="212"/>
        <v>1.6186795725520616E-2</v>
      </c>
    </row>
    <row r="8150" spans="6:7" x14ac:dyDescent="0.35">
      <c r="F8150">
        <v>8147</v>
      </c>
      <c r="G8150">
        <f t="shared" ca="1" si="212"/>
        <v>3.713303041160034E-3</v>
      </c>
    </row>
    <row r="8151" spans="6:7" x14ac:dyDescent="0.35">
      <c r="F8151">
        <v>8148</v>
      </c>
      <c r="G8151">
        <f t="shared" ca="1" si="212"/>
        <v>3.0874604109481429E-3</v>
      </c>
    </row>
    <row r="8152" spans="6:7" x14ac:dyDescent="0.35">
      <c r="F8152">
        <v>8149</v>
      </c>
      <c r="G8152">
        <f t="shared" ca="1" si="212"/>
        <v>4.020834828869646E-2</v>
      </c>
    </row>
    <row r="8153" spans="6:7" x14ac:dyDescent="0.35">
      <c r="F8153">
        <v>8150</v>
      </c>
      <c r="G8153">
        <f t="shared" ca="1" si="212"/>
        <v>-3.3973667834160132E-3</v>
      </c>
    </row>
    <row r="8154" spans="6:7" x14ac:dyDescent="0.35">
      <c r="F8154">
        <v>8151</v>
      </c>
      <c r="G8154">
        <f t="shared" ca="1" si="212"/>
        <v>2.037348117115946E-2</v>
      </c>
    </row>
    <row r="8155" spans="6:7" x14ac:dyDescent="0.35">
      <c r="F8155">
        <v>8152</v>
      </c>
      <c r="G8155">
        <f t="shared" ca="1" si="212"/>
        <v>1.5448053521252506E-2</v>
      </c>
    </row>
    <row r="8156" spans="6:7" x14ac:dyDescent="0.35">
      <c r="F8156">
        <v>8153</v>
      </c>
      <c r="G8156">
        <f t="shared" ca="1" si="212"/>
        <v>3.9294703104155317E-2</v>
      </c>
    </row>
    <row r="8157" spans="6:7" x14ac:dyDescent="0.35">
      <c r="F8157">
        <v>8154</v>
      </c>
      <c r="G8157">
        <f t="shared" ca="1" si="212"/>
        <v>3.6877694635849445E-2</v>
      </c>
    </row>
    <row r="8158" spans="6:7" x14ac:dyDescent="0.35">
      <c r="F8158">
        <v>8155</v>
      </c>
      <c r="G8158">
        <f t="shared" ca="1" si="212"/>
        <v>4.5352189248525892E-3</v>
      </c>
    </row>
    <row r="8159" spans="6:7" x14ac:dyDescent="0.35">
      <c r="F8159">
        <v>8156</v>
      </c>
      <c r="G8159">
        <f t="shared" ca="1" si="212"/>
        <v>-2.18421810860468E-2</v>
      </c>
    </row>
    <row r="8160" spans="6:7" x14ac:dyDescent="0.35">
      <c r="F8160">
        <v>8157</v>
      </c>
      <c r="G8160">
        <f t="shared" ca="1" si="212"/>
        <v>2.2911054351134962E-2</v>
      </c>
    </row>
    <row r="8161" spans="6:7" x14ac:dyDescent="0.35">
      <c r="F8161">
        <v>8158</v>
      </c>
      <c r="G8161">
        <f t="shared" ca="1" si="212"/>
        <v>2.2870953609344803E-2</v>
      </c>
    </row>
    <row r="8162" spans="6:7" x14ac:dyDescent="0.35">
      <c r="F8162">
        <v>8159</v>
      </c>
      <c r="G8162">
        <f t="shared" ca="1" si="212"/>
        <v>-1.3603019345634465E-2</v>
      </c>
    </row>
    <row r="8163" spans="6:7" x14ac:dyDescent="0.35">
      <c r="F8163">
        <v>8160</v>
      </c>
      <c r="G8163">
        <f t="shared" ca="1" si="212"/>
        <v>-3.0233040563433924E-2</v>
      </c>
    </row>
    <row r="8164" spans="6:7" x14ac:dyDescent="0.35">
      <c r="F8164">
        <v>8161</v>
      </c>
      <c r="G8164">
        <f t="shared" ca="1" si="212"/>
        <v>2.2772084301456816E-2</v>
      </c>
    </row>
    <row r="8165" spans="6:7" x14ac:dyDescent="0.35">
      <c r="F8165">
        <v>8162</v>
      </c>
      <c r="G8165">
        <f t="shared" ca="1" si="212"/>
        <v>1.0645806561726364E-2</v>
      </c>
    </row>
    <row r="8166" spans="6:7" x14ac:dyDescent="0.35">
      <c r="F8166">
        <v>8163</v>
      </c>
      <c r="G8166">
        <f t="shared" ca="1" si="212"/>
        <v>-1.9980790264834299E-2</v>
      </c>
    </row>
    <row r="8167" spans="6:7" x14ac:dyDescent="0.35">
      <c r="F8167">
        <v>8164</v>
      </c>
      <c r="G8167">
        <f t="shared" ca="1" si="212"/>
        <v>4.3220709521690874E-2</v>
      </c>
    </row>
    <row r="8168" spans="6:7" x14ac:dyDescent="0.35">
      <c r="F8168">
        <v>8165</v>
      </c>
      <c r="G8168">
        <f t="shared" ca="1" si="212"/>
        <v>5.4959844184871978E-3</v>
      </c>
    </row>
    <row r="8169" spans="6:7" x14ac:dyDescent="0.35">
      <c r="F8169">
        <v>8166</v>
      </c>
      <c r="G8169">
        <f t="shared" ca="1" si="212"/>
        <v>-1.6242345440315776E-4</v>
      </c>
    </row>
    <row r="8170" spans="6:7" x14ac:dyDescent="0.35">
      <c r="F8170">
        <v>8167</v>
      </c>
      <c r="G8170">
        <f t="shared" ca="1" si="212"/>
        <v>-7.088426694613538E-2</v>
      </c>
    </row>
    <row r="8171" spans="6:7" x14ac:dyDescent="0.35">
      <c r="F8171">
        <v>8168</v>
      </c>
      <c r="G8171">
        <f t="shared" ca="1" si="212"/>
        <v>-1.9800222614664614E-2</v>
      </c>
    </row>
    <row r="8172" spans="6:7" x14ac:dyDescent="0.35">
      <c r="F8172">
        <v>8169</v>
      </c>
      <c r="G8172">
        <f t="shared" ca="1" si="212"/>
        <v>1.2394035170882237E-2</v>
      </c>
    </row>
    <row r="8173" spans="6:7" x14ac:dyDescent="0.35">
      <c r="F8173">
        <v>8170</v>
      </c>
      <c r="G8173">
        <f t="shared" ca="1" si="212"/>
        <v>-9.0885956163477503E-3</v>
      </c>
    </row>
    <row r="8174" spans="6:7" x14ac:dyDescent="0.35">
      <c r="F8174">
        <v>8171</v>
      </c>
      <c r="G8174">
        <f t="shared" ca="1" si="212"/>
        <v>2.3565557242240416E-2</v>
      </c>
    </row>
    <row r="8175" spans="6:7" x14ac:dyDescent="0.35">
      <c r="F8175">
        <v>8172</v>
      </c>
      <c r="G8175">
        <f t="shared" ca="1" si="212"/>
        <v>1.2171228592618726E-2</v>
      </c>
    </row>
    <row r="8176" spans="6:7" x14ac:dyDescent="0.35">
      <c r="F8176">
        <v>8173</v>
      </c>
      <c r="G8176">
        <f t="shared" ca="1" si="212"/>
        <v>-1.6684537950037701E-2</v>
      </c>
    </row>
    <row r="8177" spans="6:7" x14ac:dyDescent="0.35">
      <c r="F8177">
        <v>8174</v>
      </c>
      <c r="G8177">
        <f t="shared" ca="1" si="212"/>
        <v>-1.0767706751767451E-2</v>
      </c>
    </row>
    <row r="8178" spans="6:7" x14ac:dyDescent="0.35">
      <c r="F8178">
        <v>8175</v>
      </c>
      <c r="G8178">
        <f t="shared" ca="1" si="212"/>
        <v>1.4443006984587713E-2</v>
      </c>
    </row>
    <row r="8179" spans="6:7" x14ac:dyDescent="0.35">
      <c r="F8179">
        <v>8176</v>
      </c>
      <c r="G8179">
        <f t="shared" ca="1" si="212"/>
        <v>2.3002302415684992E-2</v>
      </c>
    </row>
    <row r="8180" spans="6:7" x14ac:dyDescent="0.35">
      <c r="F8180">
        <v>8177</v>
      </c>
      <c r="G8180">
        <f t="shared" ca="1" si="212"/>
        <v>-4.2166283185550484E-2</v>
      </c>
    </row>
    <row r="8181" spans="6:7" x14ac:dyDescent="0.35">
      <c r="F8181">
        <v>8178</v>
      </c>
      <c r="G8181">
        <f t="shared" ca="1" si="212"/>
        <v>5.0353541470345986E-2</v>
      </c>
    </row>
    <row r="8182" spans="6:7" x14ac:dyDescent="0.35">
      <c r="F8182">
        <v>8179</v>
      </c>
      <c r="G8182">
        <f t="shared" ca="1" si="212"/>
        <v>-1.7294661124020595E-2</v>
      </c>
    </row>
    <row r="8183" spans="6:7" x14ac:dyDescent="0.35">
      <c r="F8183">
        <v>8180</v>
      </c>
      <c r="G8183">
        <f t="shared" ca="1" si="212"/>
        <v>2.9402546553408543E-2</v>
      </c>
    </row>
    <row r="8184" spans="6:7" x14ac:dyDescent="0.35">
      <c r="F8184">
        <v>8181</v>
      </c>
      <c r="G8184">
        <f t="shared" ca="1" si="212"/>
        <v>-1.0328172363640453E-2</v>
      </c>
    </row>
    <row r="8185" spans="6:7" x14ac:dyDescent="0.35">
      <c r="F8185">
        <v>8182</v>
      </c>
      <c r="G8185">
        <f t="shared" ca="1" si="212"/>
        <v>-1.8056791948258967E-2</v>
      </c>
    </row>
    <row r="8186" spans="6:7" x14ac:dyDescent="0.35">
      <c r="F8186">
        <v>8183</v>
      </c>
      <c r="G8186">
        <f t="shared" ca="1" si="212"/>
        <v>-8.3997150412571473E-3</v>
      </c>
    </row>
    <row r="8187" spans="6:7" x14ac:dyDescent="0.35">
      <c r="F8187">
        <v>8184</v>
      </c>
      <c r="G8187">
        <f t="shared" ca="1" si="212"/>
        <v>1.4506170654200795E-2</v>
      </c>
    </row>
    <row r="8188" spans="6:7" x14ac:dyDescent="0.35">
      <c r="F8188">
        <v>8185</v>
      </c>
      <c r="G8188">
        <f t="shared" ca="1" si="212"/>
        <v>2.7944357751422892E-2</v>
      </c>
    </row>
    <row r="8189" spans="6:7" x14ac:dyDescent="0.35">
      <c r="F8189">
        <v>8186</v>
      </c>
      <c r="G8189">
        <f t="shared" ca="1" si="212"/>
        <v>1.2673442355558423E-2</v>
      </c>
    </row>
    <row r="8190" spans="6:7" x14ac:dyDescent="0.35">
      <c r="F8190">
        <v>8187</v>
      </c>
      <c r="G8190">
        <f t="shared" ca="1" si="212"/>
        <v>9.9451765616039335E-3</v>
      </c>
    </row>
    <row r="8191" spans="6:7" x14ac:dyDescent="0.35">
      <c r="F8191">
        <v>8188</v>
      </c>
      <c r="G8191">
        <f t="shared" ca="1" si="212"/>
        <v>-2.821867836655825E-2</v>
      </c>
    </row>
    <row r="8192" spans="6:7" x14ac:dyDescent="0.35">
      <c r="F8192">
        <v>8189</v>
      </c>
      <c r="G8192">
        <f t="shared" ca="1" si="212"/>
        <v>2.3115878665545361E-2</v>
      </c>
    </row>
    <row r="8193" spans="6:7" x14ac:dyDescent="0.35">
      <c r="F8193">
        <v>8190</v>
      </c>
      <c r="G8193">
        <f t="shared" ca="1" si="212"/>
        <v>-5.1570671802691152E-3</v>
      </c>
    </row>
    <row r="8194" spans="6:7" x14ac:dyDescent="0.35">
      <c r="F8194">
        <v>8191</v>
      </c>
      <c r="G8194">
        <f t="shared" ca="1" si="212"/>
        <v>2.8020178822897673E-2</v>
      </c>
    </row>
    <row r="8195" spans="6:7" x14ac:dyDescent="0.35">
      <c r="F8195">
        <v>8192</v>
      </c>
      <c r="G8195">
        <f t="shared" ca="1" si="212"/>
        <v>3.859412371374716E-2</v>
      </c>
    </row>
    <row r="8196" spans="6:7" x14ac:dyDescent="0.35">
      <c r="F8196">
        <v>8193</v>
      </c>
      <c r="G8196">
        <f t="shared" ca="1" si="212"/>
        <v>9.1143238415286529E-3</v>
      </c>
    </row>
    <row r="8197" spans="6:7" x14ac:dyDescent="0.35">
      <c r="F8197">
        <v>8194</v>
      </c>
      <c r="G8197">
        <f t="shared" ref="G8197:G8260" ca="1" si="213">_xlfn.NORM.INV(RAND(),K$6,K$7)</f>
        <v>2.4756885753921418E-2</v>
      </c>
    </row>
    <row r="8198" spans="6:7" x14ac:dyDescent="0.35">
      <c r="F8198">
        <v>8195</v>
      </c>
      <c r="G8198">
        <f t="shared" ca="1" si="213"/>
        <v>4.7376650691300579E-2</v>
      </c>
    </row>
    <row r="8199" spans="6:7" x14ac:dyDescent="0.35">
      <c r="F8199">
        <v>8196</v>
      </c>
      <c r="G8199">
        <f t="shared" ca="1" si="213"/>
        <v>-1.4664976005507698E-2</v>
      </c>
    </row>
    <row r="8200" spans="6:7" x14ac:dyDescent="0.35">
      <c r="F8200">
        <v>8197</v>
      </c>
      <c r="G8200">
        <f t="shared" ca="1" si="213"/>
        <v>-4.0165166712814816E-2</v>
      </c>
    </row>
    <row r="8201" spans="6:7" x14ac:dyDescent="0.35">
      <c r="F8201">
        <v>8198</v>
      </c>
      <c r="G8201">
        <f t="shared" ca="1" si="213"/>
        <v>8.5184984689673747E-3</v>
      </c>
    </row>
    <row r="8202" spans="6:7" x14ac:dyDescent="0.35">
      <c r="F8202">
        <v>8199</v>
      </c>
      <c r="G8202">
        <f t="shared" ca="1" si="213"/>
        <v>8.8957657665936218E-3</v>
      </c>
    </row>
    <row r="8203" spans="6:7" x14ac:dyDescent="0.35">
      <c r="F8203">
        <v>8200</v>
      </c>
      <c r="G8203">
        <f t="shared" ca="1" si="213"/>
        <v>-1.7301087880926821E-2</v>
      </c>
    </row>
    <row r="8204" spans="6:7" x14ac:dyDescent="0.35">
      <c r="F8204">
        <v>8201</v>
      </c>
      <c r="G8204">
        <f t="shared" ca="1" si="213"/>
        <v>-1.2320170484656322E-2</v>
      </c>
    </row>
    <row r="8205" spans="6:7" x14ac:dyDescent="0.35">
      <c r="F8205">
        <v>8202</v>
      </c>
      <c r="G8205">
        <f t="shared" ca="1" si="213"/>
        <v>3.4343430487104247E-2</v>
      </c>
    </row>
    <row r="8206" spans="6:7" x14ac:dyDescent="0.35">
      <c r="F8206">
        <v>8203</v>
      </c>
      <c r="G8206">
        <f t="shared" ca="1" si="213"/>
        <v>2.5668663943340237E-2</v>
      </c>
    </row>
    <row r="8207" spans="6:7" x14ac:dyDescent="0.35">
      <c r="F8207">
        <v>8204</v>
      </c>
      <c r="G8207">
        <f t="shared" ca="1" si="213"/>
        <v>-1.6902704198794528E-3</v>
      </c>
    </row>
    <row r="8208" spans="6:7" x14ac:dyDescent="0.35">
      <c r="F8208">
        <v>8205</v>
      </c>
      <c r="G8208">
        <f t="shared" ca="1" si="213"/>
        <v>-1.5532832700806888E-2</v>
      </c>
    </row>
    <row r="8209" spans="6:7" x14ac:dyDescent="0.35">
      <c r="F8209">
        <v>8206</v>
      </c>
      <c r="G8209">
        <f t="shared" ca="1" si="213"/>
        <v>-5.3111619860240378E-2</v>
      </c>
    </row>
    <row r="8210" spans="6:7" x14ac:dyDescent="0.35">
      <c r="F8210">
        <v>8207</v>
      </c>
      <c r="G8210">
        <f t="shared" ca="1" si="213"/>
        <v>-3.8988843409595464E-2</v>
      </c>
    </row>
    <row r="8211" spans="6:7" x14ac:dyDescent="0.35">
      <c r="F8211">
        <v>8208</v>
      </c>
      <c r="G8211">
        <f t="shared" ca="1" si="213"/>
        <v>3.2225080404749695E-2</v>
      </c>
    </row>
    <row r="8212" spans="6:7" x14ac:dyDescent="0.35">
      <c r="F8212">
        <v>8209</v>
      </c>
      <c r="G8212">
        <f t="shared" ca="1" si="213"/>
        <v>-1.4431316906439028E-2</v>
      </c>
    </row>
    <row r="8213" spans="6:7" x14ac:dyDescent="0.35">
      <c r="F8213">
        <v>8210</v>
      </c>
      <c r="G8213">
        <f t="shared" ca="1" si="213"/>
        <v>8.008838677767147E-3</v>
      </c>
    </row>
    <row r="8214" spans="6:7" x14ac:dyDescent="0.35">
      <c r="F8214">
        <v>8211</v>
      </c>
      <c r="G8214">
        <f t="shared" ca="1" si="213"/>
        <v>9.2132836742598329E-3</v>
      </c>
    </row>
    <row r="8215" spans="6:7" x14ac:dyDescent="0.35">
      <c r="F8215">
        <v>8212</v>
      </c>
      <c r="G8215">
        <f t="shared" ca="1" si="213"/>
        <v>2.8228414888894732E-2</v>
      </c>
    </row>
    <row r="8216" spans="6:7" x14ac:dyDescent="0.35">
      <c r="F8216">
        <v>8213</v>
      </c>
      <c r="G8216">
        <f t="shared" ca="1" si="213"/>
        <v>1.1564621838987108E-2</v>
      </c>
    </row>
    <row r="8217" spans="6:7" x14ac:dyDescent="0.35">
      <c r="F8217">
        <v>8214</v>
      </c>
      <c r="G8217">
        <f t="shared" ca="1" si="213"/>
        <v>-9.3216387184377036E-3</v>
      </c>
    </row>
    <row r="8218" spans="6:7" x14ac:dyDescent="0.35">
      <c r="F8218">
        <v>8215</v>
      </c>
      <c r="G8218">
        <f t="shared" ca="1" si="213"/>
        <v>1.4279649120035884E-2</v>
      </c>
    </row>
    <row r="8219" spans="6:7" x14ac:dyDescent="0.35">
      <c r="F8219">
        <v>8216</v>
      </c>
      <c r="G8219">
        <f t="shared" ca="1" si="213"/>
        <v>4.8192445198161392E-3</v>
      </c>
    </row>
    <row r="8220" spans="6:7" x14ac:dyDescent="0.35">
      <c r="F8220">
        <v>8217</v>
      </c>
      <c r="G8220">
        <f t="shared" ca="1" si="213"/>
        <v>-3.5620780956175921E-2</v>
      </c>
    </row>
    <row r="8221" spans="6:7" x14ac:dyDescent="0.35">
      <c r="F8221">
        <v>8218</v>
      </c>
      <c r="G8221">
        <f t="shared" ca="1" si="213"/>
        <v>9.8593382303072564E-5</v>
      </c>
    </row>
    <row r="8222" spans="6:7" x14ac:dyDescent="0.35">
      <c r="F8222">
        <v>8219</v>
      </c>
      <c r="G8222">
        <f t="shared" ca="1" si="213"/>
        <v>1.784040220102363E-2</v>
      </c>
    </row>
    <row r="8223" spans="6:7" x14ac:dyDescent="0.35">
      <c r="F8223">
        <v>8220</v>
      </c>
      <c r="G8223">
        <f t="shared" ca="1" si="213"/>
        <v>5.6279346008054529E-4</v>
      </c>
    </row>
    <row r="8224" spans="6:7" x14ac:dyDescent="0.35">
      <c r="F8224">
        <v>8221</v>
      </c>
      <c r="G8224">
        <f t="shared" ca="1" si="213"/>
        <v>1.2987349265702413E-3</v>
      </c>
    </row>
    <row r="8225" spans="6:7" x14ac:dyDescent="0.35">
      <c r="F8225">
        <v>8222</v>
      </c>
      <c r="G8225">
        <f t="shared" ca="1" si="213"/>
        <v>1.3024920304180409E-2</v>
      </c>
    </row>
    <row r="8226" spans="6:7" x14ac:dyDescent="0.35">
      <c r="F8226">
        <v>8223</v>
      </c>
      <c r="G8226">
        <f t="shared" ca="1" si="213"/>
        <v>-2.4549827257915793E-2</v>
      </c>
    </row>
    <row r="8227" spans="6:7" x14ac:dyDescent="0.35">
      <c r="F8227">
        <v>8224</v>
      </c>
      <c r="G8227">
        <f t="shared" ca="1" si="213"/>
        <v>1.4562155208120389E-2</v>
      </c>
    </row>
    <row r="8228" spans="6:7" x14ac:dyDescent="0.35">
      <c r="F8228">
        <v>8225</v>
      </c>
      <c r="G8228">
        <f t="shared" ca="1" si="213"/>
        <v>-1.752551286160433E-3</v>
      </c>
    </row>
    <row r="8229" spans="6:7" x14ac:dyDescent="0.35">
      <c r="F8229">
        <v>8226</v>
      </c>
      <c r="G8229">
        <f t="shared" ca="1" si="213"/>
        <v>1.8231120505397492E-3</v>
      </c>
    </row>
    <row r="8230" spans="6:7" x14ac:dyDescent="0.35">
      <c r="F8230">
        <v>8227</v>
      </c>
      <c r="G8230">
        <f t="shared" ca="1" si="213"/>
        <v>2.8643705336925878E-2</v>
      </c>
    </row>
    <row r="8231" spans="6:7" x14ac:dyDescent="0.35">
      <c r="F8231">
        <v>8228</v>
      </c>
      <c r="G8231">
        <f t="shared" ca="1" si="213"/>
        <v>2.9428214215081131E-2</v>
      </c>
    </row>
    <row r="8232" spans="6:7" x14ac:dyDescent="0.35">
      <c r="F8232">
        <v>8229</v>
      </c>
      <c r="G8232">
        <f t="shared" ca="1" si="213"/>
        <v>5.6956405738771186E-3</v>
      </c>
    </row>
    <row r="8233" spans="6:7" x14ac:dyDescent="0.35">
      <c r="F8233">
        <v>8230</v>
      </c>
      <c r="G8233">
        <f t="shared" ca="1" si="213"/>
        <v>-1.2936503559563509E-3</v>
      </c>
    </row>
    <row r="8234" spans="6:7" x14ac:dyDescent="0.35">
      <c r="F8234">
        <v>8231</v>
      </c>
      <c r="G8234">
        <f t="shared" ca="1" si="213"/>
        <v>5.4852660132720076E-3</v>
      </c>
    </row>
    <row r="8235" spans="6:7" x14ac:dyDescent="0.35">
      <c r="F8235">
        <v>8232</v>
      </c>
      <c r="G8235">
        <f t="shared" ca="1" si="213"/>
        <v>2.3840912914468791E-2</v>
      </c>
    </row>
    <row r="8236" spans="6:7" x14ac:dyDescent="0.35">
      <c r="F8236">
        <v>8233</v>
      </c>
      <c r="G8236">
        <f t="shared" ca="1" si="213"/>
        <v>2.3281222993769304E-2</v>
      </c>
    </row>
    <row r="8237" spans="6:7" x14ac:dyDescent="0.35">
      <c r="F8237">
        <v>8234</v>
      </c>
      <c r="G8237">
        <f t="shared" ca="1" si="213"/>
        <v>7.9391974960680411E-3</v>
      </c>
    </row>
    <row r="8238" spans="6:7" x14ac:dyDescent="0.35">
      <c r="F8238">
        <v>8235</v>
      </c>
      <c r="G8238">
        <f t="shared" ca="1" si="213"/>
        <v>3.7654110881556475E-3</v>
      </c>
    </row>
    <row r="8239" spans="6:7" x14ac:dyDescent="0.35">
      <c r="F8239">
        <v>8236</v>
      </c>
      <c r="G8239">
        <f t="shared" ca="1" si="213"/>
        <v>-2.5184211884216979E-2</v>
      </c>
    </row>
    <row r="8240" spans="6:7" x14ac:dyDescent="0.35">
      <c r="F8240">
        <v>8237</v>
      </c>
      <c r="G8240">
        <f t="shared" ca="1" si="213"/>
        <v>-1.882032749322014E-3</v>
      </c>
    </row>
    <row r="8241" spans="6:7" x14ac:dyDescent="0.35">
      <c r="F8241">
        <v>8238</v>
      </c>
      <c r="G8241">
        <f t="shared" ca="1" si="213"/>
        <v>1.9496660805547964E-2</v>
      </c>
    </row>
    <row r="8242" spans="6:7" x14ac:dyDescent="0.35">
      <c r="F8242">
        <v>8239</v>
      </c>
      <c r="G8242">
        <f t="shared" ca="1" si="213"/>
        <v>1.4732076621291198E-2</v>
      </c>
    </row>
    <row r="8243" spans="6:7" x14ac:dyDescent="0.35">
      <c r="F8243">
        <v>8240</v>
      </c>
      <c r="G8243">
        <f t="shared" ca="1" si="213"/>
        <v>-4.2429671368340452E-3</v>
      </c>
    </row>
    <row r="8244" spans="6:7" x14ac:dyDescent="0.35">
      <c r="F8244">
        <v>8241</v>
      </c>
      <c r="G8244">
        <f t="shared" ca="1" si="213"/>
        <v>3.9365508554581388E-2</v>
      </c>
    </row>
    <row r="8245" spans="6:7" x14ac:dyDescent="0.35">
      <c r="F8245">
        <v>8242</v>
      </c>
      <c r="G8245">
        <f t="shared" ca="1" si="213"/>
        <v>-4.6300906082902091E-2</v>
      </c>
    </row>
    <row r="8246" spans="6:7" x14ac:dyDescent="0.35">
      <c r="F8246">
        <v>8243</v>
      </c>
      <c r="G8246">
        <f t="shared" ca="1" si="213"/>
        <v>-2.2789830682633152E-2</v>
      </c>
    </row>
    <row r="8247" spans="6:7" x14ac:dyDescent="0.35">
      <c r="F8247">
        <v>8244</v>
      </c>
      <c r="G8247">
        <f t="shared" ca="1" si="213"/>
        <v>-4.2949323732555458E-3</v>
      </c>
    </row>
    <row r="8248" spans="6:7" x14ac:dyDescent="0.35">
      <c r="F8248">
        <v>8245</v>
      </c>
      <c r="G8248">
        <f t="shared" ca="1" si="213"/>
        <v>-4.4464471374615899E-2</v>
      </c>
    </row>
    <row r="8249" spans="6:7" x14ac:dyDescent="0.35">
      <c r="F8249">
        <v>8246</v>
      </c>
      <c r="G8249">
        <f t="shared" ca="1" si="213"/>
        <v>-7.1086700106933152E-3</v>
      </c>
    </row>
    <row r="8250" spans="6:7" x14ac:dyDescent="0.35">
      <c r="F8250">
        <v>8247</v>
      </c>
      <c r="G8250">
        <f t="shared" ca="1" si="213"/>
        <v>2.5319335628532367E-2</v>
      </c>
    </row>
    <row r="8251" spans="6:7" x14ac:dyDescent="0.35">
      <c r="F8251">
        <v>8248</v>
      </c>
      <c r="G8251">
        <f t="shared" ca="1" si="213"/>
        <v>1.2647165634750783E-2</v>
      </c>
    </row>
    <row r="8252" spans="6:7" x14ac:dyDescent="0.35">
      <c r="F8252">
        <v>8249</v>
      </c>
      <c r="G8252">
        <f t="shared" ca="1" si="213"/>
        <v>-9.9688507992969824E-3</v>
      </c>
    </row>
    <row r="8253" spans="6:7" x14ac:dyDescent="0.35">
      <c r="F8253">
        <v>8250</v>
      </c>
      <c r="G8253">
        <f t="shared" ca="1" si="213"/>
        <v>-1.1848486605660581E-2</v>
      </c>
    </row>
    <row r="8254" spans="6:7" x14ac:dyDescent="0.35">
      <c r="F8254">
        <v>8251</v>
      </c>
      <c r="G8254">
        <f t="shared" ca="1" si="213"/>
        <v>-3.8584709862250821E-2</v>
      </c>
    </row>
    <row r="8255" spans="6:7" x14ac:dyDescent="0.35">
      <c r="F8255">
        <v>8252</v>
      </c>
      <c r="G8255">
        <f t="shared" ca="1" si="213"/>
        <v>7.7628753513411244E-3</v>
      </c>
    </row>
    <row r="8256" spans="6:7" x14ac:dyDescent="0.35">
      <c r="F8256">
        <v>8253</v>
      </c>
      <c r="G8256">
        <f t="shared" ca="1" si="213"/>
        <v>-1.9773743964475961E-2</v>
      </c>
    </row>
    <row r="8257" spans="6:7" x14ac:dyDescent="0.35">
      <c r="F8257">
        <v>8254</v>
      </c>
      <c r="G8257">
        <f t="shared" ca="1" si="213"/>
        <v>7.7091780754039288E-2</v>
      </c>
    </row>
    <row r="8258" spans="6:7" x14ac:dyDescent="0.35">
      <c r="F8258">
        <v>8255</v>
      </c>
      <c r="G8258">
        <f t="shared" ca="1" si="213"/>
        <v>2.2126458311686911E-2</v>
      </c>
    </row>
    <row r="8259" spans="6:7" x14ac:dyDescent="0.35">
      <c r="F8259">
        <v>8256</v>
      </c>
      <c r="G8259">
        <f t="shared" ca="1" si="213"/>
        <v>3.6543366125608059E-2</v>
      </c>
    </row>
    <row r="8260" spans="6:7" x14ac:dyDescent="0.35">
      <c r="F8260">
        <v>8257</v>
      </c>
      <c r="G8260">
        <f t="shared" ca="1" si="213"/>
        <v>6.1471861560612774E-3</v>
      </c>
    </row>
    <row r="8261" spans="6:7" x14ac:dyDescent="0.35">
      <c r="F8261">
        <v>8258</v>
      </c>
      <c r="G8261">
        <f t="shared" ref="G8261:G8324" ca="1" si="214">_xlfn.NORM.INV(RAND(),K$6,K$7)</f>
        <v>-3.3350265581320081E-3</v>
      </c>
    </row>
    <row r="8262" spans="6:7" x14ac:dyDescent="0.35">
      <c r="F8262">
        <v>8259</v>
      </c>
      <c r="G8262">
        <f t="shared" ca="1" si="214"/>
        <v>-2.3401265890858294E-2</v>
      </c>
    </row>
    <row r="8263" spans="6:7" x14ac:dyDescent="0.35">
      <c r="F8263">
        <v>8260</v>
      </c>
      <c r="G8263">
        <f t="shared" ca="1" si="214"/>
        <v>2.3660978747023578E-2</v>
      </c>
    </row>
    <row r="8264" spans="6:7" x14ac:dyDescent="0.35">
      <c r="F8264">
        <v>8261</v>
      </c>
      <c r="G8264">
        <f t="shared" ca="1" si="214"/>
        <v>-9.7814961017002461E-3</v>
      </c>
    </row>
    <row r="8265" spans="6:7" x14ac:dyDescent="0.35">
      <c r="F8265">
        <v>8262</v>
      </c>
      <c r="G8265">
        <f t="shared" ca="1" si="214"/>
        <v>-1.336742328977387E-2</v>
      </c>
    </row>
    <row r="8266" spans="6:7" x14ac:dyDescent="0.35">
      <c r="F8266">
        <v>8263</v>
      </c>
      <c r="G8266">
        <f t="shared" ca="1" si="214"/>
        <v>-9.5752979503035771E-3</v>
      </c>
    </row>
    <row r="8267" spans="6:7" x14ac:dyDescent="0.35">
      <c r="F8267">
        <v>8264</v>
      </c>
      <c r="G8267">
        <f t="shared" ca="1" si="214"/>
        <v>2.2578816530498608E-2</v>
      </c>
    </row>
    <row r="8268" spans="6:7" x14ac:dyDescent="0.35">
      <c r="F8268">
        <v>8265</v>
      </c>
      <c r="G8268">
        <f t="shared" ca="1" si="214"/>
        <v>-1.0244677307572496E-2</v>
      </c>
    </row>
    <row r="8269" spans="6:7" x14ac:dyDescent="0.35">
      <c r="F8269">
        <v>8266</v>
      </c>
      <c r="G8269">
        <f t="shared" ca="1" si="214"/>
        <v>1.5511001956021174E-2</v>
      </c>
    </row>
    <row r="8270" spans="6:7" x14ac:dyDescent="0.35">
      <c r="F8270">
        <v>8267</v>
      </c>
      <c r="G8270">
        <f t="shared" ca="1" si="214"/>
        <v>1.6813647104197489E-4</v>
      </c>
    </row>
    <row r="8271" spans="6:7" x14ac:dyDescent="0.35">
      <c r="F8271">
        <v>8268</v>
      </c>
      <c r="G8271">
        <f t="shared" ca="1" si="214"/>
        <v>-1.3108034512097508E-2</v>
      </c>
    </row>
    <row r="8272" spans="6:7" x14ac:dyDescent="0.35">
      <c r="F8272">
        <v>8269</v>
      </c>
      <c r="G8272">
        <f t="shared" ca="1" si="214"/>
        <v>2.7979290829912434E-2</v>
      </c>
    </row>
    <row r="8273" spans="6:7" x14ac:dyDescent="0.35">
      <c r="F8273">
        <v>8270</v>
      </c>
      <c r="G8273">
        <f t="shared" ca="1" si="214"/>
        <v>1.0257807053356979E-2</v>
      </c>
    </row>
    <row r="8274" spans="6:7" x14ac:dyDescent="0.35">
      <c r="F8274">
        <v>8271</v>
      </c>
      <c r="G8274">
        <f t="shared" ca="1" si="214"/>
        <v>-2.1694782060612539E-2</v>
      </c>
    </row>
    <row r="8275" spans="6:7" x14ac:dyDescent="0.35">
      <c r="F8275">
        <v>8272</v>
      </c>
      <c r="G8275">
        <f t="shared" ca="1" si="214"/>
        <v>-4.5772984963140546E-3</v>
      </c>
    </row>
    <row r="8276" spans="6:7" x14ac:dyDescent="0.35">
      <c r="F8276">
        <v>8273</v>
      </c>
      <c r="G8276">
        <f t="shared" ca="1" si="214"/>
        <v>-1.062999718100386E-3</v>
      </c>
    </row>
    <row r="8277" spans="6:7" x14ac:dyDescent="0.35">
      <c r="F8277">
        <v>8274</v>
      </c>
      <c r="G8277">
        <f t="shared" ca="1" si="214"/>
        <v>1.0791315446968075E-2</v>
      </c>
    </row>
    <row r="8278" spans="6:7" x14ac:dyDescent="0.35">
      <c r="F8278">
        <v>8275</v>
      </c>
      <c r="G8278">
        <f t="shared" ca="1" si="214"/>
        <v>3.2718087036443452E-2</v>
      </c>
    </row>
    <row r="8279" spans="6:7" x14ac:dyDescent="0.35">
      <c r="F8279">
        <v>8276</v>
      </c>
      <c r="G8279">
        <f t="shared" ca="1" si="214"/>
        <v>-2.1014314389332628E-2</v>
      </c>
    </row>
    <row r="8280" spans="6:7" x14ac:dyDescent="0.35">
      <c r="F8280">
        <v>8277</v>
      </c>
      <c r="G8280">
        <f t="shared" ca="1" si="214"/>
        <v>-7.9172674807473416E-3</v>
      </c>
    </row>
    <row r="8281" spans="6:7" x14ac:dyDescent="0.35">
      <c r="F8281">
        <v>8278</v>
      </c>
      <c r="G8281">
        <f t="shared" ca="1" si="214"/>
        <v>-4.9800731528919381E-4</v>
      </c>
    </row>
    <row r="8282" spans="6:7" x14ac:dyDescent="0.35">
      <c r="F8282">
        <v>8279</v>
      </c>
      <c r="G8282">
        <f t="shared" ca="1" si="214"/>
        <v>2.7611459956512242E-3</v>
      </c>
    </row>
    <row r="8283" spans="6:7" x14ac:dyDescent="0.35">
      <c r="F8283">
        <v>8280</v>
      </c>
      <c r="G8283">
        <f t="shared" ca="1" si="214"/>
        <v>-5.7951890839908614E-2</v>
      </c>
    </row>
    <row r="8284" spans="6:7" x14ac:dyDescent="0.35">
      <c r="F8284">
        <v>8281</v>
      </c>
      <c r="G8284">
        <f t="shared" ca="1" si="214"/>
        <v>1.0767735276085107E-2</v>
      </c>
    </row>
    <row r="8285" spans="6:7" x14ac:dyDescent="0.35">
      <c r="F8285">
        <v>8282</v>
      </c>
      <c r="G8285">
        <f t="shared" ca="1" si="214"/>
        <v>-1.360309855394384E-2</v>
      </c>
    </row>
    <row r="8286" spans="6:7" x14ac:dyDescent="0.35">
      <c r="F8286">
        <v>8283</v>
      </c>
      <c r="G8286">
        <f t="shared" ca="1" si="214"/>
        <v>-6.7164987256930157E-3</v>
      </c>
    </row>
    <row r="8287" spans="6:7" x14ac:dyDescent="0.35">
      <c r="F8287">
        <v>8284</v>
      </c>
      <c r="G8287">
        <f t="shared" ca="1" si="214"/>
        <v>-1.8351712321145498E-2</v>
      </c>
    </row>
    <row r="8288" spans="6:7" x14ac:dyDescent="0.35">
      <c r="F8288">
        <v>8285</v>
      </c>
      <c r="G8288">
        <f t="shared" ca="1" si="214"/>
        <v>-4.6933372468280665E-2</v>
      </c>
    </row>
    <row r="8289" spans="6:7" x14ac:dyDescent="0.35">
      <c r="F8289">
        <v>8286</v>
      </c>
      <c r="G8289">
        <f t="shared" ca="1" si="214"/>
        <v>1.5503989919776915E-2</v>
      </c>
    </row>
    <row r="8290" spans="6:7" x14ac:dyDescent="0.35">
      <c r="F8290">
        <v>8287</v>
      </c>
      <c r="G8290">
        <f t="shared" ca="1" si="214"/>
        <v>4.6376628041427732E-2</v>
      </c>
    </row>
    <row r="8291" spans="6:7" x14ac:dyDescent="0.35">
      <c r="F8291">
        <v>8288</v>
      </c>
      <c r="G8291">
        <f t="shared" ca="1" si="214"/>
        <v>4.7955206901592974E-2</v>
      </c>
    </row>
    <row r="8292" spans="6:7" x14ac:dyDescent="0.35">
      <c r="F8292">
        <v>8289</v>
      </c>
      <c r="G8292">
        <f t="shared" ca="1" si="214"/>
        <v>3.4920219218343672E-3</v>
      </c>
    </row>
    <row r="8293" spans="6:7" x14ac:dyDescent="0.35">
      <c r="F8293">
        <v>8290</v>
      </c>
      <c r="G8293">
        <f t="shared" ca="1" si="214"/>
        <v>-5.5917003395081141E-3</v>
      </c>
    </row>
    <row r="8294" spans="6:7" x14ac:dyDescent="0.35">
      <c r="F8294">
        <v>8291</v>
      </c>
      <c r="G8294">
        <f t="shared" ca="1" si="214"/>
        <v>4.3660371400171066E-2</v>
      </c>
    </row>
    <row r="8295" spans="6:7" x14ac:dyDescent="0.35">
      <c r="F8295">
        <v>8292</v>
      </c>
      <c r="G8295">
        <f t="shared" ca="1" si="214"/>
        <v>1.098085981984818E-2</v>
      </c>
    </row>
    <row r="8296" spans="6:7" x14ac:dyDescent="0.35">
      <c r="F8296">
        <v>8293</v>
      </c>
      <c r="G8296">
        <f t="shared" ca="1" si="214"/>
        <v>-2.3980270268917003E-3</v>
      </c>
    </row>
    <row r="8297" spans="6:7" x14ac:dyDescent="0.35">
      <c r="F8297">
        <v>8294</v>
      </c>
      <c r="G8297">
        <f t="shared" ca="1" si="214"/>
        <v>5.3063967687794764E-3</v>
      </c>
    </row>
    <row r="8298" spans="6:7" x14ac:dyDescent="0.35">
      <c r="F8298">
        <v>8295</v>
      </c>
      <c r="G8298">
        <f t="shared" ca="1" si="214"/>
        <v>2.2605683427216268E-3</v>
      </c>
    </row>
    <row r="8299" spans="6:7" x14ac:dyDescent="0.35">
      <c r="F8299">
        <v>8296</v>
      </c>
      <c r="G8299">
        <f t="shared" ca="1" si="214"/>
        <v>-3.674286366916297E-4</v>
      </c>
    </row>
    <row r="8300" spans="6:7" x14ac:dyDescent="0.35">
      <c r="F8300">
        <v>8297</v>
      </c>
      <c r="G8300">
        <f t="shared" ca="1" si="214"/>
        <v>1.275676112202977E-2</v>
      </c>
    </row>
    <row r="8301" spans="6:7" x14ac:dyDescent="0.35">
      <c r="F8301">
        <v>8298</v>
      </c>
      <c r="G8301">
        <f t="shared" ca="1" si="214"/>
        <v>1.6562242168824553E-2</v>
      </c>
    </row>
    <row r="8302" spans="6:7" x14ac:dyDescent="0.35">
      <c r="F8302">
        <v>8299</v>
      </c>
      <c r="G8302">
        <f t="shared" ca="1" si="214"/>
        <v>1.0772535477748557E-2</v>
      </c>
    </row>
    <row r="8303" spans="6:7" x14ac:dyDescent="0.35">
      <c r="F8303">
        <v>8300</v>
      </c>
      <c r="G8303">
        <f t="shared" ca="1" si="214"/>
        <v>-3.3612310604880263E-2</v>
      </c>
    </row>
    <row r="8304" spans="6:7" x14ac:dyDescent="0.35">
      <c r="F8304">
        <v>8301</v>
      </c>
      <c r="G8304">
        <f t="shared" ca="1" si="214"/>
        <v>4.2062164991273465E-2</v>
      </c>
    </row>
    <row r="8305" spans="6:7" x14ac:dyDescent="0.35">
      <c r="F8305">
        <v>8302</v>
      </c>
      <c r="G8305">
        <f t="shared" ca="1" si="214"/>
        <v>-2.6493282744990042E-2</v>
      </c>
    </row>
    <row r="8306" spans="6:7" x14ac:dyDescent="0.35">
      <c r="F8306">
        <v>8303</v>
      </c>
      <c r="G8306">
        <f t="shared" ca="1" si="214"/>
        <v>-2.2714777775454244E-2</v>
      </c>
    </row>
    <row r="8307" spans="6:7" x14ac:dyDescent="0.35">
      <c r="F8307">
        <v>8304</v>
      </c>
      <c r="G8307">
        <f t="shared" ca="1" si="214"/>
        <v>-1.7956849961272035E-2</v>
      </c>
    </row>
    <row r="8308" spans="6:7" x14ac:dyDescent="0.35">
      <c r="F8308">
        <v>8305</v>
      </c>
      <c r="G8308">
        <f t="shared" ca="1" si="214"/>
        <v>1.4541736371445405E-2</v>
      </c>
    </row>
    <row r="8309" spans="6:7" x14ac:dyDescent="0.35">
      <c r="F8309">
        <v>8306</v>
      </c>
      <c r="G8309">
        <f t="shared" ca="1" si="214"/>
        <v>4.2810784935464587E-3</v>
      </c>
    </row>
    <row r="8310" spans="6:7" x14ac:dyDescent="0.35">
      <c r="F8310">
        <v>8307</v>
      </c>
      <c r="G8310">
        <f t="shared" ca="1" si="214"/>
        <v>-2.4108246928860586E-2</v>
      </c>
    </row>
    <row r="8311" spans="6:7" x14ac:dyDescent="0.35">
      <c r="F8311">
        <v>8308</v>
      </c>
      <c r="G8311">
        <f t="shared" ca="1" si="214"/>
        <v>7.4983772975582841E-2</v>
      </c>
    </row>
    <row r="8312" spans="6:7" x14ac:dyDescent="0.35">
      <c r="F8312">
        <v>8309</v>
      </c>
      <c r="G8312">
        <f t="shared" ca="1" si="214"/>
        <v>-1.7043116222087994E-2</v>
      </c>
    </row>
    <row r="8313" spans="6:7" x14ac:dyDescent="0.35">
      <c r="F8313">
        <v>8310</v>
      </c>
      <c r="G8313">
        <f t="shared" ca="1" si="214"/>
        <v>-3.2909132008127916E-2</v>
      </c>
    </row>
    <row r="8314" spans="6:7" x14ac:dyDescent="0.35">
      <c r="F8314">
        <v>8311</v>
      </c>
      <c r="G8314">
        <f t="shared" ca="1" si="214"/>
        <v>1.6390676021641362E-2</v>
      </c>
    </row>
    <row r="8315" spans="6:7" x14ac:dyDescent="0.35">
      <c r="F8315">
        <v>8312</v>
      </c>
      <c r="G8315">
        <f t="shared" ca="1" si="214"/>
        <v>3.15907636686188E-2</v>
      </c>
    </row>
    <row r="8316" spans="6:7" x14ac:dyDescent="0.35">
      <c r="F8316">
        <v>8313</v>
      </c>
      <c r="G8316">
        <f t="shared" ca="1" si="214"/>
        <v>2.616989718194615E-2</v>
      </c>
    </row>
    <row r="8317" spans="6:7" x14ac:dyDescent="0.35">
      <c r="F8317">
        <v>8314</v>
      </c>
      <c r="G8317">
        <f t="shared" ca="1" si="214"/>
        <v>9.0709245991283678E-3</v>
      </c>
    </row>
    <row r="8318" spans="6:7" x14ac:dyDescent="0.35">
      <c r="F8318">
        <v>8315</v>
      </c>
      <c r="G8318">
        <f t="shared" ca="1" si="214"/>
        <v>1.6875977832116411E-2</v>
      </c>
    </row>
    <row r="8319" spans="6:7" x14ac:dyDescent="0.35">
      <c r="F8319">
        <v>8316</v>
      </c>
      <c r="G8319">
        <f t="shared" ca="1" si="214"/>
        <v>-5.0296583359032185E-2</v>
      </c>
    </row>
    <row r="8320" spans="6:7" x14ac:dyDescent="0.35">
      <c r="F8320">
        <v>8317</v>
      </c>
      <c r="G8320">
        <f t="shared" ca="1" si="214"/>
        <v>3.2489985749142455E-2</v>
      </c>
    </row>
    <row r="8321" spans="6:7" x14ac:dyDescent="0.35">
      <c r="F8321">
        <v>8318</v>
      </c>
      <c r="G8321">
        <f t="shared" ca="1" si="214"/>
        <v>-2.7819880311542991E-2</v>
      </c>
    </row>
    <row r="8322" spans="6:7" x14ac:dyDescent="0.35">
      <c r="F8322">
        <v>8319</v>
      </c>
      <c r="G8322">
        <f t="shared" ca="1" si="214"/>
        <v>4.3782895768522637E-2</v>
      </c>
    </row>
    <row r="8323" spans="6:7" x14ac:dyDescent="0.35">
      <c r="F8323">
        <v>8320</v>
      </c>
      <c r="G8323">
        <f t="shared" ca="1" si="214"/>
        <v>-5.0613572123703592E-2</v>
      </c>
    </row>
    <row r="8324" spans="6:7" x14ac:dyDescent="0.35">
      <c r="F8324">
        <v>8321</v>
      </c>
      <c r="G8324">
        <f t="shared" ca="1" si="214"/>
        <v>2.2681021833284517E-2</v>
      </c>
    </row>
    <row r="8325" spans="6:7" x14ac:dyDescent="0.35">
      <c r="F8325">
        <v>8322</v>
      </c>
      <c r="G8325">
        <f t="shared" ref="G8325:G8388" ca="1" si="215">_xlfn.NORM.INV(RAND(),K$6,K$7)</f>
        <v>2.3674522053838722E-2</v>
      </c>
    </row>
    <row r="8326" spans="6:7" x14ac:dyDescent="0.35">
      <c r="F8326">
        <v>8323</v>
      </c>
      <c r="G8326">
        <f t="shared" ca="1" si="215"/>
        <v>2.2864101719539672E-2</v>
      </c>
    </row>
    <row r="8327" spans="6:7" x14ac:dyDescent="0.35">
      <c r="F8327">
        <v>8324</v>
      </c>
      <c r="G8327">
        <f t="shared" ca="1" si="215"/>
        <v>2.5560738761791619E-2</v>
      </c>
    </row>
    <row r="8328" spans="6:7" x14ac:dyDescent="0.35">
      <c r="F8328">
        <v>8325</v>
      </c>
      <c r="G8328">
        <f t="shared" ca="1" si="215"/>
        <v>-1.9470932235357548E-3</v>
      </c>
    </row>
    <row r="8329" spans="6:7" x14ac:dyDescent="0.35">
      <c r="F8329">
        <v>8326</v>
      </c>
      <c r="G8329">
        <f t="shared" ca="1" si="215"/>
        <v>-8.9892574127112268E-3</v>
      </c>
    </row>
    <row r="8330" spans="6:7" x14ac:dyDescent="0.35">
      <c r="F8330">
        <v>8327</v>
      </c>
      <c r="G8330">
        <f t="shared" ca="1" si="215"/>
        <v>-8.8543429054151086E-3</v>
      </c>
    </row>
    <row r="8331" spans="6:7" x14ac:dyDescent="0.35">
      <c r="F8331">
        <v>8328</v>
      </c>
      <c r="G8331">
        <f t="shared" ca="1" si="215"/>
        <v>-1.0466638270118839E-2</v>
      </c>
    </row>
    <row r="8332" spans="6:7" x14ac:dyDescent="0.35">
      <c r="F8332">
        <v>8329</v>
      </c>
      <c r="G8332">
        <f t="shared" ca="1" si="215"/>
        <v>5.4660727397820488E-3</v>
      </c>
    </row>
    <row r="8333" spans="6:7" x14ac:dyDescent="0.35">
      <c r="F8333">
        <v>8330</v>
      </c>
      <c r="G8333">
        <f t="shared" ca="1" si="215"/>
        <v>-2.7157278993360564E-2</v>
      </c>
    </row>
    <row r="8334" spans="6:7" x14ac:dyDescent="0.35">
      <c r="F8334">
        <v>8331</v>
      </c>
      <c r="G8334">
        <f t="shared" ca="1" si="215"/>
        <v>3.6536910892121188E-2</v>
      </c>
    </row>
    <row r="8335" spans="6:7" x14ac:dyDescent="0.35">
      <c r="F8335">
        <v>8332</v>
      </c>
      <c r="G8335">
        <f t="shared" ca="1" si="215"/>
        <v>-8.1476839768101963E-3</v>
      </c>
    </row>
    <row r="8336" spans="6:7" x14ac:dyDescent="0.35">
      <c r="F8336">
        <v>8333</v>
      </c>
      <c r="G8336">
        <f t="shared" ca="1" si="215"/>
        <v>8.6500543202935772E-3</v>
      </c>
    </row>
    <row r="8337" spans="6:7" x14ac:dyDescent="0.35">
      <c r="F8337">
        <v>8334</v>
      </c>
      <c r="G8337">
        <f t="shared" ca="1" si="215"/>
        <v>-7.297975162819835E-2</v>
      </c>
    </row>
    <row r="8338" spans="6:7" x14ac:dyDescent="0.35">
      <c r="F8338">
        <v>8335</v>
      </c>
      <c r="G8338">
        <f t="shared" ca="1" si="215"/>
        <v>2.9922989158193941E-2</v>
      </c>
    </row>
    <row r="8339" spans="6:7" x14ac:dyDescent="0.35">
      <c r="F8339">
        <v>8336</v>
      </c>
      <c r="G8339">
        <f t="shared" ca="1" si="215"/>
        <v>-4.7668142487630686E-3</v>
      </c>
    </row>
    <row r="8340" spans="6:7" x14ac:dyDescent="0.35">
      <c r="F8340">
        <v>8337</v>
      </c>
      <c r="G8340">
        <f t="shared" ca="1" si="215"/>
        <v>3.0166398279049825E-2</v>
      </c>
    </row>
    <row r="8341" spans="6:7" x14ac:dyDescent="0.35">
      <c r="F8341">
        <v>8338</v>
      </c>
      <c r="G8341">
        <f t="shared" ca="1" si="215"/>
        <v>2.6725618616618319E-2</v>
      </c>
    </row>
    <row r="8342" spans="6:7" x14ac:dyDescent="0.35">
      <c r="F8342">
        <v>8339</v>
      </c>
      <c r="G8342">
        <f t="shared" ca="1" si="215"/>
        <v>-1.8144823377372676E-2</v>
      </c>
    </row>
    <row r="8343" spans="6:7" x14ac:dyDescent="0.35">
      <c r="F8343">
        <v>8340</v>
      </c>
      <c r="G8343">
        <f t="shared" ca="1" si="215"/>
        <v>-1.1128720882383994E-2</v>
      </c>
    </row>
    <row r="8344" spans="6:7" x14ac:dyDescent="0.35">
      <c r="F8344">
        <v>8341</v>
      </c>
      <c r="G8344">
        <f t="shared" ca="1" si="215"/>
        <v>-1.1578269721086424E-2</v>
      </c>
    </row>
    <row r="8345" spans="6:7" x14ac:dyDescent="0.35">
      <c r="F8345">
        <v>8342</v>
      </c>
      <c r="G8345">
        <f t="shared" ca="1" si="215"/>
        <v>-1.686412586807673E-3</v>
      </c>
    </row>
    <row r="8346" spans="6:7" x14ac:dyDescent="0.35">
      <c r="F8346">
        <v>8343</v>
      </c>
      <c r="G8346">
        <f t="shared" ca="1" si="215"/>
        <v>-5.8724255939943317E-3</v>
      </c>
    </row>
    <row r="8347" spans="6:7" x14ac:dyDescent="0.35">
      <c r="F8347">
        <v>8344</v>
      </c>
      <c r="G8347">
        <f t="shared" ca="1" si="215"/>
        <v>3.53057305635011E-2</v>
      </c>
    </row>
    <row r="8348" spans="6:7" x14ac:dyDescent="0.35">
      <c r="F8348">
        <v>8345</v>
      </c>
      <c r="G8348">
        <f t="shared" ca="1" si="215"/>
        <v>-1.2020404202678681E-2</v>
      </c>
    </row>
    <row r="8349" spans="6:7" x14ac:dyDescent="0.35">
      <c r="F8349">
        <v>8346</v>
      </c>
      <c r="G8349">
        <f t="shared" ca="1" si="215"/>
        <v>-2.6588127233023496E-2</v>
      </c>
    </row>
    <row r="8350" spans="6:7" x14ac:dyDescent="0.35">
      <c r="F8350">
        <v>8347</v>
      </c>
      <c r="G8350">
        <f t="shared" ca="1" si="215"/>
        <v>-3.5607226359413699E-2</v>
      </c>
    </row>
    <row r="8351" spans="6:7" x14ac:dyDescent="0.35">
      <c r="F8351">
        <v>8348</v>
      </c>
      <c r="G8351">
        <f t="shared" ca="1" si="215"/>
        <v>-1.9896328140090154E-3</v>
      </c>
    </row>
    <row r="8352" spans="6:7" x14ac:dyDescent="0.35">
      <c r="F8352">
        <v>8349</v>
      </c>
      <c r="G8352">
        <f t="shared" ca="1" si="215"/>
        <v>-4.6825681098480301E-2</v>
      </c>
    </row>
    <row r="8353" spans="6:7" x14ac:dyDescent="0.35">
      <c r="F8353">
        <v>8350</v>
      </c>
      <c r="G8353">
        <f t="shared" ca="1" si="215"/>
        <v>1.7810528191263966E-2</v>
      </c>
    </row>
    <row r="8354" spans="6:7" x14ac:dyDescent="0.35">
      <c r="F8354">
        <v>8351</v>
      </c>
      <c r="G8354">
        <f t="shared" ca="1" si="215"/>
        <v>1.2558324521334241E-2</v>
      </c>
    </row>
    <row r="8355" spans="6:7" x14ac:dyDescent="0.35">
      <c r="F8355">
        <v>8352</v>
      </c>
      <c r="G8355">
        <f t="shared" ca="1" si="215"/>
        <v>-3.7066623176036668E-3</v>
      </c>
    </row>
    <row r="8356" spans="6:7" x14ac:dyDescent="0.35">
      <c r="F8356">
        <v>8353</v>
      </c>
      <c r="G8356">
        <f t="shared" ca="1" si="215"/>
        <v>8.0922946587364611E-3</v>
      </c>
    </row>
    <row r="8357" spans="6:7" x14ac:dyDescent="0.35">
      <c r="F8357">
        <v>8354</v>
      </c>
      <c r="G8357">
        <f t="shared" ca="1" si="215"/>
        <v>-4.7498095999680363E-2</v>
      </c>
    </row>
    <row r="8358" spans="6:7" x14ac:dyDescent="0.35">
      <c r="F8358">
        <v>8355</v>
      </c>
      <c r="G8358">
        <f t="shared" ca="1" si="215"/>
        <v>-8.535561673563093E-3</v>
      </c>
    </row>
    <row r="8359" spans="6:7" x14ac:dyDescent="0.35">
      <c r="F8359">
        <v>8356</v>
      </c>
      <c r="G8359">
        <f t="shared" ca="1" si="215"/>
        <v>2.2832918388141266E-2</v>
      </c>
    </row>
    <row r="8360" spans="6:7" x14ac:dyDescent="0.35">
      <c r="F8360">
        <v>8357</v>
      </c>
      <c r="G8360">
        <f t="shared" ca="1" si="215"/>
        <v>-2.8945151538160459E-2</v>
      </c>
    </row>
    <row r="8361" spans="6:7" x14ac:dyDescent="0.35">
      <c r="F8361">
        <v>8358</v>
      </c>
      <c r="G8361">
        <f t="shared" ca="1" si="215"/>
        <v>-1.0783656615356204E-2</v>
      </c>
    </row>
    <row r="8362" spans="6:7" x14ac:dyDescent="0.35">
      <c r="F8362">
        <v>8359</v>
      </c>
      <c r="G8362">
        <f t="shared" ca="1" si="215"/>
        <v>7.8764631210934979E-2</v>
      </c>
    </row>
    <row r="8363" spans="6:7" x14ac:dyDescent="0.35">
      <c r="F8363">
        <v>8360</v>
      </c>
      <c r="G8363">
        <f t="shared" ca="1" si="215"/>
        <v>-5.4124193636597012E-3</v>
      </c>
    </row>
    <row r="8364" spans="6:7" x14ac:dyDescent="0.35">
      <c r="F8364">
        <v>8361</v>
      </c>
      <c r="G8364">
        <f t="shared" ca="1" si="215"/>
        <v>2.7077341160721316E-2</v>
      </c>
    </row>
    <row r="8365" spans="6:7" x14ac:dyDescent="0.35">
      <c r="F8365">
        <v>8362</v>
      </c>
      <c r="G8365">
        <f t="shared" ca="1" si="215"/>
        <v>3.7735992954562439E-2</v>
      </c>
    </row>
    <row r="8366" spans="6:7" x14ac:dyDescent="0.35">
      <c r="F8366">
        <v>8363</v>
      </c>
      <c r="G8366">
        <f t="shared" ca="1" si="215"/>
        <v>-1.974962597322942E-2</v>
      </c>
    </row>
    <row r="8367" spans="6:7" x14ac:dyDescent="0.35">
      <c r="F8367">
        <v>8364</v>
      </c>
      <c r="G8367">
        <f t="shared" ca="1" si="215"/>
        <v>5.0852695420922096E-3</v>
      </c>
    </row>
    <row r="8368" spans="6:7" x14ac:dyDescent="0.35">
      <c r="F8368">
        <v>8365</v>
      </c>
      <c r="G8368">
        <f t="shared" ca="1" si="215"/>
        <v>-3.3979208480034925E-3</v>
      </c>
    </row>
    <row r="8369" spans="6:7" x14ac:dyDescent="0.35">
      <c r="F8369">
        <v>8366</v>
      </c>
      <c r="G8369">
        <f t="shared" ca="1" si="215"/>
        <v>1.751330035540936E-3</v>
      </c>
    </row>
    <row r="8370" spans="6:7" x14ac:dyDescent="0.35">
      <c r="F8370">
        <v>8367</v>
      </c>
      <c r="G8370">
        <f t="shared" ca="1" si="215"/>
        <v>6.5620486299711352E-3</v>
      </c>
    </row>
    <row r="8371" spans="6:7" x14ac:dyDescent="0.35">
      <c r="F8371">
        <v>8368</v>
      </c>
      <c r="G8371">
        <f t="shared" ca="1" si="215"/>
        <v>-3.6965710448286115E-2</v>
      </c>
    </row>
    <row r="8372" spans="6:7" x14ac:dyDescent="0.35">
      <c r="F8372">
        <v>8369</v>
      </c>
      <c r="G8372">
        <f t="shared" ca="1" si="215"/>
        <v>-3.0250707393419682E-3</v>
      </c>
    </row>
    <row r="8373" spans="6:7" x14ac:dyDescent="0.35">
      <c r="F8373">
        <v>8370</v>
      </c>
      <c r="G8373">
        <f t="shared" ca="1" si="215"/>
        <v>-5.589810085139822E-3</v>
      </c>
    </row>
    <row r="8374" spans="6:7" x14ac:dyDescent="0.35">
      <c r="F8374">
        <v>8371</v>
      </c>
      <c r="G8374">
        <f t="shared" ca="1" si="215"/>
        <v>2.6645424244113362E-2</v>
      </c>
    </row>
    <row r="8375" spans="6:7" x14ac:dyDescent="0.35">
      <c r="F8375">
        <v>8372</v>
      </c>
      <c r="G8375">
        <f t="shared" ca="1" si="215"/>
        <v>-3.100464762109981E-2</v>
      </c>
    </row>
    <row r="8376" spans="6:7" x14ac:dyDescent="0.35">
      <c r="F8376">
        <v>8373</v>
      </c>
      <c r="G8376">
        <f t="shared" ca="1" si="215"/>
        <v>-1.1102681623969931E-2</v>
      </c>
    </row>
    <row r="8377" spans="6:7" x14ac:dyDescent="0.35">
      <c r="F8377">
        <v>8374</v>
      </c>
      <c r="G8377">
        <f t="shared" ca="1" si="215"/>
        <v>1.1496179280475452E-2</v>
      </c>
    </row>
    <row r="8378" spans="6:7" x14ac:dyDescent="0.35">
      <c r="F8378">
        <v>8375</v>
      </c>
      <c r="G8378">
        <f t="shared" ca="1" si="215"/>
        <v>-1.7684250998702487E-2</v>
      </c>
    </row>
    <row r="8379" spans="6:7" x14ac:dyDescent="0.35">
      <c r="F8379">
        <v>8376</v>
      </c>
      <c r="G8379">
        <f t="shared" ca="1" si="215"/>
        <v>3.6530483120350621E-2</v>
      </c>
    </row>
    <row r="8380" spans="6:7" x14ac:dyDescent="0.35">
      <c r="F8380">
        <v>8377</v>
      </c>
      <c r="G8380">
        <f t="shared" ca="1" si="215"/>
        <v>2.2622586358387792E-2</v>
      </c>
    </row>
    <row r="8381" spans="6:7" x14ac:dyDescent="0.35">
      <c r="F8381">
        <v>8378</v>
      </c>
      <c r="G8381">
        <f t="shared" ca="1" si="215"/>
        <v>3.5927488343079784E-3</v>
      </c>
    </row>
    <row r="8382" spans="6:7" x14ac:dyDescent="0.35">
      <c r="F8382">
        <v>8379</v>
      </c>
      <c r="G8382">
        <f t="shared" ca="1" si="215"/>
        <v>-2.9530144560243068E-2</v>
      </c>
    </row>
    <row r="8383" spans="6:7" x14ac:dyDescent="0.35">
      <c r="F8383">
        <v>8380</v>
      </c>
      <c r="G8383">
        <f t="shared" ca="1" si="215"/>
        <v>1.2439310140924824E-2</v>
      </c>
    </row>
    <row r="8384" spans="6:7" x14ac:dyDescent="0.35">
      <c r="F8384">
        <v>8381</v>
      </c>
      <c r="G8384">
        <f t="shared" ca="1" si="215"/>
        <v>8.4949493199476204E-3</v>
      </c>
    </row>
    <row r="8385" spans="6:7" x14ac:dyDescent="0.35">
      <c r="F8385">
        <v>8382</v>
      </c>
      <c r="G8385">
        <f t="shared" ca="1" si="215"/>
        <v>-1.657654820178937E-2</v>
      </c>
    </row>
    <row r="8386" spans="6:7" x14ac:dyDescent="0.35">
      <c r="F8386">
        <v>8383</v>
      </c>
      <c r="G8386">
        <f t="shared" ca="1" si="215"/>
        <v>-3.3121463981473434E-2</v>
      </c>
    </row>
    <row r="8387" spans="6:7" x14ac:dyDescent="0.35">
      <c r="F8387">
        <v>8384</v>
      </c>
      <c r="G8387">
        <f t="shared" ca="1" si="215"/>
        <v>1.1111301611305538E-2</v>
      </c>
    </row>
    <row r="8388" spans="6:7" x14ac:dyDescent="0.35">
      <c r="F8388">
        <v>8385</v>
      </c>
      <c r="G8388">
        <f t="shared" ca="1" si="215"/>
        <v>8.6031514813300087E-3</v>
      </c>
    </row>
    <row r="8389" spans="6:7" x14ac:dyDescent="0.35">
      <c r="F8389">
        <v>8386</v>
      </c>
      <c r="G8389">
        <f t="shared" ref="G8389:G8452" ca="1" si="216">_xlfn.NORM.INV(RAND(),K$6,K$7)</f>
        <v>3.8819623355051493E-2</v>
      </c>
    </row>
    <row r="8390" spans="6:7" x14ac:dyDescent="0.35">
      <c r="F8390">
        <v>8387</v>
      </c>
      <c r="G8390">
        <f t="shared" ca="1" si="216"/>
        <v>3.6612043946585689E-2</v>
      </c>
    </row>
    <row r="8391" spans="6:7" x14ac:dyDescent="0.35">
      <c r="F8391">
        <v>8388</v>
      </c>
      <c r="G8391">
        <f t="shared" ca="1" si="216"/>
        <v>2.442702610900864E-2</v>
      </c>
    </row>
    <row r="8392" spans="6:7" x14ac:dyDescent="0.35">
      <c r="F8392">
        <v>8389</v>
      </c>
      <c r="G8392">
        <f t="shared" ca="1" si="216"/>
        <v>8.7295016199399889E-3</v>
      </c>
    </row>
    <row r="8393" spans="6:7" x14ac:dyDescent="0.35">
      <c r="F8393">
        <v>8390</v>
      </c>
      <c r="G8393">
        <f t="shared" ca="1" si="216"/>
        <v>8.2108276191269879E-3</v>
      </c>
    </row>
    <row r="8394" spans="6:7" x14ac:dyDescent="0.35">
      <c r="F8394">
        <v>8391</v>
      </c>
      <c r="G8394">
        <f t="shared" ca="1" si="216"/>
        <v>-1.5616832721761124E-2</v>
      </c>
    </row>
    <row r="8395" spans="6:7" x14ac:dyDescent="0.35">
      <c r="F8395">
        <v>8392</v>
      </c>
      <c r="G8395">
        <f t="shared" ca="1" si="216"/>
        <v>-5.7109966691278248E-2</v>
      </c>
    </row>
    <row r="8396" spans="6:7" x14ac:dyDescent="0.35">
      <c r="F8396">
        <v>8393</v>
      </c>
      <c r="G8396">
        <f t="shared" ca="1" si="216"/>
        <v>3.1674780344125138E-2</v>
      </c>
    </row>
    <row r="8397" spans="6:7" x14ac:dyDescent="0.35">
      <c r="F8397">
        <v>8394</v>
      </c>
      <c r="G8397">
        <f t="shared" ca="1" si="216"/>
        <v>8.3485173880354802E-3</v>
      </c>
    </row>
    <row r="8398" spans="6:7" x14ac:dyDescent="0.35">
      <c r="F8398">
        <v>8395</v>
      </c>
      <c r="G8398">
        <f t="shared" ca="1" si="216"/>
        <v>5.2916961367341454E-2</v>
      </c>
    </row>
    <row r="8399" spans="6:7" x14ac:dyDescent="0.35">
      <c r="F8399">
        <v>8396</v>
      </c>
      <c r="G8399">
        <f t="shared" ca="1" si="216"/>
        <v>-5.882416789403099E-3</v>
      </c>
    </row>
    <row r="8400" spans="6:7" x14ac:dyDescent="0.35">
      <c r="F8400">
        <v>8397</v>
      </c>
      <c r="G8400">
        <f t="shared" ca="1" si="216"/>
        <v>-1.3615694175801239E-2</v>
      </c>
    </row>
    <row r="8401" spans="6:7" x14ac:dyDescent="0.35">
      <c r="F8401">
        <v>8398</v>
      </c>
      <c r="G8401">
        <f t="shared" ca="1" si="216"/>
        <v>2.1376369349993412E-2</v>
      </c>
    </row>
    <row r="8402" spans="6:7" x14ac:dyDescent="0.35">
      <c r="F8402">
        <v>8399</v>
      </c>
      <c r="G8402">
        <f t="shared" ca="1" si="216"/>
        <v>-1.7659833495307319E-2</v>
      </c>
    </row>
    <row r="8403" spans="6:7" x14ac:dyDescent="0.35">
      <c r="F8403">
        <v>8400</v>
      </c>
      <c r="G8403">
        <f t="shared" ca="1" si="216"/>
        <v>5.9171065689735389E-2</v>
      </c>
    </row>
    <row r="8404" spans="6:7" x14ac:dyDescent="0.35">
      <c r="F8404">
        <v>8401</v>
      </c>
      <c r="G8404">
        <f t="shared" ca="1" si="216"/>
        <v>2.1047607298357321E-2</v>
      </c>
    </row>
    <row r="8405" spans="6:7" x14ac:dyDescent="0.35">
      <c r="F8405">
        <v>8402</v>
      </c>
      <c r="G8405">
        <f t="shared" ca="1" si="216"/>
        <v>2.2511751963618931E-2</v>
      </c>
    </row>
    <row r="8406" spans="6:7" x14ac:dyDescent="0.35">
      <c r="F8406">
        <v>8403</v>
      </c>
      <c r="G8406">
        <f t="shared" ca="1" si="216"/>
        <v>2.1264779556680212E-3</v>
      </c>
    </row>
    <row r="8407" spans="6:7" x14ac:dyDescent="0.35">
      <c r="F8407">
        <v>8404</v>
      </c>
      <c r="G8407">
        <f t="shared" ca="1" si="216"/>
        <v>3.3388382762355159E-2</v>
      </c>
    </row>
    <row r="8408" spans="6:7" x14ac:dyDescent="0.35">
      <c r="F8408">
        <v>8405</v>
      </c>
      <c r="G8408">
        <f t="shared" ca="1" si="216"/>
        <v>1.579638299777825E-2</v>
      </c>
    </row>
    <row r="8409" spans="6:7" x14ac:dyDescent="0.35">
      <c r="F8409">
        <v>8406</v>
      </c>
      <c r="G8409">
        <f t="shared" ca="1" si="216"/>
        <v>3.3671615220936472E-2</v>
      </c>
    </row>
    <row r="8410" spans="6:7" x14ac:dyDescent="0.35">
      <c r="F8410">
        <v>8407</v>
      </c>
      <c r="G8410">
        <f t="shared" ca="1" si="216"/>
        <v>5.0795775100904899E-3</v>
      </c>
    </row>
    <row r="8411" spans="6:7" x14ac:dyDescent="0.35">
      <c r="F8411">
        <v>8408</v>
      </c>
      <c r="G8411">
        <f t="shared" ca="1" si="216"/>
        <v>9.0680703229073008E-3</v>
      </c>
    </row>
    <row r="8412" spans="6:7" x14ac:dyDescent="0.35">
      <c r="F8412">
        <v>8409</v>
      </c>
      <c r="G8412">
        <f t="shared" ca="1" si="216"/>
        <v>3.8234145455155938E-2</v>
      </c>
    </row>
    <row r="8413" spans="6:7" x14ac:dyDescent="0.35">
      <c r="F8413">
        <v>8410</v>
      </c>
      <c r="G8413">
        <f t="shared" ca="1" si="216"/>
        <v>-5.5805619927252652E-3</v>
      </c>
    </row>
    <row r="8414" spans="6:7" x14ac:dyDescent="0.35">
      <c r="F8414">
        <v>8411</v>
      </c>
      <c r="G8414">
        <f t="shared" ca="1" si="216"/>
        <v>1.3369237633106499E-2</v>
      </c>
    </row>
    <row r="8415" spans="6:7" x14ac:dyDescent="0.35">
      <c r="F8415">
        <v>8412</v>
      </c>
      <c r="G8415">
        <f t="shared" ca="1" si="216"/>
        <v>-8.2087785589057532E-3</v>
      </c>
    </row>
    <row r="8416" spans="6:7" x14ac:dyDescent="0.35">
      <c r="F8416">
        <v>8413</v>
      </c>
      <c r="G8416">
        <f t="shared" ca="1" si="216"/>
        <v>1.2333357662240516E-2</v>
      </c>
    </row>
    <row r="8417" spans="6:7" x14ac:dyDescent="0.35">
      <c r="F8417">
        <v>8414</v>
      </c>
      <c r="G8417">
        <f t="shared" ca="1" si="216"/>
        <v>-4.5860111867986671E-2</v>
      </c>
    </row>
    <row r="8418" spans="6:7" x14ac:dyDescent="0.35">
      <c r="F8418">
        <v>8415</v>
      </c>
      <c r="G8418">
        <f t="shared" ca="1" si="216"/>
        <v>-3.3747276774863326E-2</v>
      </c>
    </row>
    <row r="8419" spans="6:7" x14ac:dyDescent="0.35">
      <c r="F8419">
        <v>8416</v>
      </c>
      <c r="G8419">
        <f t="shared" ca="1" si="216"/>
        <v>-1.4641403649530333E-2</v>
      </c>
    </row>
    <row r="8420" spans="6:7" x14ac:dyDescent="0.35">
      <c r="F8420">
        <v>8417</v>
      </c>
      <c r="G8420">
        <f t="shared" ca="1" si="216"/>
        <v>-4.5506225026172929E-2</v>
      </c>
    </row>
    <row r="8421" spans="6:7" x14ac:dyDescent="0.35">
      <c r="F8421">
        <v>8418</v>
      </c>
      <c r="G8421">
        <f t="shared" ca="1" si="216"/>
        <v>5.1420451757127443E-2</v>
      </c>
    </row>
    <row r="8422" spans="6:7" x14ac:dyDescent="0.35">
      <c r="F8422">
        <v>8419</v>
      </c>
      <c r="G8422">
        <f t="shared" ca="1" si="216"/>
        <v>8.983676585636359E-2</v>
      </c>
    </row>
    <row r="8423" spans="6:7" x14ac:dyDescent="0.35">
      <c r="F8423">
        <v>8420</v>
      </c>
      <c r="G8423">
        <f t="shared" ca="1" si="216"/>
        <v>3.4485501529467381E-2</v>
      </c>
    </row>
    <row r="8424" spans="6:7" x14ac:dyDescent="0.35">
      <c r="F8424">
        <v>8421</v>
      </c>
      <c r="G8424">
        <f t="shared" ca="1" si="216"/>
        <v>-7.7577453473535209E-3</v>
      </c>
    </row>
    <row r="8425" spans="6:7" x14ac:dyDescent="0.35">
      <c r="F8425">
        <v>8422</v>
      </c>
      <c r="G8425">
        <f t="shared" ca="1" si="216"/>
        <v>-5.0969515574267155E-2</v>
      </c>
    </row>
    <row r="8426" spans="6:7" x14ac:dyDescent="0.35">
      <c r="F8426">
        <v>8423</v>
      </c>
      <c r="G8426">
        <f t="shared" ca="1" si="216"/>
        <v>-1.1744699851158648E-2</v>
      </c>
    </row>
    <row r="8427" spans="6:7" x14ac:dyDescent="0.35">
      <c r="F8427">
        <v>8424</v>
      </c>
      <c r="G8427">
        <f t="shared" ca="1" si="216"/>
        <v>-4.3023799553537911E-3</v>
      </c>
    </row>
    <row r="8428" spans="6:7" x14ac:dyDescent="0.35">
      <c r="F8428">
        <v>8425</v>
      </c>
      <c r="G8428">
        <f t="shared" ca="1" si="216"/>
        <v>2.5624824404251921E-2</v>
      </c>
    </row>
    <row r="8429" spans="6:7" x14ac:dyDescent="0.35">
      <c r="F8429">
        <v>8426</v>
      </c>
      <c r="G8429">
        <f t="shared" ca="1" si="216"/>
        <v>1.7942418621799669E-2</v>
      </c>
    </row>
    <row r="8430" spans="6:7" x14ac:dyDescent="0.35">
      <c r="F8430">
        <v>8427</v>
      </c>
      <c r="G8430">
        <f t="shared" ca="1" si="216"/>
        <v>-3.0115697547331222E-2</v>
      </c>
    </row>
    <row r="8431" spans="6:7" x14ac:dyDescent="0.35">
      <c r="F8431">
        <v>8428</v>
      </c>
      <c r="G8431">
        <f t="shared" ca="1" si="216"/>
        <v>-6.6364252495834685E-4</v>
      </c>
    </row>
    <row r="8432" spans="6:7" x14ac:dyDescent="0.35">
      <c r="F8432">
        <v>8429</v>
      </c>
      <c r="G8432">
        <f t="shared" ca="1" si="216"/>
        <v>5.3874973841496039E-2</v>
      </c>
    </row>
    <row r="8433" spans="6:7" x14ac:dyDescent="0.35">
      <c r="F8433">
        <v>8430</v>
      </c>
      <c r="G8433">
        <f t="shared" ca="1" si="216"/>
        <v>1.2641845179578498E-2</v>
      </c>
    </row>
    <row r="8434" spans="6:7" x14ac:dyDescent="0.35">
      <c r="F8434">
        <v>8431</v>
      </c>
      <c r="G8434">
        <f t="shared" ca="1" si="216"/>
        <v>-1.7634582087961582E-2</v>
      </c>
    </row>
    <row r="8435" spans="6:7" x14ac:dyDescent="0.35">
      <c r="F8435">
        <v>8432</v>
      </c>
      <c r="G8435">
        <f t="shared" ca="1" si="216"/>
        <v>1.7415953476453833E-3</v>
      </c>
    </row>
    <row r="8436" spans="6:7" x14ac:dyDescent="0.35">
      <c r="F8436">
        <v>8433</v>
      </c>
      <c r="G8436">
        <f t="shared" ca="1" si="216"/>
        <v>-1.7783113201815283E-2</v>
      </c>
    </row>
    <row r="8437" spans="6:7" x14ac:dyDescent="0.35">
      <c r="F8437">
        <v>8434</v>
      </c>
      <c r="G8437">
        <f t="shared" ca="1" si="216"/>
        <v>-2.9396119973325793E-2</v>
      </c>
    </row>
    <row r="8438" spans="6:7" x14ac:dyDescent="0.35">
      <c r="F8438">
        <v>8435</v>
      </c>
      <c r="G8438">
        <f t="shared" ca="1" si="216"/>
        <v>5.9780013734471456E-2</v>
      </c>
    </row>
    <row r="8439" spans="6:7" x14ac:dyDescent="0.35">
      <c r="F8439">
        <v>8436</v>
      </c>
      <c r="G8439">
        <f t="shared" ca="1" si="216"/>
        <v>-1.5194844930308885E-2</v>
      </c>
    </row>
    <row r="8440" spans="6:7" x14ac:dyDescent="0.35">
      <c r="F8440">
        <v>8437</v>
      </c>
      <c r="G8440">
        <f t="shared" ca="1" si="216"/>
        <v>2.7841753281313716E-2</v>
      </c>
    </row>
    <row r="8441" spans="6:7" x14ac:dyDescent="0.35">
      <c r="F8441">
        <v>8438</v>
      </c>
      <c r="G8441">
        <f t="shared" ca="1" si="216"/>
        <v>-1.3709919776912643E-2</v>
      </c>
    </row>
    <row r="8442" spans="6:7" x14ac:dyDescent="0.35">
      <c r="F8442">
        <v>8439</v>
      </c>
      <c r="G8442">
        <f t="shared" ca="1" si="216"/>
        <v>4.6763478792981705E-2</v>
      </c>
    </row>
    <row r="8443" spans="6:7" x14ac:dyDescent="0.35">
      <c r="F8443">
        <v>8440</v>
      </c>
      <c r="G8443">
        <f t="shared" ca="1" si="216"/>
        <v>4.0016856791224742E-2</v>
      </c>
    </row>
    <row r="8444" spans="6:7" x14ac:dyDescent="0.35">
      <c r="F8444">
        <v>8441</v>
      </c>
      <c r="G8444">
        <f t="shared" ca="1" si="216"/>
        <v>-7.7783575148108932E-3</v>
      </c>
    </row>
    <row r="8445" spans="6:7" x14ac:dyDescent="0.35">
      <c r="F8445">
        <v>8442</v>
      </c>
      <c r="G8445">
        <f t="shared" ca="1" si="216"/>
        <v>1.8604820563267409E-2</v>
      </c>
    </row>
    <row r="8446" spans="6:7" x14ac:dyDescent="0.35">
      <c r="F8446">
        <v>8443</v>
      </c>
      <c r="G8446">
        <f t="shared" ca="1" si="216"/>
        <v>-2.4642672083007747E-2</v>
      </c>
    </row>
    <row r="8447" spans="6:7" x14ac:dyDescent="0.35">
      <c r="F8447">
        <v>8444</v>
      </c>
      <c r="G8447">
        <f t="shared" ca="1" si="216"/>
        <v>1.5563023792896745E-2</v>
      </c>
    </row>
    <row r="8448" spans="6:7" x14ac:dyDescent="0.35">
      <c r="F8448">
        <v>8445</v>
      </c>
      <c r="G8448">
        <f t="shared" ca="1" si="216"/>
        <v>-1.4404866272295942E-2</v>
      </c>
    </row>
    <row r="8449" spans="6:7" x14ac:dyDescent="0.35">
      <c r="F8449">
        <v>8446</v>
      </c>
      <c r="G8449">
        <f t="shared" ca="1" si="216"/>
        <v>4.3560055489300038E-2</v>
      </c>
    </row>
    <row r="8450" spans="6:7" x14ac:dyDescent="0.35">
      <c r="F8450">
        <v>8447</v>
      </c>
      <c r="G8450">
        <f t="shared" ca="1" si="216"/>
        <v>5.6356828092802527E-2</v>
      </c>
    </row>
    <row r="8451" spans="6:7" x14ac:dyDescent="0.35">
      <c r="F8451">
        <v>8448</v>
      </c>
      <c r="G8451">
        <f t="shared" ca="1" si="216"/>
        <v>1.3254444575520503E-2</v>
      </c>
    </row>
    <row r="8452" spans="6:7" x14ac:dyDescent="0.35">
      <c r="F8452">
        <v>8449</v>
      </c>
      <c r="G8452">
        <f t="shared" ca="1" si="216"/>
        <v>3.323820494741124E-2</v>
      </c>
    </row>
    <row r="8453" spans="6:7" x14ac:dyDescent="0.35">
      <c r="F8453">
        <v>8450</v>
      </c>
      <c r="G8453">
        <f t="shared" ref="G8453:G8516" ca="1" si="217">_xlfn.NORM.INV(RAND(),K$6,K$7)</f>
        <v>-2.274377365094744E-2</v>
      </c>
    </row>
    <row r="8454" spans="6:7" x14ac:dyDescent="0.35">
      <c r="F8454">
        <v>8451</v>
      </c>
      <c r="G8454">
        <f t="shared" ca="1" si="217"/>
        <v>-2.6541065415677167E-3</v>
      </c>
    </row>
    <row r="8455" spans="6:7" x14ac:dyDescent="0.35">
      <c r="F8455">
        <v>8452</v>
      </c>
      <c r="G8455">
        <f t="shared" ca="1" si="217"/>
        <v>-1.732690431602953E-2</v>
      </c>
    </row>
    <row r="8456" spans="6:7" x14ac:dyDescent="0.35">
      <c r="F8456">
        <v>8453</v>
      </c>
      <c r="G8456">
        <f t="shared" ca="1" si="217"/>
        <v>-8.4796771697594996E-3</v>
      </c>
    </row>
    <row r="8457" spans="6:7" x14ac:dyDescent="0.35">
      <c r="F8457">
        <v>8454</v>
      </c>
      <c r="G8457">
        <f t="shared" ca="1" si="217"/>
        <v>1.0558818884871009E-2</v>
      </c>
    </row>
    <row r="8458" spans="6:7" x14ac:dyDescent="0.35">
      <c r="F8458">
        <v>8455</v>
      </c>
      <c r="G8458">
        <f t="shared" ca="1" si="217"/>
        <v>-5.9841128190615794E-2</v>
      </c>
    </row>
    <row r="8459" spans="6:7" x14ac:dyDescent="0.35">
      <c r="F8459">
        <v>8456</v>
      </c>
      <c r="G8459">
        <f t="shared" ca="1" si="217"/>
        <v>5.7993373359410891E-2</v>
      </c>
    </row>
    <row r="8460" spans="6:7" x14ac:dyDescent="0.35">
      <c r="F8460">
        <v>8457</v>
      </c>
      <c r="G8460">
        <f t="shared" ca="1" si="217"/>
        <v>2.2243994780118407E-2</v>
      </c>
    </row>
    <row r="8461" spans="6:7" x14ac:dyDescent="0.35">
      <c r="F8461">
        <v>8458</v>
      </c>
      <c r="G8461">
        <f t="shared" ca="1" si="217"/>
        <v>2.8298730707342006E-2</v>
      </c>
    </row>
    <row r="8462" spans="6:7" x14ac:dyDescent="0.35">
      <c r="F8462">
        <v>8459</v>
      </c>
      <c r="G8462">
        <f t="shared" ca="1" si="217"/>
        <v>-1.3706700487864175E-2</v>
      </c>
    </row>
    <row r="8463" spans="6:7" x14ac:dyDescent="0.35">
      <c r="F8463">
        <v>8460</v>
      </c>
      <c r="G8463">
        <f t="shared" ca="1" si="217"/>
        <v>1.909261317623059E-2</v>
      </c>
    </row>
    <row r="8464" spans="6:7" x14ac:dyDescent="0.35">
      <c r="F8464">
        <v>8461</v>
      </c>
      <c r="G8464">
        <f t="shared" ca="1" si="217"/>
        <v>-1.7239476574838552E-2</v>
      </c>
    </row>
    <row r="8465" spans="6:7" x14ac:dyDescent="0.35">
      <c r="F8465">
        <v>8462</v>
      </c>
      <c r="G8465">
        <f t="shared" ca="1" si="217"/>
        <v>-2.8582438447154357E-2</v>
      </c>
    </row>
    <row r="8466" spans="6:7" x14ac:dyDescent="0.35">
      <c r="F8466">
        <v>8463</v>
      </c>
      <c r="G8466">
        <f t="shared" ca="1" si="217"/>
        <v>-2.9639120108409685E-2</v>
      </c>
    </row>
    <row r="8467" spans="6:7" x14ac:dyDescent="0.35">
      <c r="F8467">
        <v>8464</v>
      </c>
      <c r="G8467">
        <f t="shared" ca="1" si="217"/>
        <v>-2.4382004862405025E-3</v>
      </c>
    </row>
    <row r="8468" spans="6:7" x14ac:dyDescent="0.35">
      <c r="F8468">
        <v>8465</v>
      </c>
      <c r="G8468">
        <f t="shared" ca="1" si="217"/>
        <v>-3.4913217866296324E-3</v>
      </c>
    </row>
    <row r="8469" spans="6:7" x14ac:dyDescent="0.35">
      <c r="F8469">
        <v>8466</v>
      </c>
      <c r="G8469">
        <f t="shared" ca="1" si="217"/>
        <v>-6.0921244429770337E-2</v>
      </c>
    </row>
    <row r="8470" spans="6:7" x14ac:dyDescent="0.35">
      <c r="F8470">
        <v>8467</v>
      </c>
      <c r="G8470">
        <f t="shared" ca="1" si="217"/>
        <v>-2.9405531716586997E-2</v>
      </c>
    </row>
    <row r="8471" spans="6:7" x14ac:dyDescent="0.35">
      <c r="F8471">
        <v>8468</v>
      </c>
      <c r="G8471">
        <f t="shared" ca="1" si="217"/>
        <v>1.3384189535544416E-2</v>
      </c>
    </row>
    <row r="8472" spans="6:7" x14ac:dyDescent="0.35">
      <c r="F8472">
        <v>8469</v>
      </c>
      <c r="G8472">
        <f t="shared" ca="1" si="217"/>
        <v>-8.6707212529113791E-4</v>
      </c>
    </row>
    <row r="8473" spans="6:7" x14ac:dyDescent="0.35">
      <c r="F8473">
        <v>8470</v>
      </c>
      <c r="G8473">
        <f t="shared" ca="1" si="217"/>
        <v>-2.3895844550168972E-2</v>
      </c>
    </row>
    <row r="8474" spans="6:7" x14ac:dyDescent="0.35">
      <c r="F8474">
        <v>8471</v>
      </c>
      <c r="G8474">
        <f t="shared" ca="1" si="217"/>
        <v>-2.2115447256535511E-2</v>
      </c>
    </row>
    <row r="8475" spans="6:7" x14ac:dyDescent="0.35">
      <c r="F8475">
        <v>8472</v>
      </c>
      <c r="G8475">
        <f t="shared" ca="1" si="217"/>
        <v>2.9559138085697895E-2</v>
      </c>
    </row>
    <row r="8476" spans="6:7" x14ac:dyDescent="0.35">
      <c r="F8476">
        <v>8473</v>
      </c>
      <c r="G8476">
        <f t="shared" ca="1" si="217"/>
        <v>-4.8181429326645799E-2</v>
      </c>
    </row>
    <row r="8477" spans="6:7" x14ac:dyDescent="0.35">
      <c r="F8477">
        <v>8474</v>
      </c>
      <c r="G8477">
        <f t="shared" ca="1" si="217"/>
        <v>3.2200775020405741E-2</v>
      </c>
    </row>
    <row r="8478" spans="6:7" x14ac:dyDescent="0.35">
      <c r="F8478">
        <v>8475</v>
      </c>
      <c r="G8478">
        <f t="shared" ca="1" si="217"/>
        <v>-8.4776993723119139E-3</v>
      </c>
    </row>
    <row r="8479" spans="6:7" x14ac:dyDescent="0.35">
      <c r="F8479">
        <v>8476</v>
      </c>
      <c r="G8479">
        <f t="shared" ca="1" si="217"/>
        <v>-8.3446848381937681E-4</v>
      </c>
    </row>
    <row r="8480" spans="6:7" x14ac:dyDescent="0.35">
      <c r="F8480">
        <v>8477</v>
      </c>
      <c r="G8480">
        <f t="shared" ca="1" si="217"/>
        <v>2.7851576436833489E-2</v>
      </c>
    </row>
    <row r="8481" spans="6:7" x14ac:dyDescent="0.35">
      <c r="F8481">
        <v>8478</v>
      </c>
      <c r="G8481">
        <f t="shared" ca="1" si="217"/>
        <v>-6.1879849381079877E-3</v>
      </c>
    </row>
    <row r="8482" spans="6:7" x14ac:dyDescent="0.35">
      <c r="F8482">
        <v>8479</v>
      </c>
      <c r="G8482">
        <f t="shared" ca="1" si="217"/>
        <v>1.9932637072151416E-2</v>
      </c>
    </row>
    <row r="8483" spans="6:7" x14ac:dyDescent="0.35">
      <c r="F8483">
        <v>8480</v>
      </c>
      <c r="G8483">
        <f t="shared" ca="1" si="217"/>
        <v>4.6235376560525322E-4</v>
      </c>
    </row>
    <row r="8484" spans="6:7" x14ac:dyDescent="0.35">
      <c r="F8484">
        <v>8481</v>
      </c>
      <c r="G8484">
        <f t="shared" ca="1" si="217"/>
        <v>2.0584157629025525E-2</v>
      </c>
    </row>
    <row r="8485" spans="6:7" x14ac:dyDescent="0.35">
      <c r="F8485">
        <v>8482</v>
      </c>
      <c r="G8485">
        <f t="shared" ca="1" si="217"/>
        <v>1.0990420867129718E-2</v>
      </c>
    </row>
    <row r="8486" spans="6:7" x14ac:dyDescent="0.35">
      <c r="F8486">
        <v>8483</v>
      </c>
      <c r="G8486">
        <f t="shared" ca="1" si="217"/>
        <v>-1.6166569021376136E-2</v>
      </c>
    </row>
    <row r="8487" spans="6:7" x14ac:dyDescent="0.35">
      <c r="F8487">
        <v>8484</v>
      </c>
      <c r="G8487">
        <f t="shared" ca="1" si="217"/>
        <v>-1.4125750798615834E-2</v>
      </c>
    </row>
    <row r="8488" spans="6:7" x14ac:dyDescent="0.35">
      <c r="F8488">
        <v>8485</v>
      </c>
      <c r="G8488">
        <f t="shared" ca="1" si="217"/>
        <v>-9.3985184206504101E-3</v>
      </c>
    </row>
    <row r="8489" spans="6:7" x14ac:dyDescent="0.35">
      <c r="F8489">
        <v>8486</v>
      </c>
      <c r="G8489">
        <f t="shared" ca="1" si="217"/>
        <v>-5.7813014146442063E-2</v>
      </c>
    </row>
    <row r="8490" spans="6:7" x14ac:dyDescent="0.35">
      <c r="F8490">
        <v>8487</v>
      </c>
      <c r="G8490">
        <f t="shared" ca="1" si="217"/>
        <v>-5.1247824243089067E-2</v>
      </c>
    </row>
    <row r="8491" spans="6:7" x14ac:dyDescent="0.35">
      <c r="F8491">
        <v>8488</v>
      </c>
      <c r="G8491">
        <f t="shared" ca="1" si="217"/>
        <v>3.8245144650257384E-2</v>
      </c>
    </row>
    <row r="8492" spans="6:7" x14ac:dyDescent="0.35">
      <c r="F8492">
        <v>8489</v>
      </c>
      <c r="G8492">
        <f t="shared" ca="1" si="217"/>
        <v>1.7321048965818465E-2</v>
      </c>
    </row>
    <row r="8493" spans="6:7" x14ac:dyDescent="0.35">
      <c r="F8493">
        <v>8490</v>
      </c>
      <c r="G8493">
        <f t="shared" ca="1" si="217"/>
        <v>-2.52475050630812E-2</v>
      </c>
    </row>
    <row r="8494" spans="6:7" x14ac:dyDescent="0.35">
      <c r="F8494">
        <v>8491</v>
      </c>
      <c r="G8494">
        <f t="shared" ca="1" si="217"/>
        <v>5.0468577804802052E-2</v>
      </c>
    </row>
    <row r="8495" spans="6:7" x14ac:dyDescent="0.35">
      <c r="F8495">
        <v>8492</v>
      </c>
      <c r="G8495">
        <f t="shared" ca="1" si="217"/>
        <v>2.1252610070110037E-2</v>
      </c>
    </row>
    <row r="8496" spans="6:7" x14ac:dyDescent="0.35">
      <c r="F8496">
        <v>8493</v>
      </c>
      <c r="G8496">
        <f t="shared" ca="1" si="217"/>
        <v>-3.384447321666343E-2</v>
      </c>
    </row>
    <row r="8497" spans="6:7" x14ac:dyDescent="0.35">
      <c r="F8497">
        <v>8494</v>
      </c>
      <c r="G8497">
        <f t="shared" ca="1" si="217"/>
        <v>5.8490061462692367E-3</v>
      </c>
    </row>
    <row r="8498" spans="6:7" x14ac:dyDescent="0.35">
      <c r="F8498">
        <v>8495</v>
      </c>
      <c r="G8498">
        <f t="shared" ca="1" si="217"/>
        <v>-1.2405174413856784E-2</v>
      </c>
    </row>
    <row r="8499" spans="6:7" x14ac:dyDescent="0.35">
      <c r="F8499">
        <v>8496</v>
      </c>
      <c r="G8499">
        <f t="shared" ca="1" si="217"/>
        <v>1.6108287098605737E-2</v>
      </c>
    </row>
    <row r="8500" spans="6:7" x14ac:dyDescent="0.35">
      <c r="F8500">
        <v>8497</v>
      </c>
      <c r="G8500">
        <f t="shared" ca="1" si="217"/>
        <v>-8.5824814112622633E-3</v>
      </c>
    </row>
    <row r="8501" spans="6:7" x14ac:dyDescent="0.35">
      <c r="F8501">
        <v>8498</v>
      </c>
      <c r="G8501">
        <f t="shared" ca="1" si="217"/>
        <v>-1.6854614051610053E-2</v>
      </c>
    </row>
    <row r="8502" spans="6:7" x14ac:dyDescent="0.35">
      <c r="F8502">
        <v>8499</v>
      </c>
      <c r="G8502">
        <f t="shared" ca="1" si="217"/>
        <v>1.0313662986734711E-3</v>
      </c>
    </row>
    <row r="8503" spans="6:7" x14ac:dyDescent="0.35">
      <c r="F8503">
        <v>8500</v>
      </c>
      <c r="G8503">
        <f t="shared" ca="1" si="217"/>
        <v>2.7370056198464471E-2</v>
      </c>
    </row>
    <row r="8504" spans="6:7" x14ac:dyDescent="0.35">
      <c r="F8504">
        <v>8501</v>
      </c>
      <c r="G8504">
        <f t="shared" ca="1" si="217"/>
        <v>-4.5572789016974126E-3</v>
      </c>
    </row>
    <row r="8505" spans="6:7" x14ac:dyDescent="0.35">
      <c r="F8505">
        <v>8502</v>
      </c>
      <c r="G8505">
        <f t="shared" ca="1" si="217"/>
        <v>-7.41495906521592E-3</v>
      </c>
    </row>
    <row r="8506" spans="6:7" x14ac:dyDescent="0.35">
      <c r="F8506">
        <v>8503</v>
      </c>
      <c r="G8506">
        <f t="shared" ca="1" si="217"/>
        <v>1.6251585416868004E-2</v>
      </c>
    </row>
    <row r="8507" spans="6:7" x14ac:dyDescent="0.35">
      <c r="F8507">
        <v>8504</v>
      </c>
      <c r="G8507">
        <f t="shared" ca="1" si="217"/>
        <v>-2.5576183914949788E-2</v>
      </c>
    </row>
    <row r="8508" spans="6:7" x14ac:dyDescent="0.35">
      <c r="F8508">
        <v>8505</v>
      </c>
      <c r="G8508">
        <f t="shared" ca="1" si="217"/>
        <v>7.055703040830438E-3</v>
      </c>
    </row>
    <row r="8509" spans="6:7" x14ac:dyDescent="0.35">
      <c r="F8509">
        <v>8506</v>
      </c>
      <c r="G8509">
        <f t="shared" ca="1" si="217"/>
        <v>3.5192357228338765E-2</v>
      </c>
    </row>
    <row r="8510" spans="6:7" x14ac:dyDescent="0.35">
      <c r="F8510">
        <v>8507</v>
      </c>
      <c r="G8510">
        <f t="shared" ca="1" si="217"/>
        <v>1.9069952377642366E-2</v>
      </c>
    </row>
    <row r="8511" spans="6:7" x14ac:dyDescent="0.35">
      <c r="F8511">
        <v>8508</v>
      </c>
      <c r="G8511">
        <f t="shared" ca="1" si="217"/>
        <v>-2.0038910194579325E-2</v>
      </c>
    </row>
    <row r="8512" spans="6:7" x14ac:dyDescent="0.35">
      <c r="F8512">
        <v>8509</v>
      </c>
      <c r="G8512">
        <f t="shared" ca="1" si="217"/>
        <v>1.8137388147982134E-2</v>
      </c>
    </row>
    <row r="8513" spans="6:7" x14ac:dyDescent="0.35">
      <c r="F8513">
        <v>8510</v>
      </c>
      <c r="G8513">
        <f t="shared" ca="1" si="217"/>
        <v>2.6699215053455082E-2</v>
      </c>
    </row>
    <row r="8514" spans="6:7" x14ac:dyDescent="0.35">
      <c r="F8514">
        <v>8511</v>
      </c>
      <c r="G8514">
        <f t="shared" ca="1" si="217"/>
        <v>-3.9273007147444267E-3</v>
      </c>
    </row>
    <row r="8515" spans="6:7" x14ac:dyDescent="0.35">
      <c r="F8515">
        <v>8512</v>
      </c>
      <c r="G8515">
        <f t="shared" ca="1" si="217"/>
        <v>-2.1311257598588058E-2</v>
      </c>
    </row>
    <row r="8516" spans="6:7" x14ac:dyDescent="0.35">
      <c r="F8516">
        <v>8513</v>
      </c>
      <c r="G8516">
        <f t="shared" ca="1" si="217"/>
        <v>7.5194371196807386E-2</v>
      </c>
    </row>
    <row r="8517" spans="6:7" x14ac:dyDescent="0.35">
      <c r="F8517">
        <v>8514</v>
      </c>
      <c r="G8517">
        <f t="shared" ref="G8517:G8580" ca="1" si="218">_xlfn.NORM.INV(RAND(),K$6,K$7)</f>
        <v>-2.6958815091961061E-3</v>
      </c>
    </row>
    <row r="8518" spans="6:7" x14ac:dyDescent="0.35">
      <c r="F8518">
        <v>8515</v>
      </c>
      <c r="G8518">
        <f t="shared" ca="1" si="218"/>
        <v>-3.9462378113760133E-3</v>
      </c>
    </row>
    <row r="8519" spans="6:7" x14ac:dyDescent="0.35">
      <c r="F8519">
        <v>8516</v>
      </c>
      <c r="G8519">
        <f t="shared" ca="1" si="218"/>
        <v>1.6030659995367125E-2</v>
      </c>
    </row>
    <row r="8520" spans="6:7" x14ac:dyDescent="0.35">
      <c r="F8520">
        <v>8517</v>
      </c>
      <c r="G8520">
        <f t="shared" ca="1" si="218"/>
        <v>-1.1282380327705821E-2</v>
      </c>
    </row>
    <row r="8521" spans="6:7" x14ac:dyDescent="0.35">
      <c r="F8521">
        <v>8518</v>
      </c>
      <c r="G8521">
        <f t="shared" ca="1" si="218"/>
        <v>-3.0416533657441616E-3</v>
      </c>
    </row>
    <row r="8522" spans="6:7" x14ac:dyDescent="0.35">
      <c r="F8522">
        <v>8519</v>
      </c>
      <c r="G8522">
        <f t="shared" ca="1" si="218"/>
        <v>-1.0878261257414121E-2</v>
      </c>
    </row>
    <row r="8523" spans="6:7" x14ac:dyDescent="0.35">
      <c r="F8523">
        <v>8520</v>
      </c>
      <c r="G8523">
        <f t="shared" ca="1" si="218"/>
        <v>-2.0773903714984658E-2</v>
      </c>
    </row>
    <row r="8524" spans="6:7" x14ac:dyDescent="0.35">
      <c r="F8524">
        <v>8521</v>
      </c>
      <c r="G8524">
        <f t="shared" ca="1" si="218"/>
        <v>-1.0536331429543799E-3</v>
      </c>
    </row>
    <row r="8525" spans="6:7" x14ac:dyDescent="0.35">
      <c r="F8525">
        <v>8522</v>
      </c>
      <c r="G8525">
        <f t="shared" ca="1" si="218"/>
        <v>-8.3647766452125353E-3</v>
      </c>
    </row>
    <row r="8526" spans="6:7" x14ac:dyDescent="0.35">
      <c r="F8526">
        <v>8523</v>
      </c>
      <c r="G8526">
        <f t="shared" ca="1" si="218"/>
        <v>4.2367475081158583E-3</v>
      </c>
    </row>
    <row r="8527" spans="6:7" x14ac:dyDescent="0.35">
      <c r="F8527">
        <v>8524</v>
      </c>
      <c r="G8527">
        <f t="shared" ca="1" si="218"/>
        <v>6.0153867815407859E-2</v>
      </c>
    </row>
    <row r="8528" spans="6:7" x14ac:dyDescent="0.35">
      <c r="F8528">
        <v>8525</v>
      </c>
      <c r="G8528">
        <f t="shared" ca="1" si="218"/>
        <v>2.1538643915372895E-2</v>
      </c>
    </row>
    <row r="8529" spans="6:7" x14ac:dyDescent="0.35">
      <c r="F8529">
        <v>8526</v>
      </c>
      <c r="G8529">
        <f t="shared" ca="1" si="218"/>
        <v>-2.2460926920240751E-2</v>
      </c>
    </row>
    <row r="8530" spans="6:7" x14ac:dyDescent="0.35">
      <c r="F8530">
        <v>8527</v>
      </c>
      <c r="G8530">
        <f t="shared" ca="1" si="218"/>
        <v>4.9457795305109034E-2</v>
      </c>
    </row>
    <row r="8531" spans="6:7" x14ac:dyDescent="0.35">
      <c r="F8531">
        <v>8528</v>
      </c>
      <c r="G8531">
        <f t="shared" ca="1" si="218"/>
        <v>-8.1313238652475361E-3</v>
      </c>
    </row>
    <row r="8532" spans="6:7" x14ac:dyDescent="0.35">
      <c r="F8532">
        <v>8529</v>
      </c>
      <c r="G8532">
        <f t="shared" ca="1" si="218"/>
        <v>-2.5531183687309833E-2</v>
      </c>
    </row>
    <row r="8533" spans="6:7" x14ac:dyDescent="0.35">
      <c r="F8533">
        <v>8530</v>
      </c>
      <c r="G8533">
        <f t="shared" ca="1" si="218"/>
        <v>2.756955116348922E-2</v>
      </c>
    </row>
    <row r="8534" spans="6:7" x14ac:dyDescent="0.35">
      <c r="F8534">
        <v>8531</v>
      </c>
      <c r="G8534">
        <f t="shared" ca="1" si="218"/>
        <v>1.0578705009918192E-2</v>
      </c>
    </row>
    <row r="8535" spans="6:7" x14ac:dyDescent="0.35">
      <c r="F8535">
        <v>8532</v>
      </c>
      <c r="G8535">
        <f t="shared" ca="1" si="218"/>
        <v>6.5750343717776482E-3</v>
      </c>
    </row>
    <row r="8536" spans="6:7" x14ac:dyDescent="0.35">
      <c r="F8536">
        <v>8533</v>
      </c>
      <c r="G8536">
        <f t="shared" ca="1" si="218"/>
        <v>-2.3403198537666384E-2</v>
      </c>
    </row>
    <row r="8537" spans="6:7" x14ac:dyDescent="0.35">
      <c r="F8537">
        <v>8534</v>
      </c>
      <c r="G8537">
        <f t="shared" ca="1" si="218"/>
        <v>8.7285732426944217E-3</v>
      </c>
    </row>
    <row r="8538" spans="6:7" x14ac:dyDescent="0.35">
      <c r="F8538">
        <v>8535</v>
      </c>
      <c r="G8538">
        <f t="shared" ca="1" si="218"/>
        <v>-3.6183491617878712E-2</v>
      </c>
    </row>
    <row r="8539" spans="6:7" x14ac:dyDescent="0.35">
      <c r="F8539">
        <v>8536</v>
      </c>
      <c r="G8539">
        <f t="shared" ca="1" si="218"/>
        <v>2.7780704375364715E-2</v>
      </c>
    </row>
    <row r="8540" spans="6:7" x14ac:dyDescent="0.35">
      <c r="F8540">
        <v>8537</v>
      </c>
      <c r="G8540">
        <f t="shared" ca="1" si="218"/>
        <v>-2.512246431946228E-2</v>
      </c>
    </row>
    <row r="8541" spans="6:7" x14ac:dyDescent="0.35">
      <c r="F8541">
        <v>8538</v>
      </c>
      <c r="G8541">
        <f t="shared" ca="1" si="218"/>
        <v>-6.3078027063286956E-3</v>
      </c>
    </row>
    <row r="8542" spans="6:7" x14ac:dyDescent="0.35">
      <c r="F8542">
        <v>8539</v>
      </c>
      <c r="G8542">
        <f t="shared" ca="1" si="218"/>
        <v>-6.5824066995643759E-3</v>
      </c>
    </row>
    <row r="8543" spans="6:7" x14ac:dyDescent="0.35">
      <c r="F8543">
        <v>8540</v>
      </c>
      <c r="G8543">
        <f t="shared" ca="1" si="218"/>
        <v>1.7880817151322861E-2</v>
      </c>
    </row>
    <row r="8544" spans="6:7" x14ac:dyDescent="0.35">
      <c r="F8544">
        <v>8541</v>
      </c>
      <c r="G8544">
        <f t="shared" ca="1" si="218"/>
        <v>-2.4406506874733174E-4</v>
      </c>
    </row>
    <row r="8545" spans="6:7" x14ac:dyDescent="0.35">
      <c r="F8545">
        <v>8542</v>
      </c>
      <c r="G8545">
        <f t="shared" ca="1" si="218"/>
        <v>-1.6094561949854761E-2</v>
      </c>
    </row>
    <row r="8546" spans="6:7" x14ac:dyDescent="0.35">
      <c r="F8546">
        <v>8543</v>
      </c>
      <c r="G8546">
        <f t="shared" ca="1" si="218"/>
        <v>2.4121164746119309E-2</v>
      </c>
    </row>
    <row r="8547" spans="6:7" x14ac:dyDescent="0.35">
      <c r="F8547">
        <v>8544</v>
      </c>
      <c r="G8547">
        <f t="shared" ca="1" si="218"/>
        <v>1.163132829601859E-2</v>
      </c>
    </row>
    <row r="8548" spans="6:7" x14ac:dyDescent="0.35">
      <c r="F8548">
        <v>8545</v>
      </c>
      <c r="G8548">
        <f t="shared" ca="1" si="218"/>
        <v>-1.5111865909518431E-2</v>
      </c>
    </row>
    <row r="8549" spans="6:7" x14ac:dyDescent="0.35">
      <c r="F8549">
        <v>8546</v>
      </c>
      <c r="G8549">
        <f t="shared" ca="1" si="218"/>
        <v>2.6247556172961217E-2</v>
      </c>
    </row>
    <row r="8550" spans="6:7" x14ac:dyDescent="0.35">
      <c r="F8550">
        <v>8547</v>
      </c>
      <c r="G8550">
        <f t="shared" ca="1" si="218"/>
        <v>2.1608254573666615E-2</v>
      </c>
    </row>
    <row r="8551" spans="6:7" x14ac:dyDescent="0.35">
      <c r="F8551">
        <v>8548</v>
      </c>
      <c r="G8551">
        <f t="shared" ca="1" si="218"/>
        <v>-7.0614192046418774E-3</v>
      </c>
    </row>
    <row r="8552" spans="6:7" x14ac:dyDescent="0.35">
      <c r="F8552">
        <v>8549</v>
      </c>
      <c r="G8552">
        <f t="shared" ca="1" si="218"/>
        <v>-7.8203138754516458E-3</v>
      </c>
    </row>
    <row r="8553" spans="6:7" x14ac:dyDescent="0.35">
      <c r="F8553">
        <v>8550</v>
      </c>
      <c r="G8553">
        <f t="shared" ca="1" si="218"/>
        <v>-2.1662531199359968E-2</v>
      </c>
    </row>
    <row r="8554" spans="6:7" x14ac:dyDescent="0.35">
      <c r="F8554">
        <v>8551</v>
      </c>
      <c r="G8554">
        <f t="shared" ca="1" si="218"/>
        <v>2.1262115502909181E-2</v>
      </c>
    </row>
    <row r="8555" spans="6:7" x14ac:dyDescent="0.35">
      <c r="F8555">
        <v>8552</v>
      </c>
      <c r="G8555">
        <f t="shared" ca="1" si="218"/>
        <v>-6.5122219543362597E-3</v>
      </c>
    </row>
    <row r="8556" spans="6:7" x14ac:dyDescent="0.35">
      <c r="F8556">
        <v>8553</v>
      </c>
      <c r="G8556">
        <f t="shared" ca="1" si="218"/>
        <v>-1.6139686436608729E-2</v>
      </c>
    </row>
    <row r="8557" spans="6:7" x14ac:dyDescent="0.35">
      <c r="F8557">
        <v>8554</v>
      </c>
      <c r="G8557">
        <f t="shared" ca="1" si="218"/>
        <v>1.7777497048230013E-2</v>
      </c>
    </row>
    <row r="8558" spans="6:7" x14ac:dyDescent="0.35">
      <c r="F8558">
        <v>8555</v>
      </c>
      <c r="G8558">
        <f t="shared" ca="1" si="218"/>
        <v>-7.2624455629942079E-3</v>
      </c>
    </row>
    <row r="8559" spans="6:7" x14ac:dyDescent="0.35">
      <c r="F8559">
        <v>8556</v>
      </c>
      <c r="G8559">
        <f t="shared" ca="1" si="218"/>
        <v>1.4624811237370462E-2</v>
      </c>
    </row>
    <row r="8560" spans="6:7" x14ac:dyDescent="0.35">
      <c r="F8560">
        <v>8557</v>
      </c>
      <c r="G8560">
        <f t="shared" ca="1" si="218"/>
        <v>1.000489545858577E-2</v>
      </c>
    </row>
    <row r="8561" spans="6:7" x14ac:dyDescent="0.35">
      <c r="F8561">
        <v>8558</v>
      </c>
      <c r="G8561">
        <f t="shared" ca="1" si="218"/>
        <v>1.4612095490790974E-2</v>
      </c>
    </row>
    <row r="8562" spans="6:7" x14ac:dyDescent="0.35">
      <c r="F8562">
        <v>8559</v>
      </c>
      <c r="G8562">
        <f t="shared" ca="1" si="218"/>
        <v>3.8590073746814189E-3</v>
      </c>
    </row>
    <row r="8563" spans="6:7" x14ac:dyDescent="0.35">
      <c r="F8563">
        <v>8560</v>
      </c>
      <c r="G8563">
        <f t="shared" ca="1" si="218"/>
        <v>4.2191771183458537E-4</v>
      </c>
    </row>
    <row r="8564" spans="6:7" x14ac:dyDescent="0.35">
      <c r="F8564">
        <v>8561</v>
      </c>
      <c r="G8564">
        <f t="shared" ca="1" si="218"/>
        <v>3.462750429901934E-2</v>
      </c>
    </row>
    <row r="8565" spans="6:7" x14ac:dyDescent="0.35">
      <c r="F8565">
        <v>8562</v>
      </c>
      <c r="G8565">
        <f t="shared" ca="1" si="218"/>
        <v>-2.680130747278069E-2</v>
      </c>
    </row>
    <row r="8566" spans="6:7" x14ac:dyDescent="0.35">
      <c r="F8566">
        <v>8563</v>
      </c>
      <c r="G8566">
        <f t="shared" ca="1" si="218"/>
        <v>-5.6131692550420761E-2</v>
      </c>
    </row>
    <row r="8567" spans="6:7" x14ac:dyDescent="0.35">
      <c r="F8567">
        <v>8564</v>
      </c>
      <c r="G8567">
        <f t="shared" ca="1" si="218"/>
        <v>-1.4494894267537826E-2</v>
      </c>
    </row>
    <row r="8568" spans="6:7" x14ac:dyDescent="0.35">
      <c r="F8568">
        <v>8565</v>
      </c>
      <c r="G8568">
        <f t="shared" ca="1" si="218"/>
        <v>-2.3775436337526018E-2</v>
      </c>
    </row>
    <row r="8569" spans="6:7" x14ac:dyDescent="0.35">
      <c r="F8569">
        <v>8566</v>
      </c>
      <c r="G8569">
        <f t="shared" ca="1" si="218"/>
        <v>3.5410209389841976E-2</v>
      </c>
    </row>
    <row r="8570" spans="6:7" x14ac:dyDescent="0.35">
      <c r="F8570">
        <v>8567</v>
      </c>
      <c r="G8570">
        <f t="shared" ca="1" si="218"/>
        <v>2.8786386755457822E-2</v>
      </c>
    </row>
    <row r="8571" spans="6:7" x14ac:dyDescent="0.35">
      <c r="F8571">
        <v>8568</v>
      </c>
      <c r="G8571">
        <f t="shared" ca="1" si="218"/>
        <v>-4.1480064239684471E-2</v>
      </c>
    </row>
    <row r="8572" spans="6:7" x14ac:dyDescent="0.35">
      <c r="F8572">
        <v>8569</v>
      </c>
      <c r="G8572">
        <f t="shared" ca="1" si="218"/>
        <v>8.1311951893592013E-2</v>
      </c>
    </row>
    <row r="8573" spans="6:7" x14ac:dyDescent="0.35">
      <c r="F8573">
        <v>8570</v>
      </c>
      <c r="G8573">
        <f t="shared" ca="1" si="218"/>
        <v>-9.4211808651443758E-3</v>
      </c>
    </row>
    <row r="8574" spans="6:7" x14ac:dyDescent="0.35">
      <c r="F8574">
        <v>8571</v>
      </c>
      <c r="G8574">
        <f t="shared" ca="1" si="218"/>
        <v>-2.8708028132886559E-2</v>
      </c>
    </row>
    <row r="8575" spans="6:7" x14ac:dyDescent="0.35">
      <c r="F8575">
        <v>8572</v>
      </c>
      <c r="G8575">
        <f t="shared" ca="1" si="218"/>
        <v>5.1989887119384036E-2</v>
      </c>
    </row>
    <row r="8576" spans="6:7" x14ac:dyDescent="0.35">
      <c r="F8576">
        <v>8573</v>
      </c>
      <c r="G8576">
        <f t="shared" ca="1" si="218"/>
        <v>-3.3114311263496028E-3</v>
      </c>
    </row>
    <row r="8577" spans="6:7" x14ac:dyDescent="0.35">
      <c r="F8577">
        <v>8574</v>
      </c>
      <c r="G8577">
        <f t="shared" ca="1" si="218"/>
        <v>1.1942812891638918E-2</v>
      </c>
    </row>
    <row r="8578" spans="6:7" x14ac:dyDescent="0.35">
      <c r="F8578">
        <v>8575</v>
      </c>
      <c r="G8578">
        <f t="shared" ca="1" si="218"/>
        <v>-2.1983796636612443E-2</v>
      </c>
    </row>
    <row r="8579" spans="6:7" x14ac:dyDescent="0.35">
      <c r="F8579">
        <v>8576</v>
      </c>
      <c r="G8579">
        <f t="shared" ca="1" si="218"/>
        <v>-4.2347153593096619E-3</v>
      </c>
    </row>
    <row r="8580" spans="6:7" x14ac:dyDescent="0.35">
      <c r="F8580">
        <v>8577</v>
      </c>
      <c r="G8580">
        <f t="shared" ca="1" si="218"/>
        <v>-1.3192758569488523E-3</v>
      </c>
    </row>
    <row r="8581" spans="6:7" x14ac:dyDescent="0.35">
      <c r="F8581">
        <v>8578</v>
      </c>
      <c r="G8581">
        <f t="shared" ref="G8581:G8644" ca="1" si="219">_xlfn.NORM.INV(RAND(),K$6,K$7)</f>
        <v>5.0293887950247418E-2</v>
      </c>
    </row>
    <row r="8582" spans="6:7" x14ac:dyDescent="0.35">
      <c r="F8582">
        <v>8579</v>
      </c>
      <c r="G8582">
        <f t="shared" ca="1" si="219"/>
        <v>2.2207334940172008E-2</v>
      </c>
    </row>
    <row r="8583" spans="6:7" x14ac:dyDescent="0.35">
      <c r="F8583">
        <v>8580</v>
      </c>
      <c r="G8583">
        <f t="shared" ca="1" si="219"/>
        <v>-2.5812386445353596E-3</v>
      </c>
    </row>
    <row r="8584" spans="6:7" x14ac:dyDescent="0.35">
      <c r="F8584">
        <v>8581</v>
      </c>
      <c r="G8584">
        <f t="shared" ca="1" si="219"/>
        <v>1.1917497092084894E-2</v>
      </c>
    </row>
    <row r="8585" spans="6:7" x14ac:dyDescent="0.35">
      <c r="F8585">
        <v>8582</v>
      </c>
      <c r="G8585">
        <f t="shared" ca="1" si="219"/>
        <v>2.351007949783945E-2</v>
      </c>
    </row>
    <row r="8586" spans="6:7" x14ac:dyDescent="0.35">
      <c r="F8586">
        <v>8583</v>
      </c>
      <c r="G8586">
        <f t="shared" ca="1" si="219"/>
        <v>2.3199378611172164E-3</v>
      </c>
    </row>
    <row r="8587" spans="6:7" x14ac:dyDescent="0.35">
      <c r="F8587">
        <v>8584</v>
      </c>
      <c r="G8587">
        <f t="shared" ca="1" si="219"/>
        <v>1.3249468714246239E-2</v>
      </c>
    </row>
    <row r="8588" spans="6:7" x14ac:dyDescent="0.35">
      <c r="F8588">
        <v>8585</v>
      </c>
      <c r="G8588">
        <f t="shared" ca="1" si="219"/>
        <v>-5.9893130197448789E-2</v>
      </c>
    </row>
    <row r="8589" spans="6:7" x14ac:dyDescent="0.35">
      <c r="F8589">
        <v>8586</v>
      </c>
      <c r="G8589">
        <f t="shared" ca="1" si="219"/>
        <v>2.6945830810148064E-2</v>
      </c>
    </row>
    <row r="8590" spans="6:7" x14ac:dyDescent="0.35">
      <c r="F8590">
        <v>8587</v>
      </c>
      <c r="G8590">
        <f t="shared" ca="1" si="219"/>
        <v>7.717542936019825E-3</v>
      </c>
    </row>
    <row r="8591" spans="6:7" x14ac:dyDescent="0.35">
      <c r="F8591">
        <v>8588</v>
      </c>
      <c r="G8591">
        <f t="shared" ca="1" si="219"/>
        <v>2.2945583573261638E-3</v>
      </c>
    </row>
    <row r="8592" spans="6:7" x14ac:dyDescent="0.35">
      <c r="F8592">
        <v>8589</v>
      </c>
      <c r="G8592">
        <f t="shared" ca="1" si="219"/>
        <v>1.161534657572845E-2</v>
      </c>
    </row>
    <row r="8593" spans="6:7" x14ac:dyDescent="0.35">
      <c r="F8593">
        <v>8590</v>
      </c>
      <c r="G8593">
        <f t="shared" ca="1" si="219"/>
        <v>2.0368006244380895E-2</v>
      </c>
    </row>
    <row r="8594" spans="6:7" x14ac:dyDescent="0.35">
      <c r="F8594">
        <v>8591</v>
      </c>
      <c r="G8594">
        <f t="shared" ca="1" si="219"/>
        <v>6.1978206087618899E-2</v>
      </c>
    </row>
    <row r="8595" spans="6:7" x14ac:dyDescent="0.35">
      <c r="F8595">
        <v>8592</v>
      </c>
      <c r="G8595">
        <f t="shared" ca="1" si="219"/>
        <v>2.8197359944344285E-2</v>
      </c>
    </row>
    <row r="8596" spans="6:7" x14ac:dyDescent="0.35">
      <c r="F8596">
        <v>8593</v>
      </c>
      <c r="G8596">
        <f t="shared" ca="1" si="219"/>
        <v>-2.8535837521696663E-2</v>
      </c>
    </row>
    <row r="8597" spans="6:7" x14ac:dyDescent="0.35">
      <c r="F8597">
        <v>8594</v>
      </c>
      <c r="G8597">
        <f t="shared" ca="1" si="219"/>
        <v>7.5504810397727218E-2</v>
      </c>
    </row>
    <row r="8598" spans="6:7" x14ac:dyDescent="0.35">
      <c r="F8598">
        <v>8595</v>
      </c>
      <c r="G8598">
        <f t="shared" ca="1" si="219"/>
        <v>4.1506045789967333E-2</v>
      </c>
    </row>
    <row r="8599" spans="6:7" x14ac:dyDescent="0.35">
      <c r="F8599">
        <v>8596</v>
      </c>
      <c r="G8599">
        <f t="shared" ca="1" si="219"/>
        <v>-8.7212162055325983E-3</v>
      </c>
    </row>
    <row r="8600" spans="6:7" x14ac:dyDescent="0.35">
      <c r="F8600">
        <v>8597</v>
      </c>
      <c r="G8600">
        <f t="shared" ca="1" si="219"/>
        <v>9.7951302619506391E-3</v>
      </c>
    </row>
    <row r="8601" spans="6:7" x14ac:dyDescent="0.35">
      <c r="F8601">
        <v>8598</v>
      </c>
      <c r="G8601">
        <f t="shared" ca="1" si="219"/>
        <v>-8.3872845355823841E-3</v>
      </c>
    </row>
    <row r="8602" spans="6:7" x14ac:dyDescent="0.35">
      <c r="F8602">
        <v>8599</v>
      </c>
      <c r="G8602">
        <f t="shared" ca="1" si="219"/>
        <v>-2.6515456155226432E-3</v>
      </c>
    </row>
    <row r="8603" spans="6:7" x14ac:dyDescent="0.35">
      <c r="F8603">
        <v>8600</v>
      </c>
      <c r="G8603">
        <f t="shared" ca="1" si="219"/>
        <v>1.4955740814098405E-2</v>
      </c>
    </row>
    <row r="8604" spans="6:7" x14ac:dyDescent="0.35">
      <c r="F8604">
        <v>8601</v>
      </c>
      <c r="G8604">
        <f t="shared" ca="1" si="219"/>
        <v>-4.1414778211581627E-2</v>
      </c>
    </row>
    <row r="8605" spans="6:7" x14ac:dyDescent="0.35">
      <c r="F8605">
        <v>8602</v>
      </c>
      <c r="G8605">
        <f t="shared" ca="1" si="219"/>
        <v>-3.8118054821599974E-2</v>
      </c>
    </row>
    <row r="8606" spans="6:7" x14ac:dyDescent="0.35">
      <c r="F8606">
        <v>8603</v>
      </c>
      <c r="G8606">
        <f t="shared" ca="1" si="219"/>
        <v>3.8504757367089235E-2</v>
      </c>
    </row>
    <row r="8607" spans="6:7" x14ac:dyDescent="0.35">
      <c r="F8607">
        <v>8604</v>
      </c>
      <c r="G8607">
        <f t="shared" ca="1" si="219"/>
        <v>-8.1590027719788419E-2</v>
      </c>
    </row>
    <row r="8608" spans="6:7" x14ac:dyDescent="0.35">
      <c r="F8608">
        <v>8605</v>
      </c>
      <c r="G8608">
        <f t="shared" ca="1" si="219"/>
        <v>5.4912225937826201E-2</v>
      </c>
    </row>
    <row r="8609" spans="6:7" x14ac:dyDescent="0.35">
      <c r="F8609">
        <v>8606</v>
      </c>
      <c r="G8609">
        <f t="shared" ca="1" si="219"/>
        <v>3.4275051700179825E-2</v>
      </c>
    </row>
    <row r="8610" spans="6:7" x14ac:dyDescent="0.35">
      <c r="F8610">
        <v>8607</v>
      </c>
      <c r="G8610">
        <f t="shared" ca="1" si="219"/>
        <v>3.2420374013472576E-4</v>
      </c>
    </row>
    <row r="8611" spans="6:7" x14ac:dyDescent="0.35">
      <c r="F8611">
        <v>8608</v>
      </c>
      <c r="G8611">
        <f t="shared" ca="1" si="219"/>
        <v>2.1072784136091875E-2</v>
      </c>
    </row>
    <row r="8612" spans="6:7" x14ac:dyDescent="0.35">
      <c r="F8612">
        <v>8609</v>
      </c>
      <c r="G8612">
        <f t="shared" ca="1" si="219"/>
        <v>-4.3614415303194114E-3</v>
      </c>
    </row>
    <row r="8613" spans="6:7" x14ac:dyDescent="0.35">
      <c r="F8613">
        <v>8610</v>
      </c>
      <c r="G8613">
        <f t="shared" ca="1" si="219"/>
        <v>-2.4812371218115352E-2</v>
      </c>
    </row>
    <row r="8614" spans="6:7" x14ac:dyDescent="0.35">
      <c r="F8614">
        <v>8611</v>
      </c>
      <c r="G8614">
        <f t="shared" ca="1" si="219"/>
        <v>-1.6914467723625239E-2</v>
      </c>
    </row>
    <row r="8615" spans="6:7" x14ac:dyDescent="0.35">
      <c r="F8615">
        <v>8612</v>
      </c>
      <c r="G8615">
        <f t="shared" ca="1" si="219"/>
        <v>-1.0214307543150929E-2</v>
      </c>
    </row>
    <row r="8616" spans="6:7" x14ac:dyDescent="0.35">
      <c r="F8616">
        <v>8613</v>
      </c>
      <c r="G8616">
        <f t="shared" ca="1" si="219"/>
        <v>2.5397551770491252E-2</v>
      </c>
    </row>
    <row r="8617" spans="6:7" x14ac:dyDescent="0.35">
      <c r="F8617">
        <v>8614</v>
      </c>
      <c r="G8617">
        <f t="shared" ca="1" si="219"/>
        <v>-6.8788707428043799E-2</v>
      </c>
    </row>
    <row r="8618" spans="6:7" x14ac:dyDescent="0.35">
      <c r="F8618">
        <v>8615</v>
      </c>
      <c r="G8618">
        <f t="shared" ca="1" si="219"/>
        <v>-1.482131873458183E-3</v>
      </c>
    </row>
    <row r="8619" spans="6:7" x14ac:dyDescent="0.35">
      <c r="F8619">
        <v>8616</v>
      </c>
      <c r="G8619">
        <f t="shared" ca="1" si="219"/>
        <v>2.8866794226130806E-2</v>
      </c>
    </row>
    <row r="8620" spans="6:7" x14ac:dyDescent="0.35">
      <c r="F8620">
        <v>8617</v>
      </c>
      <c r="G8620">
        <f t="shared" ca="1" si="219"/>
        <v>7.6647375046031132E-3</v>
      </c>
    </row>
    <row r="8621" spans="6:7" x14ac:dyDescent="0.35">
      <c r="F8621">
        <v>8618</v>
      </c>
      <c r="G8621">
        <f t="shared" ca="1" si="219"/>
        <v>1.8052668637588653E-2</v>
      </c>
    </row>
    <row r="8622" spans="6:7" x14ac:dyDescent="0.35">
      <c r="F8622">
        <v>8619</v>
      </c>
      <c r="G8622">
        <f t="shared" ca="1" si="219"/>
        <v>-1.7216477090821563E-2</v>
      </c>
    </row>
    <row r="8623" spans="6:7" x14ac:dyDescent="0.35">
      <c r="F8623">
        <v>8620</v>
      </c>
      <c r="G8623">
        <f t="shared" ca="1" si="219"/>
        <v>-1.8418341528073798E-2</v>
      </c>
    </row>
    <row r="8624" spans="6:7" x14ac:dyDescent="0.35">
      <c r="F8624">
        <v>8621</v>
      </c>
      <c r="G8624">
        <f t="shared" ca="1" si="219"/>
        <v>5.5024594668310646E-3</v>
      </c>
    </row>
    <row r="8625" spans="6:7" x14ac:dyDescent="0.35">
      <c r="F8625">
        <v>8622</v>
      </c>
      <c r="G8625">
        <f t="shared" ca="1" si="219"/>
        <v>-4.7835549411520129E-3</v>
      </c>
    </row>
    <row r="8626" spans="6:7" x14ac:dyDescent="0.35">
      <c r="F8626">
        <v>8623</v>
      </c>
      <c r="G8626">
        <f t="shared" ca="1" si="219"/>
        <v>2.6889577329853014E-2</v>
      </c>
    </row>
    <row r="8627" spans="6:7" x14ac:dyDescent="0.35">
      <c r="F8627">
        <v>8624</v>
      </c>
      <c r="G8627">
        <f t="shared" ca="1" si="219"/>
        <v>5.2895306760741348E-3</v>
      </c>
    </row>
    <row r="8628" spans="6:7" x14ac:dyDescent="0.35">
      <c r="F8628">
        <v>8625</v>
      </c>
      <c r="G8628">
        <f t="shared" ca="1" si="219"/>
        <v>1.7857020190830783E-2</v>
      </c>
    </row>
    <row r="8629" spans="6:7" x14ac:dyDescent="0.35">
      <c r="F8629">
        <v>8626</v>
      </c>
      <c r="G8629">
        <f t="shared" ca="1" si="219"/>
        <v>1.7463943399053652E-4</v>
      </c>
    </row>
    <row r="8630" spans="6:7" x14ac:dyDescent="0.35">
      <c r="F8630">
        <v>8627</v>
      </c>
      <c r="G8630">
        <f t="shared" ca="1" si="219"/>
        <v>2.1960731633432401E-2</v>
      </c>
    </row>
    <row r="8631" spans="6:7" x14ac:dyDescent="0.35">
      <c r="F8631">
        <v>8628</v>
      </c>
      <c r="G8631">
        <f t="shared" ca="1" si="219"/>
        <v>4.6523218680717827E-2</v>
      </c>
    </row>
    <row r="8632" spans="6:7" x14ac:dyDescent="0.35">
      <c r="F8632">
        <v>8629</v>
      </c>
      <c r="G8632">
        <f t="shared" ca="1" si="219"/>
        <v>-7.5506810066962716E-4</v>
      </c>
    </row>
    <row r="8633" spans="6:7" x14ac:dyDescent="0.35">
      <c r="F8633">
        <v>8630</v>
      </c>
      <c r="G8633">
        <f t="shared" ca="1" si="219"/>
        <v>-1.4168244032065055E-2</v>
      </c>
    </row>
    <row r="8634" spans="6:7" x14ac:dyDescent="0.35">
      <c r="F8634">
        <v>8631</v>
      </c>
      <c r="G8634">
        <f t="shared" ca="1" si="219"/>
        <v>-2.4472957050501046E-3</v>
      </c>
    </row>
    <row r="8635" spans="6:7" x14ac:dyDescent="0.35">
      <c r="F8635">
        <v>8632</v>
      </c>
      <c r="G8635">
        <f t="shared" ca="1" si="219"/>
        <v>4.288416714582269E-3</v>
      </c>
    </row>
    <row r="8636" spans="6:7" x14ac:dyDescent="0.35">
      <c r="F8636">
        <v>8633</v>
      </c>
      <c r="G8636">
        <f t="shared" ca="1" si="219"/>
        <v>2.765301355478908E-2</v>
      </c>
    </row>
    <row r="8637" spans="6:7" x14ac:dyDescent="0.35">
      <c r="F8637">
        <v>8634</v>
      </c>
      <c r="G8637">
        <f t="shared" ca="1" si="219"/>
        <v>-2.9966016374861983E-2</v>
      </c>
    </row>
    <row r="8638" spans="6:7" x14ac:dyDescent="0.35">
      <c r="F8638">
        <v>8635</v>
      </c>
      <c r="G8638">
        <f t="shared" ca="1" si="219"/>
        <v>2.0704266876217389E-2</v>
      </c>
    </row>
    <row r="8639" spans="6:7" x14ac:dyDescent="0.35">
      <c r="F8639">
        <v>8636</v>
      </c>
      <c r="G8639">
        <f t="shared" ca="1" si="219"/>
        <v>-5.9737092562185144E-2</v>
      </c>
    </row>
    <row r="8640" spans="6:7" x14ac:dyDescent="0.35">
      <c r="F8640">
        <v>8637</v>
      </c>
      <c r="G8640">
        <f t="shared" ca="1" si="219"/>
        <v>5.6483453027925097E-3</v>
      </c>
    </row>
    <row r="8641" spans="6:7" x14ac:dyDescent="0.35">
      <c r="F8641">
        <v>8638</v>
      </c>
      <c r="G8641">
        <f t="shared" ca="1" si="219"/>
        <v>1.7758827759753373E-2</v>
      </c>
    </row>
    <row r="8642" spans="6:7" x14ac:dyDescent="0.35">
      <c r="F8642">
        <v>8639</v>
      </c>
      <c r="G8642">
        <f t="shared" ca="1" si="219"/>
        <v>-2.7072216346134464E-2</v>
      </c>
    </row>
    <row r="8643" spans="6:7" x14ac:dyDescent="0.35">
      <c r="F8643">
        <v>8640</v>
      </c>
      <c r="G8643">
        <f t="shared" ca="1" si="219"/>
        <v>7.6015861556472331E-2</v>
      </c>
    </row>
    <row r="8644" spans="6:7" x14ac:dyDescent="0.35">
      <c r="F8644">
        <v>8641</v>
      </c>
      <c r="G8644">
        <f t="shared" ca="1" si="219"/>
        <v>-2.2962673748291385E-3</v>
      </c>
    </row>
    <row r="8645" spans="6:7" x14ac:dyDescent="0.35">
      <c r="F8645">
        <v>8642</v>
      </c>
      <c r="G8645">
        <f t="shared" ref="G8645:G8708" ca="1" si="220">_xlfn.NORM.INV(RAND(),K$6,K$7)</f>
        <v>-1.4647122900065454E-3</v>
      </c>
    </row>
    <row r="8646" spans="6:7" x14ac:dyDescent="0.35">
      <c r="F8646">
        <v>8643</v>
      </c>
      <c r="G8646">
        <f t="shared" ca="1" si="220"/>
        <v>-2.3882168996824295E-2</v>
      </c>
    </row>
    <row r="8647" spans="6:7" x14ac:dyDescent="0.35">
      <c r="F8647">
        <v>8644</v>
      </c>
      <c r="G8647">
        <f t="shared" ca="1" si="220"/>
        <v>-1.3523318175319151E-2</v>
      </c>
    </row>
    <row r="8648" spans="6:7" x14ac:dyDescent="0.35">
      <c r="F8648">
        <v>8645</v>
      </c>
      <c r="G8648">
        <f t="shared" ca="1" si="220"/>
        <v>5.1798178354877794E-3</v>
      </c>
    </row>
    <row r="8649" spans="6:7" x14ac:dyDescent="0.35">
      <c r="F8649">
        <v>8646</v>
      </c>
      <c r="G8649">
        <f t="shared" ca="1" si="220"/>
        <v>-2.4417697464485705E-2</v>
      </c>
    </row>
    <row r="8650" spans="6:7" x14ac:dyDescent="0.35">
      <c r="F8650">
        <v>8647</v>
      </c>
      <c r="G8650">
        <f t="shared" ca="1" si="220"/>
        <v>1.4384875790449505E-2</v>
      </c>
    </row>
    <row r="8651" spans="6:7" x14ac:dyDescent="0.35">
      <c r="F8651">
        <v>8648</v>
      </c>
      <c r="G8651">
        <f t="shared" ca="1" si="220"/>
        <v>7.6608957710021207E-3</v>
      </c>
    </row>
    <row r="8652" spans="6:7" x14ac:dyDescent="0.35">
      <c r="F8652">
        <v>8649</v>
      </c>
      <c r="G8652">
        <f t="shared" ca="1" si="220"/>
        <v>2.3686280117616813E-2</v>
      </c>
    </row>
    <row r="8653" spans="6:7" x14ac:dyDescent="0.35">
      <c r="F8653">
        <v>8650</v>
      </c>
      <c r="G8653">
        <f t="shared" ca="1" si="220"/>
        <v>-2.4700839317587243E-2</v>
      </c>
    </row>
    <row r="8654" spans="6:7" x14ac:dyDescent="0.35">
      <c r="F8654">
        <v>8651</v>
      </c>
      <c r="G8654">
        <f t="shared" ca="1" si="220"/>
        <v>-6.5234241616457828E-2</v>
      </c>
    </row>
    <row r="8655" spans="6:7" x14ac:dyDescent="0.35">
      <c r="F8655">
        <v>8652</v>
      </c>
      <c r="G8655">
        <f t="shared" ca="1" si="220"/>
        <v>-1.0519513157366746E-3</v>
      </c>
    </row>
    <row r="8656" spans="6:7" x14ac:dyDescent="0.35">
      <c r="F8656">
        <v>8653</v>
      </c>
      <c r="G8656">
        <f t="shared" ca="1" si="220"/>
        <v>8.6902065141652839E-3</v>
      </c>
    </row>
    <row r="8657" spans="6:7" x14ac:dyDescent="0.35">
      <c r="F8657">
        <v>8654</v>
      </c>
      <c r="G8657">
        <f t="shared" ca="1" si="220"/>
        <v>2.4808021311397328E-2</v>
      </c>
    </row>
    <row r="8658" spans="6:7" x14ac:dyDescent="0.35">
      <c r="F8658">
        <v>8655</v>
      </c>
      <c r="G8658">
        <f t="shared" ca="1" si="220"/>
        <v>4.0001614619085454E-2</v>
      </c>
    </row>
    <row r="8659" spans="6:7" x14ac:dyDescent="0.35">
      <c r="F8659">
        <v>8656</v>
      </c>
      <c r="G8659">
        <f t="shared" ca="1" si="220"/>
        <v>-7.2150258353014009E-3</v>
      </c>
    </row>
    <row r="8660" spans="6:7" x14ac:dyDescent="0.35">
      <c r="F8660">
        <v>8657</v>
      </c>
      <c r="G8660">
        <f t="shared" ca="1" si="220"/>
        <v>-2.6697627777395681E-3</v>
      </c>
    </row>
    <row r="8661" spans="6:7" x14ac:dyDescent="0.35">
      <c r="F8661">
        <v>8658</v>
      </c>
      <c r="G8661">
        <f t="shared" ca="1" si="220"/>
        <v>1.2989796542562593E-2</v>
      </c>
    </row>
    <row r="8662" spans="6:7" x14ac:dyDescent="0.35">
      <c r="F8662">
        <v>8659</v>
      </c>
      <c r="G8662">
        <f t="shared" ca="1" si="220"/>
        <v>3.5387672124969453E-2</v>
      </c>
    </row>
    <row r="8663" spans="6:7" x14ac:dyDescent="0.35">
      <c r="F8663">
        <v>8660</v>
      </c>
      <c r="G8663">
        <f t="shared" ca="1" si="220"/>
        <v>3.5680643947138123E-2</v>
      </c>
    </row>
    <row r="8664" spans="6:7" x14ac:dyDescent="0.35">
      <c r="F8664">
        <v>8661</v>
      </c>
      <c r="G8664">
        <f t="shared" ca="1" si="220"/>
        <v>-2.3566586203009356E-2</v>
      </c>
    </row>
    <row r="8665" spans="6:7" x14ac:dyDescent="0.35">
      <c r="F8665">
        <v>8662</v>
      </c>
      <c r="G8665">
        <f t="shared" ca="1" si="220"/>
        <v>-4.3232764301014158E-2</v>
      </c>
    </row>
    <row r="8666" spans="6:7" x14ac:dyDescent="0.35">
      <c r="F8666">
        <v>8663</v>
      </c>
      <c r="G8666">
        <f t="shared" ca="1" si="220"/>
        <v>-1.5699813859357946E-2</v>
      </c>
    </row>
    <row r="8667" spans="6:7" x14ac:dyDescent="0.35">
      <c r="F8667">
        <v>8664</v>
      </c>
      <c r="G8667">
        <f t="shared" ca="1" si="220"/>
        <v>-1.3653674599619104E-2</v>
      </c>
    </row>
    <row r="8668" spans="6:7" x14ac:dyDescent="0.35">
      <c r="F8668">
        <v>8665</v>
      </c>
      <c r="G8668">
        <f t="shared" ca="1" si="220"/>
        <v>-6.9347735852777273E-3</v>
      </c>
    </row>
    <row r="8669" spans="6:7" x14ac:dyDescent="0.35">
      <c r="F8669">
        <v>8666</v>
      </c>
      <c r="G8669">
        <f t="shared" ca="1" si="220"/>
        <v>1.6137443537286522E-2</v>
      </c>
    </row>
    <row r="8670" spans="6:7" x14ac:dyDescent="0.35">
      <c r="F8670">
        <v>8667</v>
      </c>
      <c r="G8670">
        <f t="shared" ca="1" si="220"/>
        <v>-1.9503691451480232E-2</v>
      </c>
    </row>
    <row r="8671" spans="6:7" x14ac:dyDescent="0.35">
      <c r="F8671">
        <v>8668</v>
      </c>
      <c r="G8671">
        <f t="shared" ca="1" si="220"/>
        <v>-2.4104387295342637E-3</v>
      </c>
    </row>
    <row r="8672" spans="6:7" x14ac:dyDescent="0.35">
      <c r="F8672">
        <v>8669</v>
      </c>
      <c r="G8672">
        <f t="shared" ca="1" si="220"/>
        <v>1.8795520840051826E-2</v>
      </c>
    </row>
    <row r="8673" spans="6:7" x14ac:dyDescent="0.35">
      <c r="F8673">
        <v>8670</v>
      </c>
      <c r="G8673">
        <f t="shared" ca="1" si="220"/>
        <v>6.029814577807064E-2</v>
      </c>
    </row>
    <row r="8674" spans="6:7" x14ac:dyDescent="0.35">
      <c r="F8674">
        <v>8671</v>
      </c>
      <c r="G8674">
        <f t="shared" ca="1" si="220"/>
        <v>1.3415709337465786E-3</v>
      </c>
    </row>
    <row r="8675" spans="6:7" x14ac:dyDescent="0.35">
      <c r="F8675">
        <v>8672</v>
      </c>
      <c r="G8675">
        <f t="shared" ca="1" si="220"/>
        <v>2.7884915206233991E-2</v>
      </c>
    </row>
    <row r="8676" spans="6:7" x14ac:dyDescent="0.35">
      <c r="F8676">
        <v>8673</v>
      </c>
      <c r="G8676">
        <f t="shared" ca="1" si="220"/>
        <v>-1.4464121975827592E-2</v>
      </c>
    </row>
    <row r="8677" spans="6:7" x14ac:dyDescent="0.35">
      <c r="F8677">
        <v>8674</v>
      </c>
      <c r="G8677">
        <f t="shared" ca="1" si="220"/>
        <v>-1.1313588610504877E-2</v>
      </c>
    </row>
    <row r="8678" spans="6:7" x14ac:dyDescent="0.35">
      <c r="F8678">
        <v>8675</v>
      </c>
      <c r="G8678">
        <f t="shared" ca="1" si="220"/>
        <v>-1.7214335606326184E-2</v>
      </c>
    </row>
    <row r="8679" spans="6:7" x14ac:dyDescent="0.35">
      <c r="F8679">
        <v>8676</v>
      </c>
      <c r="G8679">
        <f t="shared" ca="1" si="220"/>
        <v>7.0302829965009882E-3</v>
      </c>
    </row>
    <row r="8680" spans="6:7" x14ac:dyDescent="0.35">
      <c r="F8680">
        <v>8677</v>
      </c>
      <c r="G8680">
        <f t="shared" ca="1" si="220"/>
        <v>8.8187781424367423E-3</v>
      </c>
    </row>
    <row r="8681" spans="6:7" x14ac:dyDescent="0.35">
      <c r="F8681">
        <v>8678</v>
      </c>
      <c r="G8681">
        <f t="shared" ca="1" si="220"/>
        <v>3.7660252627731948E-2</v>
      </c>
    </row>
    <row r="8682" spans="6:7" x14ac:dyDescent="0.35">
      <c r="F8682">
        <v>8679</v>
      </c>
      <c r="G8682">
        <f t="shared" ca="1" si="220"/>
        <v>-2.1070187362033789E-2</v>
      </c>
    </row>
    <row r="8683" spans="6:7" x14ac:dyDescent="0.35">
      <c r="F8683">
        <v>8680</v>
      </c>
      <c r="G8683">
        <f t="shared" ca="1" si="220"/>
        <v>3.0366202982406752E-2</v>
      </c>
    </row>
    <row r="8684" spans="6:7" x14ac:dyDescent="0.35">
      <c r="F8684">
        <v>8681</v>
      </c>
      <c r="G8684">
        <f t="shared" ca="1" si="220"/>
        <v>2.7910313630704873E-2</v>
      </c>
    </row>
    <row r="8685" spans="6:7" x14ac:dyDescent="0.35">
      <c r="F8685">
        <v>8682</v>
      </c>
      <c r="G8685">
        <f t="shared" ca="1" si="220"/>
        <v>1.199705138758253E-2</v>
      </c>
    </row>
    <row r="8686" spans="6:7" x14ac:dyDescent="0.35">
      <c r="F8686">
        <v>8683</v>
      </c>
      <c r="G8686">
        <f t="shared" ca="1" si="220"/>
        <v>1.1327252745546443E-2</v>
      </c>
    </row>
    <row r="8687" spans="6:7" x14ac:dyDescent="0.35">
      <c r="F8687">
        <v>8684</v>
      </c>
      <c r="G8687">
        <f t="shared" ca="1" si="220"/>
        <v>2.1908835899117077E-2</v>
      </c>
    </row>
    <row r="8688" spans="6:7" x14ac:dyDescent="0.35">
      <c r="F8688">
        <v>8685</v>
      </c>
      <c r="G8688">
        <f t="shared" ca="1" si="220"/>
        <v>-6.657829356206231E-2</v>
      </c>
    </row>
    <row r="8689" spans="6:7" x14ac:dyDescent="0.35">
      <c r="F8689">
        <v>8686</v>
      </c>
      <c r="G8689">
        <f t="shared" ca="1" si="220"/>
        <v>-3.9199299674952323E-2</v>
      </c>
    </row>
    <row r="8690" spans="6:7" x14ac:dyDescent="0.35">
      <c r="F8690">
        <v>8687</v>
      </c>
      <c r="G8690">
        <f t="shared" ca="1" si="220"/>
        <v>-4.5863549804265068E-2</v>
      </c>
    </row>
    <row r="8691" spans="6:7" x14ac:dyDescent="0.35">
      <c r="F8691">
        <v>8688</v>
      </c>
      <c r="G8691">
        <f t="shared" ca="1" si="220"/>
        <v>-2.9063458110606278E-2</v>
      </c>
    </row>
    <row r="8692" spans="6:7" x14ac:dyDescent="0.35">
      <c r="F8692">
        <v>8689</v>
      </c>
      <c r="G8692">
        <f t="shared" ca="1" si="220"/>
        <v>-2.1181239368335509E-2</v>
      </c>
    </row>
    <row r="8693" spans="6:7" x14ac:dyDescent="0.35">
      <c r="F8693">
        <v>8690</v>
      </c>
      <c r="G8693">
        <f t="shared" ca="1" si="220"/>
        <v>-4.0822841036742573E-2</v>
      </c>
    </row>
    <row r="8694" spans="6:7" x14ac:dyDescent="0.35">
      <c r="F8694">
        <v>8691</v>
      </c>
      <c r="G8694">
        <f t="shared" ca="1" si="220"/>
        <v>1.3152798763119693E-2</v>
      </c>
    </row>
    <row r="8695" spans="6:7" x14ac:dyDescent="0.35">
      <c r="F8695">
        <v>8692</v>
      </c>
      <c r="G8695">
        <f t="shared" ca="1" si="220"/>
        <v>1.1246191071435473E-2</v>
      </c>
    </row>
    <row r="8696" spans="6:7" x14ac:dyDescent="0.35">
      <c r="F8696">
        <v>8693</v>
      </c>
      <c r="G8696">
        <f t="shared" ca="1" si="220"/>
        <v>-1.3206319782049092E-2</v>
      </c>
    </row>
    <row r="8697" spans="6:7" x14ac:dyDescent="0.35">
      <c r="F8697">
        <v>8694</v>
      </c>
      <c r="G8697">
        <f t="shared" ca="1" si="220"/>
        <v>3.0202890350425608E-2</v>
      </c>
    </row>
    <row r="8698" spans="6:7" x14ac:dyDescent="0.35">
      <c r="F8698">
        <v>8695</v>
      </c>
      <c r="G8698">
        <f t="shared" ca="1" si="220"/>
        <v>4.4470816595587074E-3</v>
      </c>
    </row>
    <row r="8699" spans="6:7" x14ac:dyDescent="0.35">
      <c r="F8699">
        <v>8696</v>
      </c>
      <c r="G8699">
        <f t="shared" ca="1" si="220"/>
        <v>1.6858312237685517E-2</v>
      </c>
    </row>
    <row r="8700" spans="6:7" x14ac:dyDescent="0.35">
      <c r="F8700">
        <v>8697</v>
      </c>
      <c r="G8700">
        <f t="shared" ca="1" si="220"/>
        <v>-1.0528507318238218E-2</v>
      </c>
    </row>
    <row r="8701" spans="6:7" x14ac:dyDescent="0.35">
      <c r="F8701">
        <v>8698</v>
      </c>
      <c r="G8701">
        <f t="shared" ca="1" si="220"/>
        <v>7.2545876904982654E-2</v>
      </c>
    </row>
    <row r="8702" spans="6:7" x14ac:dyDescent="0.35">
      <c r="F8702">
        <v>8699</v>
      </c>
      <c r="G8702">
        <f t="shared" ca="1" si="220"/>
        <v>2.2274589640896528E-2</v>
      </c>
    </row>
    <row r="8703" spans="6:7" x14ac:dyDescent="0.35">
      <c r="F8703">
        <v>8700</v>
      </c>
      <c r="G8703">
        <f t="shared" ca="1" si="220"/>
        <v>2.8229380130847033E-2</v>
      </c>
    </row>
    <row r="8704" spans="6:7" x14ac:dyDescent="0.35">
      <c r="F8704">
        <v>8701</v>
      </c>
      <c r="G8704">
        <f t="shared" ca="1" si="220"/>
        <v>1.9144846396605048E-3</v>
      </c>
    </row>
    <row r="8705" spans="6:7" x14ac:dyDescent="0.35">
      <c r="F8705">
        <v>8702</v>
      </c>
      <c r="G8705">
        <f t="shared" ca="1" si="220"/>
        <v>5.1808188443966945E-2</v>
      </c>
    </row>
    <row r="8706" spans="6:7" x14ac:dyDescent="0.35">
      <c r="F8706">
        <v>8703</v>
      </c>
      <c r="G8706">
        <f t="shared" ca="1" si="220"/>
        <v>4.7090770483094187E-2</v>
      </c>
    </row>
    <row r="8707" spans="6:7" x14ac:dyDescent="0.35">
      <c r="F8707">
        <v>8704</v>
      </c>
      <c r="G8707">
        <f t="shared" ca="1" si="220"/>
        <v>-1.4324969995784316E-2</v>
      </c>
    </row>
    <row r="8708" spans="6:7" x14ac:dyDescent="0.35">
      <c r="F8708">
        <v>8705</v>
      </c>
      <c r="G8708">
        <f t="shared" ca="1" si="220"/>
        <v>-1.3334366162502937E-2</v>
      </c>
    </row>
    <row r="8709" spans="6:7" x14ac:dyDescent="0.35">
      <c r="F8709">
        <v>8706</v>
      </c>
      <c r="G8709">
        <f t="shared" ref="G8709:G8772" ca="1" si="221">_xlfn.NORM.INV(RAND(),K$6,K$7)</f>
        <v>-6.0794613832275855E-3</v>
      </c>
    </row>
    <row r="8710" spans="6:7" x14ac:dyDescent="0.35">
      <c r="F8710">
        <v>8707</v>
      </c>
      <c r="G8710">
        <f t="shared" ca="1" si="221"/>
        <v>-3.690550086120039E-2</v>
      </c>
    </row>
    <row r="8711" spans="6:7" x14ac:dyDescent="0.35">
      <c r="F8711">
        <v>8708</v>
      </c>
      <c r="G8711">
        <f t="shared" ca="1" si="221"/>
        <v>-1.9567936689937952E-2</v>
      </c>
    </row>
    <row r="8712" spans="6:7" x14ac:dyDescent="0.35">
      <c r="F8712">
        <v>8709</v>
      </c>
      <c r="G8712">
        <f t="shared" ca="1" si="221"/>
        <v>2.2298761537397033E-2</v>
      </c>
    </row>
    <row r="8713" spans="6:7" x14ac:dyDescent="0.35">
      <c r="F8713">
        <v>8710</v>
      </c>
      <c r="G8713">
        <f t="shared" ca="1" si="221"/>
        <v>1.2363940957584167E-2</v>
      </c>
    </row>
    <row r="8714" spans="6:7" x14ac:dyDescent="0.35">
      <c r="F8714">
        <v>8711</v>
      </c>
      <c r="G8714">
        <f t="shared" ca="1" si="221"/>
        <v>-9.2788073530758789E-4</v>
      </c>
    </row>
    <row r="8715" spans="6:7" x14ac:dyDescent="0.35">
      <c r="F8715">
        <v>8712</v>
      </c>
      <c r="G8715">
        <f t="shared" ca="1" si="221"/>
        <v>1.3434229881357809E-2</v>
      </c>
    </row>
    <row r="8716" spans="6:7" x14ac:dyDescent="0.35">
      <c r="F8716">
        <v>8713</v>
      </c>
      <c r="G8716">
        <f t="shared" ca="1" si="221"/>
        <v>2.5653002688785311E-2</v>
      </c>
    </row>
    <row r="8717" spans="6:7" x14ac:dyDescent="0.35">
      <c r="F8717">
        <v>8714</v>
      </c>
      <c r="G8717">
        <f t="shared" ca="1" si="221"/>
        <v>1.3173884303061021E-2</v>
      </c>
    </row>
    <row r="8718" spans="6:7" x14ac:dyDescent="0.35">
      <c r="F8718">
        <v>8715</v>
      </c>
      <c r="G8718">
        <f t="shared" ca="1" si="221"/>
        <v>1.2191112404381654E-2</v>
      </c>
    </row>
    <row r="8719" spans="6:7" x14ac:dyDescent="0.35">
      <c r="F8719">
        <v>8716</v>
      </c>
      <c r="G8719">
        <f t="shared" ca="1" si="221"/>
        <v>-5.9910714717372755E-2</v>
      </c>
    </row>
    <row r="8720" spans="6:7" x14ac:dyDescent="0.35">
      <c r="F8720">
        <v>8717</v>
      </c>
      <c r="G8720">
        <f t="shared" ca="1" si="221"/>
        <v>3.7704144094705397E-3</v>
      </c>
    </row>
    <row r="8721" spans="6:7" x14ac:dyDescent="0.35">
      <c r="F8721">
        <v>8718</v>
      </c>
      <c r="G8721">
        <f t="shared" ca="1" si="221"/>
        <v>-5.3390930238823124E-2</v>
      </c>
    </row>
    <row r="8722" spans="6:7" x14ac:dyDescent="0.35">
      <c r="F8722">
        <v>8719</v>
      </c>
      <c r="G8722">
        <f t="shared" ca="1" si="221"/>
        <v>1.6946164625939085E-2</v>
      </c>
    </row>
    <row r="8723" spans="6:7" x14ac:dyDescent="0.35">
      <c r="F8723">
        <v>8720</v>
      </c>
      <c r="G8723">
        <f t="shared" ca="1" si="221"/>
        <v>6.0399809629817043E-3</v>
      </c>
    </row>
    <row r="8724" spans="6:7" x14ac:dyDescent="0.35">
      <c r="F8724">
        <v>8721</v>
      </c>
      <c r="G8724">
        <f t="shared" ca="1" si="221"/>
        <v>6.5497506713272036E-2</v>
      </c>
    </row>
    <row r="8725" spans="6:7" x14ac:dyDescent="0.35">
      <c r="F8725">
        <v>8722</v>
      </c>
      <c r="G8725">
        <f t="shared" ca="1" si="221"/>
        <v>-1.6811756184600683E-2</v>
      </c>
    </row>
    <row r="8726" spans="6:7" x14ac:dyDescent="0.35">
      <c r="F8726">
        <v>8723</v>
      </c>
      <c r="G8726">
        <f t="shared" ca="1" si="221"/>
        <v>-3.4319990389249946E-2</v>
      </c>
    </row>
    <row r="8727" spans="6:7" x14ac:dyDescent="0.35">
      <c r="F8727">
        <v>8724</v>
      </c>
      <c r="G8727">
        <f t="shared" ca="1" si="221"/>
        <v>3.0748687850683798E-3</v>
      </c>
    </row>
    <row r="8728" spans="6:7" x14ac:dyDescent="0.35">
      <c r="F8728">
        <v>8725</v>
      </c>
      <c r="G8728">
        <f t="shared" ca="1" si="221"/>
        <v>-1.9287832664614861E-2</v>
      </c>
    </row>
    <row r="8729" spans="6:7" x14ac:dyDescent="0.35">
      <c r="F8729">
        <v>8726</v>
      </c>
      <c r="G8729">
        <f t="shared" ca="1" si="221"/>
        <v>1.8778448852813226E-2</v>
      </c>
    </row>
    <row r="8730" spans="6:7" x14ac:dyDescent="0.35">
      <c r="F8730">
        <v>8727</v>
      </c>
      <c r="G8730">
        <f t="shared" ca="1" si="221"/>
        <v>-4.5470132374944398E-3</v>
      </c>
    </row>
    <row r="8731" spans="6:7" x14ac:dyDescent="0.35">
      <c r="F8731">
        <v>8728</v>
      </c>
      <c r="G8731">
        <f t="shared" ca="1" si="221"/>
        <v>4.7874897632602088E-2</v>
      </c>
    </row>
    <row r="8732" spans="6:7" x14ac:dyDescent="0.35">
      <c r="F8732">
        <v>8729</v>
      </c>
      <c r="G8732">
        <f t="shared" ca="1" si="221"/>
        <v>2.9530687167508979E-2</v>
      </c>
    </row>
    <row r="8733" spans="6:7" x14ac:dyDescent="0.35">
      <c r="F8733">
        <v>8730</v>
      </c>
      <c r="G8733">
        <f t="shared" ca="1" si="221"/>
        <v>2.4592546185908393E-2</v>
      </c>
    </row>
    <row r="8734" spans="6:7" x14ac:dyDescent="0.35">
      <c r="F8734">
        <v>8731</v>
      </c>
      <c r="G8734">
        <f t="shared" ca="1" si="221"/>
        <v>1.1861057541207623E-2</v>
      </c>
    </row>
    <row r="8735" spans="6:7" x14ac:dyDescent="0.35">
      <c r="F8735">
        <v>8732</v>
      </c>
      <c r="G8735">
        <f t="shared" ca="1" si="221"/>
        <v>-3.3996173135061716E-2</v>
      </c>
    </row>
    <row r="8736" spans="6:7" x14ac:dyDescent="0.35">
      <c r="F8736">
        <v>8733</v>
      </c>
      <c r="G8736">
        <f t="shared" ca="1" si="221"/>
        <v>1.6794438801842532E-2</v>
      </c>
    </row>
    <row r="8737" spans="6:7" x14ac:dyDescent="0.35">
      <c r="F8737">
        <v>8734</v>
      </c>
      <c r="G8737">
        <f t="shared" ca="1" si="221"/>
        <v>1.9018758942057706E-2</v>
      </c>
    </row>
    <row r="8738" spans="6:7" x14ac:dyDescent="0.35">
      <c r="F8738">
        <v>8735</v>
      </c>
      <c r="G8738">
        <f t="shared" ca="1" si="221"/>
        <v>1.6883221125755445E-2</v>
      </c>
    </row>
    <row r="8739" spans="6:7" x14ac:dyDescent="0.35">
      <c r="F8739">
        <v>8736</v>
      </c>
      <c r="G8739">
        <f t="shared" ca="1" si="221"/>
        <v>-3.8979034907603245E-2</v>
      </c>
    </row>
    <row r="8740" spans="6:7" x14ac:dyDescent="0.35">
      <c r="F8740">
        <v>8737</v>
      </c>
      <c r="G8740">
        <f t="shared" ca="1" si="221"/>
        <v>-2.046959012274074E-2</v>
      </c>
    </row>
    <row r="8741" spans="6:7" x14ac:dyDescent="0.35">
      <c r="F8741">
        <v>8738</v>
      </c>
      <c r="G8741">
        <f t="shared" ca="1" si="221"/>
        <v>-5.3044541989937209E-2</v>
      </c>
    </row>
    <row r="8742" spans="6:7" x14ac:dyDescent="0.35">
      <c r="F8742">
        <v>8739</v>
      </c>
      <c r="G8742">
        <f t="shared" ca="1" si="221"/>
        <v>1.2148584393542534E-2</v>
      </c>
    </row>
    <row r="8743" spans="6:7" x14ac:dyDescent="0.35">
      <c r="F8743">
        <v>8740</v>
      </c>
      <c r="G8743">
        <f t="shared" ca="1" si="221"/>
        <v>1.6884763934546368E-2</v>
      </c>
    </row>
    <row r="8744" spans="6:7" x14ac:dyDescent="0.35">
      <c r="F8744">
        <v>8741</v>
      </c>
      <c r="G8744">
        <f t="shared" ca="1" si="221"/>
        <v>-1.8457827924753083E-2</v>
      </c>
    </row>
    <row r="8745" spans="6:7" x14ac:dyDescent="0.35">
      <c r="F8745">
        <v>8742</v>
      </c>
      <c r="G8745">
        <f t="shared" ca="1" si="221"/>
        <v>-2.5345621281168206E-2</v>
      </c>
    </row>
    <row r="8746" spans="6:7" x14ac:dyDescent="0.35">
      <c r="F8746">
        <v>8743</v>
      </c>
      <c r="G8746">
        <f t="shared" ca="1" si="221"/>
        <v>-2.8986711106306826E-2</v>
      </c>
    </row>
    <row r="8747" spans="6:7" x14ac:dyDescent="0.35">
      <c r="F8747">
        <v>8744</v>
      </c>
      <c r="G8747">
        <f t="shared" ca="1" si="221"/>
        <v>5.4845502756520607E-2</v>
      </c>
    </row>
    <row r="8748" spans="6:7" x14ac:dyDescent="0.35">
      <c r="F8748">
        <v>8745</v>
      </c>
      <c r="G8748">
        <f t="shared" ca="1" si="221"/>
        <v>-1.3165687190217363E-2</v>
      </c>
    </row>
    <row r="8749" spans="6:7" x14ac:dyDescent="0.35">
      <c r="F8749">
        <v>8746</v>
      </c>
      <c r="G8749">
        <f t="shared" ca="1" si="221"/>
        <v>4.5814843700384175E-2</v>
      </c>
    </row>
    <row r="8750" spans="6:7" x14ac:dyDescent="0.35">
      <c r="F8750">
        <v>8747</v>
      </c>
      <c r="G8750">
        <f t="shared" ca="1" si="221"/>
        <v>5.3933533480410734E-3</v>
      </c>
    </row>
    <row r="8751" spans="6:7" x14ac:dyDescent="0.35">
      <c r="F8751">
        <v>8748</v>
      </c>
      <c r="G8751">
        <f t="shared" ca="1" si="221"/>
        <v>1.1919673770155783E-2</v>
      </c>
    </row>
    <row r="8752" spans="6:7" x14ac:dyDescent="0.35">
      <c r="F8752">
        <v>8749</v>
      </c>
      <c r="G8752">
        <f t="shared" ca="1" si="221"/>
        <v>2.1367323774438604E-2</v>
      </c>
    </row>
    <row r="8753" spans="6:7" x14ac:dyDescent="0.35">
      <c r="F8753">
        <v>8750</v>
      </c>
      <c r="G8753">
        <f t="shared" ca="1" si="221"/>
        <v>7.0956239331733785E-3</v>
      </c>
    </row>
    <row r="8754" spans="6:7" x14ac:dyDescent="0.35">
      <c r="F8754">
        <v>8751</v>
      </c>
      <c r="G8754">
        <f t="shared" ca="1" si="221"/>
        <v>7.0716044804116571E-3</v>
      </c>
    </row>
    <row r="8755" spans="6:7" x14ac:dyDescent="0.35">
      <c r="F8755">
        <v>8752</v>
      </c>
      <c r="G8755">
        <f t="shared" ca="1" si="221"/>
        <v>-1.0109792436429286E-2</v>
      </c>
    </row>
    <row r="8756" spans="6:7" x14ac:dyDescent="0.35">
      <c r="F8756">
        <v>8753</v>
      </c>
      <c r="G8756">
        <f t="shared" ca="1" si="221"/>
        <v>-3.6807431894431301E-2</v>
      </c>
    </row>
    <row r="8757" spans="6:7" x14ac:dyDescent="0.35">
      <c r="F8757">
        <v>8754</v>
      </c>
      <c r="G8757">
        <f t="shared" ca="1" si="221"/>
        <v>4.6916629610865443E-2</v>
      </c>
    </row>
    <row r="8758" spans="6:7" x14ac:dyDescent="0.35">
      <c r="F8758">
        <v>8755</v>
      </c>
      <c r="G8758">
        <f t="shared" ca="1" si="221"/>
        <v>5.3762208637103744E-2</v>
      </c>
    </row>
    <row r="8759" spans="6:7" x14ac:dyDescent="0.35">
      <c r="F8759">
        <v>8756</v>
      </c>
      <c r="G8759">
        <f t="shared" ca="1" si="221"/>
        <v>-4.0781128597893755E-2</v>
      </c>
    </row>
    <row r="8760" spans="6:7" x14ac:dyDescent="0.35">
      <c r="F8760">
        <v>8757</v>
      </c>
      <c r="G8760">
        <f t="shared" ca="1" si="221"/>
        <v>3.4109700138478305E-2</v>
      </c>
    </row>
    <row r="8761" spans="6:7" x14ac:dyDescent="0.35">
      <c r="F8761">
        <v>8758</v>
      </c>
      <c r="G8761">
        <f t="shared" ca="1" si="221"/>
        <v>8.3552178276321415E-3</v>
      </c>
    </row>
    <row r="8762" spans="6:7" x14ac:dyDescent="0.35">
      <c r="F8762">
        <v>8759</v>
      </c>
      <c r="G8762">
        <f t="shared" ca="1" si="221"/>
        <v>-1.3900256229713063E-2</v>
      </c>
    </row>
    <row r="8763" spans="6:7" x14ac:dyDescent="0.35">
      <c r="F8763">
        <v>8760</v>
      </c>
      <c r="G8763">
        <f t="shared" ca="1" si="221"/>
        <v>-3.0096246780768571E-2</v>
      </c>
    </row>
    <row r="8764" spans="6:7" x14ac:dyDescent="0.35">
      <c r="F8764">
        <v>8761</v>
      </c>
      <c r="G8764">
        <f t="shared" ca="1" si="221"/>
        <v>1.4118503338195223E-2</v>
      </c>
    </row>
    <row r="8765" spans="6:7" x14ac:dyDescent="0.35">
      <c r="F8765">
        <v>8762</v>
      </c>
      <c r="G8765">
        <f t="shared" ca="1" si="221"/>
        <v>-5.1941814673941242E-3</v>
      </c>
    </row>
    <row r="8766" spans="6:7" x14ac:dyDescent="0.35">
      <c r="F8766">
        <v>8763</v>
      </c>
      <c r="G8766">
        <f t="shared" ca="1" si="221"/>
        <v>2.7571596527116726E-2</v>
      </c>
    </row>
    <row r="8767" spans="6:7" x14ac:dyDescent="0.35">
      <c r="F8767">
        <v>8764</v>
      </c>
      <c r="G8767">
        <f t="shared" ca="1" si="221"/>
        <v>4.5689260699550108E-2</v>
      </c>
    </row>
    <row r="8768" spans="6:7" x14ac:dyDescent="0.35">
      <c r="F8768">
        <v>8765</v>
      </c>
      <c r="G8768">
        <f t="shared" ca="1" si="221"/>
        <v>-4.2301022231900812E-2</v>
      </c>
    </row>
    <row r="8769" spans="6:7" x14ac:dyDescent="0.35">
      <c r="F8769">
        <v>8766</v>
      </c>
      <c r="G8769">
        <f t="shared" ca="1" si="221"/>
        <v>-3.8609453191107996E-3</v>
      </c>
    </row>
    <row r="8770" spans="6:7" x14ac:dyDescent="0.35">
      <c r="F8770">
        <v>8767</v>
      </c>
      <c r="G8770">
        <f t="shared" ca="1" si="221"/>
        <v>-1.8050104522917413E-3</v>
      </c>
    </row>
    <row r="8771" spans="6:7" x14ac:dyDescent="0.35">
      <c r="F8771">
        <v>8768</v>
      </c>
      <c r="G8771">
        <f t="shared" ca="1" si="221"/>
        <v>-7.2313823782802697E-3</v>
      </c>
    </row>
    <row r="8772" spans="6:7" x14ac:dyDescent="0.35">
      <c r="F8772">
        <v>8769</v>
      </c>
      <c r="G8772">
        <f t="shared" ca="1" si="221"/>
        <v>1.7285437570285184E-2</v>
      </c>
    </row>
    <row r="8773" spans="6:7" x14ac:dyDescent="0.35">
      <c r="F8773">
        <v>8770</v>
      </c>
      <c r="G8773">
        <f t="shared" ref="G8773:G8836" ca="1" si="222">_xlfn.NORM.INV(RAND(),K$6,K$7)</f>
        <v>3.1308771368943861E-2</v>
      </c>
    </row>
    <row r="8774" spans="6:7" x14ac:dyDescent="0.35">
      <c r="F8774">
        <v>8771</v>
      </c>
      <c r="G8774">
        <f t="shared" ca="1" si="222"/>
        <v>-1.9494745395448067E-2</v>
      </c>
    </row>
    <row r="8775" spans="6:7" x14ac:dyDescent="0.35">
      <c r="F8775">
        <v>8772</v>
      </c>
      <c r="G8775">
        <f t="shared" ca="1" si="222"/>
        <v>2.8211629228392095E-2</v>
      </c>
    </row>
    <row r="8776" spans="6:7" x14ac:dyDescent="0.35">
      <c r="F8776">
        <v>8773</v>
      </c>
      <c r="G8776">
        <f t="shared" ca="1" si="222"/>
        <v>3.0138457232789202E-2</v>
      </c>
    </row>
    <row r="8777" spans="6:7" x14ac:dyDescent="0.35">
      <c r="F8777">
        <v>8774</v>
      </c>
      <c r="G8777">
        <f t="shared" ca="1" si="222"/>
        <v>5.4472228918690186E-3</v>
      </c>
    </row>
    <row r="8778" spans="6:7" x14ac:dyDescent="0.35">
      <c r="F8778">
        <v>8775</v>
      </c>
      <c r="G8778">
        <f t="shared" ca="1" si="222"/>
        <v>-8.9280343886957245E-3</v>
      </c>
    </row>
    <row r="8779" spans="6:7" x14ac:dyDescent="0.35">
      <c r="F8779">
        <v>8776</v>
      </c>
      <c r="G8779">
        <f t="shared" ca="1" si="222"/>
        <v>8.1800786130826978E-3</v>
      </c>
    </row>
    <row r="8780" spans="6:7" x14ac:dyDescent="0.35">
      <c r="F8780">
        <v>8777</v>
      </c>
      <c r="G8780">
        <f t="shared" ca="1" si="222"/>
        <v>-7.3871029640439783E-4</v>
      </c>
    </row>
    <row r="8781" spans="6:7" x14ac:dyDescent="0.35">
      <c r="F8781">
        <v>8778</v>
      </c>
      <c r="G8781">
        <f t="shared" ca="1" si="222"/>
        <v>-8.0913731472391399E-3</v>
      </c>
    </row>
    <row r="8782" spans="6:7" x14ac:dyDescent="0.35">
      <c r="F8782">
        <v>8779</v>
      </c>
      <c r="G8782">
        <f t="shared" ca="1" si="222"/>
        <v>5.1693727297021496E-3</v>
      </c>
    </row>
    <row r="8783" spans="6:7" x14ac:dyDescent="0.35">
      <c r="F8783">
        <v>8780</v>
      </c>
      <c r="G8783">
        <f t="shared" ca="1" si="222"/>
        <v>-8.9896732970597987E-3</v>
      </c>
    </row>
    <row r="8784" spans="6:7" x14ac:dyDescent="0.35">
      <c r="F8784">
        <v>8781</v>
      </c>
      <c r="G8784">
        <f t="shared" ca="1" si="222"/>
        <v>-1.6114854618507878E-2</v>
      </c>
    </row>
    <row r="8785" spans="6:7" x14ac:dyDescent="0.35">
      <c r="F8785">
        <v>8782</v>
      </c>
      <c r="G8785">
        <f t="shared" ca="1" si="222"/>
        <v>-4.4807300001846309E-2</v>
      </c>
    </row>
    <row r="8786" spans="6:7" x14ac:dyDescent="0.35">
      <c r="F8786">
        <v>8783</v>
      </c>
      <c r="G8786">
        <f t="shared" ca="1" si="222"/>
        <v>6.7279768900027712E-3</v>
      </c>
    </row>
    <row r="8787" spans="6:7" x14ac:dyDescent="0.35">
      <c r="F8787">
        <v>8784</v>
      </c>
      <c r="G8787">
        <f t="shared" ca="1" si="222"/>
        <v>7.82002110843161E-4</v>
      </c>
    </row>
    <row r="8788" spans="6:7" x14ac:dyDescent="0.35">
      <c r="F8788">
        <v>8785</v>
      </c>
      <c r="G8788">
        <f t="shared" ca="1" si="222"/>
        <v>1.814027129825449E-2</v>
      </c>
    </row>
    <row r="8789" spans="6:7" x14ac:dyDescent="0.35">
      <c r="F8789">
        <v>8786</v>
      </c>
      <c r="G8789">
        <f t="shared" ca="1" si="222"/>
        <v>1.1293298573235157E-2</v>
      </c>
    </row>
    <row r="8790" spans="6:7" x14ac:dyDescent="0.35">
      <c r="F8790">
        <v>8787</v>
      </c>
      <c r="G8790">
        <f t="shared" ca="1" si="222"/>
        <v>-1.3428200670632894E-2</v>
      </c>
    </row>
    <row r="8791" spans="6:7" x14ac:dyDescent="0.35">
      <c r="F8791">
        <v>8788</v>
      </c>
      <c r="G8791">
        <f t="shared" ca="1" si="222"/>
        <v>6.3330545902744118E-2</v>
      </c>
    </row>
    <row r="8792" spans="6:7" x14ac:dyDescent="0.35">
      <c r="F8792">
        <v>8789</v>
      </c>
      <c r="G8792">
        <f t="shared" ca="1" si="222"/>
        <v>-1.3541161212088154E-2</v>
      </c>
    </row>
    <row r="8793" spans="6:7" x14ac:dyDescent="0.35">
      <c r="F8793">
        <v>8790</v>
      </c>
      <c r="G8793">
        <f t="shared" ca="1" si="222"/>
        <v>-7.3303149277105669E-4</v>
      </c>
    </row>
    <row r="8794" spans="6:7" x14ac:dyDescent="0.35">
      <c r="F8794">
        <v>8791</v>
      </c>
      <c r="G8794">
        <f t="shared" ca="1" si="222"/>
        <v>4.2654411460281025E-2</v>
      </c>
    </row>
    <row r="8795" spans="6:7" x14ac:dyDescent="0.35">
      <c r="F8795">
        <v>8792</v>
      </c>
      <c r="G8795">
        <f t="shared" ca="1" si="222"/>
        <v>3.1106138000469057E-2</v>
      </c>
    </row>
    <row r="8796" spans="6:7" x14ac:dyDescent="0.35">
      <c r="F8796">
        <v>8793</v>
      </c>
      <c r="G8796">
        <f t="shared" ca="1" si="222"/>
        <v>-1.2637212418324092E-2</v>
      </c>
    </row>
    <row r="8797" spans="6:7" x14ac:dyDescent="0.35">
      <c r="F8797">
        <v>8794</v>
      </c>
      <c r="G8797">
        <f t="shared" ca="1" si="222"/>
        <v>-1.0303676657451997E-2</v>
      </c>
    </row>
    <row r="8798" spans="6:7" x14ac:dyDescent="0.35">
      <c r="F8798">
        <v>8795</v>
      </c>
      <c r="G8798">
        <f t="shared" ca="1" si="222"/>
        <v>-2.9911654460110553E-2</v>
      </c>
    </row>
    <row r="8799" spans="6:7" x14ac:dyDescent="0.35">
      <c r="F8799">
        <v>8796</v>
      </c>
      <c r="G8799">
        <f t="shared" ca="1" si="222"/>
        <v>-4.6263775909528758E-2</v>
      </c>
    </row>
    <row r="8800" spans="6:7" x14ac:dyDescent="0.35">
      <c r="F8800">
        <v>8797</v>
      </c>
      <c r="G8800">
        <f t="shared" ca="1" si="222"/>
        <v>2.2246893325163614E-3</v>
      </c>
    </row>
    <row r="8801" spans="6:7" x14ac:dyDescent="0.35">
      <c r="F8801">
        <v>8798</v>
      </c>
      <c r="G8801">
        <f t="shared" ca="1" si="222"/>
        <v>-4.4521338660490045E-2</v>
      </c>
    </row>
    <row r="8802" spans="6:7" x14ac:dyDescent="0.35">
      <c r="F8802">
        <v>8799</v>
      </c>
      <c r="G8802">
        <f t="shared" ca="1" si="222"/>
        <v>-1.8262105563756504E-2</v>
      </c>
    </row>
    <row r="8803" spans="6:7" x14ac:dyDescent="0.35">
      <c r="F8803">
        <v>8800</v>
      </c>
      <c r="G8803">
        <f t="shared" ca="1" si="222"/>
        <v>-2.3299339605502855E-2</v>
      </c>
    </row>
    <row r="8804" spans="6:7" x14ac:dyDescent="0.35">
      <c r="F8804">
        <v>8801</v>
      </c>
      <c r="G8804">
        <f t="shared" ca="1" si="222"/>
        <v>-1.9615218200287641E-2</v>
      </c>
    </row>
    <row r="8805" spans="6:7" x14ac:dyDescent="0.35">
      <c r="F8805">
        <v>8802</v>
      </c>
      <c r="G8805">
        <f t="shared" ca="1" si="222"/>
        <v>-1.5315056732719875E-2</v>
      </c>
    </row>
    <row r="8806" spans="6:7" x14ac:dyDescent="0.35">
      <c r="F8806">
        <v>8803</v>
      </c>
      <c r="G8806">
        <f t="shared" ca="1" si="222"/>
        <v>-2.6548484277599406E-2</v>
      </c>
    </row>
    <row r="8807" spans="6:7" x14ac:dyDescent="0.35">
      <c r="F8807">
        <v>8804</v>
      </c>
      <c r="G8807">
        <f t="shared" ca="1" si="222"/>
        <v>-4.3911021103846835E-2</v>
      </c>
    </row>
    <row r="8808" spans="6:7" x14ac:dyDescent="0.35">
      <c r="F8808">
        <v>8805</v>
      </c>
      <c r="G8808">
        <f t="shared" ca="1" si="222"/>
        <v>-1.031843135375398E-2</v>
      </c>
    </row>
    <row r="8809" spans="6:7" x14ac:dyDescent="0.35">
      <c r="F8809">
        <v>8806</v>
      </c>
      <c r="G8809">
        <f t="shared" ca="1" si="222"/>
        <v>-3.1289350819465919E-2</v>
      </c>
    </row>
    <row r="8810" spans="6:7" x14ac:dyDescent="0.35">
      <c r="F8810">
        <v>8807</v>
      </c>
      <c r="G8810">
        <f t="shared" ca="1" si="222"/>
        <v>9.1228848213847913E-4</v>
      </c>
    </row>
    <row r="8811" spans="6:7" x14ac:dyDescent="0.35">
      <c r="F8811">
        <v>8808</v>
      </c>
      <c r="G8811">
        <f t="shared" ca="1" si="222"/>
        <v>3.1422337181086905E-3</v>
      </c>
    </row>
    <row r="8812" spans="6:7" x14ac:dyDescent="0.35">
      <c r="F8812">
        <v>8809</v>
      </c>
      <c r="G8812">
        <f t="shared" ca="1" si="222"/>
        <v>-5.4589973596708662E-2</v>
      </c>
    </row>
    <row r="8813" spans="6:7" x14ac:dyDescent="0.35">
      <c r="F8813">
        <v>8810</v>
      </c>
      <c r="G8813">
        <f t="shared" ca="1" si="222"/>
        <v>9.7075301482227767E-3</v>
      </c>
    </row>
    <row r="8814" spans="6:7" x14ac:dyDescent="0.35">
      <c r="F8814">
        <v>8811</v>
      </c>
      <c r="G8814">
        <f t="shared" ca="1" si="222"/>
        <v>-5.9054441568691995E-2</v>
      </c>
    </row>
    <row r="8815" spans="6:7" x14ac:dyDescent="0.35">
      <c r="F8815">
        <v>8812</v>
      </c>
      <c r="G8815">
        <f t="shared" ca="1" si="222"/>
        <v>-5.9358091761705176E-3</v>
      </c>
    </row>
    <row r="8816" spans="6:7" x14ac:dyDescent="0.35">
      <c r="F8816">
        <v>8813</v>
      </c>
      <c r="G8816">
        <f t="shared" ca="1" si="222"/>
        <v>2.4559203045037463E-3</v>
      </c>
    </row>
    <row r="8817" spans="6:7" x14ac:dyDescent="0.35">
      <c r="F8817">
        <v>8814</v>
      </c>
      <c r="G8817">
        <f t="shared" ca="1" si="222"/>
        <v>1.7191948487223302E-2</v>
      </c>
    </row>
    <row r="8818" spans="6:7" x14ac:dyDescent="0.35">
      <c r="F8818">
        <v>8815</v>
      </c>
      <c r="G8818">
        <f t="shared" ca="1" si="222"/>
        <v>2.5908594373853396E-2</v>
      </c>
    </row>
    <row r="8819" spans="6:7" x14ac:dyDescent="0.35">
      <c r="F8819">
        <v>8816</v>
      </c>
      <c r="G8819">
        <f t="shared" ca="1" si="222"/>
        <v>-4.3956258586693034E-3</v>
      </c>
    </row>
    <row r="8820" spans="6:7" x14ac:dyDescent="0.35">
      <c r="F8820">
        <v>8817</v>
      </c>
      <c r="G8820">
        <f t="shared" ca="1" si="222"/>
        <v>-3.8506685979377592E-2</v>
      </c>
    </row>
    <row r="8821" spans="6:7" x14ac:dyDescent="0.35">
      <c r="F8821">
        <v>8818</v>
      </c>
      <c r="G8821">
        <f t="shared" ca="1" si="222"/>
        <v>-9.1416511597057271E-2</v>
      </c>
    </row>
    <row r="8822" spans="6:7" x14ac:dyDescent="0.35">
      <c r="F8822">
        <v>8819</v>
      </c>
      <c r="G8822">
        <f t="shared" ca="1" si="222"/>
        <v>1.4251138573545449E-2</v>
      </c>
    </row>
    <row r="8823" spans="6:7" x14ac:dyDescent="0.35">
      <c r="F8823">
        <v>8820</v>
      </c>
      <c r="G8823">
        <f t="shared" ca="1" si="222"/>
        <v>2.3127236974764955E-2</v>
      </c>
    </row>
    <row r="8824" spans="6:7" x14ac:dyDescent="0.35">
      <c r="F8824">
        <v>8821</v>
      </c>
      <c r="G8824">
        <f t="shared" ca="1" si="222"/>
        <v>-1.9604919658693237E-2</v>
      </c>
    </row>
    <row r="8825" spans="6:7" x14ac:dyDescent="0.35">
      <c r="F8825">
        <v>8822</v>
      </c>
      <c r="G8825">
        <f t="shared" ca="1" si="222"/>
        <v>1.6117235191064509E-2</v>
      </c>
    </row>
    <row r="8826" spans="6:7" x14ac:dyDescent="0.35">
      <c r="F8826">
        <v>8823</v>
      </c>
      <c r="G8826">
        <f t="shared" ca="1" si="222"/>
        <v>1.7699314227571324E-2</v>
      </c>
    </row>
    <row r="8827" spans="6:7" x14ac:dyDescent="0.35">
      <c r="F8827">
        <v>8824</v>
      </c>
      <c r="G8827">
        <f t="shared" ca="1" si="222"/>
        <v>-1.3579478817666175E-2</v>
      </c>
    </row>
    <row r="8828" spans="6:7" x14ac:dyDescent="0.35">
      <c r="F8828">
        <v>8825</v>
      </c>
      <c r="G8828">
        <f t="shared" ca="1" si="222"/>
        <v>7.9054917514206312E-3</v>
      </c>
    </row>
    <row r="8829" spans="6:7" x14ac:dyDescent="0.35">
      <c r="F8829">
        <v>8826</v>
      </c>
      <c r="G8829">
        <f t="shared" ca="1" si="222"/>
        <v>-2.5168732213378762E-2</v>
      </c>
    </row>
    <row r="8830" spans="6:7" x14ac:dyDescent="0.35">
      <c r="F8830">
        <v>8827</v>
      </c>
      <c r="G8830">
        <f t="shared" ca="1" si="222"/>
        <v>2.6664455799752993E-2</v>
      </c>
    </row>
    <row r="8831" spans="6:7" x14ac:dyDescent="0.35">
      <c r="F8831">
        <v>8828</v>
      </c>
      <c r="G8831">
        <f t="shared" ca="1" si="222"/>
        <v>1.3239827234689201E-2</v>
      </c>
    </row>
    <row r="8832" spans="6:7" x14ac:dyDescent="0.35">
      <c r="F8832">
        <v>8829</v>
      </c>
      <c r="G8832">
        <f t="shared" ca="1" si="222"/>
        <v>-7.7987786721346354E-3</v>
      </c>
    </row>
    <row r="8833" spans="6:7" x14ac:dyDescent="0.35">
      <c r="F8833">
        <v>8830</v>
      </c>
      <c r="G8833">
        <f t="shared" ca="1" si="222"/>
        <v>-4.2666983780047005E-2</v>
      </c>
    </row>
    <row r="8834" spans="6:7" x14ac:dyDescent="0.35">
      <c r="F8834">
        <v>8831</v>
      </c>
      <c r="G8834">
        <f t="shared" ca="1" si="222"/>
        <v>3.2560036725426254E-2</v>
      </c>
    </row>
    <row r="8835" spans="6:7" x14ac:dyDescent="0.35">
      <c r="F8835">
        <v>8832</v>
      </c>
      <c r="G8835">
        <f t="shared" ca="1" si="222"/>
        <v>-2.6233327778983094E-2</v>
      </c>
    </row>
    <row r="8836" spans="6:7" x14ac:dyDescent="0.35">
      <c r="F8836">
        <v>8833</v>
      </c>
      <c r="G8836">
        <f t="shared" ca="1" si="222"/>
        <v>-5.3650299872423828E-3</v>
      </c>
    </row>
    <row r="8837" spans="6:7" x14ac:dyDescent="0.35">
      <c r="F8837">
        <v>8834</v>
      </c>
      <c r="G8837">
        <f t="shared" ref="G8837:G8900" ca="1" si="223">_xlfn.NORM.INV(RAND(),K$6,K$7)</f>
        <v>-3.9022265898138869E-2</v>
      </c>
    </row>
    <row r="8838" spans="6:7" x14ac:dyDescent="0.35">
      <c r="F8838">
        <v>8835</v>
      </c>
      <c r="G8838">
        <f t="shared" ca="1" si="223"/>
        <v>2.8497087306254788E-3</v>
      </c>
    </row>
    <row r="8839" spans="6:7" x14ac:dyDescent="0.35">
      <c r="F8839">
        <v>8836</v>
      </c>
      <c r="G8839">
        <f t="shared" ca="1" si="223"/>
        <v>-4.2413612215934975E-2</v>
      </c>
    </row>
    <row r="8840" spans="6:7" x14ac:dyDescent="0.35">
      <c r="F8840">
        <v>8837</v>
      </c>
      <c r="G8840">
        <f t="shared" ca="1" si="223"/>
        <v>3.5925266861341083E-3</v>
      </c>
    </row>
    <row r="8841" spans="6:7" x14ac:dyDescent="0.35">
      <c r="F8841">
        <v>8838</v>
      </c>
      <c r="G8841">
        <f t="shared" ca="1" si="223"/>
        <v>1.2734827140907692E-2</v>
      </c>
    </row>
    <row r="8842" spans="6:7" x14ac:dyDescent="0.35">
      <c r="F8842">
        <v>8839</v>
      </c>
      <c r="G8842">
        <f t="shared" ca="1" si="223"/>
        <v>-1.4653508647827251E-3</v>
      </c>
    </row>
    <row r="8843" spans="6:7" x14ac:dyDescent="0.35">
      <c r="F8843">
        <v>8840</v>
      </c>
      <c r="G8843">
        <f t="shared" ca="1" si="223"/>
        <v>-1.3109664043655369E-2</v>
      </c>
    </row>
    <row r="8844" spans="6:7" x14ac:dyDescent="0.35">
      <c r="F8844">
        <v>8841</v>
      </c>
      <c r="G8844">
        <f t="shared" ca="1" si="223"/>
        <v>5.2425812264221196E-2</v>
      </c>
    </row>
    <row r="8845" spans="6:7" x14ac:dyDescent="0.35">
      <c r="F8845">
        <v>8842</v>
      </c>
      <c r="G8845">
        <f t="shared" ca="1" si="223"/>
        <v>2.3767053623950391E-2</v>
      </c>
    </row>
    <row r="8846" spans="6:7" x14ac:dyDescent="0.35">
      <c r="F8846">
        <v>8843</v>
      </c>
      <c r="G8846">
        <f t="shared" ca="1" si="223"/>
        <v>-2.669890195803739E-3</v>
      </c>
    </row>
    <row r="8847" spans="6:7" x14ac:dyDescent="0.35">
      <c r="F8847">
        <v>8844</v>
      </c>
      <c r="G8847">
        <f t="shared" ca="1" si="223"/>
        <v>-5.8345874177978131E-2</v>
      </c>
    </row>
    <row r="8848" spans="6:7" x14ac:dyDescent="0.35">
      <c r="F8848">
        <v>8845</v>
      </c>
      <c r="G8848">
        <f t="shared" ca="1" si="223"/>
        <v>-2.7278852112734394E-2</v>
      </c>
    </row>
    <row r="8849" spans="6:7" x14ac:dyDescent="0.35">
      <c r="F8849">
        <v>8846</v>
      </c>
      <c r="G8849">
        <f t="shared" ca="1" si="223"/>
        <v>3.1091820730987284E-2</v>
      </c>
    </row>
    <row r="8850" spans="6:7" x14ac:dyDescent="0.35">
      <c r="F8850">
        <v>8847</v>
      </c>
      <c r="G8850">
        <f t="shared" ca="1" si="223"/>
        <v>3.303655035202719E-2</v>
      </c>
    </row>
    <row r="8851" spans="6:7" x14ac:dyDescent="0.35">
      <c r="F8851">
        <v>8848</v>
      </c>
      <c r="G8851">
        <f t="shared" ca="1" si="223"/>
        <v>1.0350997869143778E-2</v>
      </c>
    </row>
    <row r="8852" spans="6:7" x14ac:dyDescent="0.35">
      <c r="F8852">
        <v>8849</v>
      </c>
      <c r="G8852">
        <f t="shared" ca="1" si="223"/>
        <v>-2.1406274752789316E-3</v>
      </c>
    </row>
    <row r="8853" spans="6:7" x14ac:dyDescent="0.35">
      <c r="F8853">
        <v>8850</v>
      </c>
      <c r="G8853">
        <f t="shared" ca="1" si="223"/>
        <v>1.691125591315815E-2</v>
      </c>
    </row>
    <row r="8854" spans="6:7" x14ac:dyDescent="0.35">
      <c r="F8854">
        <v>8851</v>
      </c>
      <c r="G8854">
        <f t="shared" ca="1" si="223"/>
        <v>-4.3392466302439037E-2</v>
      </c>
    </row>
    <row r="8855" spans="6:7" x14ac:dyDescent="0.35">
      <c r="F8855">
        <v>8852</v>
      </c>
      <c r="G8855">
        <f t="shared" ca="1" si="223"/>
        <v>-7.9388519329540008E-3</v>
      </c>
    </row>
    <row r="8856" spans="6:7" x14ac:dyDescent="0.35">
      <c r="F8856">
        <v>8853</v>
      </c>
      <c r="G8856">
        <f t="shared" ca="1" si="223"/>
        <v>6.8990859634638177E-2</v>
      </c>
    </row>
    <row r="8857" spans="6:7" x14ac:dyDescent="0.35">
      <c r="F8857">
        <v>8854</v>
      </c>
      <c r="G8857">
        <f t="shared" ca="1" si="223"/>
        <v>-1.3580086843978245E-2</v>
      </c>
    </row>
    <row r="8858" spans="6:7" x14ac:dyDescent="0.35">
      <c r="F8858">
        <v>8855</v>
      </c>
      <c r="G8858">
        <f t="shared" ca="1" si="223"/>
        <v>-1.714676061396813E-2</v>
      </c>
    </row>
    <row r="8859" spans="6:7" x14ac:dyDescent="0.35">
      <c r="F8859">
        <v>8856</v>
      </c>
      <c r="G8859">
        <f t="shared" ca="1" si="223"/>
        <v>-1.2402716624658746E-2</v>
      </c>
    </row>
    <row r="8860" spans="6:7" x14ac:dyDescent="0.35">
      <c r="F8860">
        <v>8857</v>
      </c>
      <c r="G8860">
        <f t="shared" ca="1" si="223"/>
        <v>2.423183352079715E-2</v>
      </c>
    </row>
    <row r="8861" spans="6:7" x14ac:dyDescent="0.35">
      <c r="F8861">
        <v>8858</v>
      </c>
      <c r="G8861">
        <f t="shared" ca="1" si="223"/>
        <v>8.3175692227967907E-4</v>
      </c>
    </row>
    <row r="8862" spans="6:7" x14ac:dyDescent="0.35">
      <c r="F8862">
        <v>8859</v>
      </c>
      <c r="G8862">
        <f t="shared" ca="1" si="223"/>
        <v>3.8229699761879281E-2</v>
      </c>
    </row>
    <row r="8863" spans="6:7" x14ac:dyDescent="0.35">
      <c r="F8863">
        <v>8860</v>
      </c>
      <c r="G8863">
        <f t="shared" ca="1" si="223"/>
        <v>2.2537148177200837E-2</v>
      </c>
    </row>
    <row r="8864" spans="6:7" x14ac:dyDescent="0.35">
      <c r="F8864">
        <v>8861</v>
      </c>
      <c r="G8864">
        <f t="shared" ca="1" si="223"/>
        <v>-4.6784772852371936E-3</v>
      </c>
    </row>
    <row r="8865" spans="6:7" x14ac:dyDescent="0.35">
      <c r="F8865">
        <v>8862</v>
      </c>
      <c r="G8865">
        <f t="shared" ca="1" si="223"/>
        <v>-9.4536624210475508E-5</v>
      </c>
    </row>
    <row r="8866" spans="6:7" x14ac:dyDescent="0.35">
      <c r="F8866">
        <v>8863</v>
      </c>
      <c r="G8866">
        <f t="shared" ca="1" si="223"/>
        <v>2.1325172250025474E-3</v>
      </c>
    </row>
    <row r="8867" spans="6:7" x14ac:dyDescent="0.35">
      <c r="F8867">
        <v>8864</v>
      </c>
      <c r="G8867">
        <f t="shared" ca="1" si="223"/>
        <v>1.8643264983973201E-2</v>
      </c>
    </row>
    <row r="8868" spans="6:7" x14ac:dyDescent="0.35">
      <c r="F8868">
        <v>8865</v>
      </c>
      <c r="G8868">
        <f t="shared" ca="1" si="223"/>
        <v>1.1461187609214517E-2</v>
      </c>
    </row>
    <row r="8869" spans="6:7" x14ac:dyDescent="0.35">
      <c r="F8869">
        <v>8866</v>
      </c>
      <c r="G8869">
        <f t="shared" ca="1" si="223"/>
        <v>6.6832036823174113E-3</v>
      </c>
    </row>
    <row r="8870" spans="6:7" x14ac:dyDescent="0.35">
      <c r="F8870">
        <v>8867</v>
      </c>
      <c r="G8870">
        <f t="shared" ca="1" si="223"/>
        <v>1.1627207807717272E-2</v>
      </c>
    </row>
    <row r="8871" spans="6:7" x14ac:dyDescent="0.35">
      <c r="F8871">
        <v>8868</v>
      </c>
      <c r="G8871">
        <f t="shared" ca="1" si="223"/>
        <v>-4.4859539158364657E-3</v>
      </c>
    </row>
    <row r="8872" spans="6:7" x14ac:dyDescent="0.35">
      <c r="F8872">
        <v>8869</v>
      </c>
      <c r="G8872">
        <f t="shared" ca="1" si="223"/>
        <v>8.5882220928898932E-3</v>
      </c>
    </row>
    <row r="8873" spans="6:7" x14ac:dyDescent="0.35">
      <c r="F8873">
        <v>8870</v>
      </c>
      <c r="G8873">
        <f t="shared" ca="1" si="223"/>
        <v>-3.8147922681124949E-2</v>
      </c>
    </row>
    <row r="8874" spans="6:7" x14ac:dyDescent="0.35">
      <c r="F8874">
        <v>8871</v>
      </c>
      <c r="G8874">
        <f t="shared" ca="1" si="223"/>
        <v>-1.1865465567463104E-3</v>
      </c>
    </row>
    <row r="8875" spans="6:7" x14ac:dyDescent="0.35">
      <c r="F8875">
        <v>8872</v>
      </c>
      <c r="G8875">
        <f t="shared" ca="1" si="223"/>
        <v>-1.0748943720121967E-3</v>
      </c>
    </row>
    <row r="8876" spans="6:7" x14ac:dyDescent="0.35">
      <c r="F8876">
        <v>8873</v>
      </c>
      <c r="G8876">
        <f t="shared" ca="1" si="223"/>
        <v>-1.4914498798873237E-2</v>
      </c>
    </row>
    <row r="8877" spans="6:7" x14ac:dyDescent="0.35">
      <c r="F8877">
        <v>8874</v>
      </c>
      <c r="G8877">
        <f t="shared" ca="1" si="223"/>
        <v>-3.9649248343346294E-2</v>
      </c>
    </row>
    <row r="8878" spans="6:7" x14ac:dyDescent="0.35">
      <c r="F8878">
        <v>8875</v>
      </c>
      <c r="G8878">
        <f t="shared" ca="1" si="223"/>
        <v>-1.5801518775190464E-2</v>
      </c>
    </row>
    <row r="8879" spans="6:7" x14ac:dyDescent="0.35">
      <c r="F8879">
        <v>8876</v>
      </c>
      <c r="G8879">
        <f t="shared" ca="1" si="223"/>
        <v>-3.3071245851132379E-2</v>
      </c>
    </row>
    <row r="8880" spans="6:7" x14ac:dyDescent="0.35">
      <c r="F8880">
        <v>8877</v>
      </c>
      <c r="G8880">
        <f t="shared" ca="1" si="223"/>
        <v>-3.0232618505390951E-2</v>
      </c>
    </row>
    <row r="8881" spans="6:7" x14ac:dyDescent="0.35">
      <c r="F8881">
        <v>8878</v>
      </c>
      <c r="G8881">
        <f t="shared" ca="1" si="223"/>
        <v>-2.897863774610315E-2</v>
      </c>
    </row>
    <row r="8882" spans="6:7" x14ac:dyDescent="0.35">
      <c r="F8882">
        <v>8879</v>
      </c>
      <c r="G8882">
        <f t="shared" ca="1" si="223"/>
        <v>1.1002534586885301E-4</v>
      </c>
    </row>
    <row r="8883" spans="6:7" x14ac:dyDescent="0.35">
      <c r="F8883">
        <v>8880</v>
      </c>
      <c r="G8883">
        <f t="shared" ca="1" si="223"/>
        <v>3.6087521206799325E-2</v>
      </c>
    </row>
    <row r="8884" spans="6:7" x14ac:dyDescent="0.35">
      <c r="F8884">
        <v>8881</v>
      </c>
      <c r="G8884">
        <f t="shared" ca="1" si="223"/>
        <v>1.1525184300099783E-2</v>
      </c>
    </row>
    <row r="8885" spans="6:7" x14ac:dyDescent="0.35">
      <c r="F8885">
        <v>8882</v>
      </c>
      <c r="G8885">
        <f t="shared" ca="1" si="223"/>
        <v>2.9092691363005439E-2</v>
      </c>
    </row>
    <row r="8886" spans="6:7" x14ac:dyDescent="0.35">
      <c r="F8886">
        <v>8883</v>
      </c>
      <c r="G8886">
        <f t="shared" ca="1" si="223"/>
        <v>-2.4499295236616132E-3</v>
      </c>
    </row>
    <row r="8887" spans="6:7" x14ac:dyDescent="0.35">
      <c r="F8887">
        <v>8884</v>
      </c>
      <c r="G8887">
        <f t="shared" ca="1" si="223"/>
        <v>-1.3081525843682029E-2</v>
      </c>
    </row>
    <row r="8888" spans="6:7" x14ac:dyDescent="0.35">
      <c r="F8888">
        <v>8885</v>
      </c>
      <c r="G8888">
        <f t="shared" ca="1" si="223"/>
        <v>2.5816058049073644E-2</v>
      </c>
    </row>
    <row r="8889" spans="6:7" x14ac:dyDescent="0.35">
      <c r="F8889">
        <v>8886</v>
      </c>
      <c r="G8889">
        <f t="shared" ca="1" si="223"/>
        <v>5.1552601967683204E-3</v>
      </c>
    </row>
    <row r="8890" spans="6:7" x14ac:dyDescent="0.35">
      <c r="F8890">
        <v>8887</v>
      </c>
      <c r="G8890">
        <f t="shared" ca="1" si="223"/>
        <v>-1.2767004316762535E-2</v>
      </c>
    </row>
    <row r="8891" spans="6:7" x14ac:dyDescent="0.35">
      <c r="F8891">
        <v>8888</v>
      </c>
      <c r="G8891">
        <f t="shared" ca="1" si="223"/>
        <v>-1.1895863331354511E-2</v>
      </c>
    </row>
    <row r="8892" spans="6:7" x14ac:dyDescent="0.35">
      <c r="F8892">
        <v>8889</v>
      </c>
      <c r="G8892">
        <f t="shared" ca="1" si="223"/>
        <v>-7.6430617293954568E-3</v>
      </c>
    </row>
    <row r="8893" spans="6:7" x14ac:dyDescent="0.35">
      <c r="F8893">
        <v>8890</v>
      </c>
      <c r="G8893">
        <f t="shared" ca="1" si="223"/>
        <v>-3.7035660408214294E-2</v>
      </c>
    </row>
    <row r="8894" spans="6:7" x14ac:dyDescent="0.35">
      <c r="F8894">
        <v>8891</v>
      </c>
      <c r="G8894">
        <f t="shared" ca="1" si="223"/>
        <v>-2.5185851539282017E-2</v>
      </c>
    </row>
    <row r="8895" spans="6:7" x14ac:dyDescent="0.35">
      <c r="F8895">
        <v>8892</v>
      </c>
      <c r="G8895">
        <f t="shared" ca="1" si="223"/>
        <v>-3.5149793757122287E-2</v>
      </c>
    </row>
    <row r="8896" spans="6:7" x14ac:dyDescent="0.35">
      <c r="F8896">
        <v>8893</v>
      </c>
      <c r="G8896">
        <f t="shared" ca="1" si="223"/>
        <v>-3.0325682409470953E-2</v>
      </c>
    </row>
    <row r="8897" spans="6:7" x14ac:dyDescent="0.35">
      <c r="F8897">
        <v>8894</v>
      </c>
      <c r="G8897">
        <f t="shared" ca="1" si="223"/>
        <v>1.1772852079423678E-2</v>
      </c>
    </row>
    <row r="8898" spans="6:7" x14ac:dyDescent="0.35">
      <c r="F8898">
        <v>8895</v>
      </c>
      <c r="G8898">
        <f t="shared" ca="1" si="223"/>
        <v>4.2258728358299531E-2</v>
      </c>
    </row>
    <row r="8899" spans="6:7" x14ac:dyDescent="0.35">
      <c r="F8899">
        <v>8896</v>
      </c>
      <c r="G8899">
        <f t="shared" ca="1" si="223"/>
        <v>-4.0622525646258872E-2</v>
      </c>
    </row>
    <row r="8900" spans="6:7" x14ac:dyDescent="0.35">
      <c r="F8900">
        <v>8897</v>
      </c>
      <c r="G8900">
        <f t="shared" ca="1" si="223"/>
        <v>8.0960652791491269E-3</v>
      </c>
    </row>
    <row r="8901" spans="6:7" x14ac:dyDescent="0.35">
      <c r="F8901">
        <v>8898</v>
      </c>
      <c r="G8901">
        <f t="shared" ref="G8901:G8964" ca="1" si="224">_xlfn.NORM.INV(RAND(),K$6,K$7)</f>
        <v>3.9768380157389344E-2</v>
      </c>
    </row>
    <row r="8902" spans="6:7" x14ac:dyDescent="0.35">
      <c r="F8902">
        <v>8899</v>
      </c>
      <c r="G8902">
        <f t="shared" ca="1" si="224"/>
        <v>-4.4655083966810102E-2</v>
      </c>
    </row>
    <row r="8903" spans="6:7" x14ac:dyDescent="0.35">
      <c r="F8903">
        <v>8900</v>
      </c>
      <c r="G8903">
        <f t="shared" ca="1" si="224"/>
        <v>-2.9590850116249182E-3</v>
      </c>
    </row>
    <row r="8904" spans="6:7" x14ac:dyDescent="0.35">
      <c r="F8904">
        <v>8901</v>
      </c>
      <c r="G8904">
        <f t="shared" ca="1" si="224"/>
        <v>-1.9437832849849863E-2</v>
      </c>
    </row>
    <row r="8905" spans="6:7" x14ac:dyDescent="0.35">
      <c r="F8905">
        <v>8902</v>
      </c>
      <c r="G8905">
        <f t="shared" ca="1" si="224"/>
        <v>-3.0674411982243178E-2</v>
      </c>
    </row>
    <row r="8906" spans="6:7" x14ac:dyDescent="0.35">
      <c r="F8906">
        <v>8903</v>
      </c>
      <c r="G8906">
        <f t="shared" ca="1" si="224"/>
        <v>2.5285975840327879E-2</v>
      </c>
    </row>
    <row r="8907" spans="6:7" x14ac:dyDescent="0.35">
      <c r="F8907">
        <v>8904</v>
      </c>
      <c r="G8907">
        <f t="shared" ca="1" si="224"/>
        <v>-5.1374989589882167E-2</v>
      </c>
    </row>
    <row r="8908" spans="6:7" x14ac:dyDescent="0.35">
      <c r="F8908">
        <v>8905</v>
      </c>
      <c r="G8908">
        <f t="shared" ca="1" si="224"/>
        <v>2.1625566682012386E-2</v>
      </c>
    </row>
    <row r="8909" spans="6:7" x14ac:dyDescent="0.35">
      <c r="F8909">
        <v>8906</v>
      </c>
      <c r="G8909">
        <f t="shared" ca="1" si="224"/>
        <v>2.6840923713592726E-2</v>
      </c>
    </row>
    <row r="8910" spans="6:7" x14ac:dyDescent="0.35">
      <c r="F8910">
        <v>8907</v>
      </c>
      <c r="G8910">
        <f t="shared" ca="1" si="224"/>
        <v>-3.4515002953184389E-2</v>
      </c>
    </row>
    <row r="8911" spans="6:7" x14ac:dyDescent="0.35">
      <c r="F8911">
        <v>8908</v>
      </c>
      <c r="G8911">
        <f t="shared" ca="1" si="224"/>
        <v>-1.173820306897874E-2</v>
      </c>
    </row>
    <row r="8912" spans="6:7" x14ac:dyDescent="0.35">
      <c r="F8912">
        <v>8909</v>
      </c>
      <c r="G8912">
        <f t="shared" ca="1" si="224"/>
        <v>1.1654045571988596E-3</v>
      </c>
    </row>
    <row r="8913" spans="6:7" x14ac:dyDescent="0.35">
      <c r="F8913">
        <v>8910</v>
      </c>
      <c r="G8913">
        <f t="shared" ca="1" si="224"/>
        <v>-6.5546207293082401E-2</v>
      </c>
    </row>
    <row r="8914" spans="6:7" x14ac:dyDescent="0.35">
      <c r="F8914">
        <v>8911</v>
      </c>
      <c r="G8914">
        <f t="shared" ca="1" si="224"/>
        <v>4.6627068374396743E-2</v>
      </c>
    </row>
    <row r="8915" spans="6:7" x14ac:dyDescent="0.35">
      <c r="F8915">
        <v>8912</v>
      </c>
      <c r="G8915">
        <f t="shared" ca="1" si="224"/>
        <v>3.5998389574868547E-2</v>
      </c>
    </row>
    <row r="8916" spans="6:7" x14ac:dyDescent="0.35">
      <c r="F8916">
        <v>8913</v>
      </c>
      <c r="G8916">
        <f t="shared" ca="1" si="224"/>
        <v>7.9561209686178347E-4</v>
      </c>
    </row>
    <row r="8917" spans="6:7" x14ac:dyDescent="0.35">
      <c r="F8917">
        <v>8914</v>
      </c>
      <c r="G8917">
        <f t="shared" ca="1" si="224"/>
        <v>1.5258506909024539E-2</v>
      </c>
    </row>
    <row r="8918" spans="6:7" x14ac:dyDescent="0.35">
      <c r="F8918">
        <v>8915</v>
      </c>
      <c r="G8918">
        <f t="shared" ca="1" si="224"/>
        <v>6.9718305088326049E-2</v>
      </c>
    </row>
    <row r="8919" spans="6:7" x14ac:dyDescent="0.35">
      <c r="F8919">
        <v>8916</v>
      </c>
      <c r="G8919">
        <f t="shared" ca="1" si="224"/>
        <v>-7.2526416771373828E-4</v>
      </c>
    </row>
    <row r="8920" spans="6:7" x14ac:dyDescent="0.35">
      <c r="F8920">
        <v>8917</v>
      </c>
      <c r="G8920">
        <f t="shared" ca="1" si="224"/>
        <v>7.5444266311746749E-3</v>
      </c>
    </row>
    <row r="8921" spans="6:7" x14ac:dyDescent="0.35">
      <c r="F8921">
        <v>8918</v>
      </c>
      <c r="G8921">
        <f t="shared" ca="1" si="224"/>
        <v>3.8806318753682532E-2</v>
      </c>
    </row>
    <row r="8922" spans="6:7" x14ac:dyDescent="0.35">
      <c r="F8922">
        <v>8919</v>
      </c>
      <c r="G8922">
        <f t="shared" ca="1" si="224"/>
        <v>1.7127414795399771E-2</v>
      </c>
    </row>
    <row r="8923" spans="6:7" x14ac:dyDescent="0.35">
      <c r="F8923">
        <v>8920</v>
      </c>
      <c r="G8923">
        <f t="shared" ca="1" si="224"/>
        <v>2.0673590684136701E-2</v>
      </c>
    </row>
    <row r="8924" spans="6:7" x14ac:dyDescent="0.35">
      <c r="F8924">
        <v>8921</v>
      </c>
      <c r="G8924">
        <f t="shared" ca="1" si="224"/>
        <v>-1.2803570899974227E-2</v>
      </c>
    </row>
    <row r="8925" spans="6:7" x14ac:dyDescent="0.35">
      <c r="F8925">
        <v>8922</v>
      </c>
      <c r="G8925">
        <f t="shared" ca="1" si="224"/>
        <v>3.0505927167320701E-2</v>
      </c>
    </row>
    <row r="8926" spans="6:7" x14ac:dyDescent="0.35">
      <c r="F8926">
        <v>8923</v>
      </c>
      <c r="G8926">
        <f t="shared" ca="1" si="224"/>
        <v>7.5347759543867382E-2</v>
      </c>
    </row>
    <row r="8927" spans="6:7" x14ac:dyDescent="0.35">
      <c r="F8927">
        <v>8924</v>
      </c>
      <c r="G8927">
        <f t="shared" ca="1" si="224"/>
        <v>2.5052170805572066E-2</v>
      </c>
    </row>
    <row r="8928" spans="6:7" x14ac:dyDescent="0.35">
      <c r="F8928">
        <v>8925</v>
      </c>
      <c r="G8928">
        <f t="shared" ca="1" si="224"/>
        <v>4.4039317499381295E-2</v>
      </c>
    </row>
    <row r="8929" spans="6:7" x14ac:dyDescent="0.35">
      <c r="F8929">
        <v>8926</v>
      </c>
      <c r="G8929">
        <f t="shared" ca="1" si="224"/>
        <v>-5.0979480376591004E-3</v>
      </c>
    </row>
    <row r="8930" spans="6:7" x14ac:dyDescent="0.35">
      <c r="F8930">
        <v>8927</v>
      </c>
      <c r="G8930">
        <f t="shared" ca="1" si="224"/>
        <v>-5.1483432119873475E-3</v>
      </c>
    </row>
    <row r="8931" spans="6:7" x14ac:dyDescent="0.35">
      <c r="F8931">
        <v>8928</v>
      </c>
      <c r="G8931">
        <f t="shared" ca="1" si="224"/>
        <v>9.7373585650339343E-3</v>
      </c>
    </row>
    <row r="8932" spans="6:7" x14ac:dyDescent="0.35">
      <c r="F8932">
        <v>8929</v>
      </c>
      <c r="G8932">
        <f t="shared" ca="1" si="224"/>
        <v>1.1524183794779805E-2</v>
      </c>
    </row>
    <row r="8933" spans="6:7" x14ac:dyDescent="0.35">
      <c r="F8933">
        <v>8930</v>
      </c>
      <c r="G8933">
        <f t="shared" ca="1" si="224"/>
        <v>-2.9655693814024015E-2</v>
      </c>
    </row>
    <row r="8934" spans="6:7" x14ac:dyDescent="0.35">
      <c r="F8934">
        <v>8931</v>
      </c>
      <c r="G8934">
        <f t="shared" ca="1" si="224"/>
        <v>3.5811003505396441E-2</v>
      </c>
    </row>
    <row r="8935" spans="6:7" x14ac:dyDescent="0.35">
      <c r="F8935">
        <v>8932</v>
      </c>
      <c r="G8935">
        <f t="shared" ca="1" si="224"/>
        <v>3.1078595001694465E-2</v>
      </c>
    </row>
    <row r="8936" spans="6:7" x14ac:dyDescent="0.35">
      <c r="F8936">
        <v>8933</v>
      </c>
      <c r="G8936">
        <f t="shared" ca="1" si="224"/>
        <v>3.7574048840813964E-3</v>
      </c>
    </row>
    <row r="8937" spans="6:7" x14ac:dyDescent="0.35">
      <c r="F8937">
        <v>8934</v>
      </c>
      <c r="G8937">
        <f t="shared" ca="1" si="224"/>
        <v>6.8116908649469279E-3</v>
      </c>
    </row>
    <row r="8938" spans="6:7" x14ac:dyDescent="0.35">
      <c r="F8938">
        <v>8935</v>
      </c>
      <c r="G8938">
        <f t="shared" ca="1" si="224"/>
        <v>3.3392152843645932E-2</v>
      </c>
    </row>
    <row r="8939" spans="6:7" x14ac:dyDescent="0.35">
      <c r="F8939">
        <v>8936</v>
      </c>
      <c r="G8939">
        <f t="shared" ca="1" si="224"/>
        <v>3.4781792605581632E-2</v>
      </c>
    </row>
    <row r="8940" spans="6:7" x14ac:dyDescent="0.35">
      <c r="F8940">
        <v>8937</v>
      </c>
      <c r="G8940">
        <f t="shared" ca="1" si="224"/>
        <v>-3.7063378997000658E-3</v>
      </c>
    </row>
    <row r="8941" spans="6:7" x14ac:dyDescent="0.35">
      <c r="F8941">
        <v>8938</v>
      </c>
      <c r="G8941">
        <f t="shared" ca="1" si="224"/>
        <v>1.3380758326070014E-2</v>
      </c>
    </row>
    <row r="8942" spans="6:7" x14ac:dyDescent="0.35">
      <c r="F8942">
        <v>8939</v>
      </c>
      <c r="G8942">
        <f t="shared" ca="1" si="224"/>
        <v>4.365064807424527E-2</v>
      </c>
    </row>
    <row r="8943" spans="6:7" x14ac:dyDescent="0.35">
      <c r="F8943">
        <v>8940</v>
      </c>
      <c r="G8943">
        <f t="shared" ca="1" si="224"/>
        <v>-1.4622603265510018E-2</v>
      </c>
    </row>
    <row r="8944" spans="6:7" x14ac:dyDescent="0.35">
      <c r="F8944">
        <v>8941</v>
      </c>
      <c r="G8944">
        <f t="shared" ca="1" si="224"/>
        <v>-1.9064631951326128E-2</v>
      </c>
    </row>
    <row r="8945" spans="6:7" x14ac:dyDescent="0.35">
      <c r="F8945">
        <v>8942</v>
      </c>
      <c r="G8945">
        <f t="shared" ca="1" si="224"/>
        <v>-1.847096376648838E-2</v>
      </c>
    </row>
    <row r="8946" spans="6:7" x14ac:dyDescent="0.35">
      <c r="F8946">
        <v>8943</v>
      </c>
      <c r="G8946">
        <f t="shared" ca="1" si="224"/>
        <v>-2.5285142365072649E-2</v>
      </c>
    </row>
    <row r="8947" spans="6:7" x14ac:dyDescent="0.35">
      <c r="F8947">
        <v>8944</v>
      </c>
      <c r="G8947">
        <f t="shared" ca="1" si="224"/>
        <v>7.9654295268229529E-3</v>
      </c>
    </row>
    <row r="8948" spans="6:7" x14ac:dyDescent="0.35">
      <c r="F8948">
        <v>8945</v>
      </c>
      <c r="G8948">
        <f t="shared" ca="1" si="224"/>
        <v>-6.2034790746917376E-3</v>
      </c>
    </row>
    <row r="8949" spans="6:7" x14ac:dyDescent="0.35">
      <c r="F8949">
        <v>8946</v>
      </c>
      <c r="G8949">
        <f t="shared" ca="1" si="224"/>
        <v>-1.5618710841098015E-2</v>
      </c>
    </row>
    <row r="8950" spans="6:7" x14ac:dyDescent="0.35">
      <c r="F8950">
        <v>8947</v>
      </c>
      <c r="G8950">
        <f t="shared" ca="1" si="224"/>
        <v>-8.4232232755734431E-3</v>
      </c>
    </row>
    <row r="8951" spans="6:7" x14ac:dyDescent="0.35">
      <c r="F8951">
        <v>8948</v>
      </c>
      <c r="G8951">
        <f t="shared" ca="1" si="224"/>
        <v>7.1121856993647205E-4</v>
      </c>
    </row>
    <row r="8952" spans="6:7" x14ac:dyDescent="0.35">
      <c r="F8952">
        <v>8949</v>
      </c>
      <c r="G8952">
        <f t="shared" ca="1" si="224"/>
        <v>2.876457245040202E-2</v>
      </c>
    </row>
    <row r="8953" spans="6:7" x14ac:dyDescent="0.35">
      <c r="F8953">
        <v>8950</v>
      </c>
      <c r="G8953">
        <f t="shared" ca="1" si="224"/>
        <v>2.8977618774671716E-2</v>
      </c>
    </row>
    <row r="8954" spans="6:7" x14ac:dyDescent="0.35">
      <c r="F8954">
        <v>8951</v>
      </c>
      <c r="G8954">
        <f t="shared" ca="1" si="224"/>
        <v>-2.7635779088328271E-2</v>
      </c>
    </row>
    <row r="8955" spans="6:7" x14ac:dyDescent="0.35">
      <c r="F8955">
        <v>8952</v>
      </c>
      <c r="G8955">
        <f t="shared" ca="1" si="224"/>
        <v>9.8877032704101902E-3</v>
      </c>
    </row>
    <row r="8956" spans="6:7" x14ac:dyDescent="0.35">
      <c r="F8956">
        <v>8953</v>
      </c>
      <c r="G8956">
        <f t="shared" ca="1" si="224"/>
        <v>-1.700026101921465E-2</v>
      </c>
    </row>
    <row r="8957" spans="6:7" x14ac:dyDescent="0.35">
      <c r="F8957">
        <v>8954</v>
      </c>
      <c r="G8957">
        <f t="shared" ca="1" si="224"/>
        <v>-6.0790985422135577E-3</v>
      </c>
    </row>
    <row r="8958" spans="6:7" x14ac:dyDescent="0.35">
      <c r="F8958">
        <v>8955</v>
      </c>
      <c r="G8958">
        <f t="shared" ca="1" si="224"/>
        <v>4.9293871248442589E-2</v>
      </c>
    </row>
    <row r="8959" spans="6:7" x14ac:dyDescent="0.35">
      <c r="F8959">
        <v>8956</v>
      </c>
      <c r="G8959">
        <f t="shared" ca="1" si="224"/>
        <v>2.6336352547049437E-2</v>
      </c>
    </row>
    <row r="8960" spans="6:7" x14ac:dyDescent="0.35">
      <c r="F8960">
        <v>8957</v>
      </c>
      <c r="G8960">
        <f t="shared" ca="1" si="224"/>
        <v>2.2188918334282659E-2</v>
      </c>
    </row>
    <row r="8961" spans="6:7" x14ac:dyDescent="0.35">
      <c r="F8961">
        <v>8958</v>
      </c>
      <c r="G8961">
        <f t="shared" ca="1" si="224"/>
        <v>-4.9039850119839641E-2</v>
      </c>
    </row>
    <row r="8962" spans="6:7" x14ac:dyDescent="0.35">
      <c r="F8962">
        <v>8959</v>
      </c>
      <c r="G8962">
        <f t="shared" ca="1" si="224"/>
        <v>-7.5119160677070279E-3</v>
      </c>
    </row>
    <row r="8963" spans="6:7" x14ac:dyDescent="0.35">
      <c r="F8963">
        <v>8960</v>
      </c>
      <c r="G8963">
        <f t="shared" ca="1" si="224"/>
        <v>-3.4807516325519317E-2</v>
      </c>
    </row>
    <row r="8964" spans="6:7" x14ac:dyDescent="0.35">
      <c r="F8964">
        <v>8961</v>
      </c>
      <c r="G8964">
        <f t="shared" ca="1" si="224"/>
        <v>5.8253485968505173E-2</v>
      </c>
    </row>
    <row r="8965" spans="6:7" x14ac:dyDescent="0.35">
      <c r="F8965">
        <v>8962</v>
      </c>
      <c r="G8965">
        <f t="shared" ref="G8965:G9028" ca="1" si="225">_xlfn.NORM.INV(RAND(),K$6,K$7)</f>
        <v>-2.7264415997847104E-2</v>
      </c>
    </row>
    <row r="8966" spans="6:7" x14ac:dyDescent="0.35">
      <c r="F8966">
        <v>8963</v>
      </c>
      <c r="G8966">
        <f t="shared" ca="1" si="225"/>
        <v>-9.4745543556028142E-3</v>
      </c>
    </row>
    <row r="8967" spans="6:7" x14ac:dyDescent="0.35">
      <c r="F8967">
        <v>8964</v>
      </c>
      <c r="G8967">
        <f t="shared" ca="1" si="225"/>
        <v>-1.3950977329227073E-2</v>
      </c>
    </row>
    <row r="8968" spans="6:7" x14ac:dyDescent="0.35">
      <c r="F8968">
        <v>8965</v>
      </c>
      <c r="G8968">
        <f t="shared" ca="1" si="225"/>
        <v>-4.6963681187172562E-2</v>
      </c>
    </row>
    <row r="8969" spans="6:7" x14ac:dyDescent="0.35">
      <c r="F8969">
        <v>8966</v>
      </c>
      <c r="G8969">
        <f t="shared" ca="1" si="225"/>
        <v>-9.4637074674587245E-3</v>
      </c>
    </row>
    <row r="8970" spans="6:7" x14ac:dyDescent="0.35">
      <c r="F8970">
        <v>8967</v>
      </c>
      <c r="G8970">
        <f t="shared" ca="1" si="225"/>
        <v>2.9952640643909467E-2</v>
      </c>
    </row>
    <row r="8971" spans="6:7" x14ac:dyDescent="0.35">
      <c r="F8971">
        <v>8968</v>
      </c>
      <c r="G8971">
        <f t="shared" ca="1" si="225"/>
        <v>-1.6959042322695638E-2</v>
      </c>
    </row>
    <row r="8972" spans="6:7" x14ac:dyDescent="0.35">
      <c r="F8972">
        <v>8969</v>
      </c>
      <c r="G8972">
        <f t="shared" ca="1" si="225"/>
        <v>-6.1901399919251946E-3</v>
      </c>
    </row>
    <row r="8973" spans="6:7" x14ac:dyDescent="0.35">
      <c r="F8973">
        <v>8970</v>
      </c>
      <c r="G8973">
        <f t="shared" ca="1" si="225"/>
        <v>4.1250238228995491E-3</v>
      </c>
    </row>
    <row r="8974" spans="6:7" x14ac:dyDescent="0.35">
      <c r="F8974">
        <v>8971</v>
      </c>
      <c r="G8974">
        <f t="shared" ca="1" si="225"/>
        <v>2.8214538452688145E-2</v>
      </c>
    </row>
    <row r="8975" spans="6:7" x14ac:dyDescent="0.35">
      <c r="F8975">
        <v>8972</v>
      </c>
      <c r="G8975">
        <f t="shared" ca="1" si="225"/>
        <v>1.223422445758696E-2</v>
      </c>
    </row>
    <row r="8976" spans="6:7" x14ac:dyDescent="0.35">
      <c r="F8976">
        <v>8973</v>
      </c>
      <c r="G8976">
        <f t="shared" ca="1" si="225"/>
        <v>-3.1520732932976449E-2</v>
      </c>
    </row>
    <row r="8977" spans="6:7" x14ac:dyDescent="0.35">
      <c r="F8977">
        <v>8974</v>
      </c>
      <c r="G8977">
        <f t="shared" ca="1" si="225"/>
        <v>-3.0481358726633028E-2</v>
      </c>
    </row>
    <row r="8978" spans="6:7" x14ac:dyDescent="0.35">
      <c r="F8978">
        <v>8975</v>
      </c>
      <c r="G8978">
        <f t="shared" ca="1" si="225"/>
        <v>7.2482429268131586E-3</v>
      </c>
    </row>
    <row r="8979" spans="6:7" x14ac:dyDescent="0.35">
      <c r="F8979">
        <v>8976</v>
      </c>
      <c r="G8979">
        <f t="shared" ca="1" si="225"/>
        <v>-1.8499190566667097E-2</v>
      </c>
    </row>
    <row r="8980" spans="6:7" x14ac:dyDescent="0.35">
      <c r="F8980">
        <v>8977</v>
      </c>
      <c r="G8980">
        <f t="shared" ca="1" si="225"/>
        <v>-3.4187832371684858E-2</v>
      </c>
    </row>
    <row r="8981" spans="6:7" x14ac:dyDescent="0.35">
      <c r="F8981">
        <v>8978</v>
      </c>
      <c r="G8981">
        <f t="shared" ca="1" si="225"/>
        <v>1.1939899557162511E-2</v>
      </c>
    </row>
    <row r="8982" spans="6:7" x14ac:dyDescent="0.35">
      <c r="F8982">
        <v>8979</v>
      </c>
      <c r="G8982">
        <f t="shared" ca="1" si="225"/>
        <v>-1.3560355940567192E-3</v>
      </c>
    </row>
    <row r="8983" spans="6:7" x14ac:dyDescent="0.35">
      <c r="F8983">
        <v>8980</v>
      </c>
      <c r="G8983">
        <f t="shared" ca="1" si="225"/>
        <v>-2.1263726810710083E-2</v>
      </c>
    </row>
    <row r="8984" spans="6:7" x14ac:dyDescent="0.35">
      <c r="F8984">
        <v>8981</v>
      </c>
      <c r="G8984">
        <f t="shared" ca="1" si="225"/>
        <v>-8.3867062777114813E-3</v>
      </c>
    </row>
    <row r="8985" spans="6:7" x14ac:dyDescent="0.35">
      <c r="F8985">
        <v>8982</v>
      </c>
      <c r="G8985">
        <f t="shared" ca="1" si="225"/>
        <v>2.6751878651771217E-2</v>
      </c>
    </row>
    <row r="8986" spans="6:7" x14ac:dyDescent="0.35">
      <c r="F8986">
        <v>8983</v>
      </c>
      <c r="G8986">
        <f t="shared" ca="1" si="225"/>
        <v>-4.9584439199469275E-3</v>
      </c>
    </row>
    <row r="8987" spans="6:7" x14ac:dyDescent="0.35">
      <c r="F8987">
        <v>8984</v>
      </c>
      <c r="G8987">
        <f t="shared" ca="1" si="225"/>
        <v>-8.1529319672199937E-3</v>
      </c>
    </row>
    <row r="8988" spans="6:7" x14ac:dyDescent="0.35">
      <c r="F8988">
        <v>8985</v>
      </c>
      <c r="G8988">
        <f t="shared" ca="1" si="225"/>
        <v>-3.0725466712919033E-2</v>
      </c>
    </row>
    <row r="8989" spans="6:7" x14ac:dyDescent="0.35">
      <c r="F8989">
        <v>8986</v>
      </c>
      <c r="G8989">
        <f t="shared" ca="1" si="225"/>
        <v>-4.9027308986297315E-3</v>
      </c>
    </row>
    <row r="8990" spans="6:7" x14ac:dyDescent="0.35">
      <c r="F8990">
        <v>8987</v>
      </c>
      <c r="G8990">
        <f t="shared" ca="1" si="225"/>
        <v>1.2706663921896223E-2</v>
      </c>
    </row>
    <row r="8991" spans="6:7" x14ac:dyDescent="0.35">
      <c r="F8991">
        <v>8988</v>
      </c>
      <c r="G8991">
        <f t="shared" ca="1" si="225"/>
        <v>4.3665431462665584E-2</v>
      </c>
    </row>
    <row r="8992" spans="6:7" x14ac:dyDescent="0.35">
      <c r="F8992">
        <v>8989</v>
      </c>
      <c r="G8992">
        <f t="shared" ca="1" si="225"/>
        <v>3.502683468291562E-2</v>
      </c>
    </row>
    <row r="8993" spans="6:7" x14ac:dyDescent="0.35">
      <c r="F8993">
        <v>8990</v>
      </c>
      <c r="G8993">
        <f t="shared" ca="1" si="225"/>
        <v>1.5500881579253554E-2</v>
      </c>
    </row>
    <row r="8994" spans="6:7" x14ac:dyDescent="0.35">
      <c r="F8994">
        <v>8991</v>
      </c>
      <c r="G8994">
        <f t="shared" ca="1" si="225"/>
        <v>-2.8916375627347803E-2</v>
      </c>
    </row>
    <row r="8995" spans="6:7" x14ac:dyDescent="0.35">
      <c r="F8995">
        <v>8992</v>
      </c>
      <c r="G8995">
        <f t="shared" ca="1" si="225"/>
        <v>9.1730615896885685E-3</v>
      </c>
    </row>
    <row r="8996" spans="6:7" x14ac:dyDescent="0.35">
      <c r="F8996">
        <v>8993</v>
      </c>
      <c r="G8996">
        <f t="shared" ca="1" si="225"/>
        <v>4.5510090406238506E-3</v>
      </c>
    </row>
    <row r="8997" spans="6:7" x14ac:dyDescent="0.35">
      <c r="F8997">
        <v>8994</v>
      </c>
      <c r="G8997">
        <f t="shared" ca="1" si="225"/>
        <v>1.4126889008800171E-2</v>
      </c>
    </row>
    <row r="8998" spans="6:7" x14ac:dyDescent="0.35">
      <c r="F8998">
        <v>8995</v>
      </c>
      <c r="G8998">
        <f t="shared" ca="1" si="225"/>
        <v>3.4630399289119478E-2</v>
      </c>
    </row>
    <row r="8999" spans="6:7" x14ac:dyDescent="0.35">
      <c r="F8999">
        <v>8996</v>
      </c>
      <c r="G8999">
        <f t="shared" ca="1" si="225"/>
        <v>1.7632492571900891E-2</v>
      </c>
    </row>
    <row r="9000" spans="6:7" x14ac:dyDescent="0.35">
      <c r="F9000">
        <v>8997</v>
      </c>
      <c r="G9000">
        <f t="shared" ca="1" si="225"/>
        <v>-1.1728217760544482E-2</v>
      </c>
    </row>
    <row r="9001" spans="6:7" x14ac:dyDescent="0.35">
      <c r="F9001">
        <v>8998</v>
      </c>
      <c r="G9001">
        <f t="shared" ca="1" si="225"/>
        <v>-1.4926072229844344E-2</v>
      </c>
    </row>
    <row r="9002" spans="6:7" x14ac:dyDescent="0.35">
      <c r="F9002">
        <v>8999</v>
      </c>
      <c r="G9002">
        <f t="shared" ca="1" si="225"/>
        <v>2.9396588710338487E-2</v>
      </c>
    </row>
    <row r="9003" spans="6:7" x14ac:dyDescent="0.35">
      <c r="F9003">
        <v>9000</v>
      </c>
      <c r="G9003">
        <f t="shared" ca="1" si="225"/>
        <v>1.3038195134836661E-3</v>
      </c>
    </row>
    <row r="9004" spans="6:7" x14ac:dyDescent="0.35">
      <c r="F9004">
        <v>9001</v>
      </c>
      <c r="G9004">
        <f t="shared" ca="1" si="225"/>
        <v>1.6846318363092999E-2</v>
      </c>
    </row>
    <row r="9005" spans="6:7" x14ac:dyDescent="0.35">
      <c r="F9005">
        <v>9002</v>
      </c>
      <c r="G9005">
        <f t="shared" ca="1" si="225"/>
        <v>2.9115262726916932E-2</v>
      </c>
    </row>
    <row r="9006" spans="6:7" x14ac:dyDescent="0.35">
      <c r="F9006">
        <v>9003</v>
      </c>
      <c r="G9006">
        <f t="shared" ca="1" si="225"/>
        <v>-2.244571665456619E-2</v>
      </c>
    </row>
    <row r="9007" spans="6:7" x14ac:dyDescent="0.35">
      <c r="F9007">
        <v>9004</v>
      </c>
      <c r="G9007">
        <f t="shared" ca="1" si="225"/>
        <v>-1.2567727607746954E-2</v>
      </c>
    </row>
    <row r="9008" spans="6:7" x14ac:dyDescent="0.35">
      <c r="F9008">
        <v>9005</v>
      </c>
      <c r="G9008">
        <f t="shared" ca="1" si="225"/>
        <v>-1.9990614261129431E-2</v>
      </c>
    </row>
    <row r="9009" spans="6:7" x14ac:dyDescent="0.35">
      <c r="F9009">
        <v>9006</v>
      </c>
      <c r="G9009">
        <f t="shared" ca="1" si="225"/>
        <v>-2.18731311023555E-2</v>
      </c>
    </row>
    <row r="9010" spans="6:7" x14ac:dyDescent="0.35">
      <c r="F9010">
        <v>9007</v>
      </c>
      <c r="G9010">
        <f t="shared" ca="1" si="225"/>
        <v>1.8847509266562017E-2</v>
      </c>
    </row>
    <row r="9011" spans="6:7" x14ac:dyDescent="0.35">
      <c r="F9011">
        <v>9008</v>
      </c>
      <c r="G9011">
        <f t="shared" ca="1" si="225"/>
        <v>3.2384303903509673E-2</v>
      </c>
    </row>
    <row r="9012" spans="6:7" x14ac:dyDescent="0.35">
      <c r="F9012">
        <v>9009</v>
      </c>
      <c r="G9012">
        <f t="shared" ca="1" si="225"/>
        <v>5.1842673396121928E-3</v>
      </c>
    </row>
    <row r="9013" spans="6:7" x14ac:dyDescent="0.35">
      <c r="F9013">
        <v>9010</v>
      </c>
      <c r="G9013">
        <f t="shared" ca="1" si="225"/>
        <v>-3.8786839206244386E-2</v>
      </c>
    </row>
    <row r="9014" spans="6:7" x14ac:dyDescent="0.35">
      <c r="F9014">
        <v>9011</v>
      </c>
      <c r="G9014">
        <f t="shared" ca="1" si="225"/>
        <v>1.4441886339655945E-2</v>
      </c>
    </row>
    <row r="9015" spans="6:7" x14ac:dyDescent="0.35">
      <c r="F9015">
        <v>9012</v>
      </c>
      <c r="G9015">
        <f t="shared" ca="1" si="225"/>
        <v>2.1534548468329456E-2</v>
      </c>
    </row>
    <row r="9016" spans="6:7" x14ac:dyDescent="0.35">
      <c r="F9016">
        <v>9013</v>
      </c>
      <c r="G9016">
        <f t="shared" ca="1" si="225"/>
        <v>7.7319849710285704E-4</v>
      </c>
    </row>
    <row r="9017" spans="6:7" x14ac:dyDescent="0.35">
      <c r="F9017">
        <v>9014</v>
      </c>
      <c r="G9017">
        <f t="shared" ca="1" si="225"/>
        <v>-5.6476051536681282E-2</v>
      </c>
    </row>
    <row r="9018" spans="6:7" x14ac:dyDescent="0.35">
      <c r="F9018">
        <v>9015</v>
      </c>
      <c r="G9018">
        <f t="shared" ca="1" si="225"/>
        <v>1.5004796044299789E-2</v>
      </c>
    </row>
    <row r="9019" spans="6:7" x14ac:dyDescent="0.35">
      <c r="F9019">
        <v>9016</v>
      </c>
      <c r="G9019">
        <f t="shared" ca="1" si="225"/>
        <v>6.009275669474113E-2</v>
      </c>
    </row>
    <row r="9020" spans="6:7" x14ac:dyDescent="0.35">
      <c r="F9020">
        <v>9017</v>
      </c>
      <c r="G9020">
        <f t="shared" ca="1" si="225"/>
        <v>7.4868136801283288E-3</v>
      </c>
    </row>
    <row r="9021" spans="6:7" x14ac:dyDescent="0.35">
      <c r="F9021">
        <v>9018</v>
      </c>
      <c r="G9021">
        <f t="shared" ca="1" si="225"/>
        <v>9.914024265380279E-3</v>
      </c>
    </row>
    <row r="9022" spans="6:7" x14ac:dyDescent="0.35">
      <c r="F9022">
        <v>9019</v>
      </c>
      <c r="G9022">
        <f t="shared" ca="1" si="225"/>
        <v>2.4012412961305703E-4</v>
      </c>
    </row>
    <row r="9023" spans="6:7" x14ac:dyDescent="0.35">
      <c r="F9023">
        <v>9020</v>
      </c>
      <c r="G9023">
        <f t="shared" ca="1" si="225"/>
        <v>-2.2342575171719194E-2</v>
      </c>
    </row>
    <row r="9024" spans="6:7" x14ac:dyDescent="0.35">
      <c r="F9024">
        <v>9021</v>
      </c>
      <c r="G9024">
        <f t="shared" ca="1" si="225"/>
        <v>-8.2193679267682038E-3</v>
      </c>
    </row>
    <row r="9025" spans="6:7" x14ac:dyDescent="0.35">
      <c r="F9025">
        <v>9022</v>
      </c>
      <c r="G9025">
        <f t="shared" ca="1" si="225"/>
        <v>6.4896691009550853E-2</v>
      </c>
    </row>
    <row r="9026" spans="6:7" x14ac:dyDescent="0.35">
      <c r="F9026">
        <v>9023</v>
      </c>
      <c r="G9026">
        <f t="shared" ca="1" si="225"/>
        <v>-2.7191720085449778E-2</v>
      </c>
    </row>
    <row r="9027" spans="6:7" x14ac:dyDescent="0.35">
      <c r="F9027">
        <v>9024</v>
      </c>
      <c r="G9027">
        <f t="shared" ca="1" si="225"/>
        <v>-1.7131575202688511E-2</v>
      </c>
    </row>
    <row r="9028" spans="6:7" x14ac:dyDescent="0.35">
      <c r="F9028">
        <v>9025</v>
      </c>
      <c r="G9028">
        <f t="shared" ca="1" si="225"/>
        <v>2.9075209530115683E-3</v>
      </c>
    </row>
    <row r="9029" spans="6:7" x14ac:dyDescent="0.35">
      <c r="F9029">
        <v>9026</v>
      </c>
      <c r="G9029">
        <f t="shared" ref="G9029:G9092" ca="1" si="226">_xlfn.NORM.INV(RAND(),K$6,K$7)</f>
        <v>1.0422997604047534E-2</v>
      </c>
    </row>
    <row r="9030" spans="6:7" x14ac:dyDescent="0.35">
      <c r="F9030">
        <v>9027</v>
      </c>
      <c r="G9030">
        <f t="shared" ca="1" si="226"/>
        <v>-3.7121444361460594E-2</v>
      </c>
    </row>
    <row r="9031" spans="6:7" x14ac:dyDescent="0.35">
      <c r="F9031">
        <v>9028</v>
      </c>
      <c r="G9031">
        <f t="shared" ca="1" si="226"/>
        <v>2.3407806531236298E-2</v>
      </c>
    </row>
    <row r="9032" spans="6:7" x14ac:dyDescent="0.35">
      <c r="F9032">
        <v>9029</v>
      </c>
      <c r="G9032">
        <f t="shared" ca="1" si="226"/>
        <v>-1.3254646344446537E-2</v>
      </c>
    </row>
    <row r="9033" spans="6:7" x14ac:dyDescent="0.35">
      <c r="F9033">
        <v>9030</v>
      </c>
      <c r="G9033">
        <f t="shared" ca="1" si="226"/>
        <v>4.2745540963494484E-2</v>
      </c>
    </row>
    <row r="9034" spans="6:7" x14ac:dyDescent="0.35">
      <c r="F9034">
        <v>9031</v>
      </c>
      <c r="G9034">
        <f t="shared" ca="1" si="226"/>
        <v>-4.0689206681974135E-2</v>
      </c>
    </row>
    <row r="9035" spans="6:7" x14ac:dyDescent="0.35">
      <c r="F9035">
        <v>9032</v>
      </c>
      <c r="G9035">
        <f t="shared" ca="1" si="226"/>
        <v>-1.6392896815317946E-2</v>
      </c>
    </row>
    <row r="9036" spans="6:7" x14ac:dyDescent="0.35">
      <c r="F9036">
        <v>9033</v>
      </c>
      <c r="G9036">
        <f t="shared" ca="1" si="226"/>
        <v>-6.8450648900346453E-2</v>
      </c>
    </row>
    <row r="9037" spans="6:7" x14ac:dyDescent="0.35">
      <c r="F9037">
        <v>9034</v>
      </c>
      <c r="G9037">
        <f t="shared" ca="1" si="226"/>
        <v>-1.2617207001488596E-2</v>
      </c>
    </row>
    <row r="9038" spans="6:7" x14ac:dyDescent="0.35">
      <c r="F9038">
        <v>9035</v>
      </c>
      <c r="G9038">
        <f t="shared" ca="1" si="226"/>
        <v>3.6716144692825033E-2</v>
      </c>
    </row>
    <row r="9039" spans="6:7" x14ac:dyDescent="0.35">
      <c r="F9039">
        <v>9036</v>
      </c>
      <c r="G9039">
        <f t="shared" ca="1" si="226"/>
        <v>-1.0843160058312097E-2</v>
      </c>
    </row>
    <row r="9040" spans="6:7" x14ac:dyDescent="0.35">
      <c r="F9040">
        <v>9037</v>
      </c>
      <c r="G9040">
        <f t="shared" ca="1" si="226"/>
        <v>2.7891101122215614E-2</v>
      </c>
    </row>
    <row r="9041" spans="6:7" x14ac:dyDescent="0.35">
      <c r="F9041">
        <v>9038</v>
      </c>
      <c r="G9041">
        <f t="shared" ca="1" si="226"/>
        <v>-4.9029182636459367E-3</v>
      </c>
    </row>
    <row r="9042" spans="6:7" x14ac:dyDescent="0.35">
      <c r="F9042">
        <v>9039</v>
      </c>
      <c r="G9042">
        <f t="shared" ca="1" si="226"/>
        <v>2.5856962329756098E-2</v>
      </c>
    </row>
    <row r="9043" spans="6:7" x14ac:dyDescent="0.35">
      <c r="F9043">
        <v>9040</v>
      </c>
      <c r="G9043">
        <f t="shared" ca="1" si="226"/>
        <v>8.662819565845005E-3</v>
      </c>
    </row>
    <row r="9044" spans="6:7" x14ac:dyDescent="0.35">
      <c r="F9044">
        <v>9041</v>
      </c>
      <c r="G9044">
        <f t="shared" ca="1" si="226"/>
        <v>4.1512827974555799E-2</v>
      </c>
    </row>
    <row r="9045" spans="6:7" x14ac:dyDescent="0.35">
      <c r="F9045">
        <v>9042</v>
      </c>
      <c r="G9045">
        <f t="shared" ca="1" si="226"/>
        <v>-1.2406798199174196E-2</v>
      </c>
    </row>
    <row r="9046" spans="6:7" x14ac:dyDescent="0.35">
      <c r="F9046">
        <v>9043</v>
      </c>
      <c r="G9046">
        <f t="shared" ca="1" si="226"/>
        <v>4.5104364050827959E-3</v>
      </c>
    </row>
    <row r="9047" spans="6:7" x14ac:dyDescent="0.35">
      <c r="F9047">
        <v>9044</v>
      </c>
      <c r="G9047">
        <f t="shared" ca="1" si="226"/>
        <v>3.0587188998867886E-2</v>
      </c>
    </row>
    <row r="9048" spans="6:7" x14ac:dyDescent="0.35">
      <c r="F9048">
        <v>9045</v>
      </c>
      <c r="G9048">
        <f t="shared" ca="1" si="226"/>
        <v>-3.2546045125817352E-2</v>
      </c>
    </row>
    <row r="9049" spans="6:7" x14ac:dyDescent="0.35">
      <c r="F9049">
        <v>9046</v>
      </c>
      <c r="G9049">
        <f t="shared" ca="1" si="226"/>
        <v>2.8275893527516409E-2</v>
      </c>
    </row>
    <row r="9050" spans="6:7" x14ac:dyDescent="0.35">
      <c r="F9050">
        <v>9047</v>
      </c>
      <c r="G9050">
        <f t="shared" ca="1" si="226"/>
        <v>-3.16417317657877E-3</v>
      </c>
    </row>
    <row r="9051" spans="6:7" x14ac:dyDescent="0.35">
      <c r="F9051">
        <v>9048</v>
      </c>
      <c r="G9051">
        <f t="shared" ca="1" si="226"/>
        <v>5.588215054224261E-3</v>
      </c>
    </row>
    <row r="9052" spans="6:7" x14ac:dyDescent="0.35">
      <c r="F9052">
        <v>9049</v>
      </c>
      <c r="G9052">
        <f t="shared" ca="1" si="226"/>
        <v>1.6503485859895774E-2</v>
      </c>
    </row>
    <row r="9053" spans="6:7" x14ac:dyDescent="0.35">
      <c r="F9053">
        <v>9050</v>
      </c>
      <c r="G9053">
        <f t="shared" ca="1" si="226"/>
        <v>-1.1467395395857909E-2</v>
      </c>
    </row>
    <row r="9054" spans="6:7" x14ac:dyDescent="0.35">
      <c r="F9054">
        <v>9051</v>
      </c>
      <c r="G9054">
        <f t="shared" ca="1" si="226"/>
        <v>-1.3045121156952035E-2</v>
      </c>
    </row>
    <row r="9055" spans="6:7" x14ac:dyDescent="0.35">
      <c r="F9055">
        <v>9052</v>
      </c>
      <c r="G9055">
        <f t="shared" ca="1" si="226"/>
        <v>4.369359463434655E-2</v>
      </c>
    </row>
    <row r="9056" spans="6:7" x14ac:dyDescent="0.35">
      <c r="F9056">
        <v>9053</v>
      </c>
      <c r="G9056">
        <f t="shared" ca="1" si="226"/>
        <v>-2.6615528453423413E-2</v>
      </c>
    </row>
    <row r="9057" spans="6:7" x14ac:dyDescent="0.35">
      <c r="F9057">
        <v>9054</v>
      </c>
      <c r="G9057">
        <f t="shared" ca="1" si="226"/>
        <v>-1.2682504496864823E-2</v>
      </c>
    </row>
    <row r="9058" spans="6:7" x14ac:dyDescent="0.35">
      <c r="F9058">
        <v>9055</v>
      </c>
      <c r="G9058">
        <f t="shared" ca="1" si="226"/>
        <v>-2.1796411466163481E-2</v>
      </c>
    </row>
    <row r="9059" spans="6:7" x14ac:dyDescent="0.35">
      <c r="F9059">
        <v>9056</v>
      </c>
      <c r="G9059">
        <f t="shared" ca="1" si="226"/>
        <v>-1.5998111292136977E-3</v>
      </c>
    </row>
    <row r="9060" spans="6:7" x14ac:dyDescent="0.35">
      <c r="F9060">
        <v>9057</v>
      </c>
      <c r="G9060">
        <f t="shared" ca="1" si="226"/>
        <v>-1.6637395390327332E-2</v>
      </c>
    </row>
    <row r="9061" spans="6:7" x14ac:dyDescent="0.35">
      <c r="F9061">
        <v>9058</v>
      </c>
      <c r="G9061">
        <f t="shared" ca="1" si="226"/>
        <v>-1.5226357023477719E-2</v>
      </c>
    </row>
    <row r="9062" spans="6:7" x14ac:dyDescent="0.35">
      <c r="F9062">
        <v>9059</v>
      </c>
      <c r="G9062">
        <f t="shared" ca="1" si="226"/>
        <v>6.5806106733432412E-3</v>
      </c>
    </row>
    <row r="9063" spans="6:7" x14ac:dyDescent="0.35">
      <c r="F9063">
        <v>9060</v>
      </c>
      <c r="G9063">
        <f t="shared" ca="1" si="226"/>
        <v>-2.943443770550408E-2</v>
      </c>
    </row>
    <row r="9064" spans="6:7" x14ac:dyDescent="0.35">
      <c r="F9064">
        <v>9061</v>
      </c>
      <c r="G9064">
        <f t="shared" ca="1" si="226"/>
        <v>-4.0625252158004187E-2</v>
      </c>
    </row>
    <row r="9065" spans="6:7" x14ac:dyDescent="0.35">
      <c r="F9065">
        <v>9062</v>
      </c>
      <c r="G9065">
        <f t="shared" ca="1" si="226"/>
        <v>-2.9351814325831033E-2</v>
      </c>
    </row>
    <row r="9066" spans="6:7" x14ac:dyDescent="0.35">
      <c r="F9066">
        <v>9063</v>
      </c>
      <c r="G9066">
        <f t="shared" ca="1" si="226"/>
        <v>-5.1536952559162602E-3</v>
      </c>
    </row>
    <row r="9067" spans="6:7" x14ac:dyDescent="0.35">
      <c r="F9067">
        <v>9064</v>
      </c>
      <c r="G9067">
        <f t="shared" ca="1" si="226"/>
        <v>-1.2594988325575134E-2</v>
      </c>
    </row>
    <row r="9068" spans="6:7" x14ac:dyDescent="0.35">
      <c r="F9068">
        <v>9065</v>
      </c>
      <c r="G9068">
        <f t="shared" ca="1" si="226"/>
        <v>-8.7166988569623641E-2</v>
      </c>
    </row>
    <row r="9069" spans="6:7" x14ac:dyDescent="0.35">
      <c r="F9069">
        <v>9066</v>
      </c>
      <c r="G9069">
        <f t="shared" ca="1" si="226"/>
        <v>-2.8494160263599601E-2</v>
      </c>
    </row>
    <row r="9070" spans="6:7" x14ac:dyDescent="0.35">
      <c r="F9070">
        <v>9067</v>
      </c>
      <c r="G9070">
        <f t="shared" ca="1" si="226"/>
        <v>5.4662312862726457E-2</v>
      </c>
    </row>
    <row r="9071" spans="6:7" x14ac:dyDescent="0.35">
      <c r="F9071">
        <v>9068</v>
      </c>
      <c r="G9071">
        <f t="shared" ca="1" si="226"/>
        <v>-3.0606545629399056E-2</v>
      </c>
    </row>
    <row r="9072" spans="6:7" x14ac:dyDescent="0.35">
      <c r="F9072">
        <v>9069</v>
      </c>
      <c r="G9072">
        <f t="shared" ca="1" si="226"/>
        <v>-4.242431947343777E-2</v>
      </c>
    </row>
    <row r="9073" spans="6:7" x14ac:dyDescent="0.35">
      <c r="F9073">
        <v>9070</v>
      </c>
      <c r="G9073">
        <f t="shared" ca="1" si="226"/>
        <v>-8.370096643241844E-3</v>
      </c>
    </row>
    <row r="9074" spans="6:7" x14ac:dyDescent="0.35">
      <c r="F9074">
        <v>9071</v>
      </c>
      <c r="G9074">
        <f t="shared" ca="1" si="226"/>
        <v>-2.1022058378008794E-2</v>
      </c>
    </row>
    <row r="9075" spans="6:7" x14ac:dyDescent="0.35">
      <c r="F9075">
        <v>9072</v>
      </c>
      <c r="G9075">
        <f t="shared" ca="1" si="226"/>
        <v>-5.8286505429912171E-2</v>
      </c>
    </row>
    <row r="9076" spans="6:7" x14ac:dyDescent="0.35">
      <c r="F9076">
        <v>9073</v>
      </c>
      <c r="G9076">
        <f t="shared" ca="1" si="226"/>
        <v>8.5854927146040774E-3</v>
      </c>
    </row>
    <row r="9077" spans="6:7" x14ac:dyDescent="0.35">
      <c r="F9077">
        <v>9074</v>
      </c>
      <c r="G9077">
        <f t="shared" ca="1" si="226"/>
        <v>-4.230825309157496E-2</v>
      </c>
    </row>
    <row r="9078" spans="6:7" x14ac:dyDescent="0.35">
      <c r="F9078">
        <v>9075</v>
      </c>
      <c r="G9078">
        <f t="shared" ca="1" si="226"/>
        <v>1.9496409021732157E-2</v>
      </c>
    </row>
    <row r="9079" spans="6:7" x14ac:dyDescent="0.35">
      <c r="F9079">
        <v>9076</v>
      </c>
      <c r="G9079">
        <f t="shared" ca="1" si="226"/>
        <v>2.8169563932818546E-2</v>
      </c>
    </row>
    <row r="9080" spans="6:7" x14ac:dyDescent="0.35">
      <c r="F9080">
        <v>9077</v>
      </c>
      <c r="G9080">
        <f t="shared" ca="1" si="226"/>
        <v>-1.6490174026428314E-2</v>
      </c>
    </row>
    <row r="9081" spans="6:7" x14ac:dyDescent="0.35">
      <c r="F9081">
        <v>9078</v>
      </c>
      <c r="G9081">
        <f t="shared" ca="1" si="226"/>
        <v>-2.6087787862280467E-2</v>
      </c>
    </row>
    <row r="9082" spans="6:7" x14ac:dyDescent="0.35">
      <c r="F9082">
        <v>9079</v>
      </c>
      <c r="G9082">
        <f t="shared" ca="1" si="226"/>
        <v>3.9380396010178245E-2</v>
      </c>
    </row>
    <row r="9083" spans="6:7" x14ac:dyDescent="0.35">
      <c r="F9083">
        <v>9080</v>
      </c>
      <c r="G9083">
        <f t="shared" ca="1" si="226"/>
        <v>-9.2309167138576349E-3</v>
      </c>
    </row>
    <row r="9084" spans="6:7" x14ac:dyDescent="0.35">
      <c r="F9084">
        <v>9081</v>
      </c>
      <c r="G9084">
        <f t="shared" ca="1" si="226"/>
        <v>-6.9292093902418306E-3</v>
      </c>
    </row>
    <row r="9085" spans="6:7" x14ac:dyDescent="0.35">
      <c r="F9085">
        <v>9082</v>
      </c>
      <c r="G9085">
        <f t="shared" ca="1" si="226"/>
        <v>-7.3888301014772423E-3</v>
      </c>
    </row>
    <row r="9086" spans="6:7" x14ac:dyDescent="0.35">
      <c r="F9086">
        <v>9083</v>
      </c>
      <c r="G9086">
        <f t="shared" ca="1" si="226"/>
        <v>1.9300649058559594E-2</v>
      </c>
    </row>
    <row r="9087" spans="6:7" x14ac:dyDescent="0.35">
      <c r="F9087">
        <v>9084</v>
      </c>
      <c r="G9087">
        <f t="shared" ca="1" si="226"/>
        <v>-8.5220859750833409E-3</v>
      </c>
    </row>
    <row r="9088" spans="6:7" x14ac:dyDescent="0.35">
      <c r="F9088">
        <v>9085</v>
      </c>
      <c r="G9088">
        <f t="shared" ca="1" si="226"/>
        <v>2.7587369717516384E-2</v>
      </c>
    </row>
    <row r="9089" spans="6:7" x14ac:dyDescent="0.35">
      <c r="F9089">
        <v>9086</v>
      </c>
      <c r="G9089">
        <f t="shared" ca="1" si="226"/>
        <v>6.162646796662734E-3</v>
      </c>
    </row>
    <row r="9090" spans="6:7" x14ac:dyDescent="0.35">
      <c r="F9090">
        <v>9087</v>
      </c>
      <c r="G9090">
        <f t="shared" ca="1" si="226"/>
        <v>7.1698947040165955E-3</v>
      </c>
    </row>
    <row r="9091" spans="6:7" x14ac:dyDescent="0.35">
      <c r="F9091">
        <v>9088</v>
      </c>
      <c r="G9091">
        <f t="shared" ca="1" si="226"/>
        <v>-2.3301195981150838E-2</v>
      </c>
    </row>
    <row r="9092" spans="6:7" x14ac:dyDescent="0.35">
      <c r="F9092">
        <v>9089</v>
      </c>
      <c r="G9092">
        <f t="shared" ca="1" si="226"/>
        <v>1.9785269597665304E-2</v>
      </c>
    </row>
    <row r="9093" spans="6:7" x14ac:dyDescent="0.35">
      <c r="F9093">
        <v>9090</v>
      </c>
      <c r="G9093">
        <f t="shared" ref="G9093:G9156" ca="1" si="227">_xlfn.NORM.INV(RAND(),K$6,K$7)</f>
        <v>-6.9451448963777154E-3</v>
      </c>
    </row>
    <row r="9094" spans="6:7" x14ac:dyDescent="0.35">
      <c r="F9094">
        <v>9091</v>
      </c>
      <c r="G9094">
        <f t="shared" ca="1" si="227"/>
        <v>2.1829763786787366E-2</v>
      </c>
    </row>
    <row r="9095" spans="6:7" x14ac:dyDescent="0.35">
      <c r="F9095">
        <v>9092</v>
      </c>
      <c r="G9095">
        <f t="shared" ca="1" si="227"/>
        <v>-3.9089090562345684E-2</v>
      </c>
    </row>
    <row r="9096" spans="6:7" x14ac:dyDescent="0.35">
      <c r="F9096">
        <v>9093</v>
      </c>
      <c r="G9096">
        <f t="shared" ca="1" si="227"/>
        <v>-5.0500764528973209E-3</v>
      </c>
    </row>
    <row r="9097" spans="6:7" x14ac:dyDescent="0.35">
      <c r="F9097">
        <v>9094</v>
      </c>
      <c r="G9097">
        <f t="shared" ca="1" si="227"/>
        <v>3.3733211200958457E-2</v>
      </c>
    </row>
    <row r="9098" spans="6:7" x14ac:dyDescent="0.35">
      <c r="F9098">
        <v>9095</v>
      </c>
      <c r="G9098">
        <f t="shared" ca="1" si="227"/>
        <v>-6.0053862497304919E-2</v>
      </c>
    </row>
    <row r="9099" spans="6:7" x14ac:dyDescent="0.35">
      <c r="F9099">
        <v>9096</v>
      </c>
      <c r="G9099">
        <f t="shared" ca="1" si="227"/>
        <v>-4.4106894845264435E-2</v>
      </c>
    </row>
    <row r="9100" spans="6:7" x14ac:dyDescent="0.35">
      <c r="F9100">
        <v>9097</v>
      </c>
      <c r="G9100">
        <f t="shared" ca="1" si="227"/>
        <v>-4.7280339087679285E-2</v>
      </c>
    </row>
    <row r="9101" spans="6:7" x14ac:dyDescent="0.35">
      <c r="F9101">
        <v>9098</v>
      </c>
      <c r="G9101">
        <f t="shared" ca="1" si="227"/>
        <v>-5.8187777229881318E-3</v>
      </c>
    </row>
    <row r="9102" spans="6:7" x14ac:dyDescent="0.35">
      <c r="F9102">
        <v>9099</v>
      </c>
      <c r="G9102">
        <f t="shared" ca="1" si="227"/>
        <v>3.9903803747512196E-3</v>
      </c>
    </row>
    <row r="9103" spans="6:7" x14ac:dyDescent="0.35">
      <c r="F9103">
        <v>9100</v>
      </c>
      <c r="G9103">
        <f t="shared" ca="1" si="227"/>
        <v>-5.7657750214638405E-2</v>
      </c>
    </row>
    <row r="9104" spans="6:7" x14ac:dyDescent="0.35">
      <c r="F9104">
        <v>9101</v>
      </c>
      <c r="G9104">
        <f t="shared" ca="1" si="227"/>
        <v>1.2471900693877524E-2</v>
      </c>
    </row>
    <row r="9105" spans="6:7" x14ac:dyDescent="0.35">
      <c r="F9105">
        <v>9102</v>
      </c>
      <c r="G9105">
        <f t="shared" ca="1" si="227"/>
        <v>-3.1599896195604167E-2</v>
      </c>
    </row>
    <row r="9106" spans="6:7" x14ac:dyDescent="0.35">
      <c r="F9106">
        <v>9103</v>
      </c>
      <c r="G9106">
        <f t="shared" ca="1" si="227"/>
        <v>-3.4118484643189825E-2</v>
      </c>
    </row>
    <row r="9107" spans="6:7" x14ac:dyDescent="0.35">
      <c r="F9107">
        <v>9104</v>
      </c>
      <c r="G9107">
        <f t="shared" ca="1" si="227"/>
        <v>-1.3917447697714025E-2</v>
      </c>
    </row>
    <row r="9108" spans="6:7" x14ac:dyDescent="0.35">
      <c r="F9108">
        <v>9105</v>
      </c>
      <c r="G9108">
        <f t="shared" ca="1" si="227"/>
        <v>4.1476166800278436E-2</v>
      </c>
    </row>
    <row r="9109" spans="6:7" x14ac:dyDescent="0.35">
      <c r="F9109">
        <v>9106</v>
      </c>
      <c r="G9109">
        <f t="shared" ca="1" si="227"/>
        <v>-7.3109750689445835E-3</v>
      </c>
    </row>
    <row r="9110" spans="6:7" x14ac:dyDescent="0.35">
      <c r="F9110">
        <v>9107</v>
      </c>
      <c r="G9110">
        <f t="shared" ca="1" si="227"/>
        <v>2.3785019598135605E-2</v>
      </c>
    </row>
    <row r="9111" spans="6:7" x14ac:dyDescent="0.35">
      <c r="F9111">
        <v>9108</v>
      </c>
      <c r="G9111">
        <f t="shared" ca="1" si="227"/>
        <v>-2.2284486530035071E-2</v>
      </c>
    </row>
    <row r="9112" spans="6:7" x14ac:dyDescent="0.35">
      <c r="F9112">
        <v>9109</v>
      </c>
      <c r="G9112">
        <f t="shared" ca="1" si="227"/>
        <v>3.3170965459529717E-2</v>
      </c>
    </row>
    <row r="9113" spans="6:7" x14ac:dyDescent="0.35">
      <c r="F9113">
        <v>9110</v>
      </c>
      <c r="G9113">
        <f t="shared" ca="1" si="227"/>
        <v>9.3692477992469211E-3</v>
      </c>
    </row>
    <row r="9114" spans="6:7" x14ac:dyDescent="0.35">
      <c r="F9114">
        <v>9111</v>
      </c>
      <c r="G9114">
        <f t="shared" ca="1" si="227"/>
        <v>2.0541460443370414E-2</v>
      </c>
    </row>
    <row r="9115" spans="6:7" x14ac:dyDescent="0.35">
      <c r="F9115">
        <v>9112</v>
      </c>
      <c r="G9115">
        <f t="shared" ca="1" si="227"/>
        <v>-1.0949264595479655E-2</v>
      </c>
    </row>
    <row r="9116" spans="6:7" x14ac:dyDescent="0.35">
      <c r="F9116">
        <v>9113</v>
      </c>
      <c r="G9116">
        <f t="shared" ca="1" si="227"/>
        <v>-2.254234988855245E-3</v>
      </c>
    </row>
    <row r="9117" spans="6:7" x14ac:dyDescent="0.35">
      <c r="F9117">
        <v>9114</v>
      </c>
      <c r="G9117">
        <f t="shared" ca="1" si="227"/>
        <v>2.4167077361334976E-3</v>
      </c>
    </row>
    <row r="9118" spans="6:7" x14ac:dyDescent="0.35">
      <c r="F9118">
        <v>9115</v>
      </c>
      <c r="G9118">
        <f t="shared" ca="1" si="227"/>
        <v>-2.8133215073168287E-2</v>
      </c>
    </row>
    <row r="9119" spans="6:7" x14ac:dyDescent="0.35">
      <c r="F9119">
        <v>9116</v>
      </c>
      <c r="G9119">
        <f t="shared" ca="1" si="227"/>
        <v>1.1896992495114552E-2</v>
      </c>
    </row>
    <row r="9120" spans="6:7" x14ac:dyDescent="0.35">
      <c r="F9120">
        <v>9117</v>
      </c>
      <c r="G9120">
        <f t="shared" ca="1" si="227"/>
        <v>1.6550710442739723E-2</v>
      </c>
    </row>
    <row r="9121" spans="6:7" x14ac:dyDescent="0.35">
      <c r="F9121">
        <v>9118</v>
      </c>
      <c r="G9121">
        <f t="shared" ca="1" si="227"/>
        <v>-2.3912755845576974E-2</v>
      </c>
    </row>
    <row r="9122" spans="6:7" x14ac:dyDescent="0.35">
      <c r="F9122">
        <v>9119</v>
      </c>
      <c r="G9122">
        <f t="shared" ca="1" si="227"/>
        <v>2.804004218745185E-2</v>
      </c>
    </row>
    <row r="9123" spans="6:7" x14ac:dyDescent="0.35">
      <c r="F9123">
        <v>9120</v>
      </c>
      <c r="G9123">
        <f t="shared" ca="1" si="227"/>
        <v>-1.8346078171542213E-2</v>
      </c>
    </row>
    <row r="9124" spans="6:7" x14ac:dyDescent="0.35">
      <c r="F9124">
        <v>9121</v>
      </c>
      <c r="G9124">
        <f t="shared" ca="1" si="227"/>
        <v>-3.2135796409073041E-3</v>
      </c>
    </row>
    <row r="9125" spans="6:7" x14ac:dyDescent="0.35">
      <c r="F9125">
        <v>9122</v>
      </c>
      <c r="G9125">
        <f t="shared" ca="1" si="227"/>
        <v>-1.8187989121024467E-3</v>
      </c>
    </row>
    <row r="9126" spans="6:7" x14ac:dyDescent="0.35">
      <c r="F9126">
        <v>9123</v>
      </c>
      <c r="G9126">
        <f t="shared" ca="1" si="227"/>
        <v>-2.6697116079115547E-2</v>
      </c>
    </row>
    <row r="9127" spans="6:7" x14ac:dyDescent="0.35">
      <c r="F9127">
        <v>9124</v>
      </c>
      <c r="G9127">
        <f t="shared" ca="1" si="227"/>
        <v>5.2512640457954222E-2</v>
      </c>
    </row>
    <row r="9128" spans="6:7" x14ac:dyDescent="0.35">
      <c r="F9128">
        <v>9125</v>
      </c>
      <c r="G9128">
        <f t="shared" ca="1" si="227"/>
        <v>-8.6815448808455226E-3</v>
      </c>
    </row>
    <row r="9129" spans="6:7" x14ac:dyDescent="0.35">
      <c r="F9129">
        <v>9126</v>
      </c>
      <c r="G9129">
        <f t="shared" ca="1" si="227"/>
        <v>4.2448012289093657E-3</v>
      </c>
    </row>
    <row r="9130" spans="6:7" x14ac:dyDescent="0.35">
      <c r="F9130">
        <v>9127</v>
      </c>
      <c r="G9130">
        <f t="shared" ca="1" si="227"/>
        <v>1.5574047914172006E-2</v>
      </c>
    </row>
    <row r="9131" spans="6:7" x14ac:dyDescent="0.35">
      <c r="F9131">
        <v>9128</v>
      </c>
      <c r="G9131">
        <f t="shared" ca="1" si="227"/>
        <v>-1.6507401766174653E-2</v>
      </c>
    </row>
    <row r="9132" spans="6:7" x14ac:dyDescent="0.35">
      <c r="F9132">
        <v>9129</v>
      </c>
      <c r="G9132">
        <f t="shared" ca="1" si="227"/>
        <v>2.0795964528624401E-2</v>
      </c>
    </row>
    <row r="9133" spans="6:7" x14ac:dyDescent="0.35">
      <c r="F9133">
        <v>9130</v>
      </c>
      <c r="G9133">
        <f t="shared" ca="1" si="227"/>
        <v>2.0335515332966247E-2</v>
      </c>
    </row>
    <row r="9134" spans="6:7" x14ac:dyDescent="0.35">
      <c r="F9134">
        <v>9131</v>
      </c>
      <c r="G9134">
        <f t="shared" ca="1" si="227"/>
        <v>2.1774483106986754E-3</v>
      </c>
    </row>
    <row r="9135" spans="6:7" x14ac:dyDescent="0.35">
      <c r="F9135">
        <v>9132</v>
      </c>
      <c r="G9135">
        <f t="shared" ca="1" si="227"/>
        <v>-2.7812194315851621E-2</v>
      </c>
    </row>
    <row r="9136" spans="6:7" x14ac:dyDescent="0.35">
      <c r="F9136">
        <v>9133</v>
      </c>
      <c r="G9136">
        <f t="shared" ca="1" si="227"/>
        <v>4.161029032887896E-2</v>
      </c>
    </row>
    <row r="9137" spans="6:7" x14ac:dyDescent="0.35">
      <c r="F9137">
        <v>9134</v>
      </c>
      <c r="G9137">
        <f t="shared" ca="1" si="227"/>
        <v>3.2678626342897352E-2</v>
      </c>
    </row>
    <row r="9138" spans="6:7" x14ac:dyDescent="0.35">
      <c r="F9138">
        <v>9135</v>
      </c>
      <c r="G9138">
        <f t="shared" ca="1" si="227"/>
        <v>5.2806085638423201E-3</v>
      </c>
    </row>
    <row r="9139" spans="6:7" x14ac:dyDescent="0.35">
      <c r="F9139">
        <v>9136</v>
      </c>
      <c r="G9139">
        <f t="shared" ca="1" si="227"/>
        <v>3.0723841179434042E-2</v>
      </c>
    </row>
    <row r="9140" spans="6:7" x14ac:dyDescent="0.35">
      <c r="F9140">
        <v>9137</v>
      </c>
      <c r="G9140">
        <f t="shared" ca="1" si="227"/>
        <v>3.4921056002138696E-3</v>
      </c>
    </row>
    <row r="9141" spans="6:7" x14ac:dyDescent="0.35">
      <c r="F9141">
        <v>9138</v>
      </c>
      <c r="G9141">
        <f t="shared" ca="1" si="227"/>
        <v>2.4021354039511979E-2</v>
      </c>
    </row>
    <row r="9142" spans="6:7" x14ac:dyDescent="0.35">
      <c r="F9142">
        <v>9139</v>
      </c>
      <c r="G9142">
        <f t="shared" ca="1" si="227"/>
        <v>3.4314292544220327E-3</v>
      </c>
    </row>
    <row r="9143" spans="6:7" x14ac:dyDescent="0.35">
      <c r="F9143">
        <v>9140</v>
      </c>
      <c r="G9143">
        <f t="shared" ca="1" si="227"/>
        <v>1.9414924743111402E-2</v>
      </c>
    </row>
    <row r="9144" spans="6:7" x14ac:dyDescent="0.35">
      <c r="F9144">
        <v>9141</v>
      </c>
      <c r="G9144">
        <f t="shared" ca="1" si="227"/>
        <v>-9.550424179323527E-4</v>
      </c>
    </row>
    <row r="9145" spans="6:7" x14ac:dyDescent="0.35">
      <c r="F9145">
        <v>9142</v>
      </c>
      <c r="G9145">
        <f t="shared" ca="1" si="227"/>
        <v>1.264307577516692E-2</v>
      </c>
    </row>
    <row r="9146" spans="6:7" x14ac:dyDescent="0.35">
      <c r="F9146">
        <v>9143</v>
      </c>
      <c r="G9146">
        <f t="shared" ca="1" si="227"/>
        <v>-7.0438171679732225E-4</v>
      </c>
    </row>
    <row r="9147" spans="6:7" x14ac:dyDescent="0.35">
      <c r="F9147">
        <v>9144</v>
      </c>
      <c r="G9147">
        <f t="shared" ca="1" si="227"/>
        <v>1.1087070066934145E-2</v>
      </c>
    </row>
    <row r="9148" spans="6:7" x14ac:dyDescent="0.35">
      <c r="F9148">
        <v>9145</v>
      </c>
      <c r="G9148">
        <f t="shared" ca="1" si="227"/>
        <v>-7.5089779694997943E-2</v>
      </c>
    </row>
    <row r="9149" spans="6:7" x14ac:dyDescent="0.35">
      <c r="F9149">
        <v>9146</v>
      </c>
      <c r="G9149">
        <f t="shared" ca="1" si="227"/>
        <v>-4.4738598356868435E-2</v>
      </c>
    </row>
    <row r="9150" spans="6:7" x14ac:dyDescent="0.35">
      <c r="F9150">
        <v>9147</v>
      </c>
      <c r="G9150">
        <f t="shared" ca="1" si="227"/>
        <v>2.6653589620421699E-4</v>
      </c>
    </row>
    <row r="9151" spans="6:7" x14ac:dyDescent="0.35">
      <c r="F9151">
        <v>9148</v>
      </c>
      <c r="G9151">
        <f t="shared" ca="1" si="227"/>
        <v>-1.0814648629897963E-2</v>
      </c>
    </row>
    <row r="9152" spans="6:7" x14ac:dyDescent="0.35">
      <c r="F9152">
        <v>9149</v>
      </c>
      <c r="G9152">
        <f t="shared" ca="1" si="227"/>
        <v>5.4407353838433559E-3</v>
      </c>
    </row>
    <row r="9153" spans="6:7" x14ac:dyDescent="0.35">
      <c r="F9153">
        <v>9150</v>
      </c>
      <c r="G9153">
        <f t="shared" ca="1" si="227"/>
        <v>2.5974044847047892E-2</v>
      </c>
    </row>
    <row r="9154" spans="6:7" x14ac:dyDescent="0.35">
      <c r="F9154">
        <v>9151</v>
      </c>
      <c r="G9154">
        <f t="shared" ca="1" si="227"/>
        <v>-4.1236028633184062E-2</v>
      </c>
    </row>
    <row r="9155" spans="6:7" x14ac:dyDescent="0.35">
      <c r="F9155">
        <v>9152</v>
      </c>
      <c r="G9155">
        <f t="shared" ca="1" si="227"/>
        <v>1.4289614143256631E-2</v>
      </c>
    </row>
    <row r="9156" spans="6:7" x14ac:dyDescent="0.35">
      <c r="F9156">
        <v>9153</v>
      </c>
      <c r="G9156">
        <f t="shared" ca="1" si="227"/>
        <v>-2.4306234763347326E-2</v>
      </c>
    </row>
    <row r="9157" spans="6:7" x14ac:dyDescent="0.35">
      <c r="F9157">
        <v>9154</v>
      </c>
      <c r="G9157">
        <f t="shared" ref="G9157:G9220" ca="1" si="228">_xlfn.NORM.INV(RAND(),K$6,K$7)</f>
        <v>-7.8312770309792671E-3</v>
      </c>
    </row>
    <row r="9158" spans="6:7" x14ac:dyDescent="0.35">
      <c r="F9158">
        <v>9155</v>
      </c>
      <c r="G9158">
        <f t="shared" ca="1" si="228"/>
        <v>-3.3266685435457809E-3</v>
      </c>
    </row>
    <row r="9159" spans="6:7" x14ac:dyDescent="0.35">
      <c r="F9159">
        <v>9156</v>
      </c>
      <c r="G9159">
        <f t="shared" ca="1" si="228"/>
        <v>5.8417576943497869E-2</v>
      </c>
    </row>
    <row r="9160" spans="6:7" x14ac:dyDescent="0.35">
      <c r="F9160">
        <v>9157</v>
      </c>
      <c r="G9160">
        <f t="shared" ca="1" si="228"/>
        <v>3.7061352870445798E-2</v>
      </c>
    </row>
    <row r="9161" spans="6:7" x14ac:dyDescent="0.35">
      <c r="F9161">
        <v>9158</v>
      </c>
      <c r="G9161">
        <f t="shared" ca="1" si="228"/>
        <v>-1.8732164142457083E-3</v>
      </c>
    </row>
    <row r="9162" spans="6:7" x14ac:dyDescent="0.35">
      <c r="F9162">
        <v>9159</v>
      </c>
      <c r="G9162">
        <f t="shared" ca="1" si="228"/>
        <v>5.0623560387117184E-2</v>
      </c>
    </row>
    <row r="9163" spans="6:7" x14ac:dyDescent="0.35">
      <c r="F9163">
        <v>9160</v>
      </c>
      <c r="G9163">
        <f t="shared" ca="1" si="228"/>
        <v>1.8355896602908883E-2</v>
      </c>
    </row>
    <row r="9164" spans="6:7" x14ac:dyDescent="0.35">
      <c r="F9164">
        <v>9161</v>
      </c>
      <c r="G9164">
        <f t="shared" ca="1" si="228"/>
        <v>4.7183674755774761E-3</v>
      </c>
    </row>
    <row r="9165" spans="6:7" x14ac:dyDescent="0.35">
      <c r="F9165">
        <v>9162</v>
      </c>
      <c r="G9165">
        <f t="shared" ca="1" si="228"/>
        <v>9.0279553125692767E-3</v>
      </c>
    </row>
    <row r="9166" spans="6:7" x14ac:dyDescent="0.35">
      <c r="F9166">
        <v>9163</v>
      </c>
      <c r="G9166">
        <f t="shared" ca="1" si="228"/>
        <v>9.9831258407028396E-3</v>
      </c>
    </row>
    <row r="9167" spans="6:7" x14ac:dyDescent="0.35">
      <c r="F9167">
        <v>9164</v>
      </c>
      <c r="G9167">
        <f t="shared" ca="1" si="228"/>
        <v>7.5428523489705487E-3</v>
      </c>
    </row>
    <row r="9168" spans="6:7" x14ac:dyDescent="0.35">
      <c r="F9168">
        <v>9165</v>
      </c>
      <c r="G9168">
        <f t="shared" ca="1" si="228"/>
        <v>-1.0020371477865209E-2</v>
      </c>
    </row>
    <row r="9169" spans="6:7" x14ac:dyDescent="0.35">
      <c r="F9169">
        <v>9166</v>
      </c>
      <c r="G9169">
        <f t="shared" ca="1" si="228"/>
        <v>0.10339046115234833</v>
      </c>
    </row>
    <row r="9170" spans="6:7" x14ac:dyDescent="0.35">
      <c r="F9170">
        <v>9167</v>
      </c>
      <c r="G9170">
        <f t="shared" ca="1" si="228"/>
        <v>2.5557127893461713E-2</v>
      </c>
    </row>
    <row r="9171" spans="6:7" x14ac:dyDescent="0.35">
      <c r="F9171">
        <v>9168</v>
      </c>
      <c r="G9171">
        <f t="shared" ca="1" si="228"/>
        <v>-4.0027530751604645E-2</v>
      </c>
    </row>
    <row r="9172" spans="6:7" x14ac:dyDescent="0.35">
      <c r="F9172">
        <v>9169</v>
      </c>
      <c r="G9172">
        <f t="shared" ca="1" si="228"/>
        <v>4.6462150314347993E-2</v>
      </c>
    </row>
    <row r="9173" spans="6:7" x14ac:dyDescent="0.35">
      <c r="F9173">
        <v>9170</v>
      </c>
      <c r="G9173">
        <f t="shared" ca="1" si="228"/>
        <v>-2.1760746893974083E-2</v>
      </c>
    </row>
    <row r="9174" spans="6:7" x14ac:dyDescent="0.35">
      <c r="F9174">
        <v>9171</v>
      </c>
      <c r="G9174">
        <f t="shared" ca="1" si="228"/>
        <v>-1.0240563905225569E-2</v>
      </c>
    </row>
    <row r="9175" spans="6:7" x14ac:dyDescent="0.35">
      <c r="F9175">
        <v>9172</v>
      </c>
      <c r="G9175">
        <f t="shared" ca="1" si="228"/>
        <v>2.9219557341857829E-3</v>
      </c>
    </row>
    <row r="9176" spans="6:7" x14ac:dyDescent="0.35">
      <c r="F9176">
        <v>9173</v>
      </c>
      <c r="G9176">
        <f t="shared" ca="1" si="228"/>
        <v>2.2199158954260115E-2</v>
      </c>
    </row>
    <row r="9177" spans="6:7" x14ac:dyDescent="0.35">
      <c r="F9177">
        <v>9174</v>
      </c>
      <c r="G9177">
        <f t="shared" ca="1" si="228"/>
        <v>1.9800755631413883E-2</v>
      </c>
    </row>
    <row r="9178" spans="6:7" x14ac:dyDescent="0.35">
      <c r="F9178">
        <v>9175</v>
      </c>
      <c r="G9178">
        <f t="shared" ca="1" si="228"/>
        <v>1.2412463734146714E-2</v>
      </c>
    </row>
    <row r="9179" spans="6:7" x14ac:dyDescent="0.35">
      <c r="F9179">
        <v>9176</v>
      </c>
      <c r="G9179">
        <f t="shared" ca="1" si="228"/>
        <v>4.7208110288024116E-2</v>
      </c>
    </row>
    <row r="9180" spans="6:7" x14ac:dyDescent="0.35">
      <c r="F9180">
        <v>9177</v>
      </c>
      <c r="G9180">
        <f t="shared" ca="1" si="228"/>
        <v>-1.7889809274228671E-2</v>
      </c>
    </row>
    <row r="9181" spans="6:7" x14ac:dyDescent="0.35">
      <c r="F9181">
        <v>9178</v>
      </c>
      <c r="G9181">
        <f t="shared" ca="1" si="228"/>
        <v>8.7908642095072785E-3</v>
      </c>
    </row>
    <row r="9182" spans="6:7" x14ac:dyDescent="0.35">
      <c r="F9182">
        <v>9179</v>
      </c>
      <c r="G9182">
        <f t="shared" ca="1" si="228"/>
        <v>-1.6622410684224313E-2</v>
      </c>
    </row>
    <row r="9183" spans="6:7" x14ac:dyDescent="0.35">
      <c r="F9183">
        <v>9180</v>
      </c>
      <c r="G9183">
        <f t="shared" ca="1" si="228"/>
        <v>-3.6609754479284044E-2</v>
      </c>
    </row>
    <row r="9184" spans="6:7" x14ac:dyDescent="0.35">
      <c r="F9184">
        <v>9181</v>
      </c>
      <c r="G9184">
        <f t="shared" ca="1" si="228"/>
        <v>2.1498917037312611E-2</v>
      </c>
    </row>
    <row r="9185" spans="6:7" x14ac:dyDescent="0.35">
      <c r="F9185">
        <v>9182</v>
      </c>
      <c r="G9185">
        <f t="shared" ca="1" si="228"/>
        <v>-5.0741004751026969E-2</v>
      </c>
    </row>
    <row r="9186" spans="6:7" x14ac:dyDescent="0.35">
      <c r="F9186">
        <v>9183</v>
      </c>
      <c r="G9186">
        <f t="shared" ca="1" si="228"/>
        <v>3.9738274828241514E-2</v>
      </c>
    </row>
    <row r="9187" spans="6:7" x14ac:dyDescent="0.35">
      <c r="F9187">
        <v>9184</v>
      </c>
      <c r="G9187">
        <f t="shared" ca="1" si="228"/>
        <v>1.7553355537673551E-3</v>
      </c>
    </row>
    <row r="9188" spans="6:7" x14ac:dyDescent="0.35">
      <c r="F9188">
        <v>9185</v>
      </c>
      <c r="G9188">
        <f t="shared" ca="1" si="228"/>
        <v>1.872890795557065E-2</v>
      </c>
    </row>
    <row r="9189" spans="6:7" x14ac:dyDescent="0.35">
      <c r="F9189">
        <v>9186</v>
      </c>
      <c r="G9189">
        <f t="shared" ca="1" si="228"/>
        <v>1.129948930349685E-2</v>
      </c>
    </row>
    <row r="9190" spans="6:7" x14ac:dyDescent="0.35">
      <c r="F9190">
        <v>9187</v>
      </c>
      <c r="G9190">
        <f t="shared" ca="1" si="228"/>
        <v>-1.0222658257570107E-2</v>
      </c>
    </row>
    <row r="9191" spans="6:7" x14ac:dyDescent="0.35">
      <c r="F9191">
        <v>9188</v>
      </c>
      <c r="G9191">
        <f t="shared" ca="1" si="228"/>
        <v>1.9331870781501601E-2</v>
      </c>
    </row>
    <row r="9192" spans="6:7" x14ac:dyDescent="0.35">
      <c r="F9192">
        <v>9189</v>
      </c>
      <c r="G9192">
        <f t="shared" ca="1" si="228"/>
        <v>2.9231188831202955E-2</v>
      </c>
    </row>
    <row r="9193" spans="6:7" x14ac:dyDescent="0.35">
      <c r="F9193">
        <v>9190</v>
      </c>
      <c r="G9193">
        <f t="shared" ca="1" si="228"/>
        <v>3.0863270293241114E-2</v>
      </c>
    </row>
    <row r="9194" spans="6:7" x14ac:dyDescent="0.35">
      <c r="F9194">
        <v>9191</v>
      </c>
      <c r="G9194">
        <f t="shared" ca="1" si="228"/>
        <v>4.1265018897641371E-2</v>
      </c>
    </row>
    <row r="9195" spans="6:7" x14ac:dyDescent="0.35">
      <c r="F9195">
        <v>9192</v>
      </c>
      <c r="G9195">
        <f t="shared" ca="1" si="228"/>
        <v>2.3618579424249546E-2</v>
      </c>
    </row>
    <row r="9196" spans="6:7" x14ac:dyDescent="0.35">
      <c r="F9196">
        <v>9193</v>
      </c>
      <c r="G9196">
        <f t="shared" ca="1" si="228"/>
        <v>-1.2699720079684196E-2</v>
      </c>
    </row>
    <row r="9197" spans="6:7" x14ac:dyDescent="0.35">
      <c r="F9197">
        <v>9194</v>
      </c>
      <c r="G9197">
        <f t="shared" ca="1" si="228"/>
        <v>1.2799267251429876E-3</v>
      </c>
    </row>
    <row r="9198" spans="6:7" x14ac:dyDescent="0.35">
      <c r="F9198">
        <v>9195</v>
      </c>
      <c r="G9198">
        <f t="shared" ca="1" si="228"/>
        <v>-3.7571783527268289E-2</v>
      </c>
    </row>
    <row r="9199" spans="6:7" x14ac:dyDescent="0.35">
      <c r="F9199">
        <v>9196</v>
      </c>
      <c r="G9199">
        <f t="shared" ca="1" si="228"/>
        <v>3.0697003552776813E-3</v>
      </c>
    </row>
    <row r="9200" spans="6:7" x14ac:dyDescent="0.35">
      <c r="F9200">
        <v>9197</v>
      </c>
      <c r="G9200">
        <f t="shared" ca="1" si="228"/>
        <v>-1.353756133022779E-2</v>
      </c>
    </row>
    <row r="9201" spans="6:7" x14ac:dyDescent="0.35">
      <c r="F9201">
        <v>9198</v>
      </c>
      <c r="G9201">
        <f t="shared" ca="1" si="228"/>
        <v>1.8610241569008298E-2</v>
      </c>
    </row>
    <row r="9202" spans="6:7" x14ac:dyDescent="0.35">
      <c r="F9202">
        <v>9199</v>
      </c>
      <c r="G9202">
        <f t="shared" ca="1" si="228"/>
        <v>-1.0097318529100389E-2</v>
      </c>
    </row>
    <row r="9203" spans="6:7" x14ac:dyDescent="0.35">
      <c r="F9203">
        <v>9200</v>
      </c>
      <c r="G9203">
        <f t="shared" ca="1" si="228"/>
        <v>-3.325649176123821E-2</v>
      </c>
    </row>
    <row r="9204" spans="6:7" x14ac:dyDescent="0.35">
      <c r="F9204">
        <v>9201</v>
      </c>
      <c r="G9204">
        <f t="shared" ca="1" si="228"/>
        <v>3.2492773314640941E-2</v>
      </c>
    </row>
    <row r="9205" spans="6:7" x14ac:dyDescent="0.35">
      <c r="F9205">
        <v>9202</v>
      </c>
      <c r="G9205">
        <f t="shared" ca="1" si="228"/>
        <v>9.2854157230582279E-3</v>
      </c>
    </row>
    <row r="9206" spans="6:7" x14ac:dyDescent="0.35">
      <c r="F9206">
        <v>9203</v>
      </c>
      <c r="G9206">
        <f t="shared" ca="1" si="228"/>
        <v>-2.9256848022099793E-2</v>
      </c>
    </row>
    <row r="9207" spans="6:7" x14ac:dyDescent="0.35">
      <c r="F9207">
        <v>9204</v>
      </c>
      <c r="G9207">
        <f t="shared" ca="1" si="228"/>
        <v>9.7488614997637193E-3</v>
      </c>
    </row>
    <row r="9208" spans="6:7" x14ac:dyDescent="0.35">
      <c r="F9208">
        <v>9205</v>
      </c>
      <c r="G9208">
        <f t="shared" ca="1" si="228"/>
        <v>-2.6474437591893947E-3</v>
      </c>
    </row>
    <row r="9209" spans="6:7" x14ac:dyDescent="0.35">
      <c r="F9209">
        <v>9206</v>
      </c>
      <c r="G9209">
        <f t="shared" ca="1" si="228"/>
        <v>-2.0068369093771223E-2</v>
      </c>
    </row>
    <row r="9210" spans="6:7" x14ac:dyDescent="0.35">
      <c r="F9210">
        <v>9207</v>
      </c>
      <c r="G9210">
        <f t="shared" ca="1" si="228"/>
        <v>1.2335976930736181E-2</v>
      </c>
    </row>
    <row r="9211" spans="6:7" x14ac:dyDescent="0.35">
      <c r="F9211">
        <v>9208</v>
      </c>
      <c r="G9211">
        <f t="shared" ca="1" si="228"/>
        <v>-5.4429392525152144E-2</v>
      </c>
    </row>
    <row r="9212" spans="6:7" x14ac:dyDescent="0.35">
      <c r="F9212">
        <v>9209</v>
      </c>
      <c r="G9212">
        <f t="shared" ca="1" si="228"/>
        <v>-2.2156992608238037E-2</v>
      </c>
    </row>
    <row r="9213" spans="6:7" x14ac:dyDescent="0.35">
      <c r="F9213">
        <v>9210</v>
      </c>
      <c r="G9213">
        <f t="shared" ca="1" si="228"/>
        <v>4.7521524337999187E-2</v>
      </c>
    </row>
    <row r="9214" spans="6:7" x14ac:dyDescent="0.35">
      <c r="F9214">
        <v>9211</v>
      </c>
      <c r="G9214">
        <f t="shared" ca="1" si="228"/>
        <v>8.8255172733146953E-3</v>
      </c>
    </row>
    <row r="9215" spans="6:7" x14ac:dyDescent="0.35">
      <c r="F9215">
        <v>9212</v>
      </c>
      <c r="G9215">
        <f t="shared" ca="1" si="228"/>
        <v>4.2154177768654592E-2</v>
      </c>
    </row>
    <row r="9216" spans="6:7" x14ac:dyDescent="0.35">
      <c r="F9216">
        <v>9213</v>
      </c>
      <c r="G9216">
        <f t="shared" ca="1" si="228"/>
        <v>5.3544223209150893E-2</v>
      </c>
    </row>
    <row r="9217" spans="6:7" x14ac:dyDescent="0.35">
      <c r="F9217">
        <v>9214</v>
      </c>
      <c r="G9217">
        <f t="shared" ca="1" si="228"/>
        <v>1.5196711717594829E-2</v>
      </c>
    </row>
    <row r="9218" spans="6:7" x14ac:dyDescent="0.35">
      <c r="F9218">
        <v>9215</v>
      </c>
      <c r="G9218">
        <f t="shared" ca="1" si="228"/>
        <v>3.2112320887951705E-2</v>
      </c>
    </row>
    <row r="9219" spans="6:7" x14ac:dyDescent="0.35">
      <c r="F9219">
        <v>9216</v>
      </c>
      <c r="G9219">
        <f t="shared" ca="1" si="228"/>
        <v>-1.2189155323047058E-2</v>
      </c>
    </row>
    <row r="9220" spans="6:7" x14ac:dyDescent="0.35">
      <c r="F9220">
        <v>9217</v>
      </c>
      <c r="G9220">
        <f t="shared" ca="1" si="228"/>
        <v>-1.866813984641745E-2</v>
      </c>
    </row>
    <row r="9221" spans="6:7" x14ac:dyDescent="0.35">
      <c r="F9221">
        <v>9218</v>
      </c>
      <c r="G9221">
        <f t="shared" ref="G9221:G9284" ca="1" si="229">_xlfn.NORM.INV(RAND(),K$6,K$7)</f>
        <v>6.6344634284852145E-3</v>
      </c>
    </row>
    <row r="9222" spans="6:7" x14ac:dyDescent="0.35">
      <c r="F9222">
        <v>9219</v>
      </c>
      <c r="G9222">
        <f t="shared" ca="1" si="229"/>
        <v>1.1504219423752833E-2</v>
      </c>
    </row>
    <row r="9223" spans="6:7" x14ac:dyDescent="0.35">
      <c r="F9223">
        <v>9220</v>
      </c>
      <c r="G9223">
        <f t="shared" ca="1" si="229"/>
        <v>4.4393591284322097E-3</v>
      </c>
    </row>
    <row r="9224" spans="6:7" x14ac:dyDescent="0.35">
      <c r="F9224">
        <v>9221</v>
      </c>
      <c r="G9224">
        <f t="shared" ca="1" si="229"/>
        <v>-3.5199427219505287E-2</v>
      </c>
    </row>
    <row r="9225" spans="6:7" x14ac:dyDescent="0.35">
      <c r="F9225">
        <v>9222</v>
      </c>
      <c r="G9225">
        <f t="shared" ca="1" si="229"/>
        <v>-2.9263358022881155E-2</v>
      </c>
    </row>
    <row r="9226" spans="6:7" x14ac:dyDescent="0.35">
      <c r="F9226">
        <v>9223</v>
      </c>
      <c r="G9226">
        <f t="shared" ca="1" si="229"/>
        <v>-3.3039338616797503E-2</v>
      </c>
    </row>
    <row r="9227" spans="6:7" x14ac:dyDescent="0.35">
      <c r="F9227">
        <v>9224</v>
      </c>
      <c r="G9227">
        <f t="shared" ca="1" si="229"/>
        <v>-2.4936380585383475E-2</v>
      </c>
    </row>
    <row r="9228" spans="6:7" x14ac:dyDescent="0.35">
      <c r="F9228">
        <v>9225</v>
      </c>
      <c r="G9228">
        <f t="shared" ca="1" si="229"/>
        <v>4.4660058443894979E-2</v>
      </c>
    </row>
    <row r="9229" spans="6:7" x14ac:dyDescent="0.35">
      <c r="F9229">
        <v>9226</v>
      </c>
      <c r="G9229">
        <f t="shared" ca="1" si="229"/>
        <v>1.9132923263941622E-2</v>
      </c>
    </row>
    <row r="9230" spans="6:7" x14ac:dyDescent="0.35">
      <c r="F9230">
        <v>9227</v>
      </c>
      <c r="G9230">
        <f t="shared" ca="1" si="229"/>
        <v>3.2804613339759654E-2</v>
      </c>
    </row>
    <row r="9231" spans="6:7" x14ac:dyDescent="0.35">
      <c r="F9231">
        <v>9228</v>
      </c>
      <c r="G9231">
        <f t="shared" ca="1" si="229"/>
        <v>-2.1484900898162317E-2</v>
      </c>
    </row>
    <row r="9232" spans="6:7" x14ac:dyDescent="0.35">
      <c r="F9232">
        <v>9229</v>
      </c>
      <c r="G9232">
        <f t="shared" ca="1" si="229"/>
        <v>3.8354608918795705E-2</v>
      </c>
    </row>
    <row r="9233" spans="6:7" x14ac:dyDescent="0.35">
      <c r="F9233">
        <v>9230</v>
      </c>
      <c r="G9233">
        <f t="shared" ca="1" si="229"/>
        <v>-2.869577244636589E-2</v>
      </c>
    </row>
    <row r="9234" spans="6:7" x14ac:dyDescent="0.35">
      <c r="F9234">
        <v>9231</v>
      </c>
      <c r="G9234">
        <f t="shared" ca="1" si="229"/>
        <v>8.6940336652809556E-3</v>
      </c>
    </row>
    <row r="9235" spans="6:7" x14ac:dyDescent="0.35">
      <c r="F9235">
        <v>9232</v>
      </c>
      <c r="G9235">
        <f t="shared" ca="1" si="229"/>
        <v>-2.2445048693429146E-2</v>
      </c>
    </row>
    <row r="9236" spans="6:7" x14ac:dyDescent="0.35">
      <c r="F9236">
        <v>9233</v>
      </c>
      <c r="G9236">
        <f t="shared" ca="1" si="229"/>
        <v>4.2179715394685385E-3</v>
      </c>
    </row>
    <row r="9237" spans="6:7" x14ac:dyDescent="0.35">
      <c r="F9237">
        <v>9234</v>
      </c>
      <c r="G9237">
        <f t="shared" ca="1" si="229"/>
        <v>1.0813621687636945E-2</v>
      </c>
    </row>
    <row r="9238" spans="6:7" x14ac:dyDescent="0.35">
      <c r="F9238">
        <v>9235</v>
      </c>
      <c r="G9238">
        <f t="shared" ca="1" si="229"/>
        <v>-3.3262736763898952E-2</v>
      </c>
    </row>
    <row r="9239" spans="6:7" x14ac:dyDescent="0.35">
      <c r="F9239">
        <v>9236</v>
      </c>
      <c r="G9239">
        <f t="shared" ca="1" si="229"/>
        <v>-3.4958238520854251E-2</v>
      </c>
    </row>
    <row r="9240" spans="6:7" x14ac:dyDescent="0.35">
      <c r="F9240">
        <v>9237</v>
      </c>
      <c r="G9240">
        <f t="shared" ca="1" si="229"/>
        <v>6.3017932246875745E-4</v>
      </c>
    </row>
    <row r="9241" spans="6:7" x14ac:dyDescent="0.35">
      <c r="F9241">
        <v>9238</v>
      </c>
      <c r="G9241">
        <f t="shared" ca="1" si="229"/>
        <v>-1.8426776383230503E-4</v>
      </c>
    </row>
    <row r="9242" spans="6:7" x14ac:dyDescent="0.35">
      <c r="F9242">
        <v>9239</v>
      </c>
      <c r="G9242">
        <f t="shared" ca="1" si="229"/>
        <v>3.2352815730985619E-2</v>
      </c>
    </row>
    <row r="9243" spans="6:7" x14ac:dyDescent="0.35">
      <c r="F9243">
        <v>9240</v>
      </c>
      <c r="G9243">
        <f t="shared" ca="1" si="229"/>
        <v>-1.5301061213553286E-3</v>
      </c>
    </row>
    <row r="9244" spans="6:7" x14ac:dyDescent="0.35">
      <c r="F9244">
        <v>9241</v>
      </c>
      <c r="G9244">
        <f t="shared" ca="1" si="229"/>
        <v>1.4325868292913567E-2</v>
      </c>
    </row>
    <row r="9245" spans="6:7" x14ac:dyDescent="0.35">
      <c r="F9245">
        <v>9242</v>
      </c>
      <c r="G9245">
        <f t="shared" ca="1" si="229"/>
        <v>1.6058447415927791E-3</v>
      </c>
    </row>
    <row r="9246" spans="6:7" x14ac:dyDescent="0.35">
      <c r="F9246">
        <v>9243</v>
      </c>
      <c r="G9246">
        <f t="shared" ca="1" si="229"/>
        <v>-1.3470359547010933E-2</v>
      </c>
    </row>
    <row r="9247" spans="6:7" x14ac:dyDescent="0.35">
      <c r="F9247">
        <v>9244</v>
      </c>
      <c r="G9247">
        <f t="shared" ca="1" si="229"/>
        <v>-3.6081586712530513E-2</v>
      </c>
    </row>
    <row r="9248" spans="6:7" x14ac:dyDescent="0.35">
      <c r="F9248">
        <v>9245</v>
      </c>
      <c r="G9248">
        <f t="shared" ca="1" si="229"/>
        <v>1.278434851266127E-2</v>
      </c>
    </row>
    <row r="9249" spans="6:7" x14ac:dyDescent="0.35">
      <c r="F9249">
        <v>9246</v>
      </c>
      <c r="G9249">
        <f t="shared" ca="1" si="229"/>
        <v>-3.9345742703714827E-3</v>
      </c>
    </row>
    <row r="9250" spans="6:7" x14ac:dyDescent="0.35">
      <c r="F9250">
        <v>9247</v>
      </c>
      <c r="G9250">
        <f t="shared" ca="1" si="229"/>
        <v>3.0293359815459532E-2</v>
      </c>
    </row>
    <row r="9251" spans="6:7" x14ac:dyDescent="0.35">
      <c r="F9251">
        <v>9248</v>
      </c>
      <c r="G9251">
        <f t="shared" ca="1" si="229"/>
        <v>9.3045662381218862E-4</v>
      </c>
    </row>
    <row r="9252" spans="6:7" x14ac:dyDescent="0.35">
      <c r="F9252">
        <v>9249</v>
      </c>
      <c r="G9252">
        <f t="shared" ca="1" si="229"/>
        <v>-5.6021754246461532E-2</v>
      </c>
    </row>
    <row r="9253" spans="6:7" x14ac:dyDescent="0.35">
      <c r="F9253">
        <v>9250</v>
      </c>
      <c r="G9253">
        <f t="shared" ca="1" si="229"/>
        <v>2.653320714359779E-2</v>
      </c>
    </row>
    <row r="9254" spans="6:7" x14ac:dyDescent="0.35">
      <c r="F9254">
        <v>9251</v>
      </c>
      <c r="G9254">
        <f t="shared" ca="1" si="229"/>
        <v>-3.1319715789062015E-3</v>
      </c>
    </row>
    <row r="9255" spans="6:7" x14ac:dyDescent="0.35">
      <c r="F9255">
        <v>9252</v>
      </c>
      <c r="G9255">
        <f t="shared" ca="1" si="229"/>
        <v>2.9571463386887112E-2</v>
      </c>
    </row>
    <row r="9256" spans="6:7" x14ac:dyDescent="0.35">
      <c r="F9256">
        <v>9253</v>
      </c>
      <c r="G9256">
        <f t="shared" ca="1" si="229"/>
        <v>-1.5698959319995171E-2</v>
      </c>
    </row>
    <row r="9257" spans="6:7" x14ac:dyDescent="0.35">
      <c r="F9257">
        <v>9254</v>
      </c>
      <c r="G9257">
        <f t="shared" ca="1" si="229"/>
        <v>-1.2616615876518666E-2</v>
      </c>
    </row>
    <row r="9258" spans="6:7" x14ac:dyDescent="0.35">
      <c r="F9258">
        <v>9255</v>
      </c>
      <c r="G9258">
        <f t="shared" ca="1" si="229"/>
        <v>-6.5029411569633433E-2</v>
      </c>
    </row>
    <row r="9259" spans="6:7" x14ac:dyDescent="0.35">
      <c r="F9259">
        <v>9256</v>
      </c>
      <c r="G9259">
        <f t="shared" ca="1" si="229"/>
        <v>-2.3792017258932721E-2</v>
      </c>
    </row>
    <row r="9260" spans="6:7" x14ac:dyDescent="0.35">
      <c r="F9260">
        <v>9257</v>
      </c>
      <c r="G9260">
        <f t="shared" ca="1" si="229"/>
        <v>2.4531499264820187E-5</v>
      </c>
    </row>
    <row r="9261" spans="6:7" x14ac:dyDescent="0.35">
      <c r="F9261">
        <v>9258</v>
      </c>
      <c r="G9261">
        <f t="shared" ca="1" si="229"/>
        <v>-3.1203104786230066E-2</v>
      </c>
    </row>
    <row r="9262" spans="6:7" x14ac:dyDescent="0.35">
      <c r="F9262">
        <v>9259</v>
      </c>
      <c r="G9262">
        <f t="shared" ca="1" si="229"/>
        <v>-1.0185014775992662E-2</v>
      </c>
    </row>
    <row r="9263" spans="6:7" x14ac:dyDescent="0.35">
      <c r="F9263">
        <v>9260</v>
      </c>
      <c r="G9263">
        <f t="shared" ca="1" si="229"/>
        <v>-3.9652962237737156E-2</v>
      </c>
    </row>
    <row r="9264" spans="6:7" x14ac:dyDescent="0.35">
      <c r="F9264">
        <v>9261</v>
      </c>
      <c r="G9264">
        <f t="shared" ca="1" si="229"/>
        <v>-9.3708370423021773E-3</v>
      </c>
    </row>
    <row r="9265" spans="6:7" x14ac:dyDescent="0.35">
      <c r="F9265">
        <v>9262</v>
      </c>
      <c r="G9265">
        <f t="shared" ca="1" si="229"/>
        <v>1.3175916415620964E-2</v>
      </c>
    </row>
    <row r="9266" spans="6:7" x14ac:dyDescent="0.35">
      <c r="F9266">
        <v>9263</v>
      </c>
      <c r="G9266">
        <f t="shared" ca="1" si="229"/>
        <v>2.2385697481295069E-2</v>
      </c>
    </row>
    <row r="9267" spans="6:7" x14ac:dyDescent="0.35">
      <c r="F9267">
        <v>9264</v>
      </c>
      <c r="G9267">
        <f t="shared" ca="1" si="229"/>
        <v>-7.2613404718331123E-3</v>
      </c>
    </row>
    <row r="9268" spans="6:7" x14ac:dyDescent="0.35">
      <c r="F9268">
        <v>9265</v>
      </c>
      <c r="G9268">
        <f t="shared" ca="1" si="229"/>
        <v>2.3199861553727146E-2</v>
      </c>
    </row>
    <row r="9269" spans="6:7" x14ac:dyDescent="0.35">
      <c r="F9269">
        <v>9266</v>
      </c>
      <c r="G9269">
        <f t="shared" ca="1" si="229"/>
        <v>-9.6276099758026788E-3</v>
      </c>
    </row>
    <row r="9270" spans="6:7" x14ac:dyDescent="0.35">
      <c r="F9270">
        <v>9267</v>
      </c>
      <c r="G9270">
        <f t="shared" ca="1" si="229"/>
        <v>-3.5759313030097155E-3</v>
      </c>
    </row>
    <row r="9271" spans="6:7" x14ac:dyDescent="0.35">
      <c r="F9271">
        <v>9268</v>
      </c>
      <c r="G9271">
        <f t="shared" ca="1" si="229"/>
        <v>-2.9239582167295008E-2</v>
      </c>
    </row>
    <row r="9272" spans="6:7" x14ac:dyDescent="0.35">
      <c r="F9272">
        <v>9269</v>
      </c>
      <c r="G9272">
        <f t="shared" ca="1" si="229"/>
        <v>-2.2295434974162327E-2</v>
      </c>
    </row>
    <row r="9273" spans="6:7" x14ac:dyDescent="0.35">
      <c r="F9273">
        <v>9270</v>
      </c>
      <c r="G9273">
        <f t="shared" ca="1" si="229"/>
        <v>-3.1746978127343589E-2</v>
      </c>
    </row>
    <row r="9274" spans="6:7" x14ac:dyDescent="0.35">
      <c r="F9274">
        <v>9271</v>
      </c>
      <c r="G9274">
        <f t="shared" ca="1" si="229"/>
        <v>-4.081352153337282E-3</v>
      </c>
    </row>
    <row r="9275" spans="6:7" x14ac:dyDescent="0.35">
      <c r="F9275">
        <v>9272</v>
      </c>
      <c r="G9275">
        <f t="shared" ca="1" si="229"/>
        <v>2.2169501110985191E-2</v>
      </c>
    </row>
    <row r="9276" spans="6:7" x14ac:dyDescent="0.35">
      <c r="F9276">
        <v>9273</v>
      </c>
      <c r="G9276">
        <f t="shared" ca="1" si="229"/>
        <v>1.322982441786618E-2</v>
      </c>
    </row>
    <row r="9277" spans="6:7" x14ac:dyDescent="0.35">
      <c r="F9277">
        <v>9274</v>
      </c>
      <c r="G9277">
        <f t="shared" ca="1" si="229"/>
        <v>-4.02254427659565E-2</v>
      </c>
    </row>
    <row r="9278" spans="6:7" x14ac:dyDescent="0.35">
      <c r="F9278">
        <v>9275</v>
      </c>
      <c r="G9278">
        <f t="shared" ca="1" si="229"/>
        <v>-2.3476821191225475E-2</v>
      </c>
    </row>
    <row r="9279" spans="6:7" x14ac:dyDescent="0.35">
      <c r="F9279">
        <v>9276</v>
      </c>
      <c r="G9279">
        <f t="shared" ca="1" si="229"/>
        <v>-2.1712068559895516E-2</v>
      </c>
    </row>
    <row r="9280" spans="6:7" x14ac:dyDescent="0.35">
      <c r="F9280">
        <v>9277</v>
      </c>
      <c r="G9280">
        <f t="shared" ca="1" si="229"/>
        <v>4.0581007619894579E-3</v>
      </c>
    </row>
    <row r="9281" spans="6:7" x14ac:dyDescent="0.35">
      <c r="F9281">
        <v>9278</v>
      </c>
      <c r="G9281">
        <f t="shared" ca="1" si="229"/>
        <v>-1.6649246037212219E-2</v>
      </c>
    </row>
    <row r="9282" spans="6:7" x14ac:dyDescent="0.35">
      <c r="F9282">
        <v>9279</v>
      </c>
      <c r="G9282">
        <f t="shared" ca="1" si="229"/>
        <v>-1.1035566245346946E-2</v>
      </c>
    </row>
    <row r="9283" spans="6:7" x14ac:dyDescent="0.35">
      <c r="F9283">
        <v>9280</v>
      </c>
      <c r="G9283">
        <f t="shared" ca="1" si="229"/>
        <v>3.0450404515339088E-2</v>
      </c>
    </row>
    <row r="9284" spans="6:7" x14ac:dyDescent="0.35">
      <c r="F9284">
        <v>9281</v>
      </c>
      <c r="G9284">
        <f t="shared" ca="1" si="229"/>
        <v>1.2514037138257274E-2</v>
      </c>
    </row>
    <row r="9285" spans="6:7" x14ac:dyDescent="0.35">
      <c r="F9285">
        <v>9282</v>
      </c>
      <c r="G9285">
        <f t="shared" ref="G9285:G9348" ca="1" si="230">_xlfn.NORM.INV(RAND(),K$6,K$7)</f>
        <v>-3.0175601451104445E-2</v>
      </c>
    </row>
    <row r="9286" spans="6:7" x14ac:dyDescent="0.35">
      <c r="F9286">
        <v>9283</v>
      </c>
      <c r="G9286">
        <f t="shared" ca="1" si="230"/>
        <v>-3.7581098768421174E-2</v>
      </c>
    </row>
    <row r="9287" spans="6:7" x14ac:dyDescent="0.35">
      <c r="F9287">
        <v>9284</v>
      </c>
      <c r="G9287">
        <f t="shared" ca="1" si="230"/>
        <v>-9.9137109961651045E-3</v>
      </c>
    </row>
    <row r="9288" spans="6:7" x14ac:dyDescent="0.35">
      <c r="F9288">
        <v>9285</v>
      </c>
      <c r="G9288">
        <f t="shared" ca="1" si="230"/>
        <v>-2.1037382270700844E-2</v>
      </c>
    </row>
    <row r="9289" spans="6:7" x14ac:dyDescent="0.35">
      <c r="F9289">
        <v>9286</v>
      </c>
      <c r="G9289">
        <f t="shared" ca="1" si="230"/>
        <v>-2.6507719578338192E-2</v>
      </c>
    </row>
    <row r="9290" spans="6:7" x14ac:dyDescent="0.35">
      <c r="F9290">
        <v>9287</v>
      </c>
      <c r="G9290">
        <f t="shared" ca="1" si="230"/>
        <v>-2.1222732351741713E-2</v>
      </c>
    </row>
    <row r="9291" spans="6:7" x14ac:dyDescent="0.35">
      <c r="F9291">
        <v>9288</v>
      </c>
      <c r="G9291">
        <f t="shared" ca="1" si="230"/>
        <v>1.8139068848836714E-2</v>
      </c>
    </row>
    <row r="9292" spans="6:7" x14ac:dyDescent="0.35">
      <c r="F9292">
        <v>9289</v>
      </c>
      <c r="G9292">
        <f t="shared" ca="1" si="230"/>
        <v>1.2573479230027919E-2</v>
      </c>
    </row>
    <row r="9293" spans="6:7" x14ac:dyDescent="0.35">
      <c r="F9293">
        <v>9290</v>
      </c>
      <c r="G9293">
        <f t="shared" ca="1" si="230"/>
        <v>1.561934645507492E-2</v>
      </c>
    </row>
    <row r="9294" spans="6:7" x14ac:dyDescent="0.35">
      <c r="F9294">
        <v>9291</v>
      </c>
      <c r="G9294">
        <f t="shared" ca="1" si="230"/>
        <v>2.9836958015201111E-2</v>
      </c>
    </row>
    <row r="9295" spans="6:7" x14ac:dyDescent="0.35">
      <c r="F9295">
        <v>9292</v>
      </c>
      <c r="G9295">
        <f t="shared" ca="1" si="230"/>
        <v>2.5892901337650369E-2</v>
      </c>
    </row>
    <row r="9296" spans="6:7" x14ac:dyDescent="0.35">
      <c r="F9296">
        <v>9293</v>
      </c>
      <c r="G9296">
        <f t="shared" ca="1" si="230"/>
        <v>1.1122857244529974E-2</v>
      </c>
    </row>
    <row r="9297" spans="6:7" x14ac:dyDescent="0.35">
      <c r="F9297">
        <v>9294</v>
      </c>
      <c r="G9297">
        <f t="shared" ca="1" si="230"/>
        <v>-1.1539522614457908E-2</v>
      </c>
    </row>
    <row r="9298" spans="6:7" x14ac:dyDescent="0.35">
      <c r="F9298">
        <v>9295</v>
      </c>
      <c r="G9298">
        <f t="shared" ca="1" si="230"/>
        <v>-4.4728923504514323E-2</v>
      </c>
    </row>
    <row r="9299" spans="6:7" x14ac:dyDescent="0.35">
      <c r="F9299">
        <v>9296</v>
      </c>
      <c r="G9299">
        <f t="shared" ca="1" si="230"/>
        <v>-2.8869538010554519E-2</v>
      </c>
    </row>
    <row r="9300" spans="6:7" x14ac:dyDescent="0.35">
      <c r="F9300">
        <v>9297</v>
      </c>
      <c r="G9300">
        <f t="shared" ca="1" si="230"/>
        <v>9.2088936067273568E-3</v>
      </c>
    </row>
    <row r="9301" spans="6:7" x14ac:dyDescent="0.35">
      <c r="F9301">
        <v>9298</v>
      </c>
      <c r="G9301">
        <f t="shared" ca="1" si="230"/>
        <v>-2.5453491451655746E-2</v>
      </c>
    </row>
    <row r="9302" spans="6:7" x14ac:dyDescent="0.35">
      <c r="F9302">
        <v>9299</v>
      </c>
      <c r="G9302">
        <f t="shared" ca="1" si="230"/>
        <v>-1.5093134669553237E-2</v>
      </c>
    </row>
    <row r="9303" spans="6:7" x14ac:dyDescent="0.35">
      <c r="F9303">
        <v>9300</v>
      </c>
      <c r="G9303">
        <f t="shared" ca="1" si="230"/>
        <v>1.8282741982042636E-2</v>
      </c>
    </row>
    <row r="9304" spans="6:7" x14ac:dyDescent="0.35">
      <c r="F9304">
        <v>9301</v>
      </c>
      <c r="G9304">
        <f t="shared" ca="1" si="230"/>
        <v>-2.7153387786945069E-2</v>
      </c>
    </row>
    <row r="9305" spans="6:7" x14ac:dyDescent="0.35">
      <c r="F9305">
        <v>9302</v>
      </c>
      <c r="G9305">
        <f t="shared" ca="1" si="230"/>
        <v>1.7977525370387545E-2</v>
      </c>
    </row>
    <row r="9306" spans="6:7" x14ac:dyDescent="0.35">
      <c r="F9306">
        <v>9303</v>
      </c>
      <c r="G9306">
        <f t="shared" ca="1" si="230"/>
        <v>-8.0678946865805259E-3</v>
      </c>
    </row>
    <row r="9307" spans="6:7" x14ac:dyDescent="0.35">
      <c r="F9307">
        <v>9304</v>
      </c>
      <c r="G9307">
        <f t="shared" ca="1" si="230"/>
        <v>6.3005721275334534E-2</v>
      </c>
    </row>
    <row r="9308" spans="6:7" x14ac:dyDescent="0.35">
      <c r="F9308">
        <v>9305</v>
      </c>
      <c r="G9308">
        <f t="shared" ca="1" si="230"/>
        <v>-2.3272893418633957E-2</v>
      </c>
    </row>
    <row r="9309" spans="6:7" x14ac:dyDescent="0.35">
      <c r="F9309">
        <v>9306</v>
      </c>
      <c r="G9309">
        <f t="shared" ca="1" si="230"/>
        <v>4.5002759529364895E-2</v>
      </c>
    </row>
    <row r="9310" spans="6:7" x14ac:dyDescent="0.35">
      <c r="F9310">
        <v>9307</v>
      </c>
      <c r="G9310">
        <f t="shared" ca="1" si="230"/>
        <v>-1.7723073979486886E-2</v>
      </c>
    </row>
    <row r="9311" spans="6:7" x14ac:dyDescent="0.35">
      <c r="F9311">
        <v>9308</v>
      </c>
      <c r="G9311">
        <f t="shared" ca="1" si="230"/>
        <v>1.3998666474546891E-2</v>
      </c>
    </row>
    <row r="9312" spans="6:7" x14ac:dyDescent="0.35">
      <c r="F9312">
        <v>9309</v>
      </c>
      <c r="G9312">
        <f t="shared" ca="1" si="230"/>
        <v>-3.7394641602064453E-2</v>
      </c>
    </row>
    <row r="9313" spans="6:7" x14ac:dyDescent="0.35">
      <c r="F9313">
        <v>9310</v>
      </c>
      <c r="G9313">
        <f t="shared" ca="1" si="230"/>
        <v>2.1221479446202507E-2</v>
      </c>
    </row>
    <row r="9314" spans="6:7" x14ac:dyDescent="0.35">
      <c r="F9314">
        <v>9311</v>
      </c>
      <c r="G9314">
        <f t="shared" ca="1" si="230"/>
        <v>-3.782297767119229E-2</v>
      </c>
    </row>
    <row r="9315" spans="6:7" x14ac:dyDescent="0.35">
      <c r="F9315">
        <v>9312</v>
      </c>
      <c r="G9315">
        <f t="shared" ca="1" si="230"/>
        <v>4.3223088408739861E-2</v>
      </c>
    </row>
    <row r="9316" spans="6:7" x14ac:dyDescent="0.35">
      <c r="F9316">
        <v>9313</v>
      </c>
      <c r="G9316">
        <f t="shared" ca="1" si="230"/>
        <v>2.6352872526483297E-2</v>
      </c>
    </row>
    <row r="9317" spans="6:7" x14ac:dyDescent="0.35">
      <c r="F9317">
        <v>9314</v>
      </c>
      <c r="G9317">
        <f t="shared" ca="1" si="230"/>
        <v>3.4256984889401175E-2</v>
      </c>
    </row>
    <row r="9318" spans="6:7" x14ac:dyDescent="0.35">
      <c r="F9318">
        <v>9315</v>
      </c>
      <c r="G9318">
        <f t="shared" ca="1" si="230"/>
        <v>-3.5243064000374481E-3</v>
      </c>
    </row>
    <row r="9319" spans="6:7" x14ac:dyDescent="0.35">
      <c r="F9319">
        <v>9316</v>
      </c>
      <c r="G9319">
        <f t="shared" ca="1" si="230"/>
        <v>-1.8732326609796013E-2</v>
      </c>
    </row>
    <row r="9320" spans="6:7" x14ac:dyDescent="0.35">
      <c r="F9320">
        <v>9317</v>
      </c>
      <c r="G9320">
        <f t="shared" ca="1" si="230"/>
        <v>4.1116970896076599E-3</v>
      </c>
    </row>
    <row r="9321" spans="6:7" x14ac:dyDescent="0.35">
      <c r="F9321">
        <v>9318</v>
      </c>
      <c r="G9321">
        <f t="shared" ca="1" si="230"/>
        <v>3.6471542451016262E-2</v>
      </c>
    </row>
    <row r="9322" spans="6:7" x14ac:dyDescent="0.35">
      <c r="F9322">
        <v>9319</v>
      </c>
      <c r="G9322">
        <f t="shared" ca="1" si="230"/>
        <v>-2.3723368852709904E-2</v>
      </c>
    </row>
    <row r="9323" spans="6:7" x14ac:dyDescent="0.35">
      <c r="F9323">
        <v>9320</v>
      </c>
      <c r="G9323">
        <f t="shared" ca="1" si="230"/>
        <v>-5.2687091982767914E-2</v>
      </c>
    </row>
    <row r="9324" spans="6:7" x14ac:dyDescent="0.35">
      <c r="F9324">
        <v>9321</v>
      </c>
      <c r="G9324">
        <f t="shared" ca="1" si="230"/>
        <v>3.4390204236009657E-2</v>
      </c>
    </row>
    <row r="9325" spans="6:7" x14ac:dyDescent="0.35">
      <c r="F9325">
        <v>9322</v>
      </c>
      <c r="G9325">
        <f t="shared" ca="1" si="230"/>
        <v>-8.5914072870761776E-3</v>
      </c>
    </row>
    <row r="9326" spans="6:7" x14ac:dyDescent="0.35">
      <c r="F9326">
        <v>9323</v>
      </c>
      <c r="G9326">
        <f t="shared" ca="1" si="230"/>
        <v>-6.5705065147035179E-3</v>
      </c>
    </row>
    <row r="9327" spans="6:7" x14ac:dyDescent="0.35">
      <c r="F9327">
        <v>9324</v>
      </c>
      <c r="G9327">
        <f t="shared" ca="1" si="230"/>
        <v>1.8544108866998765E-2</v>
      </c>
    </row>
    <row r="9328" spans="6:7" x14ac:dyDescent="0.35">
      <c r="F9328">
        <v>9325</v>
      </c>
      <c r="G9328">
        <f t="shared" ca="1" si="230"/>
        <v>-6.9340188174075654E-2</v>
      </c>
    </row>
    <row r="9329" spans="6:7" x14ac:dyDescent="0.35">
      <c r="F9329">
        <v>9326</v>
      </c>
      <c r="G9329">
        <f t="shared" ca="1" si="230"/>
        <v>9.8324090742121471E-3</v>
      </c>
    </row>
    <row r="9330" spans="6:7" x14ac:dyDescent="0.35">
      <c r="F9330">
        <v>9327</v>
      </c>
      <c r="G9330">
        <f t="shared" ca="1" si="230"/>
        <v>-5.143454945252719E-4</v>
      </c>
    </row>
    <row r="9331" spans="6:7" x14ac:dyDescent="0.35">
      <c r="F9331">
        <v>9328</v>
      </c>
      <c r="G9331">
        <f t="shared" ca="1" si="230"/>
        <v>-4.2446516543286288E-2</v>
      </c>
    </row>
    <row r="9332" spans="6:7" x14ac:dyDescent="0.35">
      <c r="F9332">
        <v>9329</v>
      </c>
      <c r="G9332">
        <f t="shared" ca="1" si="230"/>
        <v>-2.9886726533241498E-2</v>
      </c>
    </row>
    <row r="9333" spans="6:7" x14ac:dyDescent="0.35">
      <c r="F9333">
        <v>9330</v>
      </c>
      <c r="G9333">
        <f t="shared" ca="1" si="230"/>
        <v>-4.139002356448146E-2</v>
      </c>
    </row>
    <row r="9334" spans="6:7" x14ac:dyDescent="0.35">
      <c r="F9334">
        <v>9331</v>
      </c>
      <c r="G9334">
        <f t="shared" ca="1" si="230"/>
        <v>2.1918626508371772E-2</v>
      </c>
    </row>
    <row r="9335" spans="6:7" x14ac:dyDescent="0.35">
      <c r="F9335">
        <v>9332</v>
      </c>
      <c r="G9335">
        <f t="shared" ca="1" si="230"/>
        <v>-6.4615343219384766E-2</v>
      </c>
    </row>
    <row r="9336" spans="6:7" x14ac:dyDescent="0.35">
      <c r="F9336">
        <v>9333</v>
      </c>
      <c r="G9336">
        <f t="shared" ca="1" si="230"/>
        <v>-2.1021946411941723E-2</v>
      </c>
    </row>
    <row r="9337" spans="6:7" x14ac:dyDescent="0.35">
      <c r="F9337">
        <v>9334</v>
      </c>
      <c r="G9337">
        <f t="shared" ca="1" si="230"/>
        <v>-8.2428512460023147E-3</v>
      </c>
    </row>
    <row r="9338" spans="6:7" x14ac:dyDescent="0.35">
      <c r="F9338">
        <v>9335</v>
      </c>
      <c r="G9338">
        <f t="shared" ca="1" si="230"/>
        <v>-2.9030553053874801E-2</v>
      </c>
    </row>
    <row r="9339" spans="6:7" x14ac:dyDescent="0.35">
      <c r="F9339">
        <v>9336</v>
      </c>
      <c r="G9339">
        <f t="shared" ca="1" si="230"/>
        <v>1.136978048665655E-2</v>
      </c>
    </row>
    <row r="9340" spans="6:7" x14ac:dyDescent="0.35">
      <c r="F9340">
        <v>9337</v>
      </c>
      <c r="G9340">
        <f t="shared" ca="1" si="230"/>
        <v>-1.7644848749016021E-2</v>
      </c>
    </row>
    <row r="9341" spans="6:7" x14ac:dyDescent="0.35">
      <c r="F9341">
        <v>9338</v>
      </c>
      <c r="G9341">
        <f t="shared" ca="1" si="230"/>
        <v>-4.8701225831546978E-2</v>
      </c>
    </row>
    <row r="9342" spans="6:7" x14ac:dyDescent="0.35">
      <c r="F9342">
        <v>9339</v>
      </c>
      <c r="G9342">
        <f t="shared" ca="1" si="230"/>
        <v>-8.0026182255846083E-4</v>
      </c>
    </row>
    <row r="9343" spans="6:7" x14ac:dyDescent="0.35">
      <c r="F9343">
        <v>9340</v>
      </c>
      <c r="G9343">
        <f t="shared" ca="1" si="230"/>
        <v>6.8260657800986429E-3</v>
      </c>
    </row>
    <row r="9344" spans="6:7" x14ac:dyDescent="0.35">
      <c r="F9344">
        <v>9341</v>
      </c>
      <c r="G9344">
        <f t="shared" ca="1" si="230"/>
        <v>3.2964473911512644E-2</v>
      </c>
    </row>
    <row r="9345" spans="6:7" x14ac:dyDescent="0.35">
      <c r="F9345">
        <v>9342</v>
      </c>
      <c r="G9345">
        <f t="shared" ca="1" si="230"/>
        <v>-4.6495055832613506E-2</v>
      </c>
    </row>
    <row r="9346" spans="6:7" x14ac:dyDescent="0.35">
      <c r="F9346">
        <v>9343</v>
      </c>
      <c r="G9346">
        <f t="shared" ca="1" si="230"/>
        <v>-1.4455773723476065E-3</v>
      </c>
    </row>
    <row r="9347" spans="6:7" x14ac:dyDescent="0.35">
      <c r="F9347">
        <v>9344</v>
      </c>
      <c r="G9347">
        <f t="shared" ca="1" si="230"/>
        <v>-1.3781420366245431E-2</v>
      </c>
    </row>
    <row r="9348" spans="6:7" x14ac:dyDescent="0.35">
      <c r="F9348">
        <v>9345</v>
      </c>
      <c r="G9348">
        <f t="shared" ca="1" si="230"/>
        <v>3.6569809716797116E-2</v>
      </c>
    </row>
    <row r="9349" spans="6:7" x14ac:dyDescent="0.35">
      <c r="F9349">
        <v>9346</v>
      </c>
      <c r="G9349">
        <f t="shared" ref="G9349:G9412" ca="1" si="231">_xlfn.NORM.INV(RAND(),K$6,K$7)</f>
        <v>-1.9770588098825741E-2</v>
      </c>
    </row>
    <row r="9350" spans="6:7" x14ac:dyDescent="0.35">
      <c r="F9350">
        <v>9347</v>
      </c>
      <c r="G9350">
        <f t="shared" ca="1" si="231"/>
        <v>8.4442570316994679E-3</v>
      </c>
    </row>
    <row r="9351" spans="6:7" x14ac:dyDescent="0.35">
      <c r="F9351">
        <v>9348</v>
      </c>
      <c r="G9351">
        <f t="shared" ca="1" si="231"/>
        <v>-5.2211693441870377E-2</v>
      </c>
    </row>
    <row r="9352" spans="6:7" x14ac:dyDescent="0.35">
      <c r="F9352">
        <v>9349</v>
      </c>
      <c r="G9352">
        <f t="shared" ca="1" si="231"/>
        <v>1.959979249777883E-2</v>
      </c>
    </row>
    <row r="9353" spans="6:7" x14ac:dyDescent="0.35">
      <c r="F9353">
        <v>9350</v>
      </c>
      <c r="G9353">
        <f t="shared" ca="1" si="231"/>
        <v>1.2751632377714426E-2</v>
      </c>
    </row>
    <row r="9354" spans="6:7" x14ac:dyDescent="0.35">
      <c r="F9354">
        <v>9351</v>
      </c>
      <c r="G9354">
        <f t="shared" ca="1" si="231"/>
        <v>1.6087674727715249E-2</v>
      </c>
    </row>
    <row r="9355" spans="6:7" x14ac:dyDescent="0.35">
      <c r="F9355">
        <v>9352</v>
      </c>
      <c r="G9355">
        <f t="shared" ca="1" si="231"/>
        <v>-5.430790245430442E-3</v>
      </c>
    </row>
    <row r="9356" spans="6:7" x14ac:dyDescent="0.35">
      <c r="F9356">
        <v>9353</v>
      </c>
      <c r="G9356">
        <f t="shared" ca="1" si="231"/>
        <v>-5.8841753520453557E-3</v>
      </c>
    </row>
    <row r="9357" spans="6:7" x14ac:dyDescent="0.35">
      <c r="F9357">
        <v>9354</v>
      </c>
      <c r="G9357">
        <f t="shared" ca="1" si="231"/>
        <v>2.4556206359251046E-2</v>
      </c>
    </row>
    <row r="9358" spans="6:7" x14ac:dyDescent="0.35">
      <c r="F9358">
        <v>9355</v>
      </c>
      <c r="G9358">
        <f t="shared" ca="1" si="231"/>
        <v>-1.3502017448303743E-2</v>
      </c>
    </row>
    <row r="9359" spans="6:7" x14ac:dyDescent="0.35">
      <c r="F9359">
        <v>9356</v>
      </c>
      <c r="G9359">
        <f t="shared" ca="1" si="231"/>
        <v>-5.3916317747351471E-2</v>
      </c>
    </row>
    <row r="9360" spans="6:7" x14ac:dyDescent="0.35">
      <c r="F9360">
        <v>9357</v>
      </c>
      <c r="G9360">
        <f t="shared" ca="1" si="231"/>
        <v>5.3813201433777162E-3</v>
      </c>
    </row>
    <row r="9361" spans="6:7" x14ac:dyDescent="0.35">
      <c r="F9361">
        <v>9358</v>
      </c>
      <c r="G9361">
        <f t="shared" ca="1" si="231"/>
        <v>1.5069579515408169E-2</v>
      </c>
    </row>
    <row r="9362" spans="6:7" x14ac:dyDescent="0.35">
      <c r="F9362">
        <v>9359</v>
      </c>
      <c r="G9362">
        <f t="shared" ca="1" si="231"/>
        <v>3.2940391556091262E-3</v>
      </c>
    </row>
    <row r="9363" spans="6:7" x14ac:dyDescent="0.35">
      <c r="F9363">
        <v>9360</v>
      </c>
      <c r="G9363">
        <f t="shared" ca="1" si="231"/>
        <v>-4.1157452854490399E-2</v>
      </c>
    </row>
    <row r="9364" spans="6:7" x14ac:dyDescent="0.35">
      <c r="F9364">
        <v>9361</v>
      </c>
      <c r="G9364">
        <f t="shared" ca="1" si="231"/>
        <v>1.4383147810319345E-2</v>
      </c>
    </row>
    <row r="9365" spans="6:7" x14ac:dyDescent="0.35">
      <c r="F9365">
        <v>9362</v>
      </c>
      <c r="G9365">
        <f t="shared" ca="1" si="231"/>
        <v>-2.5584935791586178E-2</v>
      </c>
    </row>
    <row r="9366" spans="6:7" x14ac:dyDescent="0.35">
      <c r="F9366">
        <v>9363</v>
      </c>
      <c r="G9366">
        <f t="shared" ca="1" si="231"/>
        <v>3.0410797775345205E-2</v>
      </c>
    </row>
    <row r="9367" spans="6:7" x14ac:dyDescent="0.35">
      <c r="F9367">
        <v>9364</v>
      </c>
      <c r="G9367">
        <f t="shared" ca="1" si="231"/>
        <v>1.1005834992822044E-2</v>
      </c>
    </row>
    <row r="9368" spans="6:7" x14ac:dyDescent="0.35">
      <c r="F9368">
        <v>9365</v>
      </c>
      <c r="G9368">
        <f t="shared" ca="1" si="231"/>
        <v>3.8939761922643028E-2</v>
      </c>
    </row>
    <row r="9369" spans="6:7" x14ac:dyDescent="0.35">
      <c r="F9369">
        <v>9366</v>
      </c>
      <c r="G9369">
        <f t="shared" ca="1" si="231"/>
        <v>7.947075848574837E-4</v>
      </c>
    </row>
    <row r="9370" spans="6:7" x14ac:dyDescent="0.35">
      <c r="F9370">
        <v>9367</v>
      </c>
      <c r="G9370">
        <f t="shared" ca="1" si="231"/>
        <v>-2.0827854515388568E-2</v>
      </c>
    </row>
    <row r="9371" spans="6:7" x14ac:dyDescent="0.35">
      <c r="F9371">
        <v>9368</v>
      </c>
      <c r="G9371">
        <f t="shared" ca="1" si="231"/>
        <v>-5.306922778624909E-2</v>
      </c>
    </row>
    <row r="9372" spans="6:7" x14ac:dyDescent="0.35">
      <c r="F9372">
        <v>9369</v>
      </c>
      <c r="G9372">
        <f t="shared" ca="1" si="231"/>
        <v>-1.8431528201486507E-2</v>
      </c>
    </row>
    <row r="9373" spans="6:7" x14ac:dyDescent="0.35">
      <c r="F9373">
        <v>9370</v>
      </c>
      <c r="G9373">
        <f t="shared" ca="1" si="231"/>
        <v>-1.1620128326949482E-2</v>
      </c>
    </row>
    <row r="9374" spans="6:7" x14ac:dyDescent="0.35">
      <c r="F9374">
        <v>9371</v>
      </c>
      <c r="G9374">
        <f t="shared" ca="1" si="231"/>
        <v>5.7434469352835695E-3</v>
      </c>
    </row>
    <row r="9375" spans="6:7" x14ac:dyDescent="0.35">
      <c r="F9375">
        <v>9372</v>
      </c>
      <c r="G9375">
        <f t="shared" ca="1" si="231"/>
        <v>1.3002836504257645E-2</v>
      </c>
    </row>
    <row r="9376" spans="6:7" x14ac:dyDescent="0.35">
      <c r="F9376">
        <v>9373</v>
      </c>
      <c r="G9376">
        <f t="shared" ca="1" si="231"/>
        <v>-1.2155901017363713E-2</v>
      </c>
    </row>
    <row r="9377" spans="6:7" x14ac:dyDescent="0.35">
      <c r="F9377">
        <v>9374</v>
      </c>
      <c r="G9377">
        <f t="shared" ca="1" si="231"/>
        <v>-1.0005461914727846E-2</v>
      </c>
    </row>
    <row r="9378" spans="6:7" x14ac:dyDescent="0.35">
      <c r="F9378">
        <v>9375</v>
      </c>
      <c r="G9378">
        <f t="shared" ca="1" si="231"/>
        <v>-2.2572593532454614E-2</v>
      </c>
    </row>
    <row r="9379" spans="6:7" x14ac:dyDescent="0.35">
      <c r="F9379">
        <v>9376</v>
      </c>
      <c r="G9379">
        <f t="shared" ca="1" si="231"/>
        <v>-3.0566187501937004E-2</v>
      </c>
    </row>
    <row r="9380" spans="6:7" x14ac:dyDescent="0.35">
      <c r="F9380">
        <v>9377</v>
      </c>
      <c r="G9380">
        <f t="shared" ca="1" si="231"/>
        <v>5.3609757924087155E-2</v>
      </c>
    </row>
    <row r="9381" spans="6:7" x14ac:dyDescent="0.35">
      <c r="F9381">
        <v>9378</v>
      </c>
      <c r="G9381">
        <f t="shared" ca="1" si="231"/>
        <v>2.4980234783037542E-2</v>
      </c>
    </row>
    <row r="9382" spans="6:7" x14ac:dyDescent="0.35">
      <c r="F9382">
        <v>9379</v>
      </c>
      <c r="G9382">
        <f t="shared" ca="1" si="231"/>
        <v>2.6459825078946037E-2</v>
      </c>
    </row>
    <row r="9383" spans="6:7" x14ac:dyDescent="0.35">
      <c r="F9383">
        <v>9380</v>
      </c>
      <c r="G9383">
        <f t="shared" ca="1" si="231"/>
        <v>3.4015866911253023E-2</v>
      </c>
    </row>
    <row r="9384" spans="6:7" x14ac:dyDescent="0.35">
      <c r="F9384">
        <v>9381</v>
      </c>
      <c r="G9384">
        <f t="shared" ca="1" si="231"/>
        <v>-1.2894079363022174E-2</v>
      </c>
    </row>
    <row r="9385" spans="6:7" x14ac:dyDescent="0.35">
      <c r="F9385">
        <v>9382</v>
      </c>
      <c r="G9385">
        <f t="shared" ca="1" si="231"/>
        <v>2.1475290844378905E-2</v>
      </c>
    </row>
    <row r="9386" spans="6:7" x14ac:dyDescent="0.35">
      <c r="F9386">
        <v>9383</v>
      </c>
      <c r="G9386">
        <f t="shared" ca="1" si="231"/>
        <v>1.2872938392814046E-2</v>
      </c>
    </row>
    <row r="9387" spans="6:7" x14ac:dyDescent="0.35">
      <c r="F9387">
        <v>9384</v>
      </c>
      <c r="G9387">
        <f t="shared" ca="1" si="231"/>
        <v>4.3199301838312734E-2</v>
      </c>
    </row>
    <row r="9388" spans="6:7" x14ac:dyDescent="0.35">
      <c r="F9388">
        <v>9385</v>
      </c>
      <c r="G9388">
        <f t="shared" ca="1" si="231"/>
        <v>-2.298184510465474E-2</v>
      </c>
    </row>
    <row r="9389" spans="6:7" x14ac:dyDescent="0.35">
      <c r="F9389">
        <v>9386</v>
      </c>
      <c r="G9389">
        <f t="shared" ca="1" si="231"/>
        <v>-1.5813252817130169E-2</v>
      </c>
    </row>
    <row r="9390" spans="6:7" x14ac:dyDescent="0.35">
      <c r="F9390">
        <v>9387</v>
      </c>
      <c r="G9390">
        <f t="shared" ca="1" si="231"/>
        <v>2.452560493298461E-4</v>
      </c>
    </row>
    <row r="9391" spans="6:7" x14ac:dyDescent="0.35">
      <c r="F9391">
        <v>9388</v>
      </c>
      <c r="G9391">
        <f t="shared" ca="1" si="231"/>
        <v>2.5459265626534267E-2</v>
      </c>
    </row>
    <row r="9392" spans="6:7" x14ac:dyDescent="0.35">
      <c r="F9392">
        <v>9389</v>
      </c>
      <c r="G9392">
        <f t="shared" ca="1" si="231"/>
        <v>3.7515301420762433E-2</v>
      </c>
    </row>
    <row r="9393" spans="6:7" x14ac:dyDescent="0.35">
      <c r="F9393">
        <v>9390</v>
      </c>
      <c r="G9393">
        <f t="shared" ca="1" si="231"/>
        <v>1.5905708935760793E-2</v>
      </c>
    </row>
    <row r="9394" spans="6:7" x14ac:dyDescent="0.35">
      <c r="F9394">
        <v>9391</v>
      </c>
      <c r="G9394">
        <f t="shared" ca="1" si="231"/>
        <v>4.5539263881334557E-3</v>
      </c>
    </row>
    <row r="9395" spans="6:7" x14ac:dyDescent="0.35">
      <c r="F9395">
        <v>9392</v>
      </c>
      <c r="G9395">
        <f t="shared" ca="1" si="231"/>
        <v>-5.2035690878078954E-3</v>
      </c>
    </row>
    <row r="9396" spans="6:7" x14ac:dyDescent="0.35">
      <c r="F9396">
        <v>9393</v>
      </c>
      <c r="G9396">
        <f t="shared" ca="1" si="231"/>
        <v>-2.8189680022493065E-3</v>
      </c>
    </row>
    <row r="9397" spans="6:7" x14ac:dyDescent="0.35">
      <c r="F9397">
        <v>9394</v>
      </c>
      <c r="G9397">
        <f t="shared" ca="1" si="231"/>
        <v>3.2687268262024394E-3</v>
      </c>
    </row>
    <row r="9398" spans="6:7" x14ac:dyDescent="0.35">
      <c r="F9398">
        <v>9395</v>
      </c>
      <c r="G9398">
        <f t="shared" ca="1" si="231"/>
        <v>-4.4787124876753133E-2</v>
      </c>
    </row>
    <row r="9399" spans="6:7" x14ac:dyDescent="0.35">
      <c r="F9399">
        <v>9396</v>
      </c>
      <c r="G9399">
        <f t="shared" ca="1" si="231"/>
        <v>2.66693095869312E-2</v>
      </c>
    </row>
    <row r="9400" spans="6:7" x14ac:dyDescent="0.35">
      <c r="F9400">
        <v>9397</v>
      </c>
      <c r="G9400">
        <f t="shared" ca="1" si="231"/>
        <v>-6.1719386221945879E-2</v>
      </c>
    </row>
    <row r="9401" spans="6:7" x14ac:dyDescent="0.35">
      <c r="F9401">
        <v>9398</v>
      </c>
      <c r="G9401">
        <f t="shared" ca="1" si="231"/>
        <v>-9.4007639056851357E-3</v>
      </c>
    </row>
    <row r="9402" spans="6:7" x14ac:dyDescent="0.35">
      <c r="F9402">
        <v>9399</v>
      </c>
      <c r="G9402">
        <f t="shared" ca="1" si="231"/>
        <v>8.5562290140710623E-3</v>
      </c>
    </row>
    <row r="9403" spans="6:7" x14ac:dyDescent="0.35">
      <c r="F9403">
        <v>9400</v>
      </c>
      <c r="G9403">
        <f t="shared" ca="1" si="231"/>
        <v>-2.8278314145871161E-2</v>
      </c>
    </row>
    <row r="9404" spans="6:7" x14ac:dyDescent="0.35">
      <c r="F9404">
        <v>9401</v>
      </c>
      <c r="G9404">
        <f t="shared" ca="1" si="231"/>
        <v>-3.6750802711951663E-2</v>
      </c>
    </row>
    <row r="9405" spans="6:7" x14ac:dyDescent="0.35">
      <c r="F9405">
        <v>9402</v>
      </c>
      <c r="G9405">
        <f t="shared" ca="1" si="231"/>
        <v>-4.2236641142031239E-2</v>
      </c>
    </row>
    <row r="9406" spans="6:7" x14ac:dyDescent="0.35">
      <c r="F9406">
        <v>9403</v>
      </c>
      <c r="G9406">
        <f t="shared" ca="1" si="231"/>
        <v>-5.8589286731301669E-2</v>
      </c>
    </row>
    <row r="9407" spans="6:7" x14ac:dyDescent="0.35">
      <c r="F9407">
        <v>9404</v>
      </c>
      <c r="G9407">
        <f t="shared" ca="1" si="231"/>
        <v>2.3699606966706066E-3</v>
      </c>
    </row>
    <row r="9408" spans="6:7" x14ac:dyDescent="0.35">
      <c r="F9408">
        <v>9405</v>
      </c>
      <c r="G9408">
        <f t="shared" ca="1" si="231"/>
        <v>-6.1777611955308107E-2</v>
      </c>
    </row>
    <row r="9409" spans="6:7" x14ac:dyDescent="0.35">
      <c r="F9409">
        <v>9406</v>
      </c>
      <c r="G9409">
        <f t="shared" ca="1" si="231"/>
        <v>4.0359548301461011E-2</v>
      </c>
    </row>
    <row r="9410" spans="6:7" x14ac:dyDescent="0.35">
      <c r="F9410">
        <v>9407</v>
      </c>
      <c r="G9410">
        <f t="shared" ca="1" si="231"/>
        <v>-2.5578301442222649E-2</v>
      </c>
    </row>
    <row r="9411" spans="6:7" x14ac:dyDescent="0.35">
      <c r="F9411">
        <v>9408</v>
      </c>
      <c r="G9411">
        <f t="shared" ca="1" si="231"/>
        <v>-2.3941101206698786E-2</v>
      </c>
    </row>
    <row r="9412" spans="6:7" x14ac:dyDescent="0.35">
      <c r="F9412">
        <v>9409</v>
      </c>
      <c r="G9412">
        <f t="shared" ca="1" si="231"/>
        <v>2.4728605182768149E-2</v>
      </c>
    </row>
    <row r="9413" spans="6:7" x14ac:dyDescent="0.35">
      <c r="F9413">
        <v>9410</v>
      </c>
      <c r="G9413">
        <f t="shared" ref="G9413:G9476" ca="1" si="232">_xlfn.NORM.INV(RAND(),K$6,K$7)</f>
        <v>5.7387280369787623E-2</v>
      </c>
    </row>
    <row r="9414" spans="6:7" x14ac:dyDescent="0.35">
      <c r="F9414">
        <v>9411</v>
      </c>
      <c r="G9414">
        <f t="shared" ca="1" si="232"/>
        <v>1.630798689407913E-2</v>
      </c>
    </row>
    <row r="9415" spans="6:7" x14ac:dyDescent="0.35">
      <c r="F9415">
        <v>9412</v>
      </c>
      <c r="G9415">
        <f t="shared" ca="1" si="232"/>
        <v>-4.0735018706740803E-2</v>
      </c>
    </row>
    <row r="9416" spans="6:7" x14ac:dyDescent="0.35">
      <c r="F9416">
        <v>9413</v>
      </c>
      <c r="G9416">
        <f t="shared" ca="1" si="232"/>
        <v>-1.4812522078091046E-2</v>
      </c>
    </row>
    <row r="9417" spans="6:7" x14ac:dyDescent="0.35">
      <c r="F9417">
        <v>9414</v>
      </c>
      <c r="G9417">
        <f t="shared" ca="1" si="232"/>
        <v>-2.957769427699263E-3</v>
      </c>
    </row>
    <row r="9418" spans="6:7" x14ac:dyDescent="0.35">
      <c r="F9418">
        <v>9415</v>
      </c>
      <c r="G9418">
        <f t="shared" ca="1" si="232"/>
        <v>-3.1307594875164761E-2</v>
      </c>
    </row>
    <row r="9419" spans="6:7" x14ac:dyDescent="0.35">
      <c r="F9419">
        <v>9416</v>
      </c>
      <c r="G9419">
        <f t="shared" ca="1" si="232"/>
        <v>-4.0791586531677528E-3</v>
      </c>
    </row>
    <row r="9420" spans="6:7" x14ac:dyDescent="0.35">
      <c r="F9420">
        <v>9417</v>
      </c>
      <c r="G9420">
        <f t="shared" ca="1" si="232"/>
        <v>1.412284155236748E-2</v>
      </c>
    </row>
    <row r="9421" spans="6:7" x14ac:dyDescent="0.35">
      <c r="F9421">
        <v>9418</v>
      </c>
      <c r="G9421">
        <f t="shared" ca="1" si="232"/>
        <v>-1.6490264099414988E-2</v>
      </c>
    </row>
    <row r="9422" spans="6:7" x14ac:dyDescent="0.35">
      <c r="F9422">
        <v>9419</v>
      </c>
      <c r="G9422">
        <f t="shared" ca="1" si="232"/>
        <v>-4.2998513262352024E-2</v>
      </c>
    </row>
    <row r="9423" spans="6:7" x14ac:dyDescent="0.35">
      <c r="F9423">
        <v>9420</v>
      </c>
      <c r="G9423">
        <f t="shared" ca="1" si="232"/>
        <v>5.4511800605957027E-2</v>
      </c>
    </row>
    <row r="9424" spans="6:7" x14ac:dyDescent="0.35">
      <c r="F9424">
        <v>9421</v>
      </c>
      <c r="G9424">
        <f t="shared" ca="1" si="232"/>
        <v>1.972466195815329E-2</v>
      </c>
    </row>
    <row r="9425" spans="6:7" x14ac:dyDescent="0.35">
      <c r="F9425">
        <v>9422</v>
      </c>
      <c r="G9425">
        <f t="shared" ca="1" si="232"/>
        <v>-1.5340233535644038E-2</v>
      </c>
    </row>
    <row r="9426" spans="6:7" x14ac:dyDescent="0.35">
      <c r="F9426">
        <v>9423</v>
      </c>
      <c r="G9426">
        <f t="shared" ca="1" si="232"/>
        <v>-1.0274462846732045E-3</v>
      </c>
    </row>
    <row r="9427" spans="6:7" x14ac:dyDescent="0.35">
      <c r="F9427">
        <v>9424</v>
      </c>
      <c r="G9427">
        <f t="shared" ca="1" si="232"/>
        <v>-6.6167764816505076E-2</v>
      </c>
    </row>
    <row r="9428" spans="6:7" x14ac:dyDescent="0.35">
      <c r="F9428">
        <v>9425</v>
      </c>
      <c r="G9428">
        <f t="shared" ca="1" si="232"/>
        <v>-1.9447479930845078E-2</v>
      </c>
    </row>
    <row r="9429" spans="6:7" x14ac:dyDescent="0.35">
      <c r="F9429">
        <v>9426</v>
      </c>
      <c r="G9429">
        <f t="shared" ca="1" si="232"/>
        <v>-3.0011908441722312E-2</v>
      </c>
    </row>
    <row r="9430" spans="6:7" x14ac:dyDescent="0.35">
      <c r="F9430">
        <v>9427</v>
      </c>
      <c r="G9430">
        <f t="shared" ca="1" si="232"/>
        <v>6.3921354561868524E-2</v>
      </c>
    </row>
    <row r="9431" spans="6:7" x14ac:dyDescent="0.35">
      <c r="F9431">
        <v>9428</v>
      </c>
      <c r="G9431">
        <f t="shared" ca="1" si="232"/>
        <v>3.9386760310129922E-2</v>
      </c>
    </row>
    <row r="9432" spans="6:7" x14ac:dyDescent="0.35">
      <c r="F9432">
        <v>9429</v>
      </c>
      <c r="G9432">
        <f t="shared" ca="1" si="232"/>
        <v>-2.1821179627393546E-2</v>
      </c>
    </row>
    <row r="9433" spans="6:7" x14ac:dyDescent="0.35">
      <c r="F9433">
        <v>9430</v>
      </c>
      <c r="G9433">
        <f t="shared" ca="1" si="232"/>
        <v>-6.9504508400742727E-3</v>
      </c>
    </row>
    <row r="9434" spans="6:7" x14ac:dyDescent="0.35">
      <c r="F9434">
        <v>9431</v>
      </c>
      <c r="G9434">
        <f t="shared" ca="1" si="232"/>
        <v>1.7274796359578907E-2</v>
      </c>
    </row>
    <row r="9435" spans="6:7" x14ac:dyDescent="0.35">
      <c r="F9435">
        <v>9432</v>
      </c>
      <c r="G9435">
        <f t="shared" ca="1" si="232"/>
        <v>3.5305490551070596E-3</v>
      </c>
    </row>
    <row r="9436" spans="6:7" x14ac:dyDescent="0.35">
      <c r="F9436">
        <v>9433</v>
      </c>
      <c r="G9436">
        <f t="shared" ca="1" si="232"/>
        <v>8.6422246582133991E-3</v>
      </c>
    </row>
    <row r="9437" spans="6:7" x14ac:dyDescent="0.35">
      <c r="F9437">
        <v>9434</v>
      </c>
      <c r="G9437">
        <f t="shared" ca="1" si="232"/>
        <v>1.401276172204553E-2</v>
      </c>
    </row>
    <row r="9438" spans="6:7" x14ac:dyDescent="0.35">
      <c r="F9438">
        <v>9435</v>
      </c>
      <c r="G9438">
        <f t="shared" ca="1" si="232"/>
        <v>5.9740136721092817E-3</v>
      </c>
    </row>
    <row r="9439" spans="6:7" x14ac:dyDescent="0.35">
      <c r="F9439">
        <v>9436</v>
      </c>
      <c r="G9439">
        <f t="shared" ca="1" si="232"/>
        <v>-8.3563062625636076E-4</v>
      </c>
    </row>
    <row r="9440" spans="6:7" x14ac:dyDescent="0.35">
      <c r="F9440">
        <v>9437</v>
      </c>
      <c r="G9440">
        <f t="shared" ca="1" si="232"/>
        <v>-1.7915220789517902E-2</v>
      </c>
    </row>
    <row r="9441" spans="6:7" x14ac:dyDescent="0.35">
      <c r="F9441">
        <v>9438</v>
      </c>
      <c r="G9441">
        <f t="shared" ca="1" si="232"/>
        <v>1.5586866489923574E-2</v>
      </c>
    </row>
    <row r="9442" spans="6:7" x14ac:dyDescent="0.35">
      <c r="F9442">
        <v>9439</v>
      </c>
      <c r="G9442">
        <f t="shared" ca="1" si="232"/>
        <v>-4.857100082598393E-2</v>
      </c>
    </row>
    <row r="9443" spans="6:7" x14ac:dyDescent="0.35">
      <c r="F9443">
        <v>9440</v>
      </c>
      <c r="G9443">
        <f t="shared" ca="1" si="232"/>
        <v>2.8518674143009844E-2</v>
      </c>
    </row>
    <row r="9444" spans="6:7" x14ac:dyDescent="0.35">
      <c r="F9444">
        <v>9441</v>
      </c>
      <c r="G9444">
        <f t="shared" ca="1" si="232"/>
        <v>3.224114085001692E-3</v>
      </c>
    </row>
    <row r="9445" spans="6:7" x14ac:dyDescent="0.35">
      <c r="F9445">
        <v>9442</v>
      </c>
      <c r="G9445">
        <f t="shared" ca="1" si="232"/>
        <v>1.1451281324194032E-2</v>
      </c>
    </row>
    <row r="9446" spans="6:7" x14ac:dyDescent="0.35">
      <c r="F9446">
        <v>9443</v>
      </c>
      <c r="G9446">
        <f t="shared" ca="1" si="232"/>
        <v>-6.4665667813101166E-2</v>
      </c>
    </row>
    <row r="9447" spans="6:7" x14ac:dyDescent="0.35">
      <c r="F9447">
        <v>9444</v>
      </c>
      <c r="G9447">
        <f t="shared" ca="1" si="232"/>
        <v>1.2175492911595314E-2</v>
      </c>
    </row>
    <row r="9448" spans="6:7" x14ac:dyDescent="0.35">
      <c r="F9448">
        <v>9445</v>
      </c>
      <c r="G9448">
        <f t="shared" ca="1" si="232"/>
        <v>1.3427395095740013E-2</v>
      </c>
    </row>
    <row r="9449" spans="6:7" x14ac:dyDescent="0.35">
      <c r="F9449">
        <v>9446</v>
      </c>
      <c r="G9449">
        <f t="shared" ca="1" si="232"/>
        <v>1.3364819951487101E-2</v>
      </c>
    </row>
    <row r="9450" spans="6:7" x14ac:dyDescent="0.35">
      <c r="F9450">
        <v>9447</v>
      </c>
      <c r="G9450">
        <f t="shared" ca="1" si="232"/>
        <v>9.5338264983799905E-3</v>
      </c>
    </row>
    <row r="9451" spans="6:7" x14ac:dyDescent="0.35">
      <c r="F9451">
        <v>9448</v>
      </c>
      <c r="G9451">
        <f t="shared" ca="1" si="232"/>
        <v>7.0999213919215112E-3</v>
      </c>
    </row>
    <row r="9452" spans="6:7" x14ac:dyDescent="0.35">
      <c r="F9452">
        <v>9449</v>
      </c>
      <c r="G9452">
        <f t="shared" ca="1" si="232"/>
        <v>3.9675931775497775E-2</v>
      </c>
    </row>
    <row r="9453" spans="6:7" x14ac:dyDescent="0.35">
      <c r="F9453">
        <v>9450</v>
      </c>
      <c r="G9453">
        <f t="shared" ca="1" si="232"/>
        <v>4.0074285245393935E-2</v>
      </c>
    </row>
    <row r="9454" spans="6:7" x14ac:dyDescent="0.35">
      <c r="F9454">
        <v>9451</v>
      </c>
      <c r="G9454">
        <f t="shared" ca="1" si="232"/>
        <v>6.5543021783203001E-3</v>
      </c>
    </row>
    <row r="9455" spans="6:7" x14ac:dyDescent="0.35">
      <c r="F9455">
        <v>9452</v>
      </c>
      <c r="G9455">
        <f t="shared" ca="1" si="232"/>
        <v>2.1279865196330853E-2</v>
      </c>
    </row>
    <row r="9456" spans="6:7" x14ac:dyDescent="0.35">
      <c r="F9456">
        <v>9453</v>
      </c>
      <c r="G9456">
        <f t="shared" ca="1" si="232"/>
        <v>-4.7583640581322587E-3</v>
      </c>
    </row>
    <row r="9457" spans="6:7" x14ac:dyDescent="0.35">
      <c r="F9457">
        <v>9454</v>
      </c>
      <c r="G9457">
        <f t="shared" ca="1" si="232"/>
        <v>2.0138426571026689E-2</v>
      </c>
    </row>
    <row r="9458" spans="6:7" x14ac:dyDescent="0.35">
      <c r="F9458">
        <v>9455</v>
      </c>
      <c r="G9458">
        <f t="shared" ca="1" si="232"/>
        <v>-2.8937084021275952E-3</v>
      </c>
    </row>
    <row r="9459" spans="6:7" x14ac:dyDescent="0.35">
      <c r="F9459">
        <v>9456</v>
      </c>
      <c r="G9459">
        <f t="shared" ca="1" si="232"/>
        <v>1.6392509730105764E-2</v>
      </c>
    </row>
    <row r="9460" spans="6:7" x14ac:dyDescent="0.35">
      <c r="F9460">
        <v>9457</v>
      </c>
      <c r="G9460">
        <f t="shared" ca="1" si="232"/>
        <v>-3.6118040395294926E-2</v>
      </c>
    </row>
    <row r="9461" spans="6:7" x14ac:dyDescent="0.35">
      <c r="F9461">
        <v>9458</v>
      </c>
      <c r="G9461">
        <f t="shared" ca="1" si="232"/>
        <v>5.4697442838490762E-2</v>
      </c>
    </row>
    <row r="9462" spans="6:7" x14ac:dyDescent="0.35">
      <c r="F9462">
        <v>9459</v>
      </c>
      <c r="G9462">
        <f t="shared" ca="1" si="232"/>
        <v>1.1514865941512542E-2</v>
      </c>
    </row>
    <row r="9463" spans="6:7" x14ac:dyDescent="0.35">
      <c r="F9463">
        <v>9460</v>
      </c>
      <c r="G9463">
        <f t="shared" ca="1" si="232"/>
        <v>2.0869866768547324E-2</v>
      </c>
    </row>
    <row r="9464" spans="6:7" x14ac:dyDescent="0.35">
      <c r="F9464">
        <v>9461</v>
      </c>
      <c r="G9464">
        <f t="shared" ca="1" si="232"/>
        <v>6.4120020429999525E-3</v>
      </c>
    </row>
    <row r="9465" spans="6:7" x14ac:dyDescent="0.35">
      <c r="F9465">
        <v>9462</v>
      </c>
      <c r="G9465">
        <f t="shared" ca="1" si="232"/>
        <v>-2.7373877026661303E-2</v>
      </c>
    </row>
    <row r="9466" spans="6:7" x14ac:dyDescent="0.35">
      <c r="F9466">
        <v>9463</v>
      </c>
      <c r="G9466">
        <f t="shared" ca="1" si="232"/>
        <v>2.3802912016362199E-2</v>
      </c>
    </row>
    <row r="9467" spans="6:7" x14ac:dyDescent="0.35">
      <c r="F9467">
        <v>9464</v>
      </c>
      <c r="G9467">
        <f t="shared" ca="1" si="232"/>
        <v>-2.0750539665695816E-3</v>
      </c>
    </row>
    <row r="9468" spans="6:7" x14ac:dyDescent="0.35">
      <c r="F9468">
        <v>9465</v>
      </c>
      <c r="G9468">
        <f t="shared" ca="1" si="232"/>
        <v>-2.2200824848452105E-2</v>
      </c>
    </row>
    <row r="9469" spans="6:7" x14ac:dyDescent="0.35">
      <c r="F9469">
        <v>9466</v>
      </c>
      <c r="G9469">
        <f t="shared" ca="1" si="232"/>
        <v>2.104028325091651E-2</v>
      </c>
    </row>
    <row r="9470" spans="6:7" x14ac:dyDescent="0.35">
      <c r="F9470">
        <v>9467</v>
      </c>
      <c r="G9470">
        <f t="shared" ca="1" si="232"/>
        <v>-1.3176447222498281E-2</v>
      </c>
    </row>
    <row r="9471" spans="6:7" x14ac:dyDescent="0.35">
      <c r="F9471">
        <v>9468</v>
      </c>
      <c r="G9471">
        <f t="shared" ca="1" si="232"/>
        <v>2.1441719883835416E-2</v>
      </c>
    </row>
    <row r="9472" spans="6:7" x14ac:dyDescent="0.35">
      <c r="F9472">
        <v>9469</v>
      </c>
      <c r="G9472">
        <f t="shared" ca="1" si="232"/>
        <v>-3.9218501503063857E-2</v>
      </c>
    </row>
    <row r="9473" spans="6:7" x14ac:dyDescent="0.35">
      <c r="F9473">
        <v>9470</v>
      </c>
      <c r="G9473">
        <f t="shared" ca="1" si="232"/>
        <v>2.6391433477497891E-3</v>
      </c>
    </row>
    <row r="9474" spans="6:7" x14ac:dyDescent="0.35">
      <c r="F9474">
        <v>9471</v>
      </c>
      <c r="G9474">
        <f t="shared" ca="1" si="232"/>
        <v>1.1960503852169435E-2</v>
      </c>
    </row>
    <row r="9475" spans="6:7" x14ac:dyDescent="0.35">
      <c r="F9475">
        <v>9472</v>
      </c>
      <c r="G9475">
        <f t="shared" ca="1" si="232"/>
        <v>-1.4937601415368713E-2</v>
      </c>
    </row>
    <row r="9476" spans="6:7" x14ac:dyDescent="0.35">
      <c r="F9476">
        <v>9473</v>
      </c>
      <c r="G9476">
        <f t="shared" ca="1" si="232"/>
        <v>-6.7699488486227446E-3</v>
      </c>
    </row>
    <row r="9477" spans="6:7" x14ac:dyDescent="0.35">
      <c r="F9477">
        <v>9474</v>
      </c>
      <c r="G9477">
        <f t="shared" ref="G9477:G9540" ca="1" si="233">_xlfn.NORM.INV(RAND(),K$6,K$7)</f>
        <v>-2.3712855155664927E-2</v>
      </c>
    </row>
    <row r="9478" spans="6:7" x14ac:dyDescent="0.35">
      <c r="F9478">
        <v>9475</v>
      </c>
      <c r="G9478">
        <f t="shared" ca="1" si="233"/>
        <v>-9.3090175695389587E-3</v>
      </c>
    </row>
    <row r="9479" spans="6:7" x14ac:dyDescent="0.35">
      <c r="F9479">
        <v>9476</v>
      </c>
      <c r="G9479">
        <f t="shared" ca="1" si="233"/>
        <v>-2.9331084880952416E-2</v>
      </c>
    </row>
    <row r="9480" spans="6:7" x14ac:dyDescent="0.35">
      <c r="F9480">
        <v>9477</v>
      </c>
      <c r="G9480">
        <f t="shared" ca="1" si="233"/>
        <v>-8.5990316205662564E-3</v>
      </c>
    </row>
    <row r="9481" spans="6:7" x14ac:dyDescent="0.35">
      <c r="F9481">
        <v>9478</v>
      </c>
      <c r="G9481">
        <f t="shared" ca="1" si="233"/>
        <v>-2.0133825979790115E-2</v>
      </c>
    </row>
    <row r="9482" spans="6:7" x14ac:dyDescent="0.35">
      <c r="F9482">
        <v>9479</v>
      </c>
      <c r="G9482">
        <f t="shared" ca="1" si="233"/>
        <v>-1.4211283724973047E-3</v>
      </c>
    </row>
    <row r="9483" spans="6:7" x14ac:dyDescent="0.35">
      <c r="F9483">
        <v>9480</v>
      </c>
      <c r="G9483">
        <f t="shared" ca="1" si="233"/>
        <v>-1.2692851868268086E-2</v>
      </c>
    </row>
    <row r="9484" spans="6:7" x14ac:dyDescent="0.35">
      <c r="F9484">
        <v>9481</v>
      </c>
      <c r="G9484">
        <f t="shared" ca="1" si="233"/>
        <v>-2.4537906358087488E-2</v>
      </c>
    </row>
    <row r="9485" spans="6:7" x14ac:dyDescent="0.35">
      <c r="F9485">
        <v>9482</v>
      </c>
      <c r="G9485">
        <f t="shared" ca="1" si="233"/>
        <v>-2.9050729557259142E-2</v>
      </c>
    </row>
    <row r="9486" spans="6:7" x14ac:dyDescent="0.35">
      <c r="F9486">
        <v>9483</v>
      </c>
      <c r="G9486">
        <f t="shared" ca="1" si="233"/>
        <v>-2.7672550496247634E-2</v>
      </c>
    </row>
    <row r="9487" spans="6:7" x14ac:dyDescent="0.35">
      <c r="F9487">
        <v>9484</v>
      </c>
      <c r="G9487">
        <f t="shared" ca="1" si="233"/>
        <v>-8.0076939851788289E-3</v>
      </c>
    </row>
    <row r="9488" spans="6:7" x14ac:dyDescent="0.35">
      <c r="F9488">
        <v>9485</v>
      </c>
      <c r="G9488">
        <f t="shared" ca="1" si="233"/>
        <v>-3.9264127048196124E-2</v>
      </c>
    </row>
    <row r="9489" spans="6:7" x14ac:dyDescent="0.35">
      <c r="F9489">
        <v>9486</v>
      </c>
      <c r="G9489">
        <f t="shared" ca="1" si="233"/>
        <v>2.7017241332566052E-2</v>
      </c>
    </row>
    <row r="9490" spans="6:7" x14ac:dyDescent="0.35">
      <c r="F9490">
        <v>9487</v>
      </c>
      <c r="G9490">
        <f t="shared" ca="1" si="233"/>
        <v>-2.1825566586605463E-2</v>
      </c>
    </row>
    <row r="9491" spans="6:7" x14ac:dyDescent="0.35">
      <c r="F9491">
        <v>9488</v>
      </c>
      <c r="G9491">
        <f t="shared" ca="1" si="233"/>
        <v>-5.0295060976817817E-2</v>
      </c>
    </row>
    <row r="9492" spans="6:7" x14ac:dyDescent="0.35">
      <c r="F9492">
        <v>9489</v>
      </c>
      <c r="G9492">
        <f t="shared" ca="1" si="233"/>
        <v>-2.1363601107890245E-2</v>
      </c>
    </row>
    <row r="9493" spans="6:7" x14ac:dyDescent="0.35">
      <c r="F9493">
        <v>9490</v>
      </c>
      <c r="G9493">
        <f t="shared" ca="1" si="233"/>
        <v>8.1260194834606816E-4</v>
      </c>
    </row>
    <row r="9494" spans="6:7" x14ac:dyDescent="0.35">
      <c r="F9494">
        <v>9491</v>
      </c>
      <c r="G9494">
        <f t="shared" ca="1" si="233"/>
        <v>2.1002705680800138E-2</v>
      </c>
    </row>
    <row r="9495" spans="6:7" x14ac:dyDescent="0.35">
      <c r="F9495">
        <v>9492</v>
      </c>
      <c r="G9495">
        <f t="shared" ca="1" si="233"/>
        <v>-4.6302644819142423E-3</v>
      </c>
    </row>
    <row r="9496" spans="6:7" x14ac:dyDescent="0.35">
      <c r="F9496">
        <v>9493</v>
      </c>
      <c r="G9496">
        <f t="shared" ca="1" si="233"/>
        <v>-3.6577680428244441E-2</v>
      </c>
    </row>
    <row r="9497" spans="6:7" x14ac:dyDescent="0.35">
      <c r="F9497">
        <v>9494</v>
      </c>
      <c r="G9497">
        <f t="shared" ca="1" si="233"/>
        <v>-4.0616706674005944E-2</v>
      </c>
    </row>
    <row r="9498" spans="6:7" x14ac:dyDescent="0.35">
      <c r="F9498">
        <v>9495</v>
      </c>
      <c r="G9498">
        <f t="shared" ca="1" si="233"/>
        <v>-4.452587371179343E-2</v>
      </c>
    </row>
    <row r="9499" spans="6:7" x14ac:dyDescent="0.35">
      <c r="F9499">
        <v>9496</v>
      </c>
      <c r="G9499">
        <f t="shared" ca="1" si="233"/>
        <v>1.9490414604439649E-2</v>
      </c>
    </row>
    <row r="9500" spans="6:7" x14ac:dyDescent="0.35">
      <c r="F9500">
        <v>9497</v>
      </c>
      <c r="G9500">
        <f t="shared" ca="1" si="233"/>
        <v>-1.8404339539303839E-3</v>
      </c>
    </row>
    <row r="9501" spans="6:7" x14ac:dyDescent="0.35">
      <c r="F9501">
        <v>9498</v>
      </c>
      <c r="G9501">
        <f t="shared" ca="1" si="233"/>
        <v>3.4383522052478473E-2</v>
      </c>
    </row>
    <row r="9502" spans="6:7" x14ac:dyDescent="0.35">
      <c r="F9502">
        <v>9499</v>
      </c>
      <c r="G9502">
        <f t="shared" ca="1" si="233"/>
        <v>-1.9404424918371604E-2</v>
      </c>
    </row>
    <row r="9503" spans="6:7" x14ac:dyDescent="0.35">
      <c r="F9503">
        <v>9500</v>
      </c>
      <c r="G9503">
        <f t="shared" ca="1" si="233"/>
        <v>1.8346044968619545E-2</v>
      </c>
    </row>
    <row r="9504" spans="6:7" x14ac:dyDescent="0.35">
      <c r="F9504">
        <v>9501</v>
      </c>
      <c r="G9504">
        <f t="shared" ca="1" si="233"/>
        <v>4.2294565579758685E-2</v>
      </c>
    </row>
    <row r="9505" spans="6:7" x14ac:dyDescent="0.35">
      <c r="F9505">
        <v>9502</v>
      </c>
      <c r="G9505">
        <f t="shared" ca="1" si="233"/>
        <v>3.6002050388765423E-2</v>
      </c>
    </row>
    <row r="9506" spans="6:7" x14ac:dyDescent="0.35">
      <c r="F9506">
        <v>9503</v>
      </c>
      <c r="G9506">
        <f t="shared" ca="1" si="233"/>
        <v>4.3610826981866149E-2</v>
      </c>
    </row>
    <row r="9507" spans="6:7" x14ac:dyDescent="0.35">
      <c r="F9507">
        <v>9504</v>
      </c>
      <c r="G9507">
        <f t="shared" ca="1" si="233"/>
        <v>-3.1746805703691788E-2</v>
      </c>
    </row>
    <row r="9508" spans="6:7" x14ac:dyDescent="0.35">
      <c r="F9508">
        <v>9505</v>
      </c>
      <c r="G9508">
        <f t="shared" ca="1" si="233"/>
        <v>3.9587953803296827E-2</v>
      </c>
    </row>
    <row r="9509" spans="6:7" x14ac:dyDescent="0.35">
      <c r="F9509">
        <v>9506</v>
      </c>
      <c r="G9509">
        <f t="shared" ca="1" si="233"/>
        <v>2.6144766156169185E-2</v>
      </c>
    </row>
    <row r="9510" spans="6:7" x14ac:dyDescent="0.35">
      <c r="F9510">
        <v>9507</v>
      </c>
      <c r="G9510">
        <f t="shared" ca="1" si="233"/>
        <v>3.1810971284019107E-2</v>
      </c>
    </row>
    <row r="9511" spans="6:7" x14ac:dyDescent="0.35">
      <c r="F9511">
        <v>9508</v>
      </c>
      <c r="G9511">
        <f t="shared" ca="1" si="233"/>
        <v>1.1225031863519724E-2</v>
      </c>
    </row>
    <row r="9512" spans="6:7" x14ac:dyDescent="0.35">
      <c r="F9512">
        <v>9509</v>
      </c>
      <c r="G9512">
        <f t="shared" ca="1" si="233"/>
        <v>1.0242813575097227E-2</v>
      </c>
    </row>
    <row r="9513" spans="6:7" x14ac:dyDescent="0.35">
      <c r="F9513">
        <v>9510</v>
      </c>
      <c r="G9513">
        <f t="shared" ca="1" si="233"/>
        <v>1.5620038050397699E-2</v>
      </c>
    </row>
    <row r="9514" spans="6:7" x14ac:dyDescent="0.35">
      <c r="F9514">
        <v>9511</v>
      </c>
      <c r="G9514">
        <f t="shared" ca="1" si="233"/>
        <v>5.2273597003565583E-2</v>
      </c>
    </row>
    <row r="9515" spans="6:7" x14ac:dyDescent="0.35">
      <c r="F9515">
        <v>9512</v>
      </c>
      <c r="G9515">
        <f t="shared" ca="1" si="233"/>
        <v>-1.52502041427462E-2</v>
      </c>
    </row>
    <row r="9516" spans="6:7" x14ac:dyDescent="0.35">
      <c r="F9516">
        <v>9513</v>
      </c>
      <c r="G9516">
        <f t="shared" ca="1" si="233"/>
        <v>-6.6654520256804878E-3</v>
      </c>
    </row>
    <row r="9517" spans="6:7" x14ac:dyDescent="0.35">
      <c r="F9517">
        <v>9514</v>
      </c>
      <c r="G9517">
        <f t="shared" ca="1" si="233"/>
        <v>2.9684914186350993E-2</v>
      </c>
    </row>
    <row r="9518" spans="6:7" x14ac:dyDescent="0.35">
      <c r="F9518">
        <v>9515</v>
      </c>
      <c r="G9518">
        <f t="shared" ca="1" si="233"/>
        <v>-6.3142379169091691E-4</v>
      </c>
    </row>
    <row r="9519" spans="6:7" x14ac:dyDescent="0.35">
      <c r="F9519">
        <v>9516</v>
      </c>
      <c r="G9519">
        <f t="shared" ca="1" si="233"/>
        <v>1.2725098300277863E-3</v>
      </c>
    </row>
    <row r="9520" spans="6:7" x14ac:dyDescent="0.35">
      <c r="F9520">
        <v>9517</v>
      </c>
      <c r="G9520">
        <f t="shared" ca="1" si="233"/>
        <v>-2.818291611580967E-2</v>
      </c>
    </row>
    <row r="9521" spans="6:7" x14ac:dyDescent="0.35">
      <c r="F9521">
        <v>9518</v>
      </c>
      <c r="G9521">
        <f t="shared" ca="1" si="233"/>
        <v>-2.2186118740137598E-2</v>
      </c>
    </row>
    <row r="9522" spans="6:7" x14ac:dyDescent="0.35">
      <c r="F9522">
        <v>9519</v>
      </c>
      <c r="G9522">
        <f t="shared" ca="1" si="233"/>
        <v>1.2937904651758236E-3</v>
      </c>
    </row>
    <row r="9523" spans="6:7" x14ac:dyDescent="0.35">
      <c r="F9523">
        <v>9520</v>
      </c>
      <c r="G9523">
        <f t="shared" ca="1" si="233"/>
        <v>-3.1208925576815854E-2</v>
      </c>
    </row>
    <row r="9524" spans="6:7" x14ac:dyDescent="0.35">
      <c r="F9524">
        <v>9521</v>
      </c>
      <c r="G9524">
        <f t="shared" ca="1" si="233"/>
        <v>-2.7583480277096804E-2</v>
      </c>
    </row>
    <row r="9525" spans="6:7" x14ac:dyDescent="0.35">
      <c r="F9525">
        <v>9522</v>
      </c>
      <c r="G9525">
        <f t="shared" ca="1" si="233"/>
        <v>-1.3211534014414281E-2</v>
      </c>
    </row>
    <row r="9526" spans="6:7" x14ac:dyDescent="0.35">
      <c r="F9526">
        <v>9523</v>
      </c>
      <c r="G9526">
        <f t="shared" ca="1" si="233"/>
        <v>-2.6084443458324159E-2</v>
      </c>
    </row>
    <row r="9527" spans="6:7" x14ac:dyDescent="0.35">
      <c r="F9527">
        <v>9524</v>
      </c>
      <c r="G9527">
        <f t="shared" ca="1" si="233"/>
        <v>-2.9321570465091679E-2</v>
      </c>
    </row>
    <row r="9528" spans="6:7" x14ac:dyDescent="0.35">
      <c r="F9528">
        <v>9525</v>
      </c>
      <c r="G9528">
        <f t="shared" ca="1" si="233"/>
        <v>-5.6450874560834497E-3</v>
      </c>
    </row>
    <row r="9529" spans="6:7" x14ac:dyDescent="0.35">
      <c r="F9529">
        <v>9526</v>
      </c>
      <c r="G9529">
        <f t="shared" ca="1" si="233"/>
        <v>-6.4394557946606798E-2</v>
      </c>
    </row>
    <row r="9530" spans="6:7" x14ac:dyDescent="0.35">
      <c r="F9530">
        <v>9527</v>
      </c>
      <c r="G9530">
        <f t="shared" ca="1" si="233"/>
        <v>-1.7689292761016544E-2</v>
      </c>
    </row>
    <row r="9531" spans="6:7" x14ac:dyDescent="0.35">
      <c r="F9531">
        <v>9528</v>
      </c>
      <c r="G9531">
        <f t="shared" ca="1" si="233"/>
        <v>-1.1038665908813857E-2</v>
      </c>
    </row>
    <row r="9532" spans="6:7" x14ac:dyDescent="0.35">
      <c r="F9532">
        <v>9529</v>
      </c>
      <c r="G9532">
        <f t="shared" ca="1" si="233"/>
        <v>1.2710596646312756E-2</v>
      </c>
    </row>
    <row r="9533" spans="6:7" x14ac:dyDescent="0.35">
      <c r="F9533">
        <v>9530</v>
      </c>
      <c r="G9533">
        <f t="shared" ca="1" si="233"/>
        <v>1.2673176600614752E-2</v>
      </c>
    </row>
    <row r="9534" spans="6:7" x14ac:dyDescent="0.35">
      <c r="F9534">
        <v>9531</v>
      </c>
      <c r="G9534">
        <f t="shared" ca="1" si="233"/>
        <v>5.6425289104217187E-2</v>
      </c>
    </row>
    <row r="9535" spans="6:7" x14ac:dyDescent="0.35">
      <c r="F9535">
        <v>9532</v>
      </c>
      <c r="G9535">
        <f t="shared" ca="1" si="233"/>
        <v>3.2325612247893105E-2</v>
      </c>
    </row>
    <row r="9536" spans="6:7" x14ac:dyDescent="0.35">
      <c r="F9536">
        <v>9533</v>
      </c>
      <c r="G9536">
        <f t="shared" ca="1" si="233"/>
        <v>5.9332927760192937E-2</v>
      </c>
    </row>
    <row r="9537" spans="6:7" x14ac:dyDescent="0.35">
      <c r="F9537">
        <v>9534</v>
      </c>
      <c r="G9537">
        <f t="shared" ca="1" si="233"/>
        <v>2.33181046094557E-2</v>
      </c>
    </row>
    <row r="9538" spans="6:7" x14ac:dyDescent="0.35">
      <c r="F9538">
        <v>9535</v>
      </c>
      <c r="G9538">
        <f t="shared" ca="1" si="233"/>
        <v>-1.6270925496049474E-3</v>
      </c>
    </row>
    <row r="9539" spans="6:7" x14ac:dyDescent="0.35">
      <c r="F9539">
        <v>9536</v>
      </c>
      <c r="G9539">
        <f t="shared" ca="1" si="233"/>
        <v>-1.5095542430953866E-2</v>
      </c>
    </row>
    <row r="9540" spans="6:7" x14ac:dyDescent="0.35">
      <c r="F9540">
        <v>9537</v>
      </c>
      <c r="G9540">
        <f t="shared" ca="1" si="233"/>
        <v>1.4184287564354055E-2</v>
      </c>
    </row>
    <row r="9541" spans="6:7" x14ac:dyDescent="0.35">
      <c r="F9541">
        <v>9538</v>
      </c>
      <c r="G9541">
        <f t="shared" ref="G9541:G9604" ca="1" si="234">_xlfn.NORM.INV(RAND(),K$6,K$7)</f>
        <v>-2.4361794199458071E-2</v>
      </c>
    </row>
    <row r="9542" spans="6:7" x14ac:dyDescent="0.35">
      <c r="F9542">
        <v>9539</v>
      </c>
      <c r="G9542">
        <f t="shared" ca="1" si="234"/>
        <v>-1.765593760036446E-2</v>
      </c>
    </row>
    <row r="9543" spans="6:7" x14ac:dyDescent="0.35">
      <c r="F9543">
        <v>9540</v>
      </c>
      <c r="G9543">
        <f t="shared" ca="1" si="234"/>
        <v>-2.6548454599021254E-3</v>
      </c>
    </row>
    <row r="9544" spans="6:7" x14ac:dyDescent="0.35">
      <c r="F9544">
        <v>9541</v>
      </c>
      <c r="G9544">
        <f t="shared" ca="1" si="234"/>
        <v>-7.8564453320075812E-3</v>
      </c>
    </row>
    <row r="9545" spans="6:7" x14ac:dyDescent="0.35">
      <c r="F9545">
        <v>9542</v>
      </c>
      <c r="G9545">
        <f t="shared" ca="1" si="234"/>
        <v>-1.1962829267116035E-2</v>
      </c>
    </row>
    <row r="9546" spans="6:7" x14ac:dyDescent="0.35">
      <c r="F9546">
        <v>9543</v>
      </c>
      <c r="G9546">
        <f t="shared" ca="1" si="234"/>
        <v>-3.1123653778582262E-3</v>
      </c>
    </row>
    <row r="9547" spans="6:7" x14ac:dyDescent="0.35">
      <c r="F9547">
        <v>9544</v>
      </c>
      <c r="G9547">
        <f t="shared" ca="1" si="234"/>
        <v>3.7697166730314993E-2</v>
      </c>
    </row>
    <row r="9548" spans="6:7" x14ac:dyDescent="0.35">
      <c r="F9548">
        <v>9545</v>
      </c>
      <c r="G9548">
        <f t="shared" ca="1" si="234"/>
        <v>1.3431557525185024E-2</v>
      </c>
    </row>
    <row r="9549" spans="6:7" x14ac:dyDescent="0.35">
      <c r="F9549">
        <v>9546</v>
      </c>
      <c r="G9549">
        <f t="shared" ca="1" si="234"/>
        <v>3.4189714092674094E-2</v>
      </c>
    </row>
    <row r="9550" spans="6:7" x14ac:dyDescent="0.35">
      <c r="F9550">
        <v>9547</v>
      </c>
      <c r="G9550">
        <f t="shared" ca="1" si="234"/>
        <v>-3.0057415333781781E-2</v>
      </c>
    </row>
    <row r="9551" spans="6:7" x14ac:dyDescent="0.35">
      <c r="F9551">
        <v>9548</v>
      </c>
      <c r="G9551">
        <f t="shared" ca="1" si="234"/>
        <v>-4.9129280991440389E-3</v>
      </c>
    </row>
    <row r="9552" spans="6:7" x14ac:dyDescent="0.35">
      <c r="F9552">
        <v>9549</v>
      </c>
      <c r="G9552">
        <f t="shared" ca="1" si="234"/>
        <v>-2.6092447115030282E-2</v>
      </c>
    </row>
    <row r="9553" spans="6:7" x14ac:dyDescent="0.35">
      <c r="F9553">
        <v>9550</v>
      </c>
      <c r="G9553">
        <f t="shared" ca="1" si="234"/>
        <v>9.9635125793169736E-3</v>
      </c>
    </row>
    <row r="9554" spans="6:7" x14ac:dyDescent="0.35">
      <c r="F9554">
        <v>9551</v>
      </c>
      <c r="G9554">
        <f t="shared" ca="1" si="234"/>
        <v>3.9819480191862974E-3</v>
      </c>
    </row>
    <row r="9555" spans="6:7" x14ac:dyDescent="0.35">
      <c r="F9555">
        <v>9552</v>
      </c>
      <c r="G9555">
        <f t="shared" ca="1" si="234"/>
        <v>6.5423968507909241E-2</v>
      </c>
    </row>
    <row r="9556" spans="6:7" x14ac:dyDescent="0.35">
      <c r="F9556">
        <v>9553</v>
      </c>
      <c r="G9556">
        <f t="shared" ca="1" si="234"/>
        <v>1.1171599313974602E-2</v>
      </c>
    </row>
    <row r="9557" spans="6:7" x14ac:dyDescent="0.35">
      <c r="F9557">
        <v>9554</v>
      </c>
      <c r="G9557">
        <f t="shared" ca="1" si="234"/>
        <v>2.0089506592887402E-2</v>
      </c>
    </row>
    <row r="9558" spans="6:7" x14ac:dyDescent="0.35">
      <c r="F9558">
        <v>9555</v>
      </c>
      <c r="G9558">
        <f t="shared" ca="1" si="234"/>
        <v>-1.8842678925586646E-3</v>
      </c>
    </row>
    <row r="9559" spans="6:7" x14ac:dyDescent="0.35">
      <c r="F9559">
        <v>9556</v>
      </c>
      <c r="G9559">
        <f t="shared" ca="1" si="234"/>
        <v>-5.5522081429709184E-3</v>
      </c>
    </row>
    <row r="9560" spans="6:7" x14ac:dyDescent="0.35">
      <c r="F9560">
        <v>9557</v>
      </c>
      <c r="G9560">
        <f t="shared" ca="1" si="234"/>
        <v>-1.2132902521539368E-2</v>
      </c>
    </row>
    <row r="9561" spans="6:7" x14ac:dyDescent="0.35">
      <c r="F9561">
        <v>9558</v>
      </c>
      <c r="G9561">
        <f t="shared" ca="1" si="234"/>
        <v>-6.2494391592929537E-3</v>
      </c>
    </row>
    <row r="9562" spans="6:7" x14ac:dyDescent="0.35">
      <c r="F9562">
        <v>9559</v>
      </c>
      <c r="G9562">
        <f t="shared" ca="1" si="234"/>
        <v>-1.4865575097764412E-3</v>
      </c>
    </row>
    <row r="9563" spans="6:7" x14ac:dyDescent="0.35">
      <c r="F9563">
        <v>9560</v>
      </c>
      <c r="G9563">
        <f t="shared" ca="1" si="234"/>
        <v>3.2611813184886762E-2</v>
      </c>
    </row>
    <row r="9564" spans="6:7" x14ac:dyDescent="0.35">
      <c r="F9564">
        <v>9561</v>
      </c>
      <c r="G9564">
        <f t="shared" ca="1" si="234"/>
        <v>1.7190623915656497E-2</v>
      </c>
    </row>
    <row r="9565" spans="6:7" x14ac:dyDescent="0.35">
      <c r="F9565">
        <v>9562</v>
      </c>
      <c r="G9565">
        <f t="shared" ca="1" si="234"/>
        <v>-3.3262194407931963E-3</v>
      </c>
    </row>
    <row r="9566" spans="6:7" x14ac:dyDescent="0.35">
      <c r="F9566">
        <v>9563</v>
      </c>
      <c r="G9566">
        <f t="shared" ca="1" si="234"/>
        <v>-1.2836981279170158E-2</v>
      </c>
    </row>
    <row r="9567" spans="6:7" x14ac:dyDescent="0.35">
      <c r="F9567">
        <v>9564</v>
      </c>
      <c r="G9567">
        <f t="shared" ca="1" si="234"/>
        <v>1.9955717026283539E-2</v>
      </c>
    </row>
    <row r="9568" spans="6:7" x14ac:dyDescent="0.35">
      <c r="F9568">
        <v>9565</v>
      </c>
      <c r="G9568">
        <f t="shared" ca="1" si="234"/>
        <v>3.0502843300400602E-2</v>
      </c>
    </row>
    <row r="9569" spans="6:7" x14ac:dyDescent="0.35">
      <c r="F9569">
        <v>9566</v>
      </c>
      <c r="G9569">
        <f t="shared" ca="1" si="234"/>
        <v>4.9972010743545042E-2</v>
      </c>
    </row>
    <row r="9570" spans="6:7" x14ac:dyDescent="0.35">
      <c r="F9570">
        <v>9567</v>
      </c>
      <c r="G9570">
        <f t="shared" ca="1" si="234"/>
        <v>3.6848017337114548E-2</v>
      </c>
    </row>
    <row r="9571" spans="6:7" x14ac:dyDescent="0.35">
      <c r="F9571">
        <v>9568</v>
      </c>
      <c r="G9571">
        <f t="shared" ca="1" si="234"/>
        <v>1.9961185967685514E-2</v>
      </c>
    </row>
    <row r="9572" spans="6:7" x14ac:dyDescent="0.35">
      <c r="F9572">
        <v>9569</v>
      </c>
      <c r="G9572">
        <f t="shared" ca="1" si="234"/>
        <v>5.0035820554613822E-2</v>
      </c>
    </row>
    <row r="9573" spans="6:7" x14ac:dyDescent="0.35">
      <c r="F9573">
        <v>9570</v>
      </c>
      <c r="G9573">
        <f t="shared" ca="1" si="234"/>
        <v>-3.8188057428170524E-2</v>
      </c>
    </row>
    <row r="9574" spans="6:7" x14ac:dyDescent="0.35">
      <c r="F9574">
        <v>9571</v>
      </c>
      <c r="G9574">
        <f t="shared" ca="1" si="234"/>
        <v>-2.7251008465191632E-2</v>
      </c>
    </row>
    <row r="9575" spans="6:7" x14ac:dyDescent="0.35">
      <c r="F9575">
        <v>9572</v>
      </c>
      <c r="G9575">
        <f t="shared" ca="1" si="234"/>
        <v>-1.0646238639118476E-2</v>
      </c>
    </row>
    <row r="9576" spans="6:7" x14ac:dyDescent="0.35">
      <c r="F9576">
        <v>9573</v>
      </c>
      <c r="G9576">
        <f t="shared" ca="1" si="234"/>
        <v>-3.3797971296108181E-3</v>
      </c>
    </row>
    <row r="9577" spans="6:7" x14ac:dyDescent="0.35">
      <c r="F9577">
        <v>9574</v>
      </c>
      <c r="G9577">
        <f t="shared" ca="1" si="234"/>
        <v>2.329835559825277E-2</v>
      </c>
    </row>
    <row r="9578" spans="6:7" x14ac:dyDescent="0.35">
      <c r="F9578">
        <v>9575</v>
      </c>
      <c r="G9578">
        <f t="shared" ca="1" si="234"/>
        <v>-3.3878737053585128E-2</v>
      </c>
    </row>
    <row r="9579" spans="6:7" x14ac:dyDescent="0.35">
      <c r="F9579">
        <v>9576</v>
      </c>
      <c r="G9579">
        <f t="shared" ca="1" si="234"/>
        <v>3.2166028761278966E-3</v>
      </c>
    </row>
    <row r="9580" spans="6:7" x14ac:dyDescent="0.35">
      <c r="F9580">
        <v>9577</v>
      </c>
      <c r="G9580">
        <f t="shared" ca="1" si="234"/>
        <v>1.983016024190357E-2</v>
      </c>
    </row>
    <row r="9581" spans="6:7" x14ac:dyDescent="0.35">
      <c r="F9581">
        <v>9578</v>
      </c>
      <c r="G9581">
        <f t="shared" ca="1" si="234"/>
        <v>-6.383035309085551E-3</v>
      </c>
    </row>
    <row r="9582" spans="6:7" x14ac:dyDescent="0.35">
      <c r="F9582">
        <v>9579</v>
      </c>
      <c r="G9582">
        <f t="shared" ca="1" si="234"/>
        <v>-1.3651108985249343E-2</v>
      </c>
    </row>
    <row r="9583" spans="6:7" x14ac:dyDescent="0.35">
      <c r="F9583">
        <v>9580</v>
      </c>
      <c r="G9583">
        <f t="shared" ca="1" si="234"/>
        <v>4.0465708198615828E-2</v>
      </c>
    </row>
    <row r="9584" spans="6:7" x14ac:dyDescent="0.35">
      <c r="F9584">
        <v>9581</v>
      </c>
      <c r="G9584">
        <f t="shared" ca="1" si="234"/>
        <v>1.1015165142628227E-2</v>
      </c>
    </row>
    <row r="9585" spans="6:7" x14ac:dyDescent="0.35">
      <c r="F9585">
        <v>9582</v>
      </c>
      <c r="G9585">
        <f t="shared" ca="1" si="234"/>
        <v>-2.5927012524166959E-2</v>
      </c>
    </row>
    <row r="9586" spans="6:7" x14ac:dyDescent="0.35">
      <c r="F9586">
        <v>9583</v>
      </c>
      <c r="G9586">
        <f t="shared" ca="1" si="234"/>
        <v>7.833656398587871E-2</v>
      </c>
    </row>
    <row r="9587" spans="6:7" x14ac:dyDescent="0.35">
      <c r="F9587">
        <v>9584</v>
      </c>
      <c r="G9587">
        <f t="shared" ca="1" si="234"/>
        <v>2.779268537826458E-2</v>
      </c>
    </row>
    <row r="9588" spans="6:7" x14ac:dyDescent="0.35">
      <c r="F9588">
        <v>9585</v>
      </c>
      <c r="G9588">
        <f t="shared" ca="1" si="234"/>
        <v>-3.9594385645142012E-2</v>
      </c>
    </row>
    <row r="9589" spans="6:7" x14ac:dyDescent="0.35">
      <c r="F9589">
        <v>9586</v>
      </c>
      <c r="G9589">
        <f t="shared" ca="1" si="234"/>
        <v>9.3369159066400437E-3</v>
      </c>
    </row>
    <row r="9590" spans="6:7" x14ac:dyDescent="0.35">
      <c r="F9590">
        <v>9587</v>
      </c>
      <c r="G9590">
        <f t="shared" ca="1" si="234"/>
        <v>2.2141821010156638E-2</v>
      </c>
    </row>
    <row r="9591" spans="6:7" x14ac:dyDescent="0.35">
      <c r="F9591">
        <v>9588</v>
      </c>
      <c r="G9591">
        <f t="shared" ca="1" si="234"/>
        <v>-4.3424259809677684E-3</v>
      </c>
    </row>
    <row r="9592" spans="6:7" x14ac:dyDescent="0.35">
      <c r="F9592">
        <v>9589</v>
      </c>
      <c r="G9592">
        <f t="shared" ca="1" si="234"/>
        <v>9.3136410701192864E-3</v>
      </c>
    </row>
    <row r="9593" spans="6:7" x14ac:dyDescent="0.35">
      <c r="F9593">
        <v>9590</v>
      </c>
      <c r="G9593">
        <f t="shared" ca="1" si="234"/>
        <v>3.453885143334786E-2</v>
      </c>
    </row>
    <row r="9594" spans="6:7" x14ac:dyDescent="0.35">
      <c r="F9594">
        <v>9591</v>
      </c>
      <c r="G9594">
        <f t="shared" ca="1" si="234"/>
        <v>-6.8353852739131572E-3</v>
      </c>
    </row>
    <row r="9595" spans="6:7" x14ac:dyDescent="0.35">
      <c r="F9595">
        <v>9592</v>
      </c>
      <c r="G9595">
        <f t="shared" ca="1" si="234"/>
        <v>-5.0250735197317736E-2</v>
      </c>
    </row>
    <row r="9596" spans="6:7" x14ac:dyDescent="0.35">
      <c r="F9596">
        <v>9593</v>
      </c>
      <c r="G9596">
        <f t="shared" ca="1" si="234"/>
        <v>2.6779921296679263E-3</v>
      </c>
    </row>
    <row r="9597" spans="6:7" x14ac:dyDescent="0.35">
      <c r="F9597">
        <v>9594</v>
      </c>
      <c r="G9597">
        <f t="shared" ca="1" si="234"/>
        <v>-2.3766998740769985E-2</v>
      </c>
    </row>
    <row r="9598" spans="6:7" x14ac:dyDescent="0.35">
      <c r="F9598">
        <v>9595</v>
      </c>
      <c r="G9598">
        <f t="shared" ca="1" si="234"/>
        <v>-1.1023043619717099E-2</v>
      </c>
    </row>
    <row r="9599" spans="6:7" x14ac:dyDescent="0.35">
      <c r="F9599">
        <v>9596</v>
      </c>
      <c r="G9599">
        <f t="shared" ca="1" si="234"/>
        <v>1.8596902763953651E-4</v>
      </c>
    </row>
    <row r="9600" spans="6:7" x14ac:dyDescent="0.35">
      <c r="F9600">
        <v>9597</v>
      </c>
      <c r="G9600">
        <f t="shared" ca="1" si="234"/>
        <v>2.242448856319745E-2</v>
      </c>
    </row>
    <row r="9601" spans="6:7" x14ac:dyDescent="0.35">
      <c r="F9601">
        <v>9598</v>
      </c>
      <c r="G9601">
        <f t="shared" ca="1" si="234"/>
        <v>1.7733110067192467E-2</v>
      </c>
    </row>
    <row r="9602" spans="6:7" x14ac:dyDescent="0.35">
      <c r="F9602">
        <v>9599</v>
      </c>
      <c r="G9602">
        <f t="shared" ca="1" si="234"/>
        <v>-1.4324958010441719E-2</v>
      </c>
    </row>
    <row r="9603" spans="6:7" x14ac:dyDescent="0.35">
      <c r="F9603">
        <v>9600</v>
      </c>
      <c r="G9603">
        <f t="shared" ca="1" si="234"/>
        <v>4.2176233752867998E-2</v>
      </c>
    </row>
    <row r="9604" spans="6:7" x14ac:dyDescent="0.35">
      <c r="F9604">
        <v>9601</v>
      </c>
      <c r="G9604">
        <f t="shared" ca="1" si="234"/>
        <v>6.4111058865117782E-2</v>
      </c>
    </row>
    <row r="9605" spans="6:7" x14ac:dyDescent="0.35">
      <c r="F9605">
        <v>9602</v>
      </c>
      <c r="G9605">
        <f t="shared" ref="G9605:G9668" ca="1" si="235">_xlfn.NORM.INV(RAND(),K$6,K$7)</f>
        <v>-1.8061884695414646E-2</v>
      </c>
    </row>
    <row r="9606" spans="6:7" x14ac:dyDescent="0.35">
      <c r="F9606">
        <v>9603</v>
      </c>
      <c r="G9606">
        <f t="shared" ca="1" si="235"/>
        <v>-9.9386585150827451E-3</v>
      </c>
    </row>
    <row r="9607" spans="6:7" x14ac:dyDescent="0.35">
      <c r="F9607">
        <v>9604</v>
      </c>
      <c r="G9607">
        <f t="shared" ca="1" si="235"/>
        <v>-1.0184046689607944E-2</v>
      </c>
    </row>
    <row r="9608" spans="6:7" x14ac:dyDescent="0.35">
      <c r="F9608">
        <v>9605</v>
      </c>
      <c r="G9608">
        <f t="shared" ca="1" si="235"/>
        <v>6.3307401431616978E-2</v>
      </c>
    </row>
    <row r="9609" spans="6:7" x14ac:dyDescent="0.35">
      <c r="F9609">
        <v>9606</v>
      </c>
      <c r="G9609">
        <f t="shared" ca="1" si="235"/>
        <v>2.5425202807410417E-2</v>
      </c>
    </row>
    <row r="9610" spans="6:7" x14ac:dyDescent="0.35">
      <c r="F9610">
        <v>9607</v>
      </c>
      <c r="G9610">
        <f t="shared" ca="1" si="235"/>
        <v>1.7167330001670242E-2</v>
      </c>
    </row>
    <row r="9611" spans="6:7" x14ac:dyDescent="0.35">
      <c r="F9611">
        <v>9608</v>
      </c>
      <c r="G9611">
        <f t="shared" ca="1" si="235"/>
        <v>-8.8908937497158679E-3</v>
      </c>
    </row>
    <row r="9612" spans="6:7" x14ac:dyDescent="0.35">
      <c r="F9612">
        <v>9609</v>
      </c>
      <c r="G9612">
        <f t="shared" ca="1" si="235"/>
        <v>4.1250617822693077E-2</v>
      </c>
    </row>
    <row r="9613" spans="6:7" x14ac:dyDescent="0.35">
      <c r="F9613">
        <v>9610</v>
      </c>
      <c r="G9613">
        <f t="shared" ca="1" si="235"/>
        <v>-1.999182740034541E-2</v>
      </c>
    </row>
    <row r="9614" spans="6:7" x14ac:dyDescent="0.35">
      <c r="F9614">
        <v>9611</v>
      </c>
      <c r="G9614">
        <f t="shared" ca="1" si="235"/>
        <v>1.184095191315588E-2</v>
      </c>
    </row>
    <row r="9615" spans="6:7" x14ac:dyDescent="0.35">
      <c r="F9615">
        <v>9612</v>
      </c>
      <c r="G9615">
        <f t="shared" ca="1" si="235"/>
        <v>-2.1256165176993278E-2</v>
      </c>
    </row>
    <row r="9616" spans="6:7" x14ac:dyDescent="0.35">
      <c r="F9616">
        <v>9613</v>
      </c>
      <c r="G9616">
        <f t="shared" ca="1" si="235"/>
        <v>1.5218360353108917E-2</v>
      </c>
    </row>
    <row r="9617" spans="6:7" x14ac:dyDescent="0.35">
      <c r="F9617">
        <v>9614</v>
      </c>
      <c r="G9617">
        <f t="shared" ca="1" si="235"/>
        <v>1.4101075216558269E-2</v>
      </c>
    </row>
    <row r="9618" spans="6:7" x14ac:dyDescent="0.35">
      <c r="F9618">
        <v>9615</v>
      </c>
      <c r="G9618">
        <f t="shared" ca="1" si="235"/>
        <v>-3.9499448095113555E-2</v>
      </c>
    </row>
    <row r="9619" spans="6:7" x14ac:dyDescent="0.35">
      <c r="F9619">
        <v>9616</v>
      </c>
      <c r="G9619">
        <f t="shared" ca="1" si="235"/>
        <v>-1.2306174066769801E-2</v>
      </c>
    </row>
    <row r="9620" spans="6:7" x14ac:dyDescent="0.35">
      <c r="F9620">
        <v>9617</v>
      </c>
      <c r="G9620">
        <f t="shared" ca="1" si="235"/>
        <v>3.0128708000355869E-2</v>
      </c>
    </row>
    <row r="9621" spans="6:7" x14ac:dyDescent="0.35">
      <c r="F9621">
        <v>9618</v>
      </c>
      <c r="G9621">
        <f t="shared" ca="1" si="235"/>
        <v>-8.5949292026892121E-3</v>
      </c>
    </row>
    <row r="9622" spans="6:7" x14ac:dyDescent="0.35">
      <c r="F9622">
        <v>9619</v>
      </c>
      <c r="G9622">
        <f t="shared" ca="1" si="235"/>
        <v>6.0492079049922029E-2</v>
      </c>
    </row>
    <row r="9623" spans="6:7" x14ac:dyDescent="0.35">
      <c r="F9623">
        <v>9620</v>
      </c>
      <c r="G9623">
        <f t="shared" ca="1" si="235"/>
        <v>3.964461971784676E-2</v>
      </c>
    </row>
    <row r="9624" spans="6:7" x14ac:dyDescent="0.35">
      <c r="F9624">
        <v>9621</v>
      </c>
      <c r="G9624">
        <f t="shared" ca="1" si="235"/>
        <v>8.7652535693467648E-3</v>
      </c>
    </row>
    <row r="9625" spans="6:7" x14ac:dyDescent="0.35">
      <c r="F9625">
        <v>9622</v>
      </c>
      <c r="G9625">
        <f t="shared" ca="1" si="235"/>
        <v>1.2423261102705069E-3</v>
      </c>
    </row>
    <row r="9626" spans="6:7" x14ac:dyDescent="0.35">
      <c r="F9626">
        <v>9623</v>
      </c>
      <c r="G9626">
        <f t="shared" ca="1" si="235"/>
        <v>2.4631331085280022E-2</v>
      </c>
    </row>
    <row r="9627" spans="6:7" x14ac:dyDescent="0.35">
      <c r="F9627">
        <v>9624</v>
      </c>
      <c r="G9627">
        <f t="shared" ca="1" si="235"/>
        <v>5.0563324437207992E-2</v>
      </c>
    </row>
    <row r="9628" spans="6:7" x14ac:dyDescent="0.35">
      <c r="F9628">
        <v>9625</v>
      </c>
      <c r="G9628">
        <f t="shared" ca="1" si="235"/>
        <v>3.4394746103603949E-2</v>
      </c>
    </row>
    <row r="9629" spans="6:7" x14ac:dyDescent="0.35">
      <c r="F9629">
        <v>9626</v>
      </c>
      <c r="G9629">
        <f t="shared" ca="1" si="235"/>
        <v>2.4374513958199721E-2</v>
      </c>
    </row>
    <row r="9630" spans="6:7" x14ac:dyDescent="0.35">
      <c r="F9630">
        <v>9627</v>
      </c>
      <c r="G9630">
        <f t="shared" ca="1" si="235"/>
        <v>-1.8337953934476363E-3</v>
      </c>
    </row>
    <row r="9631" spans="6:7" x14ac:dyDescent="0.35">
      <c r="F9631">
        <v>9628</v>
      </c>
      <c r="G9631">
        <f t="shared" ca="1" si="235"/>
        <v>-1.8175812522925921E-2</v>
      </c>
    </row>
    <row r="9632" spans="6:7" x14ac:dyDescent="0.35">
      <c r="F9632">
        <v>9629</v>
      </c>
      <c r="G9632">
        <f t="shared" ca="1" si="235"/>
        <v>-5.1090097541399836E-2</v>
      </c>
    </row>
    <row r="9633" spans="6:7" x14ac:dyDescent="0.35">
      <c r="F9633">
        <v>9630</v>
      </c>
      <c r="G9633">
        <f t="shared" ca="1" si="235"/>
        <v>-6.2071304682235012E-2</v>
      </c>
    </row>
    <row r="9634" spans="6:7" x14ac:dyDescent="0.35">
      <c r="F9634">
        <v>9631</v>
      </c>
      <c r="G9634">
        <f t="shared" ca="1" si="235"/>
        <v>-2.6190628591403864E-2</v>
      </c>
    </row>
    <row r="9635" spans="6:7" x14ac:dyDescent="0.35">
      <c r="F9635">
        <v>9632</v>
      </c>
      <c r="G9635">
        <f t="shared" ca="1" si="235"/>
        <v>5.8969224926265287E-3</v>
      </c>
    </row>
    <row r="9636" spans="6:7" x14ac:dyDescent="0.35">
      <c r="F9636">
        <v>9633</v>
      </c>
      <c r="G9636">
        <f t="shared" ca="1" si="235"/>
        <v>7.3373500754451759E-2</v>
      </c>
    </row>
    <row r="9637" spans="6:7" x14ac:dyDescent="0.35">
      <c r="F9637">
        <v>9634</v>
      </c>
      <c r="G9637">
        <f t="shared" ca="1" si="235"/>
        <v>-2.3578269416347605E-2</v>
      </c>
    </row>
    <row r="9638" spans="6:7" x14ac:dyDescent="0.35">
      <c r="F9638">
        <v>9635</v>
      </c>
      <c r="G9638">
        <f t="shared" ca="1" si="235"/>
        <v>4.3062998589460118E-2</v>
      </c>
    </row>
    <row r="9639" spans="6:7" x14ac:dyDescent="0.35">
      <c r="F9639">
        <v>9636</v>
      </c>
      <c r="G9639">
        <f t="shared" ca="1" si="235"/>
        <v>-1.583379563334715E-2</v>
      </c>
    </row>
    <row r="9640" spans="6:7" x14ac:dyDescent="0.35">
      <c r="F9640">
        <v>9637</v>
      </c>
      <c r="G9640">
        <f t="shared" ca="1" si="235"/>
        <v>-0.10969257409720133</v>
      </c>
    </row>
    <row r="9641" spans="6:7" x14ac:dyDescent="0.35">
      <c r="F9641">
        <v>9638</v>
      </c>
      <c r="G9641">
        <f t="shared" ca="1" si="235"/>
        <v>-5.57206361464404E-3</v>
      </c>
    </row>
    <row r="9642" spans="6:7" x14ac:dyDescent="0.35">
      <c r="F9642">
        <v>9639</v>
      </c>
      <c r="G9642">
        <f t="shared" ca="1" si="235"/>
        <v>4.4866325287755263E-2</v>
      </c>
    </row>
    <row r="9643" spans="6:7" x14ac:dyDescent="0.35">
      <c r="F9643">
        <v>9640</v>
      </c>
      <c r="G9643">
        <f t="shared" ca="1" si="235"/>
        <v>2.3569999342829159E-2</v>
      </c>
    </row>
    <row r="9644" spans="6:7" x14ac:dyDescent="0.35">
      <c r="F9644">
        <v>9641</v>
      </c>
      <c r="G9644">
        <f t="shared" ca="1" si="235"/>
        <v>1.0797053839911861E-2</v>
      </c>
    </row>
    <row r="9645" spans="6:7" x14ac:dyDescent="0.35">
      <c r="F9645">
        <v>9642</v>
      </c>
      <c r="G9645">
        <f t="shared" ca="1" si="235"/>
        <v>3.0451064891113943E-2</v>
      </c>
    </row>
    <row r="9646" spans="6:7" x14ac:dyDescent="0.35">
      <c r="F9646">
        <v>9643</v>
      </c>
      <c r="G9646">
        <f t="shared" ca="1" si="235"/>
        <v>1.6858052461809197E-2</v>
      </c>
    </row>
    <row r="9647" spans="6:7" x14ac:dyDescent="0.35">
      <c r="F9647">
        <v>9644</v>
      </c>
      <c r="G9647">
        <f t="shared" ca="1" si="235"/>
        <v>-2.0420977585093987E-2</v>
      </c>
    </row>
    <row r="9648" spans="6:7" x14ac:dyDescent="0.35">
      <c r="F9648">
        <v>9645</v>
      </c>
      <c r="G9648">
        <f t="shared" ca="1" si="235"/>
        <v>1.8038039411224706E-2</v>
      </c>
    </row>
    <row r="9649" spans="6:7" x14ac:dyDescent="0.35">
      <c r="F9649">
        <v>9646</v>
      </c>
      <c r="G9649">
        <f t="shared" ca="1" si="235"/>
        <v>-1.1393952772237249E-2</v>
      </c>
    </row>
    <row r="9650" spans="6:7" x14ac:dyDescent="0.35">
      <c r="F9650">
        <v>9647</v>
      </c>
      <c r="G9650">
        <f t="shared" ca="1" si="235"/>
        <v>-9.9879854346243881E-3</v>
      </c>
    </row>
    <row r="9651" spans="6:7" x14ac:dyDescent="0.35">
      <c r="F9651">
        <v>9648</v>
      </c>
      <c r="G9651">
        <f t="shared" ca="1" si="235"/>
        <v>1.9649093476939244E-2</v>
      </c>
    </row>
    <row r="9652" spans="6:7" x14ac:dyDescent="0.35">
      <c r="F9652">
        <v>9649</v>
      </c>
      <c r="G9652">
        <f t="shared" ca="1" si="235"/>
        <v>-6.6232333174884718E-4</v>
      </c>
    </row>
    <row r="9653" spans="6:7" x14ac:dyDescent="0.35">
      <c r="F9653">
        <v>9650</v>
      </c>
      <c r="G9653">
        <f t="shared" ca="1" si="235"/>
        <v>-5.848031377885371E-2</v>
      </c>
    </row>
    <row r="9654" spans="6:7" x14ac:dyDescent="0.35">
      <c r="F9654">
        <v>9651</v>
      </c>
      <c r="G9654">
        <f t="shared" ca="1" si="235"/>
        <v>-4.2571009274834405E-2</v>
      </c>
    </row>
    <row r="9655" spans="6:7" x14ac:dyDescent="0.35">
      <c r="F9655">
        <v>9652</v>
      </c>
      <c r="G9655">
        <f t="shared" ca="1" si="235"/>
        <v>-3.7650907554363573E-2</v>
      </c>
    </row>
    <row r="9656" spans="6:7" x14ac:dyDescent="0.35">
      <c r="F9656">
        <v>9653</v>
      </c>
      <c r="G9656">
        <f t="shared" ca="1" si="235"/>
        <v>5.1521686753836927E-2</v>
      </c>
    </row>
    <row r="9657" spans="6:7" x14ac:dyDescent="0.35">
      <c r="F9657">
        <v>9654</v>
      </c>
      <c r="G9657">
        <f t="shared" ca="1" si="235"/>
        <v>-2.8571789412945723E-2</v>
      </c>
    </row>
    <row r="9658" spans="6:7" x14ac:dyDescent="0.35">
      <c r="F9658">
        <v>9655</v>
      </c>
      <c r="G9658">
        <f t="shared" ca="1" si="235"/>
        <v>-3.6749298389829729E-3</v>
      </c>
    </row>
    <row r="9659" spans="6:7" x14ac:dyDescent="0.35">
      <c r="F9659">
        <v>9656</v>
      </c>
      <c r="G9659">
        <f t="shared" ca="1" si="235"/>
        <v>-1.2126080086068653E-2</v>
      </c>
    </row>
    <row r="9660" spans="6:7" x14ac:dyDescent="0.35">
      <c r="F9660">
        <v>9657</v>
      </c>
      <c r="G9660">
        <f t="shared" ca="1" si="235"/>
        <v>3.41952923317786E-3</v>
      </c>
    </row>
    <row r="9661" spans="6:7" x14ac:dyDescent="0.35">
      <c r="F9661">
        <v>9658</v>
      </c>
      <c r="G9661">
        <f t="shared" ca="1" si="235"/>
        <v>-6.2446259388564004E-2</v>
      </c>
    </row>
    <row r="9662" spans="6:7" x14ac:dyDescent="0.35">
      <c r="F9662">
        <v>9659</v>
      </c>
      <c r="G9662">
        <f t="shared" ca="1" si="235"/>
        <v>5.0119686516868927E-4</v>
      </c>
    </row>
    <row r="9663" spans="6:7" x14ac:dyDescent="0.35">
      <c r="F9663">
        <v>9660</v>
      </c>
      <c r="G9663">
        <f t="shared" ca="1" si="235"/>
        <v>-1.4980533386110204E-2</v>
      </c>
    </row>
    <row r="9664" spans="6:7" x14ac:dyDescent="0.35">
      <c r="F9664">
        <v>9661</v>
      </c>
      <c r="G9664">
        <f t="shared" ca="1" si="235"/>
        <v>-1.6897248984669141E-2</v>
      </c>
    </row>
    <row r="9665" spans="6:7" x14ac:dyDescent="0.35">
      <c r="F9665">
        <v>9662</v>
      </c>
      <c r="G9665">
        <f t="shared" ca="1" si="235"/>
        <v>2.4825493840363637E-2</v>
      </c>
    </row>
    <row r="9666" spans="6:7" x14ac:dyDescent="0.35">
      <c r="F9666">
        <v>9663</v>
      </c>
      <c r="G9666">
        <f t="shared" ca="1" si="235"/>
        <v>7.6076535567538529E-3</v>
      </c>
    </row>
    <row r="9667" spans="6:7" x14ac:dyDescent="0.35">
      <c r="F9667">
        <v>9664</v>
      </c>
      <c r="G9667">
        <f t="shared" ca="1" si="235"/>
        <v>2.1282357799910966E-2</v>
      </c>
    </row>
    <row r="9668" spans="6:7" x14ac:dyDescent="0.35">
      <c r="F9668">
        <v>9665</v>
      </c>
      <c r="G9668">
        <f t="shared" ca="1" si="235"/>
        <v>2.7916047477017265E-3</v>
      </c>
    </row>
    <row r="9669" spans="6:7" x14ac:dyDescent="0.35">
      <c r="F9669">
        <v>9666</v>
      </c>
      <c r="G9669">
        <f t="shared" ref="G9669:G9732" ca="1" si="236">_xlfn.NORM.INV(RAND(),K$6,K$7)</f>
        <v>3.3029912337515802E-2</v>
      </c>
    </row>
    <row r="9670" spans="6:7" x14ac:dyDescent="0.35">
      <c r="F9670">
        <v>9667</v>
      </c>
      <c r="G9670">
        <f t="shared" ca="1" si="236"/>
        <v>-3.4403178234642742E-3</v>
      </c>
    </row>
    <row r="9671" spans="6:7" x14ac:dyDescent="0.35">
      <c r="F9671">
        <v>9668</v>
      </c>
      <c r="G9671">
        <f t="shared" ca="1" si="236"/>
        <v>1.7529600126129675E-2</v>
      </c>
    </row>
    <row r="9672" spans="6:7" x14ac:dyDescent="0.35">
      <c r="F9672">
        <v>9669</v>
      </c>
      <c r="G9672">
        <f t="shared" ca="1" si="236"/>
        <v>1.872091008155265E-2</v>
      </c>
    </row>
    <row r="9673" spans="6:7" x14ac:dyDescent="0.35">
      <c r="F9673">
        <v>9670</v>
      </c>
      <c r="G9673">
        <f t="shared" ca="1" si="236"/>
        <v>2.278148770406389E-2</v>
      </c>
    </row>
    <row r="9674" spans="6:7" x14ac:dyDescent="0.35">
      <c r="F9674">
        <v>9671</v>
      </c>
      <c r="G9674">
        <f t="shared" ca="1" si="236"/>
        <v>-2.6344201916696567E-2</v>
      </c>
    </row>
    <row r="9675" spans="6:7" x14ac:dyDescent="0.35">
      <c r="F9675">
        <v>9672</v>
      </c>
      <c r="G9675">
        <f t="shared" ca="1" si="236"/>
        <v>-1.956704013906585E-2</v>
      </c>
    </row>
    <row r="9676" spans="6:7" x14ac:dyDescent="0.35">
      <c r="F9676">
        <v>9673</v>
      </c>
      <c r="G9676">
        <f t="shared" ca="1" si="236"/>
        <v>2.7458727784439602E-2</v>
      </c>
    </row>
    <row r="9677" spans="6:7" x14ac:dyDescent="0.35">
      <c r="F9677">
        <v>9674</v>
      </c>
      <c r="G9677">
        <f t="shared" ca="1" si="236"/>
        <v>-5.4520785002863371E-2</v>
      </c>
    </row>
    <row r="9678" spans="6:7" x14ac:dyDescent="0.35">
      <c r="F9678">
        <v>9675</v>
      </c>
      <c r="G9678">
        <f t="shared" ca="1" si="236"/>
        <v>9.9688630271498324E-3</v>
      </c>
    </row>
    <row r="9679" spans="6:7" x14ac:dyDescent="0.35">
      <c r="F9679">
        <v>9676</v>
      </c>
      <c r="G9679">
        <f t="shared" ca="1" si="236"/>
        <v>-2.7785216850883733E-2</v>
      </c>
    </row>
    <row r="9680" spans="6:7" x14ac:dyDescent="0.35">
      <c r="F9680">
        <v>9677</v>
      </c>
      <c r="G9680">
        <f t="shared" ca="1" si="236"/>
        <v>1.8122880273051884E-2</v>
      </c>
    </row>
    <row r="9681" spans="6:7" x14ac:dyDescent="0.35">
      <c r="F9681">
        <v>9678</v>
      </c>
      <c r="G9681">
        <f t="shared" ca="1" si="236"/>
        <v>-7.414462373321053E-3</v>
      </c>
    </row>
    <row r="9682" spans="6:7" x14ac:dyDescent="0.35">
      <c r="F9682">
        <v>9679</v>
      </c>
      <c r="G9682">
        <f t="shared" ca="1" si="236"/>
        <v>-3.4584411821446302E-2</v>
      </c>
    </row>
    <row r="9683" spans="6:7" x14ac:dyDescent="0.35">
      <c r="F9683">
        <v>9680</v>
      </c>
      <c r="G9683">
        <f t="shared" ca="1" si="236"/>
        <v>1.0364611482843778E-2</v>
      </c>
    </row>
    <row r="9684" spans="6:7" x14ac:dyDescent="0.35">
      <c r="F9684">
        <v>9681</v>
      </c>
      <c r="G9684">
        <f t="shared" ca="1" si="236"/>
        <v>-1.705935081029053E-2</v>
      </c>
    </row>
    <row r="9685" spans="6:7" x14ac:dyDescent="0.35">
      <c r="F9685">
        <v>9682</v>
      </c>
      <c r="G9685">
        <f t="shared" ca="1" si="236"/>
        <v>1.4416886471773768E-2</v>
      </c>
    </row>
    <row r="9686" spans="6:7" x14ac:dyDescent="0.35">
      <c r="F9686">
        <v>9683</v>
      </c>
      <c r="G9686">
        <f t="shared" ca="1" si="236"/>
        <v>2.1331313757920866E-2</v>
      </c>
    </row>
    <row r="9687" spans="6:7" x14ac:dyDescent="0.35">
      <c r="F9687">
        <v>9684</v>
      </c>
      <c r="G9687">
        <f t="shared" ca="1" si="236"/>
        <v>-8.2317448324681908E-3</v>
      </c>
    </row>
    <row r="9688" spans="6:7" x14ac:dyDescent="0.35">
      <c r="F9688">
        <v>9685</v>
      </c>
      <c r="G9688">
        <f t="shared" ca="1" si="236"/>
        <v>-3.1810474452674521E-2</v>
      </c>
    </row>
    <row r="9689" spans="6:7" x14ac:dyDescent="0.35">
      <c r="F9689">
        <v>9686</v>
      </c>
      <c r="G9689">
        <f t="shared" ca="1" si="236"/>
        <v>-2.5285013037889135E-2</v>
      </c>
    </row>
    <row r="9690" spans="6:7" x14ac:dyDescent="0.35">
      <c r="F9690">
        <v>9687</v>
      </c>
      <c r="G9690">
        <f t="shared" ca="1" si="236"/>
        <v>-3.5694876626548577E-2</v>
      </c>
    </row>
    <row r="9691" spans="6:7" x14ac:dyDescent="0.35">
      <c r="F9691">
        <v>9688</v>
      </c>
      <c r="G9691">
        <f t="shared" ca="1" si="236"/>
        <v>-4.1518633487438866E-2</v>
      </c>
    </row>
    <row r="9692" spans="6:7" x14ac:dyDescent="0.35">
      <c r="F9692">
        <v>9689</v>
      </c>
      <c r="G9692">
        <f t="shared" ca="1" si="236"/>
        <v>-4.1079005979433078E-2</v>
      </c>
    </row>
    <row r="9693" spans="6:7" x14ac:dyDescent="0.35">
      <c r="F9693">
        <v>9690</v>
      </c>
      <c r="G9693">
        <f t="shared" ca="1" si="236"/>
        <v>1.0547450329041051E-2</v>
      </c>
    </row>
    <row r="9694" spans="6:7" x14ac:dyDescent="0.35">
      <c r="F9694">
        <v>9691</v>
      </c>
      <c r="G9694">
        <f t="shared" ca="1" si="236"/>
        <v>-4.4125617896610826E-2</v>
      </c>
    </row>
    <row r="9695" spans="6:7" x14ac:dyDescent="0.35">
      <c r="F9695">
        <v>9692</v>
      </c>
      <c r="G9695">
        <f t="shared" ca="1" si="236"/>
        <v>1.5579087754352039E-2</v>
      </c>
    </row>
    <row r="9696" spans="6:7" x14ac:dyDescent="0.35">
      <c r="F9696">
        <v>9693</v>
      </c>
      <c r="G9696">
        <f t="shared" ca="1" si="236"/>
        <v>3.1921945751475791E-2</v>
      </c>
    </row>
    <row r="9697" spans="6:7" x14ac:dyDescent="0.35">
      <c r="F9697">
        <v>9694</v>
      </c>
      <c r="G9697">
        <f t="shared" ca="1" si="236"/>
        <v>-4.191787030138075E-3</v>
      </c>
    </row>
    <row r="9698" spans="6:7" x14ac:dyDescent="0.35">
      <c r="F9698">
        <v>9695</v>
      </c>
      <c r="G9698">
        <f t="shared" ca="1" si="236"/>
        <v>2.4625771870991152E-2</v>
      </c>
    </row>
    <row r="9699" spans="6:7" x14ac:dyDescent="0.35">
      <c r="F9699">
        <v>9696</v>
      </c>
      <c r="G9699">
        <f t="shared" ca="1" si="236"/>
        <v>1.697747943211211E-2</v>
      </c>
    </row>
    <row r="9700" spans="6:7" x14ac:dyDescent="0.35">
      <c r="F9700">
        <v>9697</v>
      </c>
      <c r="G9700">
        <f t="shared" ca="1" si="236"/>
        <v>-5.5737921514209532E-3</v>
      </c>
    </row>
    <row r="9701" spans="6:7" x14ac:dyDescent="0.35">
      <c r="F9701">
        <v>9698</v>
      </c>
      <c r="G9701">
        <f t="shared" ca="1" si="236"/>
        <v>1.9308391584948861E-2</v>
      </c>
    </row>
    <row r="9702" spans="6:7" x14ac:dyDescent="0.35">
      <c r="F9702">
        <v>9699</v>
      </c>
      <c r="G9702">
        <f t="shared" ca="1" si="236"/>
        <v>4.2199387845119424E-2</v>
      </c>
    </row>
    <row r="9703" spans="6:7" x14ac:dyDescent="0.35">
      <c r="F9703">
        <v>9700</v>
      </c>
      <c r="G9703">
        <f t="shared" ca="1" si="236"/>
        <v>1.7598342676417068E-2</v>
      </c>
    </row>
    <row r="9704" spans="6:7" x14ac:dyDescent="0.35">
      <c r="F9704">
        <v>9701</v>
      </c>
      <c r="G9704">
        <f t="shared" ca="1" si="236"/>
        <v>3.7171333006775888E-3</v>
      </c>
    </row>
    <row r="9705" spans="6:7" x14ac:dyDescent="0.35">
      <c r="F9705">
        <v>9702</v>
      </c>
      <c r="G9705">
        <f t="shared" ca="1" si="236"/>
        <v>-1.120919174279445E-2</v>
      </c>
    </row>
    <row r="9706" spans="6:7" x14ac:dyDescent="0.35">
      <c r="F9706">
        <v>9703</v>
      </c>
      <c r="G9706">
        <f t="shared" ca="1" si="236"/>
        <v>-1.5200736260175048E-2</v>
      </c>
    </row>
    <row r="9707" spans="6:7" x14ac:dyDescent="0.35">
      <c r="F9707">
        <v>9704</v>
      </c>
      <c r="G9707">
        <f t="shared" ca="1" si="236"/>
        <v>4.3326538793001898E-2</v>
      </c>
    </row>
    <row r="9708" spans="6:7" x14ac:dyDescent="0.35">
      <c r="F9708">
        <v>9705</v>
      </c>
      <c r="G9708">
        <f t="shared" ca="1" si="236"/>
        <v>-2.6373966307851535E-2</v>
      </c>
    </row>
    <row r="9709" spans="6:7" x14ac:dyDescent="0.35">
      <c r="F9709">
        <v>9706</v>
      </c>
      <c r="G9709">
        <f t="shared" ca="1" si="236"/>
        <v>4.3692421514836287E-2</v>
      </c>
    </row>
    <row r="9710" spans="6:7" x14ac:dyDescent="0.35">
      <c r="F9710">
        <v>9707</v>
      </c>
      <c r="G9710">
        <f t="shared" ca="1" si="236"/>
        <v>-5.6718586959880941E-4</v>
      </c>
    </row>
    <row r="9711" spans="6:7" x14ac:dyDescent="0.35">
      <c r="F9711">
        <v>9708</v>
      </c>
      <c r="G9711">
        <f t="shared" ca="1" si="236"/>
        <v>-3.0264060849833619E-2</v>
      </c>
    </row>
    <row r="9712" spans="6:7" x14ac:dyDescent="0.35">
      <c r="F9712">
        <v>9709</v>
      </c>
      <c r="G9712">
        <f t="shared" ca="1" si="236"/>
        <v>3.9699595174924315E-2</v>
      </c>
    </row>
    <row r="9713" spans="6:7" x14ac:dyDescent="0.35">
      <c r="F9713">
        <v>9710</v>
      </c>
      <c r="G9713">
        <f t="shared" ca="1" si="236"/>
        <v>-2.0869259340277852E-2</v>
      </c>
    </row>
    <row r="9714" spans="6:7" x14ac:dyDescent="0.35">
      <c r="F9714">
        <v>9711</v>
      </c>
      <c r="G9714">
        <f t="shared" ca="1" si="236"/>
        <v>6.8181860491694423E-3</v>
      </c>
    </row>
    <row r="9715" spans="6:7" x14ac:dyDescent="0.35">
      <c r="F9715">
        <v>9712</v>
      </c>
      <c r="G9715">
        <f t="shared" ca="1" si="236"/>
        <v>-2.6070960013730438E-3</v>
      </c>
    </row>
    <row r="9716" spans="6:7" x14ac:dyDescent="0.35">
      <c r="F9716">
        <v>9713</v>
      </c>
      <c r="G9716">
        <f t="shared" ca="1" si="236"/>
        <v>4.2005483016866697E-3</v>
      </c>
    </row>
    <row r="9717" spans="6:7" x14ac:dyDescent="0.35">
      <c r="F9717">
        <v>9714</v>
      </c>
      <c r="G9717">
        <f t="shared" ca="1" si="236"/>
        <v>3.3002304805043806E-2</v>
      </c>
    </row>
    <row r="9718" spans="6:7" x14ac:dyDescent="0.35">
      <c r="F9718">
        <v>9715</v>
      </c>
      <c r="G9718">
        <f t="shared" ca="1" si="236"/>
        <v>3.312852373946391E-3</v>
      </c>
    </row>
    <row r="9719" spans="6:7" x14ac:dyDescent="0.35">
      <c r="F9719">
        <v>9716</v>
      </c>
      <c r="G9719">
        <f t="shared" ca="1" si="236"/>
        <v>-3.4803682222975196E-2</v>
      </c>
    </row>
    <row r="9720" spans="6:7" x14ac:dyDescent="0.35">
      <c r="F9720">
        <v>9717</v>
      </c>
      <c r="G9720">
        <f t="shared" ca="1" si="236"/>
        <v>-8.4700124344658807E-3</v>
      </c>
    </row>
    <row r="9721" spans="6:7" x14ac:dyDescent="0.35">
      <c r="F9721">
        <v>9718</v>
      </c>
      <c r="G9721">
        <f t="shared" ca="1" si="236"/>
        <v>3.2016285759586746E-3</v>
      </c>
    </row>
    <row r="9722" spans="6:7" x14ac:dyDescent="0.35">
      <c r="F9722">
        <v>9719</v>
      </c>
      <c r="G9722">
        <f t="shared" ca="1" si="236"/>
        <v>1.008218339117678E-2</v>
      </c>
    </row>
    <row r="9723" spans="6:7" x14ac:dyDescent="0.35">
      <c r="F9723">
        <v>9720</v>
      </c>
      <c r="G9723">
        <f t="shared" ca="1" si="236"/>
        <v>3.8528812231676639E-2</v>
      </c>
    </row>
    <row r="9724" spans="6:7" x14ac:dyDescent="0.35">
      <c r="F9724">
        <v>9721</v>
      </c>
      <c r="G9724">
        <f t="shared" ca="1" si="236"/>
        <v>3.8722727919743419E-2</v>
      </c>
    </row>
    <row r="9725" spans="6:7" x14ac:dyDescent="0.35">
      <c r="F9725">
        <v>9722</v>
      </c>
      <c r="G9725">
        <f t="shared" ca="1" si="236"/>
        <v>1.9607199822786615E-2</v>
      </c>
    </row>
    <row r="9726" spans="6:7" x14ac:dyDescent="0.35">
      <c r="F9726">
        <v>9723</v>
      </c>
      <c r="G9726">
        <f t="shared" ca="1" si="236"/>
        <v>4.0891426210485353E-2</v>
      </c>
    </row>
    <row r="9727" spans="6:7" x14ac:dyDescent="0.35">
      <c r="F9727">
        <v>9724</v>
      </c>
      <c r="G9727">
        <f t="shared" ca="1" si="236"/>
        <v>-1.2135489533488048E-2</v>
      </c>
    </row>
    <row r="9728" spans="6:7" x14ac:dyDescent="0.35">
      <c r="F9728">
        <v>9725</v>
      </c>
      <c r="G9728">
        <f t="shared" ca="1" si="236"/>
        <v>-2.3584581842771787E-2</v>
      </c>
    </row>
    <row r="9729" spans="6:7" x14ac:dyDescent="0.35">
      <c r="F9729">
        <v>9726</v>
      </c>
      <c r="G9729">
        <f t="shared" ca="1" si="236"/>
        <v>-2.1415135262813641E-2</v>
      </c>
    </row>
    <row r="9730" spans="6:7" x14ac:dyDescent="0.35">
      <c r="F9730">
        <v>9727</v>
      </c>
      <c r="G9730">
        <f t="shared" ca="1" si="236"/>
        <v>2.1936653888005173E-2</v>
      </c>
    </row>
    <row r="9731" spans="6:7" x14ac:dyDescent="0.35">
      <c r="F9731">
        <v>9728</v>
      </c>
      <c r="G9731">
        <f t="shared" ca="1" si="236"/>
        <v>2.3957575264622667E-3</v>
      </c>
    </row>
    <row r="9732" spans="6:7" x14ac:dyDescent="0.35">
      <c r="F9732">
        <v>9729</v>
      </c>
      <c r="G9732">
        <f t="shared" ca="1" si="236"/>
        <v>2.7671376660031031E-2</v>
      </c>
    </row>
    <row r="9733" spans="6:7" x14ac:dyDescent="0.35">
      <c r="F9733">
        <v>9730</v>
      </c>
      <c r="G9733">
        <f t="shared" ref="G9733:G9796" ca="1" si="237">_xlfn.NORM.INV(RAND(),K$6,K$7)</f>
        <v>3.7116694625411541E-2</v>
      </c>
    </row>
    <row r="9734" spans="6:7" x14ac:dyDescent="0.35">
      <c r="F9734">
        <v>9731</v>
      </c>
      <c r="G9734">
        <f t="shared" ca="1" si="237"/>
        <v>2.4839087163818108E-2</v>
      </c>
    </row>
    <row r="9735" spans="6:7" x14ac:dyDescent="0.35">
      <c r="F9735">
        <v>9732</v>
      </c>
      <c r="G9735">
        <f t="shared" ca="1" si="237"/>
        <v>-6.7542276278857792E-4</v>
      </c>
    </row>
    <row r="9736" spans="6:7" x14ac:dyDescent="0.35">
      <c r="F9736">
        <v>9733</v>
      </c>
      <c r="G9736">
        <f t="shared" ca="1" si="237"/>
        <v>1.8819011344641586E-2</v>
      </c>
    </row>
    <row r="9737" spans="6:7" x14ac:dyDescent="0.35">
      <c r="F9737">
        <v>9734</v>
      </c>
      <c r="G9737">
        <f t="shared" ca="1" si="237"/>
        <v>1.0778430764177208E-2</v>
      </c>
    </row>
    <row r="9738" spans="6:7" x14ac:dyDescent="0.35">
      <c r="F9738">
        <v>9735</v>
      </c>
      <c r="G9738">
        <f t="shared" ca="1" si="237"/>
        <v>-2.8988020392119247E-2</v>
      </c>
    </row>
    <row r="9739" spans="6:7" x14ac:dyDescent="0.35">
      <c r="F9739">
        <v>9736</v>
      </c>
      <c r="G9739">
        <f t="shared" ca="1" si="237"/>
        <v>-2.0491835783952323E-3</v>
      </c>
    </row>
    <row r="9740" spans="6:7" x14ac:dyDescent="0.35">
      <c r="F9740">
        <v>9737</v>
      </c>
      <c r="G9740">
        <f t="shared" ca="1" si="237"/>
        <v>-2.0357449105801933E-2</v>
      </c>
    </row>
    <row r="9741" spans="6:7" x14ac:dyDescent="0.35">
      <c r="F9741">
        <v>9738</v>
      </c>
      <c r="G9741">
        <f t="shared" ca="1" si="237"/>
        <v>-1.3256237932144945E-2</v>
      </c>
    </row>
    <row r="9742" spans="6:7" x14ac:dyDescent="0.35">
      <c r="F9742">
        <v>9739</v>
      </c>
      <c r="G9742">
        <f t="shared" ca="1" si="237"/>
        <v>-4.7657311585448409E-3</v>
      </c>
    </row>
    <row r="9743" spans="6:7" x14ac:dyDescent="0.35">
      <c r="F9743">
        <v>9740</v>
      </c>
      <c r="G9743">
        <f t="shared" ca="1" si="237"/>
        <v>4.325753975409178E-2</v>
      </c>
    </row>
    <row r="9744" spans="6:7" x14ac:dyDescent="0.35">
      <c r="F9744">
        <v>9741</v>
      </c>
      <c r="G9744">
        <f t="shared" ca="1" si="237"/>
        <v>2.3158101046248044E-2</v>
      </c>
    </row>
    <row r="9745" spans="6:7" x14ac:dyDescent="0.35">
      <c r="F9745">
        <v>9742</v>
      </c>
      <c r="G9745">
        <f t="shared" ca="1" si="237"/>
        <v>-2.943773523276921E-2</v>
      </c>
    </row>
    <row r="9746" spans="6:7" x14ac:dyDescent="0.35">
      <c r="F9746">
        <v>9743</v>
      </c>
      <c r="G9746">
        <f t="shared" ca="1" si="237"/>
        <v>1.8980375512235264E-3</v>
      </c>
    </row>
    <row r="9747" spans="6:7" x14ac:dyDescent="0.35">
      <c r="F9747">
        <v>9744</v>
      </c>
      <c r="G9747">
        <f t="shared" ca="1" si="237"/>
        <v>-3.9025672657180155E-2</v>
      </c>
    </row>
    <row r="9748" spans="6:7" x14ac:dyDescent="0.35">
      <c r="F9748">
        <v>9745</v>
      </c>
      <c r="G9748">
        <f t="shared" ca="1" si="237"/>
        <v>5.0598616512982302E-2</v>
      </c>
    </row>
    <row r="9749" spans="6:7" x14ac:dyDescent="0.35">
      <c r="F9749">
        <v>9746</v>
      </c>
      <c r="G9749">
        <f t="shared" ca="1" si="237"/>
        <v>-3.5445077317522104E-2</v>
      </c>
    </row>
    <row r="9750" spans="6:7" x14ac:dyDescent="0.35">
      <c r="F9750">
        <v>9747</v>
      </c>
      <c r="G9750">
        <f t="shared" ca="1" si="237"/>
        <v>7.2349291354486173E-2</v>
      </c>
    </row>
    <row r="9751" spans="6:7" x14ac:dyDescent="0.35">
      <c r="F9751">
        <v>9748</v>
      </c>
      <c r="G9751">
        <f t="shared" ca="1" si="237"/>
        <v>-6.3336744313274348E-3</v>
      </c>
    </row>
    <row r="9752" spans="6:7" x14ac:dyDescent="0.35">
      <c r="F9752">
        <v>9749</v>
      </c>
      <c r="G9752">
        <f t="shared" ca="1" si="237"/>
        <v>-1.9473861946072847E-3</v>
      </c>
    </row>
    <row r="9753" spans="6:7" x14ac:dyDescent="0.35">
      <c r="F9753">
        <v>9750</v>
      </c>
      <c r="G9753">
        <f t="shared" ca="1" si="237"/>
        <v>-6.3121351329999721E-3</v>
      </c>
    </row>
    <row r="9754" spans="6:7" x14ac:dyDescent="0.35">
      <c r="F9754">
        <v>9751</v>
      </c>
      <c r="G9754">
        <f t="shared" ca="1" si="237"/>
        <v>3.7439438659173166E-2</v>
      </c>
    </row>
    <row r="9755" spans="6:7" x14ac:dyDescent="0.35">
      <c r="F9755">
        <v>9752</v>
      </c>
      <c r="G9755">
        <f t="shared" ca="1" si="237"/>
        <v>-2.5821873685197623E-2</v>
      </c>
    </row>
    <row r="9756" spans="6:7" x14ac:dyDescent="0.35">
      <c r="F9756">
        <v>9753</v>
      </c>
      <c r="G9756">
        <f t="shared" ca="1" si="237"/>
        <v>-2.6839979674863252E-2</v>
      </c>
    </row>
    <row r="9757" spans="6:7" x14ac:dyDescent="0.35">
      <c r="F9757">
        <v>9754</v>
      </c>
      <c r="G9757">
        <f t="shared" ca="1" si="237"/>
        <v>-4.4292241076977372E-2</v>
      </c>
    </row>
    <row r="9758" spans="6:7" x14ac:dyDescent="0.35">
      <c r="F9758">
        <v>9755</v>
      </c>
      <c r="G9758">
        <f t="shared" ca="1" si="237"/>
        <v>-3.4035186247215882E-4</v>
      </c>
    </row>
    <row r="9759" spans="6:7" x14ac:dyDescent="0.35">
      <c r="F9759">
        <v>9756</v>
      </c>
      <c r="G9759">
        <f t="shared" ca="1" si="237"/>
        <v>-2.5195261604824697E-2</v>
      </c>
    </row>
    <row r="9760" spans="6:7" x14ac:dyDescent="0.35">
      <c r="F9760">
        <v>9757</v>
      </c>
      <c r="G9760">
        <f t="shared" ca="1" si="237"/>
        <v>-1.6696610473613895E-2</v>
      </c>
    </row>
    <row r="9761" spans="6:7" x14ac:dyDescent="0.35">
      <c r="F9761">
        <v>9758</v>
      </c>
      <c r="G9761">
        <f t="shared" ca="1" si="237"/>
        <v>7.2220602137982991E-3</v>
      </c>
    </row>
    <row r="9762" spans="6:7" x14ac:dyDescent="0.35">
      <c r="F9762">
        <v>9759</v>
      </c>
      <c r="G9762">
        <f t="shared" ca="1" si="237"/>
        <v>3.7667433836382847E-3</v>
      </c>
    </row>
    <row r="9763" spans="6:7" x14ac:dyDescent="0.35">
      <c r="F9763">
        <v>9760</v>
      </c>
      <c r="G9763">
        <f t="shared" ca="1" si="237"/>
        <v>1.3253276316922287E-2</v>
      </c>
    </row>
    <row r="9764" spans="6:7" x14ac:dyDescent="0.35">
      <c r="F9764">
        <v>9761</v>
      </c>
      <c r="G9764">
        <f t="shared" ca="1" si="237"/>
        <v>2.8804896146700169E-2</v>
      </c>
    </row>
    <row r="9765" spans="6:7" x14ac:dyDescent="0.35">
      <c r="F9765">
        <v>9762</v>
      </c>
      <c r="G9765">
        <f t="shared" ca="1" si="237"/>
        <v>1.9754624740095508E-2</v>
      </c>
    </row>
    <row r="9766" spans="6:7" x14ac:dyDescent="0.35">
      <c r="F9766">
        <v>9763</v>
      </c>
      <c r="G9766">
        <f t="shared" ca="1" si="237"/>
        <v>2.8151208208505144E-2</v>
      </c>
    </row>
    <row r="9767" spans="6:7" x14ac:dyDescent="0.35">
      <c r="F9767">
        <v>9764</v>
      </c>
      <c r="G9767">
        <f t="shared" ca="1" si="237"/>
        <v>5.2322620209645801E-2</v>
      </c>
    </row>
    <row r="9768" spans="6:7" x14ac:dyDescent="0.35">
      <c r="F9768">
        <v>9765</v>
      </c>
      <c r="G9768">
        <f t="shared" ca="1" si="237"/>
        <v>-1.5383375116239273E-2</v>
      </c>
    </row>
    <row r="9769" spans="6:7" x14ac:dyDescent="0.35">
      <c r="F9769">
        <v>9766</v>
      </c>
      <c r="G9769">
        <f t="shared" ca="1" si="237"/>
        <v>2.4823149808172084E-2</v>
      </c>
    </row>
    <row r="9770" spans="6:7" x14ac:dyDescent="0.35">
      <c r="F9770">
        <v>9767</v>
      </c>
      <c r="G9770">
        <f t="shared" ca="1" si="237"/>
        <v>1.9506303707158428E-2</v>
      </c>
    </row>
    <row r="9771" spans="6:7" x14ac:dyDescent="0.35">
      <c r="F9771">
        <v>9768</v>
      </c>
      <c r="G9771">
        <f t="shared" ca="1" si="237"/>
        <v>-3.2784848249203656E-2</v>
      </c>
    </row>
    <row r="9772" spans="6:7" x14ac:dyDescent="0.35">
      <c r="F9772">
        <v>9769</v>
      </c>
      <c r="G9772">
        <f t="shared" ca="1" si="237"/>
        <v>2.4012597728487347E-2</v>
      </c>
    </row>
    <row r="9773" spans="6:7" x14ac:dyDescent="0.35">
      <c r="F9773">
        <v>9770</v>
      </c>
      <c r="G9773">
        <f t="shared" ca="1" si="237"/>
        <v>-1.4175938266450857E-2</v>
      </c>
    </row>
    <row r="9774" spans="6:7" x14ac:dyDescent="0.35">
      <c r="F9774">
        <v>9771</v>
      </c>
      <c r="G9774">
        <f t="shared" ca="1" si="237"/>
        <v>-2.8875183462249619E-2</v>
      </c>
    </row>
    <row r="9775" spans="6:7" x14ac:dyDescent="0.35">
      <c r="F9775">
        <v>9772</v>
      </c>
      <c r="G9775">
        <f t="shared" ca="1" si="237"/>
        <v>6.4146795793712554E-3</v>
      </c>
    </row>
    <row r="9776" spans="6:7" x14ac:dyDescent="0.35">
      <c r="F9776">
        <v>9773</v>
      </c>
      <c r="G9776">
        <f t="shared" ca="1" si="237"/>
        <v>-5.8789327819095648E-2</v>
      </c>
    </row>
    <row r="9777" spans="6:7" x14ac:dyDescent="0.35">
      <c r="F9777">
        <v>9774</v>
      </c>
      <c r="G9777">
        <f t="shared" ca="1" si="237"/>
        <v>-7.118528563741431E-3</v>
      </c>
    </row>
    <row r="9778" spans="6:7" x14ac:dyDescent="0.35">
      <c r="F9778">
        <v>9775</v>
      </c>
      <c r="G9778">
        <f t="shared" ca="1" si="237"/>
        <v>-2.0676488824536945E-2</v>
      </c>
    </row>
    <row r="9779" spans="6:7" x14ac:dyDescent="0.35">
      <c r="F9779">
        <v>9776</v>
      </c>
      <c r="G9779">
        <f t="shared" ca="1" si="237"/>
        <v>1.4654966654512273E-2</v>
      </c>
    </row>
    <row r="9780" spans="6:7" x14ac:dyDescent="0.35">
      <c r="F9780">
        <v>9777</v>
      </c>
      <c r="G9780">
        <f t="shared" ca="1" si="237"/>
        <v>-1.6728971788372991E-2</v>
      </c>
    </row>
    <row r="9781" spans="6:7" x14ac:dyDescent="0.35">
      <c r="F9781">
        <v>9778</v>
      </c>
      <c r="G9781">
        <f t="shared" ca="1" si="237"/>
        <v>1.0356072326773349E-2</v>
      </c>
    </row>
    <row r="9782" spans="6:7" x14ac:dyDescent="0.35">
      <c r="F9782">
        <v>9779</v>
      </c>
      <c r="G9782">
        <f t="shared" ca="1" si="237"/>
        <v>2.2057744789650006E-2</v>
      </c>
    </row>
    <row r="9783" spans="6:7" x14ac:dyDescent="0.35">
      <c r="F9783">
        <v>9780</v>
      </c>
      <c r="G9783">
        <f t="shared" ca="1" si="237"/>
        <v>3.448605222238571E-2</v>
      </c>
    </row>
    <row r="9784" spans="6:7" x14ac:dyDescent="0.35">
      <c r="F9784">
        <v>9781</v>
      </c>
      <c r="G9784">
        <f t="shared" ca="1" si="237"/>
        <v>-5.5372139102627657E-2</v>
      </c>
    </row>
    <row r="9785" spans="6:7" x14ac:dyDescent="0.35">
      <c r="F9785">
        <v>9782</v>
      </c>
      <c r="G9785">
        <f t="shared" ca="1" si="237"/>
        <v>-2.4157985995309217E-2</v>
      </c>
    </row>
    <row r="9786" spans="6:7" x14ac:dyDescent="0.35">
      <c r="F9786">
        <v>9783</v>
      </c>
      <c r="G9786">
        <f t="shared" ca="1" si="237"/>
        <v>-2.9423278875543243E-2</v>
      </c>
    </row>
    <row r="9787" spans="6:7" x14ac:dyDescent="0.35">
      <c r="F9787">
        <v>9784</v>
      </c>
      <c r="G9787">
        <f t="shared" ca="1" si="237"/>
        <v>-3.6135229846400102E-3</v>
      </c>
    </row>
    <row r="9788" spans="6:7" x14ac:dyDescent="0.35">
      <c r="F9788">
        <v>9785</v>
      </c>
      <c r="G9788">
        <f t="shared" ca="1" si="237"/>
        <v>-3.5690734401386336E-2</v>
      </c>
    </row>
    <row r="9789" spans="6:7" x14ac:dyDescent="0.35">
      <c r="F9789">
        <v>9786</v>
      </c>
      <c r="G9789">
        <f t="shared" ca="1" si="237"/>
        <v>2.228532370239248E-2</v>
      </c>
    </row>
    <row r="9790" spans="6:7" x14ac:dyDescent="0.35">
      <c r="F9790">
        <v>9787</v>
      </c>
      <c r="G9790">
        <f t="shared" ca="1" si="237"/>
        <v>1.2627983240087454E-2</v>
      </c>
    </row>
    <row r="9791" spans="6:7" x14ac:dyDescent="0.35">
      <c r="F9791">
        <v>9788</v>
      </c>
      <c r="G9791">
        <f t="shared" ca="1" si="237"/>
        <v>1.61358387198164E-2</v>
      </c>
    </row>
    <row r="9792" spans="6:7" x14ac:dyDescent="0.35">
      <c r="F9792">
        <v>9789</v>
      </c>
      <c r="G9792">
        <f t="shared" ca="1" si="237"/>
        <v>-4.4346798350161448E-2</v>
      </c>
    </row>
    <row r="9793" spans="6:7" x14ac:dyDescent="0.35">
      <c r="F9793">
        <v>9790</v>
      </c>
      <c r="G9793">
        <f t="shared" ca="1" si="237"/>
        <v>-2.9310895126019934E-2</v>
      </c>
    </row>
    <row r="9794" spans="6:7" x14ac:dyDescent="0.35">
      <c r="F9794">
        <v>9791</v>
      </c>
      <c r="G9794">
        <f t="shared" ca="1" si="237"/>
        <v>1.6677985732730629E-2</v>
      </c>
    </row>
    <row r="9795" spans="6:7" x14ac:dyDescent="0.35">
      <c r="F9795">
        <v>9792</v>
      </c>
      <c r="G9795">
        <f t="shared" ca="1" si="237"/>
        <v>-1.0122119379452971E-2</v>
      </c>
    </row>
    <row r="9796" spans="6:7" x14ac:dyDescent="0.35">
      <c r="F9796">
        <v>9793</v>
      </c>
      <c r="G9796">
        <f t="shared" ca="1" si="237"/>
        <v>-3.0092444988913111E-2</v>
      </c>
    </row>
    <row r="9797" spans="6:7" x14ac:dyDescent="0.35">
      <c r="F9797">
        <v>9794</v>
      </c>
      <c r="G9797">
        <f t="shared" ref="G9797:G9860" ca="1" si="238">_xlfn.NORM.INV(RAND(),K$6,K$7)</f>
        <v>-5.1358128184163495E-3</v>
      </c>
    </row>
    <row r="9798" spans="6:7" x14ac:dyDescent="0.35">
      <c r="F9798">
        <v>9795</v>
      </c>
      <c r="G9798">
        <f t="shared" ca="1" si="238"/>
        <v>3.6463489232181042E-3</v>
      </c>
    </row>
    <row r="9799" spans="6:7" x14ac:dyDescent="0.35">
      <c r="F9799">
        <v>9796</v>
      </c>
      <c r="G9799">
        <f t="shared" ca="1" si="238"/>
        <v>5.8772742870043439E-3</v>
      </c>
    </row>
    <row r="9800" spans="6:7" x14ac:dyDescent="0.35">
      <c r="F9800">
        <v>9797</v>
      </c>
      <c r="G9800">
        <f t="shared" ca="1" si="238"/>
        <v>5.5956381857689653E-3</v>
      </c>
    </row>
    <row r="9801" spans="6:7" x14ac:dyDescent="0.35">
      <c r="F9801">
        <v>9798</v>
      </c>
      <c r="G9801">
        <f t="shared" ca="1" si="238"/>
        <v>1.9967880070041959E-2</v>
      </c>
    </row>
    <row r="9802" spans="6:7" x14ac:dyDescent="0.35">
      <c r="F9802">
        <v>9799</v>
      </c>
      <c r="G9802">
        <f t="shared" ca="1" si="238"/>
        <v>-4.2561769197332656E-3</v>
      </c>
    </row>
    <row r="9803" spans="6:7" x14ac:dyDescent="0.35">
      <c r="F9803">
        <v>9800</v>
      </c>
      <c r="G9803">
        <f t="shared" ca="1" si="238"/>
        <v>-2.573460605231314E-2</v>
      </c>
    </row>
    <row r="9804" spans="6:7" x14ac:dyDescent="0.35">
      <c r="F9804">
        <v>9801</v>
      </c>
      <c r="G9804">
        <f t="shared" ca="1" si="238"/>
        <v>1.6811022805417856E-2</v>
      </c>
    </row>
    <row r="9805" spans="6:7" x14ac:dyDescent="0.35">
      <c r="F9805">
        <v>9802</v>
      </c>
      <c r="G9805">
        <f t="shared" ca="1" si="238"/>
        <v>-1.6238035601806193E-2</v>
      </c>
    </row>
    <row r="9806" spans="6:7" x14ac:dyDescent="0.35">
      <c r="F9806">
        <v>9803</v>
      </c>
      <c r="G9806">
        <f t="shared" ca="1" si="238"/>
        <v>-3.5112572596026265E-2</v>
      </c>
    </row>
    <row r="9807" spans="6:7" x14ac:dyDescent="0.35">
      <c r="F9807">
        <v>9804</v>
      </c>
      <c r="G9807">
        <f t="shared" ca="1" si="238"/>
        <v>-4.5709190364423759E-2</v>
      </c>
    </row>
    <row r="9808" spans="6:7" x14ac:dyDescent="0.35">
      <c r="F9808">
        <v>9805</v>
      </c>
      <c r="G9808">
        <f t="shared" ca="1" si="238"/>
        <v>-1.1079038848992463E-2</v>
      </c>
    </row>
    <row r="9809" spans="6:7" x14ac:dyDescent="0.35">
      <c r="F9809">
        <v>9806</v>
      </c>
      <c r="G9809">
        <f t="shared" ca="1" si="238"/>
        <v>3.1654270953455042E-2</v>
      </c>
    </row>
    <row r="9810" spans="6:7" x14ac:dyDescent="0.35">
      <c r="F9810">
        <v>9807</v>
      </c>
      <c r="G9810">
        <f t="shared" ca="1" si="238"/>
        <v>-1.4106081773233742E-2</v>
      </c>
    </row>
    <row r="9811" spans="6:7" x14ac:dyDescent="0.35">
      <c r="F9811">
        <v>9808</v>
      </c>
      <c r="G9811">
        <f t="shared" ca="1" si="238"/>
        <v>1.3376357327062611E-3</v>
      </c>
    </row>
    <row r="9812" spans="6:7" x14ac:dyDescent="0.35">
      <c r="F9812">
        <v>9809</v>
      </c>
      <c r="G9812">
        <f t="shared" ca="1" si="238"/>
        <v>3.7869143814390986E-2</v>
      </c>
    </row>
    <row r="9813" spans="6:7" x14ac:dyDescent="0.35">
      <c r="F9813">
        <v>9810</v>
      </c>
      <c r="G9813">
        <f t="shared" ca="1" si="238"/>
        <v>3.3745120795624604E-2</v>
      </c>
    </row>
    <row r="9814" spans="6:7" x14ac:dyDescent="0.35">
      <c r="F9814">
        <v>9811</v>
      </c>
      <c r="G9814">
        <f t="shared" ca="1" si="238"/>
        <v>-1.6760536681955766E-2</v>
      </c>
    </row>
    <row r="9815" spans="6:7" x14ac:dyDescent="0.35">
      <c r="F9815">
        <v>9812</v>
      </c>
      <c r="G9815">
        <f t="shared" ca="1" si="238"/>
        <v>2.6724597277280666E-2</v>
      </c>
    </row>
    <row r="9816" spans="6:7" x14ac:dyDescent="0.35">
      <c r="F9816">
        <v>9813</v>
      </c>
      <c r="G9816">
        <f t="shared" ca="1" si="238"/>
        <v>3.7403047699590651E-2</v>
      </c>
    </row>
    <row r="9817" spans="6:7" x14ac:dyDescent="0.35">
      <c r="F9817">
        <v>9814</v>
      </c>
      <c r="G9817">
        <f t="shared" ca="1" si="238"/>
        <v>3.5522947294038085E-2</v>
      </c>
    </row>
    <row r="9818" spans="6:7" x14ac:dyDescent="0.35">
      <c r="F9818">
        <v>9815</v>
      </c>
      <c r="G9818">
        <f t="shared" ca="1" si="238"/>
        <v>-1.2554396337020778E-2</v>
      </c>
    </row>
    <row r="9819" spans="6:7" x14ac:dyDescent="0.35">
      <c r="F9819">
        <v>9816</v>
      </c>
      <c r="G9819">
        <f t="shared" ca="1" si="238"/>
        <v>-1.8796646218485931E-2</v>
      </c>
    </row>
    <row r="9820" spans="6:7" x14ac:dyDescent="0.35">
      <c r="F9820">
        <v>9817</v>
      </c>
      <c r="G9820">
        <f t="shared" ca="1" si="238"/>
        <v>-2.2691770133985049E-2</v>
      </c>
    </row>
    <row r="9821" spans="6:7" x14ac:dyDescent="0.35">
      <c r="F9821">
        <v>9818</v>
      </c>
      <c r="G9821">
        <f t="shared" ca="1" si="238"/>
        <v>-6.1346777545165196E-2</v>
      </c>
    </row>
    <row r="9822" spans="6:7" x14ac:dyDescent="0.35">
      <c r="F9822">
        <v>9819</v>
      </c>
      <c r="G9822">
        <f t="shared" ca="1" si="238"/>
        <v>1.6496925036975005E-2</v>
      </c>
    </row>
    <row r="9823" spans="6:7" x14ac:dyDescent="0.35">
      <c r="F9823">
        <v>9820</v>
      </c>
      <c r="G9823">
        <f t="shared" ca="1" si="238"/>
        <v>2.4172607325589606E-3</v>
      </c>
    </row>
    <row r="9824" spans="6:7" x14ac:dyDescent="0.35">
      <c r="F9824">
        <v>9821</v>
      </c>
      <c r="G9824">
        <f t="shared" ca="1" si="238"/>
        <v>-3.8686430502325782E-3</v>
      </c>
    </row>
    <row r="9825" spans="6:7" x14ac:dyDescent="0.35">
      <c r="F9825">
        <v>9822</v>
      </c>
      <c r="G9825">
        <f t="shared" ca="1" si="238"/>
        <v>-1.4625233595921241E-2</v>
      </c>
    </row>
    <row r="9826" spans="6:7" x14ac:dyDescent="0.35">
      <c r="F9826">
        <v>9823</v>
      </c>
      <c r="G9826">
        <f t="shared" ca="1" si="238"/>
        <v>-8.5240785653198248E-3</v>
      </c>
    </row>
    <row r="9827" spans="6:7" x14ac:dyDescent="0.35">
      <c r="F9827">
        <v>9824</v>
      </c>
      <c r="G9827">
        <f t="shared" ca="1" si="238"/>
        <v>3.1000520722820821E-2</v>
      </c>
    </row>
    <row r="9828" spans="6:7" x14ac:dyDescent="0.35">
      <c r="F9828">
        <v>9825</v>
      </c>
      <c r="G9828">
        <f t="shared" ca="1" si="238"/>
        <v>4.5333205358294243E-2</v>
      </c>
    </row>
    <row r="9829" spans="6:7" x14ac:dyDescent="0.35">
      <c r="F9829">
        <v>9826</v>
      </c>
      <c r="G9829">
        <f t="shared" ca="1" si="238"/>
        <v>-1.7460205719834736E-2</v>
      </c>
    </row>
    <row r="9830" spans="6:7" x14ac:dyDescent="0.35">
      <c r="F9830">
        <v>9827</v>
      </c>
      <c r="G9830">
        <f t="shared" ca="1" si="238"/>
        <v>8.4826069797499619E-3</v>
      </c>
    </row>
    <row r="9831" spans="6:7" x14ac:dyDescent="0.35">
      <c r="F9831">
        <v>9828</v>
      </c>
      <c r="G9831">
        <f t="shared" ca="1" si="238"/>
        <v>3.7511940607363866E-3</v>
      </c>
    </row>
    <row r="9832" spans="6:7" x14ac:dyDescent="0.35">
      <c r="F9832">
        <v>9829</v>
      </c>
      <c r="G9832">
        <f t="shared" ca="1" si="238"/>
        <v>-1.0017693819933554E-2</v>
      </c>
    </row>
    <row r="9833" spans="6:7" x14ac:dyDescent="0.35">
      <c r="F9833">
        <v>9830</v>
      </c>
      <c r="G9833">
        <f t="shared" ca="1" si="238"/>
        <v>3.4354481106845212E-2</v>
      </c>
    </row>
    <row r="9834" spans="6:7" x14ac:dyDescent="0.35">
      <c r="F9834">
        <v>9831</v>
      </c>
      <c r="G9834">
        <f t="shared" ca="1" si="238"/>
        <v>1.1292060286342097E-2</v>
      </c>
    </row>
    <row r="9835" spans="6:7" x14ac:dyDescent="0.35">
      <c r="F9835">
        <v>9832</v>
      </c>
      <c r="G9835">
        <f t="shared" ca="1" si="238"/>
        <v>1.8507620242756196E-2</v>
      </c>
    </row>
    <row r="9836" spans="6:7" x14ac:dyDescent="0.35">
      <c r="F9836">
        <v>9833</v>
      </c>
      <c r="G9836">
        <f t="shared" ca="1" si="238"/>
        <v>3.9668957276428572E-3</v>
      </c>
    </row>
    <row r="9837" spans="6:7" x14ac:dyDescent="0.35">
      <c r="F9837">
        <v>9834</v>
      </c>
      <c r="G9837">
        <f t="shared" ca="1" si="238"/>
        <v>1.0837315984840508E-2</v>
      </c>
    </row>
    <row r="9838" spans="6:7" x14ac:dyDescent="0.35">
      <c r="F9838">
        <v>9835</v>
      </c>
      <c r="G9838">
        <f t="shared" ca="1" si="238"/>
        <v>-4.3047673135406139E-2</v>
      </c>
    </row>
    <row r="9839" spans="6:7" x14ac:dyDescent="0.35">
      <c r="F9839">
        <v>9836</v>
      </c>
      <c r="G9839">
        <f t="shared" ca="1" si="238"/>
        <v>3.9406524610934218E-2</v>
      </c>
    </row>
    <row r="9840" spans="6:7" x14ac:dyDescent="0.35">
      <c r="F9840">
        <v>9837</v>
      </c>
      <c r="G9840">
        <f t="shared" ca="1" si="238"/>
        <v>-1.5931937079914804E-2</v>
      </c>
    </row>
    <row r="9841" spans="6:7" x14ac:dyDescent="0.35">
      <c r="F9841">
        <v>9838</v>
      </c>
      <c r="G9841">
        <f t="shared" ca="1" si="238"/>
        <v>1.9487862673466562E-3</v>
      </c>
    </row>
    <row r="9842" spans="6:7" x14ac:dyDescent="0.35">
      <c r="F9842">
        <v>9839</v>
      </c>
      <c r="G9842">
        <f t="shared" ca="1" si="238"/>
        <v>1.7004320812350843E-2</v>
      </c>
    </row>
    <row r="9843" spans="6:7" x14ac:dyDescent="0.35">
      <c r="F9843">
        <v>9840</v>
      </c>
      <c r="G9843">
        <f t="shared" ca="1" si="238"/>
        <v>1.352398522147218E-2</v>
      </c>
    </row>
    <row r="9844" spans="6:7" x14ac:dyDescent="0.35">
      <c r="F9844">
        <v>9841</v>
      </c>
      <c r="G9844">
        <f t="shared" ca="1" si="238"/>
        <v>-3.382221583925344E-2</v>
      </c>
    </row>
    <row r="9845" spans="6:7" x14ac:dyDescent="0.35">
      <c r="F9845">
        <v>9842</v>
      </c>
      <c r="G9845">
        <f t="shared" ca="1" si="238"/>
        <v>-8.6267379638409383E-3</v>
      </c>
    </row>
    <row r="9846" spans="6:7" x14ac:dyDescent="0.35">
      <c r="F9846">
        <v>9843</v>
      </c>
      <c r="G9846">
        <f t="shared" ca="1" si="238"/>
        <v>-2.2780877705276727E-2</v>
      </c>
    </row>
    <row r="9847" spans="6:7" x14ac:dyDescent="0.35">
      <c r="F9847">
        <v>9844</v>
      </c>
      <c r="G9847">
        <f t="shared" ca="1" si="238"/>
        <v>-3.4580521951689057E-2</v>
      </c>
    </row>
    <row r="9848" spans="6:7" x14ac:dyDescent="0.35">
      <c r="F9848">
        <v>9845</v>
      </c>
      <c r="G9848">
        <f t="shared" ca="1" si="238"/>
        <v>-2.7100788351306047E-2</v>
      </c>
    </row>
    <row r="9849" spans="6:7" x14ac:dyDescent="0.35">
      <c r="F9849">
        <v>9846</v>
      </c>
      <c r="G9849">
        <f t="shared" ca="1" si="238"/>
        <v>1.0101781341320356E-2</v>
      </c>
    </row>
    <row r="9850" spans="6:7" x14ac:dyDescent="0.35">
      <c r="F9850">
        <v>9847</v>
      </c>
      <c r="G9850">
        <f t="shared" ca="1" si="238"/>
        <v>1.3137707322127374E-2</v>
      </c>
    </row>
    <row r="9851" spans="6:7" x14ac:dyDescent="0.35">
      <c r="F9851">
        <v>9848</v>
      </c>
      <c r="G9851">
        <f t="shared" ca="1" si="238"/>
        <v>-4.1468163141483586E-4</v>
      </c>
    </row>
    <row r="9852" spans="6:7" x14ac:dyDescent="0.35">
      <c r="F9852">
        <v>9849</v>
      </c>
      <c r="G9852">
        <f t="shared" ca="1" si="238"/>
        <v>5.7734922925034474E-2</v>
      </c>
    </row>
    <row r="9853" spans="6:7" x14ac:dyDescent="0.35">
      <c r="F9853">
        <v>9850</v>
      </c>
      <c r="G9853">
        <f t="shared" ca="1" si="238"/>
        <v>6.7259648572301461E-2</v>
      </c>
    </row>
    <row r="9854" spans="6:7" x14ac:dyDescent="0.35">
      <c r="F9854">
        <v>9851</v>
      </c>
      <c r="G9854">
        <f t="shared" ca="1" si="238"/>
        <v>-2.1137183910101196E-2</v>
      </c>
    </row>
    <row r="9855" spans="6:7" x14ac:dyDescent="0.35">
      <c r="F9855">
        <v>9852</v>
      </c>
      <c r="G9855">
        <f t="shared" ca="1" si="238"/>
        <v>3.509640324282276E-2</v>
      </c>
    </row>
    <row r="9856" spans="6:7" x14ac:dyDescent="0.35">
      <c r="F9856">
        <v>9853</v>
      </c>
      <c r="G9856">
        <f t="shared" ca="1" si="238"/>
        <v>-1.5419811364896618E-2</v>
      </c>
    </row>
    <row r="9857" spans="6:7" x14ac:dyDescent="0.35">
      <c r="F9857">
        <v>9854</v>
      </c>
      <c r="G9857">
        <f t="shared" ca="1" si="238"/>
        <v>3.9126733372917839E-2</v>
      </c>
    </row>
    <row r="9858" spans="6:7" x14ac:dyDescent="0.35">
      <c r="F9858">
        <v>9855</v>
      </c>
      <c r="G9858">
        <f t="shared" ca="1" si="238"/>
        <v>-1.2455833067721495E-2</v>
      </c>
    </row>
    <row r="9859" spans="6:7" x14ac:dyDescent="0.35">
      <c r="F9859">
        <v>9856</v>
      </c>
      <c r="G9859">
        <f t="shared" ca="1" si="238"/>
        <v>-2.6965407630470971E-2</v>
      </c>
    </row>
    <row r="9860" spans="6:7" x14ac:dyDescent="0.35">
      <c r="F9860">
        <v>9857</v>
      </c>
      <c r="G9860">
        <f t="shared" ca="1" si="238"/>
        <v>-3.8926114458182831E-3</v>
      </c>
    </row>
    <row r="9861" spans="6:7" x14ac:dyDescent="0.35">
      <c r="F9861">
        <v>9858</v>
      </c>
      <c r="G9861">
        <f t="shared" ref="G9861:G9924" ca="1" si="239">_xlfn.NORM.INV(RAND(),K$6,K$7)</f>
        <v>2.4063991593529458E-2</v>
      </c>
    </row>
    <row r="9862" spans="6:7" x14ac:dyDescent="0.35">
      <c r="F9862">
        <v>9859</v>
      </c>
      <c r="G9862">
        <f t="shared" ca="1" si="239"/>
        <v>3.0930741709263559E-2</v>
      </c>
    </row>
    <row r="9863" spans="6:7" x14ac:dyDescent="0.35">
      <c r="F9863">
        <v>9860</v>
      </c>
      <c r="G9863">
        <f t="shared" ca="1" si="239"/>
        <v>9.6104470630687736E-3</v>
      </c>
    </row>
    <row r="9864" spans="6:7" x14ac:dyDescent="0.35">
      <c r="F9864">
        <v>9861</v>
      </c>
      <c r="G9864">
        <f t="shared" ca="1" si="239"/>
        <v>-4.5494562243193579E-2</v>
      </c>
    </row>
    <row r="9865" spans="6:7" x14ac:dyDescent="0.35">
      <c r="F9865">
        <v>9862</v>
      </c>
      <c r="G9865">
        <f t="shared" ca="1" si="239"/>
        <v>2.2096702877789958E-2</v>
      </c>
    </row>
    <row r="9866" spans="6:7" x14ac:dyDescent="0.35">
      <c r="F9866">
        <v>9863</v>
      </c>
      <c r="G9866">
        <f t="shared" ca="1" si="239"/>
        <v>2.9283138963612763E-2</v>
      </c>
    </row>
    <row r="9867" spans="6:7" x14ac:dyDescent="0.35">
      <c r="F9867">
        <v>9864</v>
      </c>
      <c r="G9867">
        <f t="shared" ca="1" si="239"/>
        <v>6.3229173729565206E-3</v>
      </c>
    </row>
    <row r="9868" spans="6:7" x14ac:dyDescent="0.35">
      <c r="F9868">
        <v>9865</v>
      </c>
      <c r="G9868">
        <f t="shared" ca="1" si="239"/>
        <v>-1.5860043357058318E-2</v>
      </c>
    </row>
    <row r="9869" spans="6:7" x14ac:dyDescent="0.35">
      <c r="F9869">
        <v>9866</v>
      </c>
      <c r="G9869">
        <f t="shared" ca="1" si="239"/>
        <v>-2.0512346045650012E-3</v>
      </c>
    </row>
    <row r="9870" spans="6:7" x14ac:dyDescent="0.35">
      <c r="F9870">
        <v>9867</v>
      </c>
      <c r="G9870">
        <f t="shared" ca="1" si="239"/>
        <v>-2.1785825592462348E-2</v>
      </c>
    </row>
    <row r="9871" spans="6:7" x14ac:dyDescent="0.35">
      <c r="F9871">
        <v>9868</v>
      </c>
      <c r="G9871">
        <f t="shared" ca="1" si="239"/>
        <v>7.477780570367288E-3</v>
      </c>
    </row>
    <row r="9872" spans="6:7" x14ac:dyDescent="0.35">
      <c r="F9872">
        <v>9869</v>
      </c>
      <c r="G9872">
        <f t="shared" ca="1" si="239"/>
        <v>5.3402268237988472E-2</v>
      </c>
    </row>
    <row r="9873" spans="6:7" x14ac:dyDescent="0.35">
      <c r="F9873">
        <v>9870</v>
      </c>
      <c r="G9873">
        <f t="shared" ca="1" si="239"/>
        <v>-6.4403468387628487E-3</v>
      </c>
    </row>
    <row r="9874" spans="6:7" x14ac:dyDescent="0.35">
      <c r="F9874">
        <v>9871</v>
      </c>
      <c r="G9874">
        <f t="shared" ca="1" si="239"/>
        <v>-2.6736939946064225E-2</v>
      </c>
    </row>
    <row r="9875" spans="6:7" x14ac:dyDescent="0.35">
      <c r="F9875">
        <v>9872</v>
      </c>
      <c r="G9875">
        <f t="shared" ca="1" si="239"/>
        <v>-9.3740030077761778E-3</v>
      </c>
    </row>
    <row r="9876" spans="6:7" x14ac:dyDescent="0.35">
      <c r="F9876">
        <v>9873</v>
      </c>
      <c r="G9876">
        <f t="shared" ca="1" si="239"/>
        <v>3.6019812690910459E-2</v>
      </c>
    </row>
    <row r="9877" spans="6:7" x14ac:dyDescent="0.35">
      <c r="F9877">
        <v>9874</v>
      </c>
      <c r="G9877">
        <f t="shared" ca="1" si="239"/>
        <v>-4.208063323436797E-3</v>
      </c>
    </row>
    <row r="9878" spans="6:7" x14ac:dyDescent="0.35">
      <c r="F9878">
        <v>9875</v>
      </c>
      <c r="G9878">
        <f t="shared" ca="1" si="239"/>
        <v>2.388781168960551E-2</v>
      </c>
    </row>
    <row r="9879" spans="6:7" x14ac:dyDescent="0.35">
      <c r="F9879">
        <v>9876</v>
      </c>
      <c r="G9879">
        <f t="shared" ca="1" si="239"/>
        <v>-1.961834820201697E-2</v>
      </c>
    </row>
    <row r="9880" spans="6:7" x14ac:dyDescent="0.35">
      <c r="F9880">
        <v>9877</v>
      </c>
      <c r="G9880">
        <f t="shared" ca="1" si="239"/>
        <v>6.1205449301937331E-2</v>
      </c>
    </row>
    <row r="9881" spans="6:7" x14ac:dyDescent="0.35">
      <c r="F9881">
        <v>9878</v>
      </c>
      <c r="G9881">
        <f t="shared" ca="1" si="239"/>
        <v>1.9425088154065885E-3</v>
      </c>
    </row>
    <row r="9882" spans="6:7" x14ac:dyDescent="0.35">
      <c r="F9882">
        <v>9879</v>
      </c>
      <c r="G9882">
        <f t="shared" ca="1" si="239"/>
        <v>-1.5235432801762722E-2</v>
      </c>
    </row>
    <row r="9883" spans="6:7" x14ac:dyDescent="0.35">
      <c r="F9883">
        <v>9880</v>
      </c>
      <c r="G9883">
        <f t="shared" ca="1" si="239"/>
        <v>-1.2980693171234327E-2</v>
      </c>
    </row>
    <row r="9884" spans="6:7" x14ac:dyDescent="0.35">
      <c r="F9884">
        <v>9881</v>
      </c>
      <c r="G9884">
        <f t="shared" ca="1" si="239"/>
        <v>-1.783791302460189E-2</v>
      </c>
    </row>
    <row r="9885" spans="6:7" x14ac:dyDescent="0.35">
      <c r="F9885">
        <v>9882</v>
      </c>
      <c r="G9885">
        <f t="shared" ca="1" si="239"/>
        <v>-2.2765961352055383E-2</v>
      </c>
    </row>
    <row r="9886" spans="6:7" x14ac:dyDescent="0.35">
      <c r="F9886">
        <v>9883</v>
      </c>
      <c r="G9886">
        <f t="shared" ca="1" si="239"/>
        <v>1.353408440623512E-3</v>
      </c>
    </row>
    <row r="9887" spans="6:7" x14ac:dyDescent="0.35">
      <c r="F9887">
        <v>9884</v>
      </c>
      <c r="G9887">
        <f t="shared" ca="1" si="239"/>
        <v>-2.1010370704037745E-2</v>
      </c>
    </row>
    <row r="9888" spans="6:7" x14ac:dyDescent="0.35">
      <c r="F9888">
        <v>9885</v>
      </c>
      <c r="G9888">
        <f t="shared" ca="1" si="239"/>
        <v>-2.3464532224633405E-2</v>
      </c>
    </row>
    <row r="9889" spans="6:7" x14ac:dyDescent="0.35">
      <c r="F9889">
        <v>9886</v>
      </c>
      <c r="G9889">
        <f t="shared" ca="1" si="239"/>
        <v>-3.142430705620719E-2</v>
      </c>
    </row>
    <row r="9890" spans="6:7" x14ac:dyDescent="0.35">
      <c r="F9890">
        <v>9887</v>
      </c>
      <c r="G9890">
        <f t="shared" ca="1" si="239"/>
        <v>-1.0440112469406151E-2</v>
      </c>
    </row>
    <row r="9891" spans="6:7" x14ac:dyDescent="0.35">
      <c r="F9891">
        <v>9888</v>
      </c>
      <c r="G9891">
        <f t="shared" ca="1" si="239"/>
        <v>-1.0703716819696804E-2</v>
      </c>
    </row>
    <row r="9892" spans="6:7" x14ac:dyDescent="0.35">
      <c r="F9892">
        <v>9889</v>
      </c>
      <c r="G9892">
        <f t="shared" ca="1" si="239"/>
        <v>-2.5823106592618418E-2</v>
      </c>
    </row>
    <row r="9893" spans="6:7" x14ac:dyDescent="0.35">
      <c r="F9893">
        <v>9890</v>
      </c>
      <c r="G9893">
        <f t="shared" ca="1" si="239"/>
        <v>1.5643717749996781E-2</v>
      </c>
    </row>
    <row r="9894" spans="6:7" x14ac:dyDescent="0.35">
      <c r="F9894">
        <v>9891</v>
      </c>
      <c r="G9894">
        <f t="shared" ca="1" si="239"/>
        <v>3.0896614152244879E-2</v>
      </c>
    </row>
    <row r="9895" spans="6:7" x14ac:dyDescent="0.35">
      <c r="F9895">
        <v>9892</v>
      </c>
      <c r="G9895">
        <f t="shared" ca="1" si="239"/>
        <v>1.8652164923550246E-2</v>
      </c>
    </row>
    <row r="9896" spans="6:7" x14ac:dyDescent="0.35">
      <c r="F9896">
        <v>9893</v>
      </c>
      <c r="G9896">
        <f t="shared" ca="1" si="239"/>
        <v>6.4835238376037187E-3</v>
      </c>
    </row>
    <row r="9897" spans="6:7" x14ac:dyDescent="0.35">
      <c r="F9897">
        <v>9894</v>
      </c>
      <c r="G9897">
        <f t="shared" ca="1" si="239"/>
        <v>1.2094015922206269E-2</v>
      </c>
    </row>
    <row r="9898" spans="6:7" x14ac:dyDescent="0.35">
      <c r="F9898">
        <v>9895</v>
      </c>
      <c r="G9898">
        <f t="shared" ca="1" si="239"/>
        <v>-1.9475589809843667E-3</v>
      </c>
    </row>
    <row r="9899" spans="6:7" x14ac:dyDescent="0.35">
      <c r="F9899">
        <v>9896</v>
      </c>
      <c r="G9899">
        <f t="shared" ca="1" si="239"/>
        <v>-6.9286722648477822E-2</v>
      </c>
    </row>
    <row r="9900" spans="6:7" x14ac:dyDescent="0.35">
      <c r="F9900">
        <v>9897</v>
      </c>
      <c r="G9900">
        <f t="shared" ca="1" si="239"/>
        <v>-8.3565425649968147E-3</v>
      </c>
    </row>
    <row r="9901" spans="6:7" x14ac:dyDescent="0.35">
      <c r="F9901">
        <v>9898</v>
      </c>
      <c r="G9901">
        <f t="shared" ca="1" si="239"/>
        <v>1.9931380985976455E-2</v>
      </c>
    </row>
    <row r="9902" spans="6:7" x14ac:dyDescent="0.35">
      <c r="F9902">
        <v>9899</v>
      </c>
      <c r="G9902">
        <f t="shared" ca="1" si="239"/>
        <v>-4.1281147840941668E-2</v>
      </c>
    </row>
    <row r="9903" spans="6:7" x14ac:dyDescent="0.35">
      <c r="F9903">
        <v>9900</v>
      </c>
      <c r="G9903">
        <f t="shared" ca="1" si="239"/>
        <v>-2.2807847788979062E-2</v>
      </c>
    </row>
    <row r="9904" spans="6:7" x14ac:dyDescent="0.35">
      <c r="F9904">
        <v>9901</v>
      </c>
      <c r="G9904">
        <f t="shared" ca="1" si="239"/>
        <v>5.3810312117714316E-3</v>
      </c>
    </row>
    <row r="9905" spans="6:7" x14ac:dyDescent="0.35">
      <c r="F9905">
        <v>9902</v>
      </c>
      <c r="G9905">
        <f t="shared" ca="1" si="239"/>
        <v>1.0730019012554694E-2</v>
      </c>
    </row>
    <row r="9906" spans="6:7" x14ac:dyDescent="0.35">
      <c r="F9906">
        <v>9903</v>
      </c>
      <c r="G9906">
        <f t="shared" ca="1" si="239"/>
        <v>8.0395982726512299E-3</v>
      </c>
    </row>
    <row r="9907" spans="6:7" x14ac:dyDescent="0.35">
      <c r="F9907">
        <v>9904</v>
      </c>
      <c r="G9907">
        <f t="shared" ca="1" si="239"/>
        <v>8.3919146577635106E-3</v>
      </c>
    </row>
    <row r="9908" spans="6:7" x14ac:dyDescent="0.35">
      <c r="F9908">
        <v>9905</v>
      </c>
      <c r="G9908">
        <f t="shared" ca="1" si="239"/>
        <v>-2.7637825375467946E-2</v>
      </c>
    </row>
    <row r="9909" spans="6:7" x14ac:dyDescent="0.35">
      <c r="F9909">
        <v>9906</v>
      </c>
      <c r="G9909">
        <f t="shared" ca="1" si="239"/>
        <v>5.1809352908482584E-2</v>
      </c>
    </row>
    <row r="9910" spans="6:7" x14ac:dyDescent="0.35">
      <c r="F9910">
        <v>9907</v>
      </c>
      <c r="G9910">
        <f t="shared" ca="1" si="239"/>
        <v>-2.8177137577063794E-2</v>
      </c>
    </row>
    <row r="9911" spans="6:7" x14ac:dyDescent="0.35">
      <c r="F9911">
        <v>9908</v>
      </c>
      <c r="G9911">
        <f t="shared" ca="1" si="239"/>
        <v>-1.8486165862957517E-2</v>
      </c>
    </row>
    <row r="9912" spans="6:7" x14ac:dyDescent="0.35">
      <c r="F9912">
        <v>9909</v>
      </c>
      <c r="G9912">
        <f t="shared" ca="1" si="239"/>
        <v>-2.1084351970019642E-2</v>
      </c>
    </row>
    <row r="9913" spans="6:7" x14ac:dyDescent="0.35">
      <c r="F9913">
        <v>9910</v>
      </c>
      <c r="G9913">
        <f t="shared" ca="1" si="239"/>
        <v>1.2043121613251164E-3</v>
      </c>
    </row>
    <row r="9914" spans="6:7" x14ac:dyDescent="0.35">
      <c r="F9914">
        <v>9911</v>
      </c>
      <c r="G9914">
        <f t="shared" ca="1" si="239"/>
        <v>6.4115347842259363E-2</v>
      </c>
    </row>
    <row r="9915" spans="6:7" x14ac:dyDescent="0.35">
      <c r="F9915">
        <v>9912</v>
      </c>
      <c r="G9915">
        <f t="shared" ca="1" si="239"/>
        <v>1.2067910143680133E-2</v>
      </c>
    </row>
    <row r="9916" spans="6:7" x14ac:dyDescent="0.35">
      <c r="F9916">
        <v>9913</v>
      </c>
      <c r="G9916">
        <f t="shared" ca="1" si="239"/>
        <v>-2.2419598011922476E-2</v>
      </c>
    </row>
    <row r="9917" spans="6:7" x14ac:dyDescent="0.35">
      <c r="F9917">
        <v>9914</v>
      </c>
      <c r="G9917">
        <f t="shared" ca="1" si="239"/>
        <v>-6.2109910959183542E-2</v>
      </c>
    </row>
    <row r="9918" spans="6:7" x14ac:dyDescent="0.35">
      <c r="F9918">
        <v>9915</v>
      </c>
      <c r="G9918">
        <f t="shared" ca="1" si="239"/>
        <v>2.2406321159759705E-2</v>
      </c>
    </row>
    <row r="9919" spans="6:7" x14ac:dyDescent="0.35">
      <c r="F9919">
        <v>9916</v>
      </c>
      <c r="G9919">
        <f t="shared" ca="1" si="239"/>
        <v>-2.6832380073854217E-2</v>
      </c>
    </row>
    <row r="9920" spans="6:7" x14ac:dyDescent="0.35">
      <c r="F9920">
        <v>9917</v>
      </c>
      <c r="G9920">
        <f t="shared" ca="1" si="239"/>
        <v>6.3379797842182221E-3</v>
      </c>
    </row>
    <row r="9921" spans="6:7" x14ac:dyDescent="0.35">
      <c r="F9921">
        <v>9918</v>
      </c>
      <c r="G9921">
        <f t="shared" ca="1" si="239"/>
        <v>2.0162517493979421E-2</v>
      </c>
    </row>
    <row r="9922" spans="6:7" x14ac:dyDescent="0.35">
      <c r="F9922">
        <v>9919</v>
      </c>
      <c r="G9922">
        <f t="shared" ca="1" si="239"/>
        <v>-1.6668000273672812E-2</v>
      </c>
    </row>
    <row r="9923" spans="6:7" x14ac:dyDescent="0.35">
      <c r="F9923">
        <v>9920</v>
      </c>
      <c r="G9923">
        <f t="shared" ca="1" si="239"/>
        <v>-4.253220120329123E-2</v>
      </c>
    </row>
    <row r="9924" spans="6:7" x14ac:dyDescent="0.35">
      <c r="F9924">
        <v>9921</v>
      </c>
      <c r="G9924">
        <f t="shared" ca="1" si="239"/>
        <v>-4.1410465873638856E-2</v>
      </c>
    </row>
    <row r="9925" spans="6:7" x14ac:dyDescent="0.35">
      <c r="F9925">
        <v>9922</v>
      </c>
      <c r="G9925">
        <f t="shared" ref="G9925:G9988" ca="1" si="240">_xlfn.NORM.INV(RAND(),K$6,K$7)</f>
        <v>4.5448007058449966E-2</v>
      </c>
    </row>
    <row r="9926" spans="6:7" x14ac:dyDescent="0.35">
      <c r="F9926">
        <v>9923</v>
      </c>
      <c r="G9926">
        <f t="shared" ca="1" si="240"/>
        <v>-4.5877828654237666E-2</v>
      </c>
    </row>
    <row r="9927" spans="6:7" x14ac:dyDescent="0.35">
      <c r="F9927">
        <v>9924</v>
      </c>
      <c r="G9927">
        <f t="shared" ca="1" si="240"/>
        <v>-2.4195855503686492E-3</v>
      </c>
    </row>
    <row r="9928" spans="6:7" x14ac:dyDescent="0.35">
      <c r="F9928">
        <v>9925</v>
      </c>
      <c r="G9928">
        <f t="shared" ca="1" si="240"/>
        <v>-1.3310320986124309E-2</v>
      </c>
    </row>
    <row r="9929" spans="6:7" x14ac:dyDescent="0.35">
      <c r="F9929">
        <v>9926</v>
      </c>
      <c r="G9929">
        <f t="shared" ca="1" si="240"/>
        <v>-4.2418806433242202E-2</v>
      </c>
    </row>
    <row r="9930" spans="6:7" x14ac:dyDescent="0.35">
      <c r="F9930">
        <v>9927</v>
      </c>
      <c r="G9930">
        <f t="shared" ca="1" si="240"/>
        <v>2.4104280537121405E-2</v>
      </c>
    </row>
    <row r="9931" spans="6:7" x14ac:dyDescent="0.35">
      <c r="F9931">
        <v>9928</v>
      </c>
      <c r="G9931">
        <f t="shared" ca="1" si="240"/>
        <v>-4.814759709355027E-3</v>
      </c>
    </row>
    <row r="9932" spans="6:7" x14ac:dyDescent="0.35">
      <c r="F9932">
        <v>9929</v>
      </c>
      <c r="G9932">
        <f t="shared" ca="1" si="240"/>
        <v>-3.1758869061199797E-2</v>
      </c>
    </row>
    <row r="9933" spans="6:7" x14ac:dyDescent="0.35">
      <c r="F9933">
        <v>9930</v>
      </c>
      <c r="G9933">
        <f t="shared" ca="1" si="240"/>
        <v>-2.9250624388155528E-2</v>
      </c>
    </row>
    <row r="9934" spans="6:7" x14ac:dyDescent="0.35">
      <c r="F9934">
        <v>9931</v>
      </c>
      <c r="G9934">
        <f t="shared" ca="1" si="240"/>
        <v>6.8216564368809657E-2</v>
      </c>
    </row>
    <row r="9935" spans="6:7" x14ac:dyDescent="0.35">
      <c r="F9935">
        <v>9932</v>
      </c>
      <c r="G9935">
        <f t="shared" ca="1" si="240"/>
        <v>7.2244407913145972E-2</v>
      </c>
    </row>
    <row r="9936" spans="6:7" x14ac:dyDescent="0.35">
      <c r="F9936">
        <v>9933</v>
      </c>
      <c r="G9936">
        <f t="shared" ca="1" si="240"/>
        <v>7.3614171995729991E-2</v>
      </c>
    </row>
    <row r="9937" spans="6:7" x14ac:dyDescent="0.35">
      <c r="F9937">
        <v>9934</v>
      </c>
      <c r="G9937">
        <f t="shared" ca="1" si="240"/>
        <v>-2.0845908856290164E-2</v>
      </c>
    </row>
    <row r="9938" spans="6:7" x14ac:dyDescent="0.35">
      <c r="F9938">
        <v>9935</v>
      </c>
      <c r="G9938">
        <f t="shared" ca="1" si="240"/>
        <v>5.3571648175261964E-2</v>
      </c>
    </row>
    <row r="9939" spans="6:7" x14ac:dyDescent="0.35">
      <c r="F9939">
        <v>9936</v>
      </c>
      <c r="G9939">
        <f t="shared" ca="1" si="240"/>
        <v>1.4879044548095136E-2</v>
      </c>
    </row>
    <row r="9940" spans="6:7" x14ac:dyDescent="0.35">
      <c r="F9940">
        <v>9937</v>
      </c>
      <c r="G9940">
        <f t="shared" ca="1" si="240"/>
        <v>-9.4521980068725669E-3</v>
      </c>
    </row>
    <row r="9941" spans="6:7" x14ac:dyDescent="0.35">
      <c r="F9941">
        <v>9938</v>
      </c>
      <c r="G9941">
        <f t="shared" ca="1" si="240"/>
        <v>-1.9734114986563776E-2</v>
      </c>
    </row>
    <row r="9942" spans="6:7" x14ac:dyDescent="0.35">
      <c r="F9942">
        <v>9939</v>
      </c>
      <c r="G9942">
        <f t="shared" ca="1" si="240"/>
        <v>-1.0900123151821072E-2</v>
      </c>
    </row>
    <row r="9943" spans="6:7" x14ac:dyDescent="0.35">
      <c r="F9943">
        <v>9940</v>
      </c>
      <c r="G9943">
        <f t="shared" ca="1" si="240"/>
        <v>6.5507401688622525E-3</v>
      </c>
    </row>
    <row r="9944" spans="6:7" x14ac:dyDescent="0.35">
      <c r="F9944">
        <v>9941</v>
      </c>
      <c r="G9944">
        <f t="shared" ca="1" si="240"/>
        <v>5.8876895016068166E-3</v>
      </c>
    </row>
    <row r="9945" spans="6:7" x14ac:dyDescent="0.35">
      <c r="F9945">
        <v>9942</v>
      </c>
      <c r="G9945">
        <f t="shared" ca="1" si="240"/>
        <v>4.2264668649842012E-2</v>
      </c>
    </row>
    <row r="9946" spans="6:7" x14ac:dyDescent="0.35">
      <c r="F9946">
        <v>9943</v>
      </c>
      <c r="G9946">
        <f t="shared" ca="1" si="240"/>
        <v>3.4364068226694369E-2</v>
      </c>
    </row>
    <row r="9947" spans="6:7" x14ac:dyDescent="0.35">
      <c r="F9947">
        <v>9944</v>
      </c>
      <c r="G9947">
        <f t="shared" ca="1" si="240"/>
        <v>-1.0291799485336664E-2</v>
      </c>
    </row>
    <row r="9948" spans="6:7" x14ac:dyDescent="0.35">
      <c r="F9948">
        <v>9945</v>
      </c>
      <c r="G9948">
        <f t="shared" ca="1" si="240"/>
        <v>3.9257227356280698E-2</v>
      </c>
    </row>
    <row r="9949" spans="6:7" x14ac:dyDescent="0.35">
      <c r="F9949">
        <v>9946</v>
      </c>
      <c r="G9949">
        <f t="shared" ca="1" si="240"/>
        <v>2.9549856288383209E-2</v>
      </c>
    </row>
    <row r="9950" spans="6:7" x14ac:dyDescent="0.35">
      <c r="F9950">
        <v>9947</v>
      </c>
      <c r="G9950">
        <f t="shared" ca="1" si="240"/>
        <v>2.4079878670374083E-3</v>
      </c>
    </row>
    <row r="9951" spans="6:7" x14ac:dyDescent="0.35">
      <c r="F9951">
        <v>9948</v>
      </c>
      <c r="G9951">
        <f t="shared" ca="1" si="240"/>
        <v>-3.2386261190044993E-2</v>
      </c>
    </row>
    <row r="9952" spans="6:7" x14ac:dyDescent="0.35">
      <c r="F9952">
        <v>9949</v>
      </c>
      <c r="G9952">
        <f t="shared" ca="1" si="240"/>
        <v>-2.8735734454515445E-2</v>
      </c>
    </row>
    <row r="9953" spans="6:7" x14ac:dyDescent="0.35">
      <c r="F9953">
        <v>9950</v>
      </c>
      <c r="G9953">
        <f t="shared" ca="1" si="240"/>
        <v>-2.3099738434577809E-3</v>
      </c>
    </row>
    <row r="9954" spans="6:7" x14ac:dyDescent="0.35">
      <c r="F9954">
        <v>9951</v>
      </c>
      <c r="G9954">
        <f t="shared" ca="1" si="240"/>
        <v>-3.3459722297123629E-3</v>
      </c>
    </row>
    <row r="9955" spans="6:7" x14ac:dyDescent="0.35">
      <c r="F9955">
        <v>9952</v>
      </c>
      <c r="G9955">
        <f t="shared" ca="1" si="240"/>
        <v>1.1440480856626422E-2</v>
      </c>
    </row>
    <row r="9956" spans="6:7" x14ac:dyDescent="0.35">
      <c r="F9956">
        <v>9953</v>
      </c>
      <c r="G9956">
        <f t="shared" ca="1" si="240"/>
        <v>1.2934278360801155E-2</v>
      </c>
    </row>
    <row r="9957" spans="6:7" x14ac:dyDescent="0.35">
      <c r="F9957">
        <v>9954</v>
      </c>
      <c r="G9957">
        <f t="shared" ca="1" si="240"/>
        <v>2.4746750518460755E-2</v>
      </c>
    </row>
    <row r="9958" spans="6:7" x14ac:dyDescent="0.35">
      <c r="F9958">
        <v>9955</v>
      </c>
      <c r="G9958">
        <f t="shared" ca="1" si="240"/>
        <v>4.7504063923893156E-2</v>
      </c>
    </row>
    <row r="9959" spans="6:7" x14ac:dyDescent="0.35">
      <c r="F9959">
        <v>9956</v>
      </c>
      <c r="G9959">
        <f t="shared" ca="1" si="240"/>
        <v>-3.8603385752538598E-2</v>
      </c>
    </row>
    <row r="9960" spans="6:7" x14ac:dyDescent="0.35">
      <c r="F9960">
        <v>9957</v>
      </c>
      <c r="G9960">
        <f t="shared" ca="1" si="240"/>
        <v>1.1550850290732708E-2</v>
      </c>
    </row>
    <row r="9961" spans="6:7" x14ac:dyDescent="0.35">
      <c r="F9961">
        <v>9958</v>
      </c>
      <c r="G9961">
        <f t="shared" ca="1" si="240"/>
        <v>1.2905737835121792E-2</v>
      </c>
    </row>
    <row r="9962" spans="6:7" x14ac:dyDescent="0.35">
      <c r="F9962">
        <v>9959</v>
      </c>
      <c r="G9962">
        <f t="shared" ca="1" si="240"/>
        <v>1.9256299154710057E-3</v>
      </c>
    </row>
    <row r="9963" spans="6:7" x14ac:dyDescent="0.35">
      <c r="F9963">
        <v>9960</v>
      </c>
      <c r="G9963">
        <f t="shared" ca="1" si="240"/>
        <v>1.9702371309209257E-3</v>
      </c>
    </row>
    <row r="9964" spans="6:7" x14ac:dyDescent="0.35">
      <c r="F9964">
        <v>9961</v>
      </c>
      <c r="G9964">
        <f t="shared" ca="1" si="240"/>
        <v>3.7559171026236605E-3</v>
      </c>
    </row>
    <row r="9965" spans="6:7" x14ac:dyDescent="0.35">
      <c r="F9965">
        <v>9962</v>
      </c>
      <c r="G9965">
        <f t="shared" ca="1" si="240"/>
        <v>-3.6688589484346395E-3</v>
      </c>
    </row>
    <row r="9966" spans="6:7" x14ac:dyDescent="0.35">
      <c r="F9966">
        <v>9963</v>
      </c>
      <c r="G9966">
        <f t="shared" ca="1" si="240"/>
        <v>1.4770231734722038E-2</v>
      </c>
    </row>
    <row r="9967" spans="6:7" x14ac:dyDescent="0.35">
      <c r="F9967">
        <v>9964</v>
      </c>
      <c r="G9967">
        <f t="shared" ca="1" si="240"/>
        <v>-1.17432017785858E-2</v>
      </c>
    </row>
    <row r="9968" spans="6:7" x14ac:dyDescent="0.35">
      <c r="F9968">
        <v>9965</v>
      </c>
      <c r="G9968">
        <f t="shared" ca="1" si="240"/>
        <v>-2.8858388982903969E-3</v>
      </c>
    </row>
    <row r="9969" spans="6:7" x14ac:dyDescent="0.35">
      <c r="F9969">
        <v>9966</v>
      </c>
      <c r="G9969">
        <f t="shared" ca="1" si="240"/>
        <v>-1.1328540475384391E-2</v>
      </c>
    </row>
    <row r="9970" spans="6:7" x14ac:dyDescent="0.35">
      <c r="F9970">
        <v>9967</v>
      </c>
      <c r="G9970">
        <f t="shared" ca="1" si="240"/>
        <v>-5.4565512744279383E-3</v>
      </c>
    </row>
    <row r="9971" spans="6:7" x14ac:dyDescent="0.35">
      <c r="F9971">
        <v>9968</v>
      </c>
      <c r="G9971">
        <f t="shared" ca="1" si="240"/>
        <v>-2.4164327682163506E-2</v>
      </c>
    </row>
    <row r="9972" spans="6:7" x14ac:dyDescent="0.35">
      <c r="F9972">
        <v>9969</v>
      </c>
      <c r="G9972">
        <f t="shared" ca="1" si="240"/>
        <v>-1.2387626489463109E-2</v>
      </c>
    </row>
    <row r="9973" spans="6:7" x14ac:dyDescent="0.35">
      <c r="F9973">
        <v>9970</v>
      </c>
      <c r="G9973">
        <f t="shared" ca="1" si="240"/>
        <v>-2.8202100602452852E-2</v>
      </c>
    </row>
    <row r="9974" spans="6:7" x14ac:dyDescent="0.35">
      <c r="F9974">
        <v>9971</v>
      </c>
      <c r="G9974">
        <f t="shared" ca="1" si="240"/>
        <v>-7.0441329659352101E-3</v>
      </c>
    </row>
    <row r="9975" spans="6:7" x14ac:dyDescent="0.35">
      <c r="F9975">
        <v>9972</v>
      </c>
      <c r="G9975">
        <f t="shared" ca="1" si="240"/>
        <v>7.4800832012881053E-3</v>
      </c>
    </row>
    <row r="9976" spans="6:7" x14ac:dyDescent="0.35">
      <c r="F9976">
        <v>9973</v>
      </c>
      <c r="G9976">
        <f t="shared" ca="1" si="240"/>
        <v>-4.8071940677286672E-2</v>
      </c>
    </row>
    <row r="9977" spans="6:7" x14ac:dyDescent="0.35">
      <c r="F9977">
        <v>9974</v>
      </c>
      <c r="G9977">
        <f t="shared" ca="1" si="240"/>
        <v>-3.9462118241577103E-2</v>
      </c>
    </row>
    <row r="9978" spans="6:7" x14ac:dyDescent="0.35">
      <c r="F9978">
        <v>9975</v>
      </c>
      <c r="G9978">
        <f t="shared" ca="1" si="240"/>
        <v>6.3249592318273942E-2</v>
      </c>
    </row>
    <row r="9979" spans="6:7" x14ac:dyDescent="0.35">
      <c r="F9979">
        <v>9976</v>
      </c>
      <c r="G9979">
        <f t="shared" ca="1" si="240"/>
        <v>1.8745554944972407E-3</v>
      </c>
    </row>
    <row r="9980" spans="6:7" x14ac:dyDescent="0.35">
      <c r="F9980">
        <v>9977</v>
      </c>
      <c r="G9980">
        <f t="shared" ca="1" si="240"/>
        <v>7.0972428641999886E-3</v>
      </c>
    </row>
    <row r="9981" spans="6:7" x14ac:dyDescent="0.35">
      <c r="F9981">
        <v>9978</v>
      </c>
      <c r="G9981">
        <f t="shared" ca="1" si="240"/>
        <v>-5.1284259127330263E-2</v>
      </c>
    </row>
    <row r="9982" spans="6:7" x14ac:dyDescent="0.35">
      <c r="F9982">
        <v>9979</v>
      </c>
      <c r="G9982">
        <f t="shared" ca="1" si="240"/>
        <v>-6.1713274414426176E-3</v>
      </c>
    </row>
    <row r="9983" spans="6:7" x14ac:dyDescent="0.35">
      <c r="F9983">
        <v>9980</v>
      </c>
      <c r="G9983">
        <f t="shared" ca="1" si="240"/>
        <v>2.7654811796632775E-3</v>
      </c>
    </row>
    <row r="9984" spans="6:7" x14ac:dyDescent="0.35">
      <c r="F9984">
        <v>9981</v>
      </c>
      <c r="G9984">
        <f t="shared" ca="1" si="240"/>
        <v>-1.0337784638159828E-2</v>
      </c>
    </row>
    <row r="9985" spans="6:7" x14ac:dyDescent="0.35">
      <c r="F9985">
        <v>9982</v>
      </c>
      <c r="G9985">
        <f t="shared" ca="1" si="240"/>
        <v>-5.1335053193197873E-2</v>
      </c>
    </row>
    <row r="9986" spans="6:7" x14ac:dyDescent="0.35">
      <c r="F9986">
        <v>9983</v>
      </c>
      <c r="G9986">
        <f t="shared" ca="1" si="240"/>
        <v>1.0972367362517524E-3</v>
      </c>
    </row>
    <row r="9987" spans="6:7" x14ac:dyDescent="0.35">
      <c r="F9987">
        <v>9984</v>
      </c>
      <c r="G9987">
        <f t="shared" ca="1" si="240"/>
        <v>2.7750121999795686E-2</v>
      </c>
    </row>
    <row r="9988" spans="6:7" x14ac:dyDescent="0.35">
      <c r="F9988">
        <v>9985</v>
      </c>
      <c r="G9988">
        <f t="shared" ca="1" si="240"/>
        <v>-1.2599962877941151E-2</v>
      </c>
    </row>
    <row r="9989" spans="6:7" x14ac:dyDescent="0.35">
      <c r="F9989">
        <v>9986</v>
      </c>
      <c r="G9989">
        <f t="shared" ref="G9989:G10003" ca="1" si="241">_xlfn.NORM.INV(RAND(),K$6,K$7)</f>
        <v>9.6718977073239464E-3</v>
      </c>
    </row>
    <row r="9990" spans="6:7" x14ac:dyDescent="0.35">
      <c r="F9990">
        <v>9987</v>
      </c>
      <c r="G9990">
        <f t="shared" ca="1" si="241"/>
        <v>3.287438858843964E-3</v>
      </c>
    </row>
    <row r="9991" spans="6:7" x14ac:dyDescent="0.35">
      <c r="F9991">
        <v>9988</v>
      </c>
      <c r="G9991">
        <f t="shared" ca="1" si="241"/>
        <v>-2.8870371212306414E-2</v>
      </c>
    </row>
    <row r="9992" spans="6:7" x14ac:dyDescent="0.35">
      <c r="F9992">
        <v>9989</v>
      </c>
      <c r="G9992">
        <f t="shared" ca="1" si="241"/>
        <v>3.7657862390039494E-2</v>
      </c>
    </row>
    <row r="9993" spans="6:7" x14ac:dyDescent="0.35">
      <c r="F9993">
        <v>9990</v>
      </c>
      <c r="G9993">
        <f t="shared" ca="1" si="241"/>
        <v>2.7031166255120344E-2</v>
      </c>
    </row>
    <row r="9994" spans="6:7" x14ac:dyDescent="0.35">
      <c r="F9994">
        <v>9991</v>
      </c>
      <c r="G9994">
        <f t="shared" ca="1" si="241"/>
        <v>4.4910931186123416E-2</v>
      </c>
    </row>
    <row r="9995" spans="6:7" x14ac:dyDescent="0.35">
      <c r="F9995">
        <v>9992</v>
      </c>
      <c r="G9995">
        <f t="shared" ca="1" si="241"/>
        <v>4.1713713405670934E-2</v>
      </c>
    </row>
    <row r="9996" spans="6:7" x14ac:dyDescent="0.35">
      <c r="F9996">
        <v>9993</v>
      </c>
      <c r="G9996">
        <f t="shared" ca="1" si="241"/>
        <v>4.8451717529526548E-3</v>
      </c>
    </row>
    <row r="9997" spans="6:7" x14ac:dyDescent="0.35">
      <c r="F9997">
        <v>9994</v>
      </c>
      <c r="G9997">
        <f t="shared" ca="1" si="241"/>
        <v>3.7400567740720255E-3</v>
      </c>
    </row>
    <row r="9998" spans="6:7" x14ac:dyDescent="0.35">
      <c r="F9998">
        <v>9995</v>
      </c>
      <c r="G9998">
        <f t="shared" ca="1" si="241"/>
        <v>4.3775851304089237E-2</v>
      </c>
    </row>
    <row r="9999" spans="6:7" x14ac:dyDescent="0.35">
      <c r="F9999">
        <v>9996</v>
      </c>
      <c r="G9999">
        <f t="shared" ca="1" si="241"/>
        <v>-1.7391391312815103E-2</v>
      </c>
    </row>
    <row r="10000" spans="6:7" x14ac:dyDescent="0.35">
      <c r="F10000">
        <v>9997</v>
      </c>
      <c r="G10000">
        <f t="shared" ca="1" si="241"/>
        <v>-1.6776638743400692E-2</v>
      </c>
    </row>
    <row r="10001" spans="6:7" x14ac:dyDescent="0.35">
      <c r="F10001">
        <v>9998</v>
      </c>
      <c r="G10001">
        <f t="shared" ca="1" si="241"/>
        <v>-1.721402237861927E-2</v>
      </c>
    </row>
    <row r="10002" spans="6:7" x14ac:dyDescent="0.35">
      <c r="F10002">
        <v>9999</v>
      </c>
      <c r="G10002">
        <f t="shared" ca="1" si="241"/>
        <v>-1.425043822071996E-2</v>
      </c>
    </row>
    <row r="10003" spans="6:7" x14ac:dyDescent="0.35">
      <c r="F10003">
        <v>10000</v>
      </c>
      <c r="G10003">
        <f t="shared" ca="1" si="241"/>
        <v>-5.7545981264016319E-2</v>
      </c>
    </row>
  </sheetData>
  <autoFilter ref="B3:E5183" xr:uid="{953BED94-F632-4312-93F5-736E147B1414}">
    <sortState xmlns:xlrd2="http://schemas.microsoft.com/office/spreadsheetml/2017/richdata2" ref="B4:E5183">
      <sortCondition descending="1" ref="E3:E5183"/>
    </sortState>
  </autoFilter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Approach</vt:lpstr>
      <vt:lpstr>Monte Carlo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cp:lastPrinted>2026-04-22T05:05:59Z</cp:lastPrinted>
  <dcterms:created xsi:type="dcterms:W3CDTF">2026-04-21T10:56:37Z</dcterms:created>
  <dcterms:modified xsi:type="dcterms:W3CDTF">2026-04-22T05:06:07Z</dcterms:modified>
</cp:coreProperties>
</file>